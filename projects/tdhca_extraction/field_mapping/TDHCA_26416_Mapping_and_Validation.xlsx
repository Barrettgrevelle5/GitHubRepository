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Validation - 26416" sheetId="2" state="visible" r:id="rId2"/>
    <sheet xmlns:r="http://schemas.openxmlformats.org/officeDocument/2006/relationships" name="Agent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2F5496"/>
      <sz val="14"/>
    </font>
    <font>
      <name val="Arial"/>
      <b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wrapText="1"/>
    </xf>
    <xf numFmtId="0" fontId="2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2" customWidth="1" min="4" max="4"/>
    <col width="45" customWidth="1" min="5" max="5"/>
  </cols>
  <sheetData>
    <row r="1">
      <c r="A1" s="1" t="inlineStr">
        <is>
          <t>Excel Column #</t>
        </is>
      </c>
      <c r="B1" s="1" t="inlineStr">
        <is>
          <t>Excel Field Name</t>
        </is>
      </c>
      <c r="C1" s="1" t="inlineStr">
        <is>
          <t>PDF Source Location</t>
        </is>
      </c>
      <c r="D1" s="1" t="inlineStr">
        <is>
          <t>PDF Page(s)</t>
        </is>
      </c>
      <c r="E1" s="1" t="inlineStr">
        <is>
          <t>Extraction Notes</t>
        </is>
      </c>
    </row>
    <row r="2">
      <c r="A2" s="2" t="n">
        <v>2</v>
      </c>
      <c r="B2" s="2" t="inlineStr">
        <is>
          <t>Date of UW Report</t>
        </is>
      </c>
      <c r="C2" s="2" t="inlineStr">
        <is>
          <t>Header: 'Real Estate Analysis Division' date</t>
        </is>
      </c>
      <c r="D2" s="2" t="inlineStr">
        <is>
          <t>1,3</t>
        </is>
      </c>
      <c r="E2" s="2" t="inlineStr">
        <is>
          <t>Format: 'May 4, 2026' -&gt; date</t>
        </is>
      </c>
    </row>
    <row r="3">
      <c r="A3" s="2" t="n">
        <v>3</v>
      </c>
      <c r="B3" s="2" t="inlineStr">
        <is>
          <t>Application Number</t>
        </is>
      </c>
      <c r="C3" s="2" t="inlineStr">
        <is>
          <t>Property Identification: 'Application #'</t>
        </is>
      </c>
      <c r="D3" s="2" t="inlineStr">
        <is>
          <t>1,3</t>
        </is>
      </c>
      <c r="E3" s="2" t="inlineStr">
        <is>
          <t>Numeric: 26416</t>
        </is>
      </c>
    </row>
    <row r="4">
      <c r="A4" s="2" t="n">
        <v>4</v>
      </c>
      <c r="B4" s="2" t="inlineStr">
        <is>
          <t>Development Name</t>
        </is>
      </c>
      <c r="C4" s="2" t="inlineStr">
        <is>
          <t>Property Identification: 'Development'</t>
        </is>
      </c>
      <c r="D4" s="2" t="inlineStr">
        <is>
          <t>1,3</t>
        </is>
      </c>
      <c r="E4" s="2" t="inlineStr">
        <is>
          <t>Text: 'Mariposa at Reed Road'</t>
        </is>
      </c>
    </row>
    <row r="5">
      <c r="A5" s="2" t="n">
        <v>5</v>
      </c>
      <c r="B5" s="2" t="inlineStr">
        <is>
          <t>Developer</t>
        </is>
      </c>
      <c r="C5" s="2" t="inlineStr">
        <is>
          <t>Key Principals / Sponsor section</t>
        </is>
      </c>
      <c r="D5" s="2" t="inlineStr">
        <is>
          <t>1,4</t>
        </is>
      </c>
      <c r="E5" s="2" t="inlineStr">
        <is>
          <t>First entity listed. May need org chart on p4</t>
        </is>
      </c>
    </row>
    <row r="6">
      <c r="A6" s="2" t="n">
        <v>6</v>
      </c>
      <c r="B6" s="2" t="inlineStr">
        <is>
          <t>Guarantor</t>
        </is>
      </c>
      <c r="C6" s="2" t="inlineStr">
        <is>
          <t>Key Principals / Sponsor section</t>
        </is>
      </c>
      <c r="D6" s="2" t="inlineStr">
        <is>
          <t>1,4</t>
        </is>
      </c>
      <c r="E6" s="2" t="inlineStr">
        <is>
          <t>Individual names from sponsor block</t>
        </is>
      </c>
    </row>
    <row r="7">
      <c r="A7" s="2" t="n">
        <v>7</v>
      </c>
      <c r="B7" s="2" t="inlineStr">
        <is>
          <t>General Contractor</t>
        </is>
      </c>
      <c r="C7" s="2" t="inlineStr">
        <is>
          <t>Related Parties: 'Contractor'</t>
        </is>
      </c>
      <c r="D7" s="2" t="inlineStr">
        <is>
          <t>1</t>
        </is>
      </c>
      <c r="E7" s="2" t="inlineStr">
        <is>
          <t>Yes/No or company name</t>
        </is>
      </c>
    </row>
    <row r="8">
      <c r="A8" s="2" t="n">
        <v>8</v>
      </c>
      <c r="B8" s="2" t="inlineStr">
        <is>
          <t>Lender / Loan Type</t>
        </is>
      </c>
      <c r="C8" s="2" t="inlineStr">
        <is>
          <t>Debt (Must Pay) table: Source column</t>
        </is>
      </c>
      <c r="D8" s="2" t="inlineStr">
        <is>
          <t>2,14,19</t>
        </is>
      </c>
      <c r="E8" s="2" t="inlineStr">
        <is>
          <t>Primary lender name</t>
        </is>
      </c>
    </row>
    <row r="9">
      <c r="A9" s="2" t="n">
        <v>9</v>
      </c>
      <c r="B9" s="2" t="inlineStr">
        <is>
          <t>Equity Partner</t>
        </is>
      </c>
      <c r="C9" s="2" t="inlineStr">
        <is>
          <t>Equity/Deferred Fees table: Source column</t>
        </is>
      </c>
      <c r="D9" s="2" t="inlineStr">
        <is>
          <t>2,19</t>
        </is>
      </c>
      <c r="E9" s="2" t="inlineStr">
        <is>
          <t>Equity investor name</t>
        </is>
      </c>
    </row>
    <row r="10">
      <c r="A10" s="2" t="n">
        <v>10</v>
      </c>
      <c r="B10" s="2" t="inlineStr">
        <is>
          <t>City</t>
        </is>
      </c>
      <c r="C10" s="2" t="inlineStr">
        <is>
          <t>Property Identification: 'City / County'</t>
        </is>
      </c>
      <c r="D10" s="2" t="inlineStr">
        <is>
          <t>1,3</t>
        </is>
      </c>
      <c r="E10" s="2" t="inlineStr">
        <is>
          <t>City portion only</t>
        </is>
      </c>
    </row>
    <row r="11">
      <c r="A11" s="2" t="n">
        <v>11</v>
      </c>
      <c r="B11" s="2" t="inlineStr">
        <is>
          <t>County</t>
        </is>
      </c>
      <c r="C11" s="2" t="inlineStr">
        <is>
          <t>Property Identification: 'City / County'</t>
        </is>
      </c>
      <c r="D11" s="2" t="inlineStr">
        <is>
          <t>1,3</t>
        </is>
      </c>
      <c r="E11" s="2" t="inlineStr">
        <is>
          <t>County portion only</t>
        </is>
      </c>
    </row>
    <row r="12">
      <c r="A12" s="2" t="n">
        <v>12</v>
      </c>
      <c r="B12" s="2" t="inlineStr">
        <is>
          <t>Region</t>
        </is>
      </c>
      <c r="C12" s="2" t="inlineStr">
        <is>
          <t>Property Identification: 'Region/Area'</t>
        </is>
      </c>
      <c r="D12" s="2" t="inlineStr">
        <is>
          <t>1,3</t>
        </is>
      </c>
      <c r="E12" s="2" t="inlineStr">
        <is>
          <t>Numeric region code</t>
        </is>
      </c>
    </row>
    <row r="13">
      <c r="A13" s="2" t="n">
        <v>13</v>
      </c>
      <c r="B13" s="2" t="inlineStr">
        <is>
          <t>Area</t>
        </is>
      </c>
      <c r="C13" s="2" t="inlineStr">
        <is>
          <t>Property Identification: 'Region/Area'</t>
        </is>
      </c>
      <c r="D13" s="2" t="inlineStr">
        <is>
          <t>1,3</t>
        </is>
      </c>
      <c r="E13" s="2" t="inlineStr">
        <is>
          <t>Urban/Rural</t>
        </is>
      </c>
    </row>
    <row r="14">
      <c r="A14" s="2" t="n">
        <v>14</v>
      </c>
      <c r="B14" s="2" t="inlineStr">
        <is>
          <t>Population</t>
        </is>
      </c>
      <c r="C14" s="2" t="inlineStr">
        <is>
          <t>Development Identification: 'Population'</t>
        </is>
      </c>
      <c r="D14" s="2" t="inlineStr">
        <is>
          <t>3</t>
        </is>
      </c>
      <c r="E14" s="2" t="inlineStr">
        <is>
          <t>General/Elderly Limitation/etc</t>
        </is>
      </c>
    </row>
    <row r="15">
      <c r="A15" s="2" t="n">
        <v>15</v>
      </c>
      <c r="B15" s="2" t="inlineStr">
        <is>
          <t>Set-Aside</t>
        </is>
      </c>
      <c r="C15" s="2" t="inlineStr">
        <is>
          <t>Development Identification: 'Program Set-Aside'</t>
        </is>
      </c>
      <c r="D15" s="2" t="inlineStr">
        <is>
          <t>3</t>
        </is>
      </c>
      <c r="E15" s="2" t="inlineStr">
        <is>
          <t>General/Non-Profit/etc</t>
        </is>
      </c>
    </row>
    <row r="16">
      <c r="A16" s="2" t="n">
        <v>16</v>
      </c>
      <c r="B16" s="2" t="inlineStr">
        <is>
          <t>Activity</t>
        </is>
      </c>
      <c r="C16" s="2" t="inlineStr">
        <is>
          <t>Property Identification: 'Activity'</t>
        </is>
      </c>
      <c r="D16" s="2" t="inlineStr">
        <is>
          <t>1,3</t>
        </is>
      </c>
      <c r="E16" s="2" t="inlineStr">
        <is>
          <t>Acquisition/Rehab, New Construction, etc</t>
        </is>
      </c>
    </row>
    <row r="17">
      <c r="A17" s="2" t="n">
        <v>17</v>
      </c>
      <c r="B17" s="2" t="inlineStr">
        <is>
          <t>9% or 4%?</t>
        </is>
      </c>
      <c r="C17" s="2" t="inlineStr">
        <is>
          <t>Recommendation: 'TDHCA Program'</t>
        </is>
      </c>
      <c r="D17" s="2" t="inlineStr">
        <is>
          <t>1,3</t>
        </is>
      </c>
      <c r="E17" s="2" t="inlineStr">
        <is>
          <t>FHTC (4% Credit) -&gt; 0.04; 9% -&gt; 0.09</t>
        </is>
      </c>
    </row>
    <row r="18">
      <c r="A18" s="2" t="n">
        <v>18</v>
      </c>
      <c r="B18" s="2" t="inlineStr">
        <is>
          <t>LIHTC Units</t>
        </is>
      </c>
      <c r="C18" s="2" t="inlineStr">
        <is>
          <t>Income Distribution table: sum of income-restricted units</t>
        </is>
      </c>
      <c r="D18" s="2" t="inlineStr">
        <is>
          <t>1,16</t>
        </is>
      </c>
      <c r="E18" s="2" t="inlineStr">
        <is>
          <t>All units at 20%-60% AMI</t>
        </is>
      </c>
    </row>
    <row r="19">
      <c r="A19" s="2" t="n">
        <v>19</v>
      </c>
      <c r="B19" s="2" t="inlineStr">
        <is>
          <t>Market Units</t>
        </is>
      </c>
      <c r="C19" s="2" t="inlineStr">
        <is>
          <t>Income Distribution: 'MR' (Market Rate) units</t>
        </is>
      </c>
      <c r="D19" s="2" t="inlineStr">
        <is>
          <t>1,16</t>
        </is>
      </c>
      <c r="E19" s="2" t="inlineStr">
        <is>
          <t>EO/MR row count</t>
        </is>
      </c>
    </row>
    <row r="20">
      <c r="A20" s="2" t="n">
        <v>20</v>
      </c>
      <c r="B20" s="2" t="inlineStr">
        <is>
          <t>Total Units</t>
        </is>
      </c>
      <c r="C20" s="2" t="inlineStr">
        <is>
          <t>Unit Distribution: 'TOTAL' row</t>
        </is>
      </c>
      <c r="D20" s="2" t="inlineStr">
        <is>
          <t>1,16</t>
        </is>
      </c>
      <c r="E20" s="2" t="inlineStr">
        <is>
          <t>FORMULA: =LIHTC+Market</t>
        </is>
      </c>
    </row>
    <row r="21">
      <c r="A21" s="2" t="n">
        <v>21</v>
      </c>
      <c r="B21" s="2" t="inlineStr">
        <is>
          <t>Total Unit SF - NRA</t>
        </is>
      </c>
      <c r="C21" s="2" t="inlineStr">
        <is>
          <t>Building Configuration: 'Total NRA (SF)'</t>
        </is>
      </c>
      <c r="D21" s="2" t="inlineStr">
        <is>
          <t>7</t>
        </is>
      </c>
      <c r="E21" s="2" t="inlineStr">
        <is>
          <t>Net Rentable Area in SF</t>
        </is>
      </c>
    </row>
    <row r="22">
      <c r="A22" s="2" t="n">
        <v>22</v>
      </c>
      <c r="B22" s="2" t="inlineStr">
        <is>
          <t>Development Site Size (Acres)</t>
        </is>
      </c>
      <c r="C22" s="2" t="inlineStr">
        <is>
          <t>Site Control Info: 'Development Site'</t>
        </is>
      </c>
      <c r="D22" s="2" t="inlineStr">
        <is>
          <t>7</t>
        </is>
      </c>
      <c r="E22" s="2" t="inlineStr">
        <is>
          <t>Acreage</t>
        </is>
      </c>
    </row>
    <row r="23">
      <c r="A23" s="2" t="n">
        <v>23</v>
      </c>
      <c r="B23" s="2" t="inlineStr">
        <is>
          <t>Density (Units / Acre)</t>
        </is>
      </c>
      <c r="C23" s="2" t="inlineStr">
        <is>
          <t>Site Control Info: 'Density'</t>
        </is>
      </c>
      <c r="D23" s="2" t="inlineStr">
        <is>
          <t>1,7</t>
        </is>
      </c>
      <c r="E23" s="2" t="inlineStr">
        <is>
          <t>FORMULA: =Total Units / Acres</t>
        </is>
      </c>
    </row>
    <row r="24">
      <c r="A24" s="2" t="n">
        <v>24</v>
      </c>
      <c r="B24" s="2" t="inlineStr">
        <is>
          <t>Year Constructed (If Acq. Rehab)</t>
        </is>
      </c>
      <c r="C24" s="2" t="inlineStr">
        <is>
          <t>Activity line: '(Built in YYYY)'</t>
        </is>
      </c>
      <c r="D24" s="2" t="inlineStr">
        <is>
          <t>1,3,8</t>
        </is>
      </c>
      <c r="E24" s="2" t="inlineStr">
        <is>
          <t>Only for Acq/Rehab deals</t>
        </is>
      </c>
    </row>
    <row r="25">
      <c r="A25" s="2" t="n">
        <v>25</v>
      </c>
      <c r="B25" s="2" t="inlineStr">
        <is>
          <t>Scattered Site?</t>
        </is>
      </c>
      <c r="C25" s="2" t="inlineStr">
        <is>
          <t>Site Information: 'Scattered Site?'</t>
        </is>
      </c>
      <c r="D25" s="2" t="inlineStr">
        <is>
          <t>8</t>
        </is>
      </c>
      <c r="E25" s="2" t="inlineStr">
        <is>
          <t>Yes/No</t>
        </is>
      </c>
    </row>
    <row r="26">
      <c r="A26" s="2" t="n">
        <v>26</v>
      </c>
      <c r="B26" s="2" t="inlineStr">
        <is>
          <t>Construction Loan Principal</t>
        </is>
      </c>
      <c r="C26" s="2" t="inlineStr">
        <is>
          <t>Proposed Sources: Interim Principal total</t>
        </is>
      </c>
      <c r="D26" s="2" t="inlineStr">
        <is>
          <t>19</t>
        </is>
      </c>
      <c r="E26" s="2" t="inlineStr">
        <is>
          <t>Sum of all interim debt</t>
        </is>
      </c>
    </row>
    <row r="27">
      <c r="A27" s="2" t="n">
        <v>27</v>
      </c>
      <c r="B27" s="2" t="inlineStr">
        <is>
          <t>Construction Loan Interest Rate (Weighted)</t>
        </is>
      </c>
      <c r="C27" s="2" t="inlineStr">
        <is>
          <t>Proposed Sources: Interim Rate</t>
        </is>
      </c>
      <c r="D27" s="2" t="inlineStr">
        <is>
          <t>19</t>
        </is>
      </c>
      <c r="E27" s="2" t="inlineStr">
        <is>
          <t>Weighted avg if multiple</t>
        </is>
      </c>
    </row>
    <row r="28">
      <c r="A28" s="2" t="n">
        <v>28</v>
      </c>
      <c r="B28" s="2" t="inlineStr">
        <is>
          <t>Loan (1) Term</t>
        </is>
      </c>
      <c r="C28" s="2" t="inlineStr">
        <is>
          <t>Permanent Sources: Term column</t>
        </is>
      </c>
      <c r="D28" s="2" t="inlineStr">
        <is>
          <t>2,14,19</t>
        </is>
      </c>
      <c r="E28" s="2" t="inlineStr">
        <is>
          <t>Years for primary perm loan</t>
        </is>
      </c>
    </row>
    <row r="29">
      <c r="A29" s="2" t="n">
        <v>29</v>
      </c>
      <c r="B29" s="2" t="inlineStr">
        <is>
          <t>Loan (1) Amortization</t>
        </is>
      </c>
      <c r="C29" s="2" t="inlineStr">
        <is>
          <t>Permanent Sources: Amort column</t>
        </is>
      </c>
      <c r="D29" s="2" t="inlineStr">
        <is>
          <t>2,14,19</t>
        </is>
      </c>
      <c r="E29" s="2" t="inlineStr">
        <is>
          <t>Amort period in years</t>
        </is>
      </c>
    </row>
    <row r="30">
      <c r="A30" s="2" t="n">
        <v>30</v>
      </c>
      <c r="B30" s="2" t="inlineStr">
        <is>
          <t>Loan (1) Interest Rate</t>
        </is>
      </c>
      <c r="C30" s="2" t="inlineStr">
        <is>
          <t>Permanent Sources: Interest Rate</t>
        </is>
      </c>
      <c r="D30" s="2" t="inlineStr">
        <is>
          <t>2,14,19</t>
        </is>
      </c>
      <c r="E30" s="2" t="inlineStr">
        <is>
          <t>Decimal: 5.35% -&gt; 0.0535</t>
        </is>
      </c>
    </row>
    <row r="31">
      <c r="A31" s="2" t="n">
        <v>31</v>
      </c>
      <c r="B31" s="2" t="inlineStr">
        <is>
          <t>Loan (1) Principal</t>
        </is>
      </c>
      <c r="C31" s="2" t="inlineStr">
        <is>
          <t>Permanent Sources: Principal (perm)</t>
        </is>
      </c>
      <c r="D31" s="2" t="inlineStr">
        <is>
          <t>2,14,19</t>
        </is>
      </c>
      <c r="E31" s="2" t="inlineStr">
        <is>
          <t>Permanent loan amount</t>
        </is>
      </c>
    </row>
    <row r="32">
      <c r="A32" s="2" t="n">
        <v>32</v>
      </c>
      <c r="B32" s="2" t="inlineStr">
        <is>
          <t>Debt Coverage Ratio</t>
        </is>
      </c>
      <c r="C32" s="2" t="inlineStr">
        <is>
          <t>Pro Forma: 'Debt Coverage' or DCR column</t>
        </is>
      </c>
      <c r="D32" s="2" t="inlineStr">
        <is>
          <t>1,10,19</t>
        </is>
      </c>
      <c r="E32" s="2" t="inlineStr">
        <is>
          <t>Ratio: 1.24</t>
        </is>
      </c>
    </row>
    <row r="33">
      <c r="A33" s="2" t="n">
        <v>33</v>
      </c>
      <c r="B33" s="2" t="inlineStr">
        <is>
          <t>Loan (2) Term</t>
        </is>
      </c>
      <c r="C33" s="2" t="inlineStr">
        <is>
          <t>Permanent Sources: 2nd loan Term</t>
        </is>
      </c>
      <c r="D33" s="2" t="inlineStr">
        <is>
          <t>14,19</t>
        </is>
      </c>
      <c r="E33" s="2" t="inlineStr">
        <is>
          <t>If exists</t>
        </is>
      </c>
    </row>
    <row r="34">
      <c r="A34" s="2" t="n">
        <v>34</v>
      </c>
      <c r="B34" s="2" t="inlineStr">
        <is>
          <t>Loan (2) Amortization</t>
        </is>
      </c>
      <c r="C34" s="2" t="inlineStr">
        <is>
          <t>Permanent Sources: 2nd loan Amort</t>
        </is>
      </c>
      <c r="D34" s="2" t="inlineStr">
        <is>
          <t>14,19</t>
        </is>
      </c>
      <c r="E34" s="2" t="inlineStr">
        <is>
          <t>If exists</t>
        </is>
      </c>
    </row>
    <row r="35">
      <c r="A35" s="2" t="n">
        <v>35</v>
      </c>
      <c r="B35" s="2" t="inlineStr">
        <is>
          <t>Loan (2) Interest Rate</t>
        </is>
      </c>
      <c r="C35" s="2" t="inlineStr">
        <is>
          <t>Permanent Sources: 2nd loan Rate</t>
        </is>
      </c>
      <c r="D35" s="2" t="inlineStr">
        <is>
          <t>14,19</t>
        </is>
      </c>
      <c r="E35" s="2" t="inlineStr">
        <is>
          <t>If exists</t>
        </is>
      </c>
    </row>
    <row r="36">
      <c r="A36" s="2" t="n">
        <v>36</v>
      </c>
      <c r="B36" s="2" t="inlineStr">
        <is>
          <t>Loan (2) Principal</t>
        </is>
      </c>
      <c r="C36" s="2" t="inlineStr">
        <is>
          <t>Permanent Sources: 2nd loan Principal</t>
        </is>
      </c>
      <c r="D36" s="2" t="inlineStr">
        <is>
          <t>14,19</t>
        </is>
      </c>
      <c r="E36" s="2" t="inlineStr">
        <is>
          <t>If exists</t>
        </is>
      </c>
    </row>
    <row r="37">
      <c r="A37" s="2" t="n">
        <v>37</v>
      </c>
      <c r="B37" s="2" t="inlineStr">
        <is>
          <t>Total Debt</t>
        </is>
      </c>
      <c r="C37" s="2" t="inlineStr">
        <is>
          <t>Total Debt (Must Pay)</t>
        </is>
      </c>
      <c r="D37" s="2" t="inlineStr">
        <is>
          <t>2</t>
        </is>
      </c>
      <c r="E37" s="2" t="inlineStr">
        <is>
          <t>FORMULA</t>
        </is>
      </c>
    </row>
    <row r="38">
      <c r="A38" s="2" t="n">
        <v>38</v>
      </c>
      <c r="B38" s="2" t="inlineStr">
        <is>
          <t>Total Soft Sources</t>
        </is>
      </c>
      <c r="C38" s="2" t="inlineStr">
        <is>
          <t>Cash Flow Debt/Grants or other soft sources</t>
        </is>
      </c>
      <c r="D38" s="2" t="inlineStr">
        <is>
          <t>2,19</t>
        </is>
      </c>
      <c r="E38" s="2" t="inlineStr">
        <is>
          <t>Non-must-pay sources; 0 if none</t>
        </is>
      </c>
    </row>
    <row r="39">
      <c r="A39" s="2" t="n">
        <v>39</v>
      </c>
      <c r="B39" s="2" t="inlineStr">
        <is>
          <t>Source of Soft Funds</t>
        </is>
      </c>
      <c r="C39" s="2" t="inlineStr">
        <is>
          <t>Name of soft fund source</t>
        </is>
      </c>
      <c r="D39" s="2" t="inlineStr">
        <is>
          <t>2,19</t>
        </is>
      </c>
      <c r="E39" s="2" t="inlineStr">
        <is>
          <t>N/A if none</t>
        </is>
      </c>
    </row>
    <row r="40">
      <c r="A40" s="2" t="n">
        <v>40</v>
      </c>
      <c r="B40" s="2" t="inlineStr">
        <is>
          <t>Equity Price Per Credit</t>
        </is>
      </c>
      <c r="C40" s="2" t="inlineStr">
        <is>
          <t>Credit Price from Credit Calculation</t>
        </is>
      </c>
      <c r="D40" s="2" t="inlineStr">
        <is>
          <t>18</t>
        </is>
      </c>
      <c r="E40" s="2" t="inlineStr">
        <is>
          <t>Price per $1 of credit</t>
        </is>
      </c>
    </row>
    <row r="41">
      <c r="A41" s="2" t="n">
        <v>41</v>
      </c>
      <c r="B41" s="2" t="inlineStr">
        <is>
          <t>Total Equity</t>
        </is>
      </c>
      <c r="C41" s="2" t="inlineStr">
        <is>
          <t>Total Equity Sources or Equity Proceeds</t>
        </is>
      </c>
      <c r="D41" s="2" t="inlineStr">
        <is>
          <t>2,18</t>
        </is>
      </c>
      <c r="E41" s="2" t="inlineStr">
        <is>
          <t>HTC equity proceeds</t>
        </is>
      </c>
    </row>
    <row r="42">
      <c r="A42" s="2" t="n">
        <v>42</v>
      </c>
      <c r="B42" s="2" t="inlineStr">
        <is>
          <t>Income From Operations</t>
        </is>
      </c>
      <c r="C42" s="2" t="inlineStr">
        <is>
          <t>Cash Flow Debt: 'Income From Operations'</t>
        </is>
      </c>
      <c r="D42" s="2" t="inlineStr">
        <is>
          <t>2,19</t>
        </is>
      </c>
      <c r="E42" s="2" t="inlineStr">
        <is>
          <t>Operating income during construction</t>
        </is>
      </c>
    </row>
    <row r="43">
      <c r="A43" s="2" t="n">
        <v>43</v>
      </c>
      <c r="B43" s="2" t="inlineStr">
        <is>
          <t>Deferred Developer Fee</t>
        </is>
      </c>
      <c r="C43" s="2" t="inlineStr">
        <is>
          <t>Conclusions: 'Deferred Developer Fee'</t>
        </is>
      </c>
      <c r="D43" s="2" t="inlineStr">
        <is>
          <t>2,15,19</t>
        </is>
      </c>
      <c r="E43" s="2" t="inlineStr">
        <is>
          <t>Amount deferred</t>
        </is>
      </c>
    </row>
    <row r="44">
      <c r="A44" s="2" t="n">
        <v>53</v>
      </c>
      <c r="B44" s="2" t="inlineStr">
        <is>
          <t>Acquisition Cost</t>
        </is>
      </c>
      <c r="C44" s="2" t="inlineStr">
        <is>
          <t>Dev Cost: 'Acquisition' total</t>
        </is>
      </c>
      <c r="D44" s="2" t="inlineStr">
        <is>
          <t>10,18</t>
        </is>
      </c>
      <c r="E44" s="2" t="inlineStr">
        <is>
          <t>Land + building acquisition</t>
        </is>
      </c>
    </row>
    <row r="45">
      <c r="A45" s="2" t="n">
        <v>54</v>
      </c>
      <c r="B45" s="2" t="inlineStr">
        <is>
          <t>Off-Site + Site Work Cost</t>
        </is>
      </c>
      <c r="C45" s="2" t="inlineStr">
        <is>
          <t>Dev Cost: 'Off-site + Site Work'</t>
        </is>
      </c>
      <c r="D45" s="2" t="inlineStr">
        <is>
          <t>10,18</t>
        </is>
      </c>
      <c r="E45" s="2" t="inlineStr">
        <is>
          <t>Combined site costs</t>
        </is>
      </c>
    </row>
    <row r="46">
      <c r="A46" s="2" t="n">
        <v>55</v>
      </c>
      <c r="B46" s="2" t="inlineStr">
        <is>
          <t>Building Hard Costs</t>
        </is>
      </c>
      <c r="C46" s="2" t="inlineStr">
        <is>
          <t>Dev Cost: 'Building Cost'</t>
        </is>
      </c>
      <c r="D46" s="2" t="inlineStr">
        <is>
          <t>10,18</t>
        </is>
      </c>
      <c r="E46" s="2" t="inlineStr">
        <is>
          <t>Construction/rehab hard costs</t>
        </is>
      </c>
    </row>
    <row r="47">
      <c r="A47" s="2" t="n">
        <v>56</v>
      </c>
      <c r="B47" s="2" t="inlineStr">
        <is>
          <t>Hard Cost Contingency</t>
        </is>
      </c>
      <c r="C47" s="2" t="inlineStr">
        <is>
          <t>Dev Cost: 'Contingency'</t>
        </is>
      </c>
      <c r="D47" s="2" t="inlineStr">
        <is>
          <t>10,18</t>
        </is>
      </c>
      <c r="E47" s="2" t="inlineStr">
        <is>
          <t>Total contingency amount</t>
        </is>
      </c>
    </row>
    <row r="48">
      <c r="A48" s="2" t="n">
        <v>57</v>
      </c>
      <c r="B48" s="2" t="inlineStr">
        <is>
          <t>Contractor Fee</t>
        </is>
      </c>
      <c r="C48" s="2" t="inlineStr">
        <is>
          <t>Dev Cost: 'Contractor Fee'</t>
        </is>
      </c>
      <c r="D48" s="2" t="inlineStr">
        <is>
          <t>10,18</t>
        </is>
      </c>
      <c r="E48" s="2" t="inlineStr">
        <is>
          <t>GC fee</t>
        </is>
      </c>
    </row>
    <row r="49">
      <c r="A49" s="2" t="n">
        <v>58</v>
      </c>
      <c r="B49" s="2" t="inlineStr">
        <is>
          <t>Soft Costs</t>
        </is>
      </c>
      <c r="C49" s="2" t="inlineStr">
        <is>
          <t>Dev Cost: 'Soft Costs'</t>
        </is>
      </c>
      <c r="D49" s="2" t="inlineStr">
        <is>
          <t>18</t>
        </is>
      </c>
      <c r="E49" s="2" t="inlineStr">
        <is>
          <t>Professional fees, permits, etc</t>
        </is>
      </c>
    </row>
    <row r="50">
      <c r="A50" s="2" t="n">
        <v>59</v>
      </c>
      <c r="B50" s="2" t="inlineStr">
        <is>
          <t>Financing Costs</t>
        </is>
      </c>
      <c r="C50" s="2" t="inlineStr">
        <is>
          <t>Dev Cost: 'Financing'</t>
        </is>
      </c>
      <c r="D50" s="2" t="inlineStr">
        <is>
          <t>18</t>
        </is>
      </c>
      <c r="E50" s="2" t="inlineStr">
        <is>
          <t>Loan origination, interest, etc</t>
        </is>
      </c>
    </row>
    <row r="51">
      <c r="A51" s="2" t="n">
        <v>60</v>
      </c>
      <c r="B51" s="2" t="inlineStr">
        <is>
          <t>Developer Fee</t>
        </is>
      </c>
      <c r="C51" s="2" t="inlineStr">
        <is>
          <t>Dev Cost: 'Developer Fee'</t>
        </is>
      </c>
      <c r="D51" s="2" t="inlineStr">
        <is>
          <t>10,18</t>
        </is>
      </c>
      <c r="E51" s="2" t="inlineStr">
        <is>
          <t>Total developer fee</t>
        </is>
      </c>
    </row>
    <row r="52">
      <c r="A52" s="2" t="n">
        <v>61</v>
      </c>
      <c r="B52" s="2" t="inlineStr">
        <is>
          <t>Reserves</t>
        </is>
      </c>
      <c r="C52" s="2" t="inlineStr">
        <is>
          <t>Dev Cost: 'Reserves'</t>
        </is>
      </c>
      <c r="D52" s="2" t="inlineStr">
        <is>
          <t>10,18</t>
        </is>
      </c>
      <c r="E52" s="2" t="inlineStr">
        <is>
          <t>Operating + replacement reserves</t>
        </is>
      </c>
    </row>
    <row r="53">
      <c r="A53" s="2" t="n">
        <v>62</v>
      </c>
      <c r="B53" s="2" t="inlineStr">
        <is>
          <t>Total Development Cost</t>
        </is>
      </c>
      <c r="C53" s="2" t="inlineStr">
        <is>
          <t>Dev Cost: 'Total Development Cost'</t>
        </is>
      </c>
      <c r="D53" s="2" t="inlineStr">
        <is>
          <t>10,18</t>
        </is>
      </c>
      <c r="E53" s="2" t="inlineStr">
        <is>
          <t>FORMULA: sum of costs</t>
        </is>
      </c>
    </row>
    <row r="54">
      <c r="A54" s="2" t="n">
        <v>83</v>
      </c>
      <c r="B54" s="2" t="inlineStr">
        <is>
          <t>Potential Gross Rent</t>
        </is>
      </c>
      <c r="C54" s="2" t="inlineStr">
        <is>
          <t>Pro Forma: 'Potential Gross Rent'</t>
        </is>
      </c>
      <c r="D54" s="2" t="inlineStr">
        <is>
          <t>17</t>
        </is>
      </c>
      <c r="E54" s="2" t="inlineStr">
        <is>
          <t>Annual gross rent</t>
        </is>
      </c>
    </row>
    <row r="55">
      <c r="A55" s="2" t="n">
        <v>84</v>
      </c>
      <c r="B55" s="2" t="inlineStr">
        <is>
          <t>Other Income</t>
        </is>
      </c>
      <c r="C55" s="2" t="inlineStr">
        <is>
          <t>Pro Forma: Parking + Storage + Fees &amp; Misc</t>
        </is>
      </c>
      <c r="D55" s="2" t="inlineStr">
        <is>
          <t>17</t>
        </is>
      </c>
      <c r="E55" s="2" t="inlineStr">
        <is>
          <t>Sum of secondary income lines</t>
        </is>
      </c>
    </row>
    <row r="56">
      <c r="A56" s="2" t="n">
        <v>85</v>
      </c>
      <c r="B56" s="2" t="inlineStr">
        <is>
          <t>Vacancy + Concessions</t>
        </is>
      </c>
      <c r="C56" s="2" t="inlineStr">
        <is>
          <t>Pro Forma: 'Vacancy &amp; Collection Loss'</t>
        </is>
      </c>
      <c r="D56" s="2" t="inlineStr">
        <is>
          <t>17</t>
        </is>
      </c>
      <c r="E56" s="2" t="inlineStr">
        <is>
          <t>Negative number</t>
        </is>
      </c>
    </row>
    <row r="57">
      <c r="A57" s="2" t="n">
        <v>86</v>
      </c>
      <c r="B57" s="2" t="inlineStr">
        <is>
          <t>Effective Gross Income (EGI)</t>
        </is>
      </c>
      <c r="C57" s="2" t="inlineStr">
        <is>
          <t>Pro Forma: 'Effective Gross Income'</t>
        </is>
      </c>
      <c r="D57" s="2" t="inlineStr">
        <is>
          <t>17</t>
        </is>
      </c>
      <c r="E57" s="2" t="inlineStr">
        <is>
          <t>FORMULA</t>
        </is>
      </c>
    </row>
    <row r="58">
      <c r="A58" s="2" t="n">
        <v>87</v>
      </c>
      <c r="B58" s="2" t="inlineStr">
        <is>
          <t>G&amp;A + Compliance Fees</t>
        </is>
      </c>
      <c r="C58" s="2" t="inlineStr">
        <is>
          <t>Pro Forma: G&amp;A + Compliance + Bond Trustee + UA Consultant + Fees/Tel/Internet</t>
        </is>
      </c>
      <c r="D58" s="2" t="inlineStr">
        <is>
          <t>17</t>
        </is>
      </c>
      <c r="E58" s="2" t="inlineStr">
        <is>
          <t>Sum of admin-type expenses</t>
        </is>
      </c>
    </row>
    <row r="59">
      <c r="A59" s="2" t="n">
        <v>88</v>
      </c>
      <c r="B59" s="2" t="inlineStr">
        <is>
          <t>Management Fee</t>
        </is>
      </c>
      <c r="C59" s="2" t="inlineStr">
        <is>
          <t>Pro Forma: 'Management'</t>
        </is>
      </c>
      <c r="D59" s="2" t="inlineStr">
        <is>
          <t>17</t>
        </is>
      </c>
      <c r="E59" s="2" t="inlineStr">
        <is>
          <t>Annual management fee</t>
        </is>
      </c>
    </row>
    <row r="60">
      <c r="A60" s="2" t="n">
        <v>89</v>
      </c>
      <c r="B60" s="2" t="inlineStr">
        <is>
          <t>Payroll</t>
        </is>
      </c>
      <c r="C60" s="2" t="inlineStr">
        <is>
          <t>Pro Forma: 'Payroll &amp; Payroll Tax'</t>
        </is>
      </c>
      <c r="D60" s="2" t="inlineStr">
        <is>
          <t>17</t>
        </is>
      </c>
      <c r="E60" s="2" t="inlineStr">
        <is>
          <t>Annual payroll</t>
        </is>
      </c>
    </row>
    <row r="61">
      <c r="A61" s="2" t="n">
        <v>90</v>
      </c>
      <c r="B61" s="2" t="inlineStr">
        <is>
          <t>Repairs &amp; Maintenance</t>
        </is>
      </c>
      <c r="C61" s="2" t="inlineStr">
        <is>
          <t>Pro Forma: 'Repairs &amp; Maintenance'</t>
        </is>
      </c>
      <c r="D61" s="2" t="inlineStr">
        <is>
          <t>17</t>
        </is>
      </c>
      <c r="E61" s="2" t="inlineStr">
        <is>
          <t>Annual R&amp;M</t>
        </is>
      </c>
    </row>
    <row r="62">
      <c r="A62" s="2" t="n">
        <v>91</v>
      </c>
      <c r="B62" s="2" t="inlineStr">
        <is>
          <t>Utilities</t>
        </is>
      </c>
      <c r="C62" s="2" t="inlineStr">
        <is>
          <t>Pro Forma: Electric/Gas + Water/Sewer/Trash</t>
        </is>
      </c>
      <c r="D62" s="2" t="inlineStr">
        <is>
          <t>17</t>
        </is>
      </c>
      <c r="E62" s="2" t="inlineStr">
        <is>
          <t>Sum of utility lines</t>
        </is>
      </c>
    </row>
    <row r="63">
      <c r="A63" s="2" t="n">
        <v>92</v>
      </c>
      <c r="B63" s="2" t="inlineStr">
        <is>
          <t>Insurance</t>
        </is>
      </c>
      <c r="C63" s="2" t="inlineStr">
        <is>
          <t>Pro Forma: 'Property Insurance'</t>
        </is>
      </c>
      <c r="D63" s="2" t="inlineStr">
        <is>
          <t>17</t>
        </is>
      </c>
      <c r="E63" s="2" t="inlineStr">
        <is>
          <t>Annual insurance premium</t>
        </is>
      </c>
    </row>
    <row r="64">
      <c r="A64" s="2" t="n">
        <v>93</v>
      </c>
      <c r="B64" s="2" t="inlineStr">
        <is>
          <t>Property Taxes</t>
        </is>
      </c>
      <c r="C64" s="2" t="inlineStr">
        <is>
          <t>Pro Forma: 'Property Tax'</t>
        </is>
      </c>
      <c r="D64" s="2" t="inlineStr">
        <is>
          <t>17</t>
        </is>
      </c>
      <c r="E64" s="2" t="inlineStr">
        <is>
          <t>Annual property tax (0 if exempt)</t>
        </is>
      </c>
    </row>
    <row r="65">
      <c r="A65" s="2" t="n">
        <v>95</v>
      </c>
      <c r="B65" s="2" t="inlineStr">
        <is>
          <t>Replacement Reserve Deposits</t>
        </is>
      </c>
      <c r="C65" s="2" t="inlineStr">
        <is>
          <t>Pro Forma: 'Reserve for Replacements'</t>
        </is>
      </c>
      <c r="D65" s="2" t="inlineStr">
        <is>
          <t>17</t>
        </is>
      </c>
      <c r="E65" s="2" t="inlineStr">
        <is>
          <t>Annual reserve deposit</t>
        </is>
      </c>
    </row>
    <row r="66">
      <c r="A66" s="2" t="n">
        <v>98</v>
      </c>
      <c r="B66" s="2" t="inlineStr">
        <is>
          <t>Hard Debt Service</t>
        </is>
      </c>
      <c r="C66" s="2" t="inlineStr">
        <is>
          <t>Pro Forma/Long-Term: 'Total Debt Service' Yr1</t>
        </is>
      </c>
      <c r="D66" s="2" t="inlineStr">
        <is>
          <t>17,20</t>
        </is>
      </c>
      <c r="E66" s="2" t="inlineStr">
        <is>
          <t>Annual must-pay debt 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14" customWidth="1" min="5" max="5"/>
  </cols>
  <sheetData>
    <row r="1">
      <c r="A1" s="3" t="inlineStr">
        <is>
          <t>Column #</t>
        </is>
      </c>
      <c r="B1" s="3" t="inlineStr">
        <is>
          <t>Field Name</t>
        </is>
      </c>
      <c r="C1" s="3" t="inlineStr">
        <is>
          <t>Agent Extracted Value</t>
        </is>
      </c>
      <c r="D1" s="3" t="inlineStr">
        <is>
          <t>Office Entered Value</t>
        </is>
      </c>
      <c r="E1" s="3" t="inlineStr">
        <is>
          <t>Match?</t>
        </is>
      </c>
    </row>
    <row r="2">
      <c r="A2" s="4" t="n">
        <v>2</v>
      </c>
      <c r="B2" s="4" t="inlineStr">
        <is>
          <t>Date of UW Report</t>
        </is>
      </c>
      <c r="C2" s="4" t="inlineStr">
        <is>
          <t>2026-05-04</t>
        </is>
      </c>
      <c r="D2" s="4" t="inlineStr">
        <is>
          <t>2026-05-04</t>
        </is>
      </c>
      <c r="E2" s="5" t="inlineStr">
        <is>
          <t>MATCH</t>
        </is>
      </c>
    </row>
    <row r="3">
      <c r="A3" s="4" t="n">
        <v>3</v>
      </c>
      <c r="B3" s="4" t="inlineStr">
        <is>
          <t>Application Number</t>
        </is>
      </c>
      <c r="C3" s="4" t="n">
        <v>26416</v>
      </c>
      <c r="D3" s="4" t="n">
        <v>26416</v>
      </c>
      <c r="E3" s="5" t="inlineStr">
        <is>
          <t>MATCH</t>
        </is>
      </c>
    </row>
    <row r="4">
      <c r="A4" s="4" t="n">
        <v>4</v>
      </c>
      <c r="B4" s="4" t="inlineStr">
        <is>
          <t>Development Name</t>
        </is>
      </c>
      <c r="C4" s="4" t="inlineStr">
        <is>
          <t>Mariposa at Reed Road</t>
        </is>
      </c>
      <c r="D4" s="4" t="inlineStr">
        <is>
          <t>Mariposa at Reed Road</t>
        </is>
      </c>
      <c r="E4" s="5" t="inlineStr">
        <is>
          <t>MATCH</t>
        </is>
      </c>
    </row>
    <row r="5">
      <c r="A5" s="4" t="n">
        <v>5</v>
      </c>
      <c r="B5" s="4" t="inlineStr">
        <is>
          <t>Developer</t>
        </is>
      </c>
      <c r="C5" s="4" t="inlineStr">
        <is>
          <t>Stuart Shaw Family Management</t>
        </is>
      </c>
      <c r="D5" s="4" t="inlineStr">
        <is>
          <t>Stuart Shaw Family Management</t>
        </is>
      </c>
      <c r="E5" s="5" t="inlineStr">
        <is>
          <t>MATCH</t>
        </is>
      </c>
    </row>
    <row r="6">
      <c r="A6" s="4" t="n">
        <v>6</v>
      </c>
      <c r="B6" s="4" t="inlineStr">
        <is>
          <t>Guarantor</t>
        </is>
      </c>
      <c r="C6" s="4" t="inlineStr">
        <is>
          <t>Stuart Shaw &amp; Casey Bump</t>
        </is>
      </c>
      <c r="D6" s="4" t="inlineStr">
        <is>
          <t>Stuart Shaw &amp; Casey Bump</t>
        </is>
      </c>
      <c r="E6" s="5" t="inlineStr">
        <is>
          <t>MATCH</t>
        </is>
      </c>
    </row>
    <row r="7">
      <c r="A7" s="4" t="n">
        <v>7</v>
      </c>
      <c r="B7" s="4" t="inlineStr">
        <is>
          <t>General Contractor</t>
        </is>
      </c>
      <c r="C7" s="4" t="inlineStr">
        <is>
          <t>Yes</t>
        </is>
      </c>
      <c r="D7" s="4" t="inlineStr">
        <is>
          <t>Yes</t>
        </is>
      </c>
      <c r="E7" s="5" t="inlineStr">
        <is>
          <t>MATCH</t>
        </is>
      </c>
    </row>
    <row r="8">
      <c r="A8" s="4" t="n">
        <v>8</v>
      </c>
      <c r="B8" s="4" t="inlineStr">
        <is>
          <t>Lender / Loan Type</t>
        </is>
      </c>
      <c r="C8" s="4" t="inlineStr">
        <is>
          <t>Stellar Bank</t>
        </is>
      </c>
      <c r="D8" s="4" t="inlineStr">
        <is>
          <t>Stellar Bank</t>
        </is>
      </c>
      <c r="E8" s="5" t="inlineStr">
        <is>
          <t>MATCH</t>
        </is>
      </c>
    </row>
    <row r="9">
      <c r="A9" s="4" t="n">
        <v>9</v>
      </c>
      <c r="B9" s="4" t="inlineStr">
        <is>
          <t>Equity Partner</t>
        </is>
      </c>
      <c r="C9" s="4" t="inlineStr">
        <is>
          <t>RBC Capital Markets Corporation</t>
        </is>
      </c>
      <c r="D9" s="4" t="inlineStr">
        <is>
          <t>RBC Capital Markets</t>
        </is>
      </c>
      <c r="E9" s="6" t="inlineStr">
        <is>
          <t>MISMATCH</t>
        </is>
      </c>
    </row>
    <row r="10">
      <c r="A10" s="4" t="n">
        <v>10</v>
      </c>
      <c r="B10" s="4" t="inlineStr">
        <is>
          <t>City</t>
        </is>
      </c>
      <c r="C10" s="4" t="inlineStr">
        <is>
          <t>Houston</t>
        </is>
      </c>
      <c r="D10" s="4" t="inlineStr">
        <is>
          <t>Houston</t>
        </is>
      </c>
      <c r="E10" s="5" t="inlineStr">
        <is>
          <t>MATCH</t>
        </is>
      </c>
    </row>
    <row r="11">
      <c r="A11" s="4" t="n">
        <v>11</v>
      </c>
      <c r="B11" s="4" t="inlineStr">
        <is>
          <t>County</t>
        </is>
      </c>
      <c r="C11" s="4" t="inlineStr">
        <is>
          <t>Harris</t>
        </is>
      </c>
      <c r="D11" s="4" t="inlineStr">
        <is>
          <t>Harris</t>
        </is>
      </c>
      <c r="E11" s="5" t="inlineStr">
        <is>
          <t>MATCH</t>
        </is>
      </c>
    </row>
    <row r="12">
      <c r="A12" s="4" t="n">
        <v>12</v>
      </c>
      <c r="B12" s="4" t="inlineStr">
        <is>
          <t>Region</t>
        </is>
      </c>
      <c r="C12" s="4" t="n">
        <v>6</v>
      </c>
      <c r="D12" s="4" t="n">
        <v>6</v>
      </c>
      <c r="E12" s="5" t="inlineStr">
        <is>
          <t>MATCH</t>
        </is>
      </c>
    </row>
    <row r="13">
      <c r="A13" s="4" t="n">
        <v>13</v>
      </c>
      <c r="B13" s="4" t="inlineStr">
        <is>
          <t>Area</t>
        </is>
      </c>
      <c r="C13" s="4" t="inlineStr">
        <is>
          <t>Urban</t>
        </is>
      </c>
      <c r="D13" s="4" t="inlineStr">
        <is>
          <t>Urban</t>
        </is>
      </c>
      <c r="E13" s="5" t="inlineStr">
        <is>
          <t>MATCH</t>
        </is>
      </c>
    </row>
    <row r="14">
      <c r="A14" s="4" t="n">
        <v>14</v>
      </c>
      <c r="B14" s="4" t="inlineStr">
        <is>
          <t>Population</t>
        </is>
      </c>
      <c r="C14" s="4" t="inlineStr">
        <is>
          <t>General</t>
        </is>
      </c>
      <c r="D14" s="4" t="inlineStr">
        <is>
          <t>General</t>
        </is>
      </c>
      <c r="E14" s="5" t="inlineStr">
        <is>
          <t>MATCH</t>
        </is>
      </c>
    </row>
    <row r="15">
      <c r="A15" s="4" t="n">
        <v>15</v>
      </c>
      <c r="B15" s="4" t="inlineStr">
        <is>
          <t>Set-Aside</t>
        </is>
      </c>
      <c r="C15" s="4" t="inlineStr">
        <is>
          <t>General</t>
        </is>
      </c>
      <c r="D15" s="4" t="inlineStr">
        <is>
          <t>General</t>
        </is>
      </c>
      <c r="E15" s="5" t="inlineStr">
        <is>
          <t>MATCH</t>
        </is>
      </c>
    </row>
    <row r="16">
      <c r="A16" s="4" t="n">
        <v>16</v>
      </c>
      <c r="B16" s="4" t="inlineStr">
        <is>
          <t>Activity</t>
        </is>
      </c>
      <c r="C16" s="4" t="inlineStr">
        <is>
          <t>Acquisition/Rehab</t>
        </is>
      </c>
      <c r="D16" s="4" t="inlineStr">
        <is>
          <t>Acquisition/ Rehab</t>
        </is>
      </c>
      <c r="E16" s="6" t="inlineStr">
        <is>
          <t>MISMATCH</t>
        </is>
      </c>
    </row>
    <row r="17">
      <c r="A17" s="4" t="n">
        <v>17</v>
      </c>
      <c r="B17" s="4" t="inlineStr">
        <is>
          <t>9% or 4%?</t>
        </is>
      </c>
      <c r="C17" s="4" t="n">
        <v>0.04</v>
      </c>
      <c r="D17" s="4" t="n">
        <v>0.04</v>
      </c>
      <c r="E17" s="5" t="inlineStr">
        <is>
          <t>MATCH</t>
        </is>
      </c>
    </row>
    <row r="18">
      <c r="A18" s="4" t="n">
        <v>18</v>
      </c>
      <c r="B18" s="4" t="inlineStr">
        <is>
          <t>LIHTC Units</t>
        </is>
      </c>
      <c r="C18" s="4" t="n">
        <v>172</v>
      </c>
      <c r="D18" s="4" t="n">
        <v>172</v>
      </c>
      <c r="E18" s="5" t="inlineStr">
        <is>
          <t>MATCH</t>
        </is>
      </c>
    </row>
    <row r="19">
      <c r="A19" s="4" t="n">
        <v>19</v>
      </c>
      <c r="B19" s="4" t="inlineStr">
        <is>
          <t>Market Units</t>
        </is>
      </c>
      <c r="C19" s="4" t="n">
        <v>8</v>
      </c>
      <c r="D19" s="4" t="n">
        <v>8</v>
      </c>
      <c r="E19" s="5" t="inlineStr">
        <is>
          <t>MATCH</t>
        </is>
      </c>
    </row>
    <row r="20">
      <c r="A20" s="4" t="n">
        <v>20</v>
      </c>
      <c r="B20" s="4" t="inlineStr">
        <is>
          <t>Total Units</t>
        </is>
      </c>
      <c r="C20" s="4" t="n">
        <v>180</v>
      </c>
      <c r="D20" s="4" t="inlineStr">
        <is>
          <t>FORMULA</t>
        </is>
      </c>
      <c r="E20" s="6" t="inlineStr">
        <is>
          <t>MISMATCH</t>
        </is>
      </c>
    </row>
    <row r="21">
      <c r="A21" s="4" t="n">
        <v>21</v>
      </c>
      <c r="B21" s="4" t="inlineStr">
        <is>
          <t>Total Unit SF - NRA</t>
        </is>
      </c>
      <c r="C21" s="4" t="n">
        <v>162497</v>
      </c>
      <c r="D21" s="4" t="n">
        <v>162497</v>
      </c>
      <c r="E21" s="5" t="inlineStr">
        <is>
          <t>MATCH</t>
        </is>
      </c>
    </row>
    <row r="22">
      <c r="A22" s="4" t="n">
        <v>22</v>
      </c>
      <c r="B22" s="4" t="inlineStr">
        <is>
          <t>Dev Site Size (Acres)</t>
        </is>
      </c>
      <c r="C22" s="4" t="n">
        <v>12.59</v>
      </c>
      <c r="D22" s="4" t="n">
        <v>12.59</v>
      </c>
      <c r="E22" s="5" t="inlineStr">
        <is>
          <t>MATCH</t>
        </is>
      </c>
    </row>
    <row r="23">
      <c r="A23" s="4" t="n">
        <v>24</v>
      </c>
      <c r="B23" s="4" t="inlineStr">
        <is>
          <t>Year Constructed</t>
        </is>
      </c>
      <c r="C23" s="4" t="n">
        <v>2008</v>
      </c>
      <c r="D23" s="4" t="n">
        <v>2008</v>
      </c>
      <c r="E23" s="5" t="inlineStr">
        <is>
          <t>MATCH</t>
        </is>
      </c>
    </row>
    <row r="24">
      <c r="A24" s="4" t="n">
        <v>25</v>
      </c>
      <c r="B24" s="4" t="inlineStr">
        <is>
          <t>Scattered Site?</t>
        </is>
      </c>
      <c r="C24" s="4" t="inlineStr">
        <is>
          <t>No</t>
        </is>
      </c>
      <c r="D24" s="4" t="inlineStr">
        <is>
          <t>No</t>
        </is>
      </c>
      <c r="E24" s="5" t="inlineStr">
        <is>
          <t>MATCH</t>
        </is>
      </c>
    </row>
    <row r="25">
      <c r="A25" s="4" t="n">
        <v>26</v>
      </c>
      <c r="B25" s="4" t="inlineStr">
        <is>
          <t>Construction Loan Principal</t>
        </is>
      </c>
      <c r="C25" s="4" t="n">
        <v>20000000</v>
      </c>
      <c r="D25" s="4" t="n">
        <v>20000000</v>
      </c>
      <c r="E25" s="5" t="inlineStr">
        <is>
          <t>MATCH</t>
        </is>
      </c>
    </row>
    <row r="26">
      <c r="A26" s="4" t="n">
        <v>27</v>
      </c>
      <c r="B26" s="4" t="inlineStr">
        <is>
          <t>Construction Loan Rate</t>
        </is>
      </c>
      <c r="C26" s="4" t="n">
        <v>0.0535</v>
      </c>
      <c r="D26" s="4" t="n">
        <v>0.0535</v>
      </c>
      <c r="E26" s="5" t="inlineStr">
        <is>
          <t>MATCH</t>
        </is>
      </c>
    </row>
    <row r="27">
      <c r="A27" s="4" t="n">
        <v>28</v>
      </c>
      <c r="B27" s="4" t="inlineStr">
        <is>
          <t>Loan (1) Term</t>
        </is>
      </c>
      <c r="C27" s="4" t="n">
        <v>18</v>
      </c>
      <c r="D27" s="4" t="n">
        <v>18</v>
      </c>
      <c r="E27" s="5" t="inlineStr">
        <is>
          <t>MATCH</t>
        </is>
      </c>
    </row>
    <row r="28">
      <c r="A28" s="4" t="n">
        <v>29</v>
      </c>
      <c r="B28" s="4" t="inlineStr">
        <is>
          <t>Loan (1) Amortization</t>
        </is>
      </c>
      <c r="C28" s="4" t="n">
        <v>40</v>
      </c>
      <c r="D28" s="4" t="n">
        <v>40</v>
      </c>
      <c r="E28" s="5" t="inlineStr">
        <is>
          <t>MATCH</t>
        </is>
      </c>
    </row>
    <row r="29">
      <c r="A29" s="4" t="n">
        <v>30</v>
      </c>
      <c r="B29" s="4" t="inlineStr">
        <is>
          <t>Loan (1) Interest Rate</t>
        </is>
      </c>
      <c r="C29" s="4" t="n">
        <v>0.0535</v>
      </c>
      <c r="D29" s="4" t="n">
        <v>0.0535</v>
      </c>
      <c r="E29" s="5" t="inlineStr">
        <is>
          <t>MATCH</t>
        </is>
      </c>
    </row>
    <row r="30">
      <c r="A30" s="4" t="n">
        <v>31</v>
      </c>
      <c r="B30" s="4" t="inlineStr">
        <is>
          <t>Loan (1) Principal</t>
        </is>
      </c>
      <c r="C30" s="4" t="n">
        <v>14740000</v>
      </c>
      <c r="D30" s="4" t="n">
        <v>14740000</v>
      </c>
      <c r="E30" s="5" t="inlineStr">
        <is>
          <t>MATCH</t>
        </is>
      </c>
    </row>
    <row r="31">
      <c r="A31" s="4" t="n">
        <v>32</v>
      </c>
      <c r="B31" s="4" t="inlineStr">
        <is>
          <t>Debt Coverage Ratio</t>
        </is>
      </c>
      <c r="C31" s="4" t="n">
        <v>1.24</v>
      </c>
      <c r="D31" s="4" t="n">
        <v>1.24</v>
      </c>
      <c r="E31" s="5" t="inlineStr">
        <is>
          <t>MATCH</t>
        </is>
      </c>
    </row>
    <row r="32">
      <c r="A32" s="4" t="n">
        <v>38</v>
      </c>
      <c r="B32" s="4" t="inlineStr">
        <is>
          <t>Total Soft Sources</t>
        </is>
      </c>
      <c r="C32" s="4" t="n">
        <v>0</v>
      </c>
      <c r="D32" s="4" t="n">
        <v>0</v>
      </c>
      <c r="E32" s="5" t="inlineStr">
        <is>
          <t>MATCH</t>
        </is>
      </c>
    </row>
    <row r="33">
      <c r="A33" s="4" t="n">
        <v>39</v>
      </c>
      <c r="B33" s="4" t="inlineStr">
        <is>
          <t>Source of Soft Funds</t>
        </is>
      </c>
      <c r="C33" s="4" t="inlineStr">
        <is>
          <t>N/A</t>
        </is>
      </c>
      <c r="D33" s="4" t="inlineStr">
        <is>
          <t>N/A</t>
        </is>
      </c>
      <c r="E33" s="5" t="inlineStr">
        <is>
          <t>MATCH</t>
        </is>
      </c>
    </row>
    <row r="34">
      <c r="A34" s="4" t="n">
        <v>40</v>
      </c>
      <c r="B34" s="4" t="inlineStr">
        <is>
          <t>Equity Price Per Credit</t>
        </is>
      </c>
      <c r="C34" s="4" t="n">
        <v>0.82</v>
      </c>
      <c r="D34" s="4" t="n">
        <v>0.82</v>
      </c>
      <c r="E34" s="5" t="inlineStr">
        <is>
          <t>MATCH</t>
        </is>
      </c>
    </row>
    <row r="35">
      <c r="A35" s="4" t="n">
        <v>41</v>
      </c>
      <c r="B35" s="4" t="inlineStr">
        <is>
          <t>Total Equity</t>
        </is>
      </c>
      <c r="C35" s="4" t="n">
        <v>12602112</v>
      </c>
      <c r="D35" s="4" t="n">
        <v>12602112</v>
      </c>
      <c r="E35" s="5" t="inlineStr">
        <is>
          <t>MATCH</t>
        </is>
      </c>
    </row>
    <row r="36">
      <c r="A36" s="4" t="n">
        <v>42</v>
      </c>
      <c r="B36" s="4" t="inlineStr">
        <is>
          <t>Income From Operations</t>
        </is>
      </c>
      <c r="C36" s="4" t="n">
        <v>1330213</v>
      </c>
      <c r="D36" s="4" t="n">
        <v>1330213</v>
      </c>
      <c r="E36" s="5" t="inlineStr">
        <is>
          <t>MATCH</t>
        </is>
      </c>
    </row>
    <row r="37">
      <c r="A37" s="4" t="n">
        <v>43</v>
      </c>
      <c r="B37" s="4" t="inlineStr">
        <is>
          <t>Deferred Developer Fee</t>
        </is>
      </c>
      <c r="C37" s="4" t="n">
        <v>2355695</v>
      </c>
      <c r="D37" s="4" t="n">
        <v>2335695</v>
      </c>
      <c r="E37" s="6" t="inlineStr">
        <is>
          <t>MISMATCH</t>
        </is>
      </c>
    </row>
    <row r="38">
      <c r="A38" s="4" t="n">
        <v>53</v>
      </c>
      <c r="B38" s="4" t="inlineStr">
        <is>
          <t>Acquisition Cost</t>
        </is>
      </c>
      <c r="C38" s="4" t="n">
        <v>19300000</v>
      </c>
      <c r="D38" s="4" t="n">
        <v>19300000</v>
      </c>
      <c r="E38" s="5" t="inlineStr">
        <is>
          <t>MATCH</t>
        </is>
      </c>
    </row>
    <row r="39">
      <c r="A39" s="4" t="n">
        <v>54</v>
      </c>
      <c r="B39" s="4" t="inlineStr">
        <is>
          <t>Off-Site + Site Work</t>
        </is>
      </c>
      <c r="C39" s="4" t="n">
        <v>588393</v>
      </c>
      <c r="D39" s="4" t="n">
        <v>588393</v>
      </c>
      <c r="E39" s="5" t="inlineStr">
        <is>
          <t>MATCH</t>
        </is>
      </c>
    </row>
    <row r="40">
      <c r="A40" s="4" t="n">
        <v>55</v>
      </c>
      <c r="B40" s="4" t="inlineStr">
        <is>
          <t>Building Hard Costs</t>
        </is>
      </c>
      <c r="C40" s="4" t="n">
        <v>8735857</v>
      </c>
      <c r="D40" s="4" t="n">
        <v>8735857</v>
      </c>
      <c r="E40" s="5" t="inlineStr">
        <is>
          <t>MATCH</t>
        </is>
      </c>
    </row>
    <row r="41">
      <c r="A41" s="4" t="n">
        <v>56</v>
      </c>
      <c r="B41" s="4" t="inlineStr">
        <is>
          <t>Hard Cost Contingency</t>
        </is>
      </c>
      <c r="C41" s="4" t="n">
        <v>932425</v>
      </c>
      <c r="D41" s="4" t="n">
        <v>932425</v>
      </c>
      <c r="E41" s="5" t="inlineStr">
        <is>
          <t>MATCH</t>
        </is>
      </c>
    </row>
    <row r="42">
      <c r="A42" s="4" t="n">
        <v>57</v>
      </c>
      <c r="B42" s="4" t="inlineStr">
        <is>
          <t>Contractor Fee</t>
        </is>
      </c>
      <c r="C42" s="4" t="n">
        <v>1435935</v>
      </c>
      <c r="D42" s="4" t="n">
        <v>1435935</v>
      </c>
      <c r="E42" s="5" t="inlineStr">
        <is>
          <t>MATCH</t>
        </is>
      </c>
    </row>
    <row r="43">
      <c r="A43" s="4" t="n">
        <v>58</v>
      </c>
      <c r="B43" s="4" t="inlineStr">
        <is>
          <t>Soft Costs</t>
        </is>
      </c>
      <c r="C43" s="4" t="n">
        <v>1440000</v>
      </c>
      <c r="D43" s="4" t="n">
        <v>1440000</v>
      </c>
      <c r="E43" s="5" t="inlineStr">
        <is>
          <t>MATCH</t>
        </is>
      </c>
    </row>
    <row r="44">
      <c r="A44" s="4" t="n">
        <v>59</v>
      </c>
      <c r="B44" s="4" t="inlineStr">
        <is>
          <t>Financing Costs</t>
        </is>
      </c>
      <c r="C44" s="4" t="n">
        <v>2821436</v>
      </c>
      <c r="D44" s="4" t="n">
        <v>2821436</v>
      </c>
      <c r="E44" s="5" t="inlineStr">
        <is>
          <t>MATCH</t>
        </is>
      </c>
    </row>
    <row r="45">
      <c r="A45" s="4" t="n">
        <v>60</v>
      </c>
      <c r="B45" s="4" t="inlineStr">
        <is>
          <t>Developer Fee</t>
        </is>
      </c>
      <c r="C45" s="4" t="n">
        <v>4694184</v>
      </c>
      <c r="D45" s="4" t="n">
        <v>4694184</v>
      </c>
      <c r="E45" s="5" t="inlineStr">
        <is>
          <t>MATCH</t>
        </is>
      </c>
    </row>
    <row r="46">
      <c r="A46" s="4" t="n">
        <v>61</v>
      </c>
      <c r="B46" s="4" t="inlineStr">
        <is>
          <t>Reserves</t>
        </is>
      </c>
      <c r="C46" s="4" t="n">
        <v>752354</v>
      </c>
      <c r="D46" s="4" t="n">
        <v>752354</v>
      </c>
      <c r="E46" s="5" t="inlineStr">
        <is>
          <t>MATCH</t>
        </is>
      </c>
    </row>
    <row r="47">
      <c r="A47" s="4" t="n">
        <v>83</v>
      </c>
      <c r="B47" s="4" t="inlineStr">
        <is>
          <t>Potential Gross Rent</t>
        </is>
      </c>
      <c r="C47" s="4" t="n">
        <v>2380428</v>
      </c>
      <c r="D47" s="4" t="n">
        <v>2380428</v>
      </c>
      <c r="E47" s="5" t="inlineStr">
        <is>
          <t>MATCH</t>
        </is>
      </c>
    </row>
    <row r="48">
      <c r="A48" s="4" t="n">
        <v>84</v>
      </c>
      <c r="B48" s="4" t="inlineStr">
        <is>
          <t>Other Income</t>
        </is>
      </c>
      <c r="C48" s="4" t="n">
        <v>43440</v>
      </c>
      <c r="D48" s="4">
        <f>13200+10800+19440</f>
        <v/>
      </c>
      <c r="E48" s="7" t="inlineStr">
        <is>
          <t>FORMULA</t>
        </is>
      </c>
    </row>
    <row r="49">
      <c r="A49" s="4" t="n">
        <v>85</v>
      </c>
      <c r="B49" s="4" t="inlineStr">
        <is>
          <t>Vacancy + Concessions</t>
        </is>
      </c>
      <c r="C49" s="4" t="n">
        <v>-181790</v>
      </c>
      <c r="D49" s="4" t="n">
        <v>-181790</v>
      </c>
      <c r="E49" s="5" t="inlineStr">
        <is>
          <t>MATCH</t>
        </is>
      </c>
    </row>
    <row r="50">
      <c r="A50" s="4" t="n">
        <v>88</v>
      </c>
      <c r="B50" s="4" t="inlineStr">
        <is>
          <t>Management Fee</t>
        </is>
      </c>
      <c r="C50" s="4" t="n">
        <v>78221</v>
      </c>
      <c r="D50" s="4" t="n">
        <v>78221</v>
      </c>
      <c r="E50" s="5" t="inlineStr">
        <is>
          <t>MATCH</t>
        </is>
      </c>
    </row>
    <row r="51">
      <c r="A51" s="4" t="n">
        <v>89</v>
      </c>
      <c r="B51" s="4" t="inlineStr">
        <is>
          <t>Payroll</t>
        </is>
      </c>
      <c r="C51" s="4" t="n">
        <v>316750</v>
      </c>
      <c r="D51" s="4" t="n">
        <v>316750</v>
      </c>
      <c r="E51" s="5" t="inlineStr">
        <is>
          <t>MATCH</t>
        </is>
      </c>
    </row>
    <row r="52">
      <c r="A52" s="4" t="n">
        <v>90</v>
      </c>
      <c r="B52" s="4" t="inlineStr">
        <is>
          <t>Repairs &amp; Maintenance</t>
        </is>
      </c>
      <c r="C52" s="4" t="n">
        <v>141032</v>
      </c>
      <c r="D52" s="4" t="n">
        <v>141032</v>
      </c>
      <c r="E52" s="5" t="inlineStr">
        <is>
          <t>MATCH</t>
        </is>
      </c>
    </row>
    <row r="53">
      <c r="A53" s="4" t="n">
        <v>91</v>
      </c>
      <c r="B53" s="4" t="inlineStr">
        <is>
          <t>Utilities</t>
        </is>
      </c>
      <c r="C53" s="4" t="n">
        <v>175500</v>
      </c>
      <c r="D53" s="4">
        <f>28500+147000</f>
        <v/>
      </c>
      <c r="E53" s="7" t="inlineStr">
        <is>
          <t>FORMULA</t>
        </is>
      </c>
    </row>
    <row r="54">
      <c r="A54" s="4" t="n">
        <v>92</v>
      </c>
      <c r="B54" s="4" t="inlineStr">
        <is>
          <t>Insurance</t>
        </is>
      </c>
      <c r="C54" s="4" t="n">
        <v>213856</v>
      </c>
      <c r="D54" s="4" t="n">
        <v>213856</v>
      </c>
      <c r="E54" s="5" t="inlineStr">
        <is>
          <t>MATCH</t>
        </is>
      </c>
    </row>
    <row r="55">
      <c r="A55" s="4" t="n">
        <v>93</v>
      </c>
      <c r="B55" s="4" t="inlineStr">
        <is>
          <t>Property Taxes</t>
        </is>
      </c>
      <c r="C55" s="4" t="n">
        <v>0</v>
      </c>
      <c r="D55" s="4" t="n">
        <v>0</v>
      </c>
      <c r="E55" s="5" t="inlineStr">
        <is>
          <t>MATCH</t>
        </is>
      </c>
    </row>
    <row r="56">
      <c r="A56" s="4" t="n">
        <v>95</v>
      </c>
      <c r="B56" s="4" t="inlineStr">
        <is>
          <t>Replacement Reserves</t>
        </is>
      </c>
      <c r="C56" s="4" t="n">
        <v>54000</v>
      </c>
      <c r="D56" s="4" t="n">
        <v>54000</v>
      </c>
      <c r="E56" s="5" t="inlineStr">
        <is>
          <t>MATCH</t>
        </is>
      </c>
    </row>
    <row r="57">
      <c r="A57" s="4" t="n">
        <v>98</v>
      </c>
      <c r="B57" s="4" t="inlineStr">
        <is>
          <t>Hard Debt Service</t>
        </is>
      </c>
      <c r="C57" s="4" t="n">
        <v>909052</v>
      </c>
      <c r="D57" s="4" t="n">
        <v>909052</v>
      </c>
      <c r="E57" s="5" t="inlineStr">
        <is>
          <t>MATCH</t>
        </is>
      </c>
    </row>
    <row r="59">
      <c r="B59" s="8" t="inlineStr">
        <is>
          <t>SUMMARY</t>
        </is>
      </c>
    </row>
    <row r="60">
      <c r="B60" s="9" t="inlineStr">
        <is>
          <t>Matches:</t>
        </is>
      </c>
      <c r="C60" s="10" t="n">
        <v>50</v>
      </c>
    </row>
    <row r="61">
      <c r="B61" s="9" t="inlineStr">
        <is>
          <t>Mismatches:</t>
        </is>
      </c>
      <c r="C61" s="11" t="n">
        <v>4</v>
      </c>
    </row>
    <row r="62">
      <c r="B62" s="9" t="inlineStr">
        <is>
          <t>Formula (skip):</t>
        </is>
      </c>
      <c r="C62" s="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TDHCA UW REPORT EXTRACTION - AGENT INSTRUCTIONS</t>
        </is>
      </c>
    </row>
    <row r="2">
      <c r="A2" s="9" t="inlineStr"/>
    </row>
    <row r="3">
      <c r="A3" s="9" t="inlineStr">
        <is>
          <t>PURPOSE: Extract structured data from TDHCA Underwriting Report PDFs and populate the Excel aggregator.</t>
        </is>
      </c>
    </row>
    <row r="4">
      <c r="A4" s="9" t="inlineStr"/>
    </row>
    <row r="5">
      <c r="A5" s="9" t="inlineStr">
        <is>
          <t>INPUT: A TDHCA UW Report PDF (typically 15-20 pages per deal).</t>
        </is>
      </c>
    </row>
    <row r="6">
      <c r="A6" s="9" t="inlineStr">
        <is>
          <t>OUTPUT: One row of data matching the aggregator schema (140 columns).</t>
        </is>
      </c>
    </row>
    <row r="7">
      <c r="A7" s="9" t="inlineStr"/>
    </row>
    <row r="8">
      <c r="A8" s="14" t="inlineStr">
        <is>
          <t>STEP 1 - IDENTIFY KEY PAGES:</t>
        </is>
      </c>
    </row>
    <row r="9">
      <c r="A9" s="9" t="inlineStr">
        <is>
          <t xml:space="preserve">  Page 1: Application Summary (most identification fields, unit mix, pro forma indicators, cost summary)</t>
        </is>
      </c>
    </row>
    <row r="10">
      <c r="A10" s="9" t="inlineStr">
        <is>
          <t xml:space="preserve">  Page 2: Capitalization (debt, equity, cash flow sources, bond info, conditions)</t>
        </is>
      </c>
    </row>
    <row r="11">
      <c r="A11" s="9" t="inlineStr">
        <is>
          <t xml:space="preserve">  Page 3: Development Identification (address, city, county, zip, program, set-asides)</t>
        </is>
      </c>
    </row>
    <row r="12">
      <c r="A12" s="9" t="inlineStr">
        <is>
          <t xml:space="preserve">  Pages 4-5: Risk Profile, Ownership Structure, Site Plan, Aerial</t>
        </is>
      </c>
    </row>
    <row r="13">
      <c r="A13" s="9" t="inlineStr">
        <is>
          <t xml:space="preserve">  Pages 7-8: Building Configuration, Site Control, Appraised Value, Site Info</t>
        </is>
      </c>
    </row>
    <row r="14">
      <c r="A14" s="9" t="inlineStr">
        <is>
          <t xml:space="preserve">  Page 10: Operating Pro Forma Summary, Development Cost Evaluation</t>
        </is>
      </c>
    </row>
    <row r="15">
      <c r="A15" s="9" t="inlineStr">
        <is>
          <t xml:space="preserve">  Pages 14-15: Permanent Sources, Conclusions (gap analysis, credit allocation)</t>
        </is>
      </c>
    </row>
    <row r="16">
      <c r="A16" s="9" t="inlineStr">
        <is>
          <t xml:space="preserve">  Page 16: Unit Mix / Rent Schedule (unit counts by income level)</t>
        </is>
      </c>
    </row>
    <row r="17">
      <c r="A17" s="9" t="inlineStr">
        <is>
          <t xml:space="preserve">  Page 17: Stabilized First Year Pro Forma (all revenue &amp; expense line items)</t>
        </is>
      </c>
    </row>
    <row r="18">
      <c r="A18" s="9" t="inlineStr">
        <is>
          <t xml:space="preserve">  Page 18: Total Development Budget / Itemized Basis (all cost categories)</t>
        </is>
      </c>
    </row>
    <row r="19">
      <c r="A19" s="9" t="inlineStr">
        <is>
          <t xml:space="preserve">  Page 19: Proposed Sources of Financing (all debt, equity, grants detail)</t>
        </is>
      </c>
    </row>
    <row r="20">
      <c r="A20" s="9" t="inlineStr">
        <is>
          <t xml:space="preserve">  Page 20: Long-Term Pro Forma (40-year projection)</t>
        </is>
      </c>
    </row>
    <row r="21">
      <c r="A21" s="9" t="inlineStr"/>
    </row>
    <row r="22">
      <c r="A22" s="14" t="inlineStr">
        <is>
          <t>STEP 2 - EXTRACT HARDCODED FIELDS (cols 2-19, 21-22, 24-32, 38-43, 53-61, 83-85, 88-93, 95, 98):</t>
        </is>
      </c>
    </row>
    <row r="23">
      <c r="A23" s="9" t="inlineStr">
        <is>
          <t xml:space="preserve">  These are direct values from the PDF. See 'Field Mapping' sheet for exact locations.</t>
        </is>
      </c>
    </row>
    <row r="24">
      <c r="A24" s="9" t="inlineStr"/>
    </row>
    <row r="25">
      <c r="A25" s="14" t="inlineStr">
        <is>
          <t>STEP 3 - SKIP FORMULA FIELDS (cols 20, 23, 37, 44-52, 62-82, 86, 94, 96-97, 99-140):</t>
        </is>
      </c>
    </row>
    <row r="26">
      <c r="A26" s="9" t="inlineStr">
        <is>
          <t xml:space="preserve">  These are calculated by Excel formulas in the aggregator. Do NOT populate them.</t>
        </is>
      </c>
    </row>
    <row r="27">
      <c r="A27" s="9" t="inlineStr">
        <is>
          <t xml:space="preserve">  The formulas will auto-calculate once the hardcoded inputs are entered.</t>
        </is>
      </c>
    </row>
    <row r="28">
      <c r="A28" s="9" t="inlineStr"/>
    </row>
    <row r="29">
      <c r="A29" s="14" t="inlineStr">
        <is>
          <t>STEP 4 - SPECIAL HANDLING:</t>
        </is>
      </c>
    </row>
    <row r="30">
      <c r="A30" s="9" t="inlineStr">
        <is>
          <t xml:space="preserve">  - Col 17 (4% vs 9%): Convert 'FHTC (4% Credit)' -&gt; 0.04, '9% HTC' -&gt; 0.09</t>
        </is>
      </c>
    </row>
    <row r="31">
      <c r="A31" s="9" t="inlineStr">
        <is>
          <t xml:space="preserve">  - Col 84 (Other Income): Sum of Parking + Storage + Fees &amp; Misc from Pro Forma</t>
        </is>
      </c>
    </row>
    <row r="32">
      <c r="A32" s="9" t="inlineStr">
        <is>
          <t xml:space="preserve">  - Col 87 (G&amp;A + Compliance): Sum of G&amp;A + TDHCA Compliance + Bond Trustee + UA Consultant + Fees/Tel/Internet</t>
        </is>
      </c>
    </row>
    <row r="33">
      <c r="A33" s="9" t="inlineStr">
        <is>
          <t xml:space="preserve">  - Col 91 (Utilities): Sum of Electric/Gas + Water/Sewer/Trash</t>
        </is>
      </c>
    </row>
    <row r="34">
      <c r="A34" s="9" t="inlineStr">
        <is>
          <t xml:space="preserve">  - Col 85 (Vacancy): Enter as negative number</t>
        </is>
      </c>
    </row>
    <row r="35">
      <c r="A35" s="9" t="inlineStr">
        <is>
          <t xml:space="preserve">  - Col 43 (Deferred Dev Fee): Use 'Deferred Developer Fee' from Conclusions (p15), NOT the dev fee total</t>
        </is>
      </c>
    </row>
    <row r="36">
      <c r="A36" s="9" t="inlineStr"/>
    </row>
    <row r="37">
      <c r="A37" s="14" t="inlineStr">
        <is>
          <t>STEP 5 - VALIDATION:</t>
        </is>
      </c>
    </row>
    <row r="38">
      <c r="A38" s="9" t="inlineStr">
        <is>
          <t xml:space="preserve">  Compare extracted values against the 'Validation' sheet for known deals.</t>
        </is>
      </c>
    </row>
    <row r="39">
      <c r="A39" s="9" t="inlineStr">
        <is>
          <t xml:space="preserve">  Target: 95%+ match rate before scaling to new deals.</t>
        </is>
      </c>
    </row>
    <row r="40">
      <c r="A40" s="9" t="inlineStr">
        <is>
          <t xml:space="preserve">  Common mismatches: rounding, name variations (e.g. 'RBC Capital Markets Corporation' vs 'RBC Capital Markets').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2026-05-26T20:12:48Z</dcterms:created>
  <dcterms:modified xmlns:dcterms="http://purl.org/dc/terms/" xmlns:xsi="http://www.w3.org/2001/XMLSchema-instance" xsi:type="dcterms:W3CDTF">2026-05-26T20:12:48Z</dcterms:modified>
</cp:coreProperties>
</file>