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ner Carrington\Downloads\"/>
    </mc:Choice>
  </mc:AlternateContent>
  <xr:revisionPtr revIDLastSave="0" documentId="8_{896E5B51-BE9E-48F1-8565-26D174D76D04}" xr6:coauthVersionLast="47" xr6:coauthVersionMax="47" xr10:uidLastSave="{00000000-0000-0000-0000-000000000000}"/>
  <bookViews>
    <workbookView xWindow="-110" yWindow="-110" windowWidth="19420" windowHeight="11500" tabRatio="872" xr2:uid="{E264E968-B87F-44E4-8D29-952569861A24}"/>
  </bookViews>
  <sheets>
    <sheet name="TDHCA UW Aggregator" sheetId="1" r:id="rId1"/>
    <sheet name="Expense Underwriter" sheetId="2" r:id="rId2"/>
  </sheets>
  <definedNames>
    <definedName name="_xlnm._FilterDatabase" localSheetId="0" hidden="1">'TDHCA UW Aggregator'!$B$3:$EJ$416</definedName>
  </definedNames>
  <calcPr calcId="191028" iterateCount="250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03" i="1" l="1"/>
  <c r="W403" i="1" s="1"/>
  <c r="AK403" i="1"/>
  <c r="AR403" i="1" s="1"/>
  <c r="DB403" i="1" s="1"/>
  <c r="AS403" i="1"/>
  <c r="AT403" i="1"/>
  <c r="AU403" i="1"/>
  <c r="AV403" i="1"/>
  <c r="AW403" i="1"/>
  <c r="AX403" i="1"/>
  <c r="BJ403" i="1"/>
  <c r="BT403" i="1" s="1"/>
  <c r="BK403" i="1"/>
  <c r="BL403" i="1"/>
  <c r="BM403" i="1"/>
  <c r="BN403" i="1"/>
  <c r="BO403" i="1"/>
  <c r="BP403" i="1"/>
  <c r="BQ403" i="1"/>
  <c r="BR403" i="1"/>
  <c r="BS403" i="1"/>
  <c r="BU403" i="1"/>
  <c r="BV403" i="1"/>
  <c r="BW403" i="1"/>
  <c r="BX403" i="1"/>
  <c r="BY403" i="1"/>
  <c r="BZ403" i="1"/>
  <c r="CA403" i="1"/>
  <c r="CB403" i="1"/>
  <c r="CC403" i="1"/>
  <c r="CD403" i="1"/>
  <c r="CH403" i="1"/>
  <c r="CP403" i="1"/>
  <c r="CR403" i="1" s="1"/>
  <c r="DA403" i="1"/>
  <c r="DC403" i="1"/>
  <c r="DD403" i="1"/>
  <c r="DE403" i="1"/>
  <c r="DF403" i="1"/>
  <c r="DG403" i="1"/>
  <c r="DH403" i="1"/>
  <c r="DI403" i="1"/>
  <c r="DJ403" i="1"/>
  <c r="DK403" i="1"/>
  <c r="DL403" i="1"/>
  <c r="DM403" i="1"/>
  <c r="DN403" i="1"/>
  <c r="DO403" i="1"/>
  <c r="DR403" i="1"/>
  <c r="DT403" i="1"/>
  <c r="DU403" i="1"/>
  <c r="DV403" i="1"/>
  <c r="DW403" i="1"/>
  <c r="DX403" i="1"/>
  <c r="DY403" i="1"/>
  <c r="DZ403" i="1"/>
  <c r="EA403" i="1"/>
  <c r="EB403" i="1"/>
  <c r="EC403" i="1"/>
  <c r="ED403" i="1"/>
  <c r="EE403" i="1"/>
  <c r="EF403" i="1"/>
  <c r="EI403" i="1"/>
  <c r="T404" i="1"/>
  <c r="W404" i="1" s="1"/>
  <c r="AK404" i="1"/>
  <c r="AS404" i="1"/>
  <c r="AT404" i="1"/>
  <c r="AU404" i="1"/>
  <c r="AV404" i="1"/>
  <c r="AW404" i="1"/>
  <c r="AX404" i="1"/>
  <c r="BJ404" i="1"/>
  <c r="CD404" i="1" s="1"/>
  <c r="BK404" i="1"/>
  <c r="BL404" i="1"/>
  <c r="BM404" i="1"/>
  <c r="BN404" i="1"/>
  <c r="BO404" i="1"/>
  <c r="BP404" i="1"/>
  <c r="BQ404" i="1"/>
  <c r="BR404" i="1"/>
  <c r="BS404" i="1"/>
  <c r="BU404" i="1"/>
  <c r="BV404" i="1"/>
  <c r="BW404" i="1"/>
  <c r="BX404" i="1"/>
  <c r="BY404" i="1"/>
  <c r="BZ404" i="1"/>
  <c r="CA404" i="1"/>
  <c r="CB404" i="1"/>
  <c r="CC404" i="1"/>
  <c r="CH404" i="1"/>
  <c r="CP404" i="1"/>
  <c r="CR404" i="1"/>
  <c r="CS404" i="1"/>
  <c r="DQ404" i="1" s="1"/>
  <c r="DA404" i="1"/>
  <c r="DC404" i="1"/>
  <c r="DD404" i="1"/>
  <c r="DE404" i="1"/>
  <c r="DF404" i="1"/>
  <c r="DG404" i="1"/>
  <c r="DH404" i="1"/>
  <c r="DI404" i="1"/>
  <c r="DJ404" i="1"/>
  <c r="DK404" i="1"/>
  <c r="DL404" i="1"/>
  <c r="DM404" i="1"/>
  <c r="DN404" i="1"/>
  <c r="DO404" i="1"/>
  <c r="DP404" i="1"/>
  <c r="DR404" i="1"/>
  <c r="DT404" i="1"/>
  <c r="DU404" i="1"/>
  <c r="DV404" i="1"/>
  <c r="DW404" i="1"/>
  <c r="DX404" i="1"/>
  <c r="DY404" i="1"/>
  <c r="DZ404" i="1"/>
  <c r="EA404" i="1"/>
  <c r="EB404" i="1"/>
  <c r="EC404" i="1"/>
  <c r="ED404" i="1"/>
  <c r="EE404" i="1"/>
  <c r="EF404" i="1"/>
  <c r="EG404" i="1"/>
  <c r="EH404" i="1"/>
  <c r="EI404" i="1"/>
  <c r="T402" i="1"/>
  <c r="W402" i="1" s="1"/>
  <c r="AK402" i="1"/>
  <c r="AS402" i="1"/>
  <c r="AT402" i="1"/>
  <c r="AU402" i="1"/>
  <c r="AV402" i="1"/>
  <c r="AW402" i="1"/>
  <c r="AX402" i="1"/>
  <c r="BJ402" i="1"/>
  <c r="BT402" i="1" s="1"/>
  <c r="BK402" i="1"/>
  <c r="BL402" i="1"/>
  <c r="BM402" i="1"/>
  <c r="BN402" i="1"/>
  <c r="BO402" i="1"/>
  <c r="BP402" i="1"/>
  <c r="BQ402" i="1"/>
  <c r="BR402" i="1"/>
  <c r="BS402" i="1"/>
  <c r="BU402" i="1"/>
  <c r="BV402" i="1"/>
  <c r="BW402" i="1"/>
  <c r="BX402" i="1"/>
  <c r="BY402" i="1"/>
  <c r="BZ402" i="1"/>
  <c r="CA402" i="1"/>
  <c r="CB402" i="1"/>
  <c r="CC402" i="1"/>
  <c r="CD402" i="1"/>
  <c r="CH402" i="1"/>
  <c r="DF402" i="1" s="1"/>
  <c r="CP402" i="1"/>
  <c r="CR402" i="1" s="1"/>
  <c r="DA402" i="1"/>
  <c r="DC402" i="1"/>
  <c r="DD402" i="1"/>
  <c r="DE402" i="1"/>
  <c r="DG402" i="1"/>
  <c r="DH402" i="1"/>
  <c r="DI402" i="1"/>
  <c r="DJ402" i="1"/>
  <c r="DK402" i="1"/>
  <c r="DL402" i="1"/>
  <c r="DM402" i="1"/>
  <c r="DO402" i="1"/>
  <c r="DR402" i="1"/>
  <c r="DT402" i="1"/>
  <c r="DU402" i="1"/>
  <c r="DV402" i="1"/>
  <c r="DX402" i="1"/>
  <c r="DY402" i="1"/>
  <c r="DZ402" i="1"/>
  <c r="EA402" i="1"/>
  <c r="EB402" i="1"/>
  <c r="EC402" i="1"/>
  <c r="ED402" i="1"/>
  <c r="EF402" i="1"/>
  <c r="EI402" i="1"/>
  <c r="T401" i="1"/>
  <c r="W401" i="1" s="1"/>
  <c r="AK401" i="1"/>
  <c r="AS401" i="1"/>
  <c r="AT401" i="1"/>
  <c r="AU401" i="1"/>
  <c r="AV401" i="1"/>
  <c r="AW401" i="1"/>
  <c r="AX401" i="1"/>
  <c r="BJ401" i="1"/>
  <c r="CD401" i="1" s="1"/>
  <c r="BK401" i="1"/>
  <c r="BL401" i="1"/>
  <c r="BM401" i="1"/>
  <c r="BN401" i="1"/>
  <c r="BO401" i="1"/>
  <c r="BP401" i="1"/>
  <c r="BQ401" i="1"/>
  <c r="BR401" i="1"/>
  <c r="BS401" i="1"/>
  <c r="BU401" i="1"/>
  <c r="BV401" i="1"/>
  <c r="BW401" i="1"/>
  <c r="BX401" i="1"/>
  <c r="BY401" i="1"/>
  <c r="BZ401" i="1"/>
  <c r="CA401" i="1"/>
  <c r="CB401" i="1"/>
  <c r="CC401" i="1"/>
  <c r="CH401" i="1"/>
  <c r="CP401" i="1"/>
  <c r="DN401" i="1" s="1"/>
  <c r="DA401" i="1"/>
  <c r="DC401" i="1"/>
  <c r="DD401" i="1"/>
  <c r="DE401" i="1"/>
  <c r="DF401" i="1"/>
  <c r="DG401" i="1"/>
  <c r="DH401" i="1"/>
  <c r="DI401" i="1"/>
  <c r="DJ401" i="1"/>
  <c r="DK401" i="1"/>
  <c r="DL401" i="1"/>
  <c r="DM401" i="1"/>
  <c r="DO401" i="1"/>
  <c r="DR401" i="1"/>
  <c r="DT401" i="1"/>
  <c r="DU401" i="1"/>
  <c r="DV401" i="1"/>
  <c r="DW401" i="1"/>
  <c r="DX401" i="1"/>
  <c r="DY401" i="1"/>
  <c r="DZ401" i="1"/>
  <c r="EA401" i="1"/>
  <c r="EB401" i="1"/>
  <c r="EC401" i="1"/>
  <c r="ED401" i="1"/>
  <c r="EF401" i="1"/>
  <c r="EI401" i="1"/>
  <c r="T400" i="1"/>
  <c r="W400" i="1" s="1"/>
  <c r="AK400" i="1"/>
  <c r="AS400" i="1"/>
  <c r="AT400" i="1"/>
  <c r="AU400" i="1"/>
  <c r="AV400" i="1"/>
  <c r="AW400" i="1"/>
  <c r="AX400" i="1"/>
  <c r="BJ400" i="1"/>
  <c r="CD400" i="1" s="1"/>
  <c r="BK400" i="1"/>
  <c r="BL400" i="1"/>
  <c r="BM400" i="1"/>
  <c r="BN400" i="1"/>
  <c r="BO400" i="1"/>
  <c r="BP400" i="1"/>
  <c r="BQ400" i="1"/>
  <c r="BR400" i="1"/>
  <c r="BS400" i="1"/>
  <c r="BU400" i="1"/>
  <c r="BV400" i="1"/>
  <c r="BW400" i="1"/>
  <c r="BX400" i="1"/>
  <c r="BY400" i="1"/>
  <c r="BZ400" i="1"/>
  <c r="CA400" i="1"/>
  <c r="CB400" i="1"/>
  <c r="CC400" i="1"/>
  <c r="CH400" i="1"/>
  <c r="DF400" i="1" s="1"/>
  <c r="CP400" i="1"/>
  <c r="CR400" i="1" s="1"/>
  <c r="DA400" i="1"/>
  <c r="DC400" i="1"/>
  <c r="DD400" i="1"/>
  <c r="DE400" i="1"/>
  <c r="DG400" i="1"/>
  <c r="DH400" i="1"/>
  <c r="DI400" i="1"/>
  <c r="DJ400" i="1"/>
  <c r="DK400" i="1"/>
  <c r="DL400" i="1"/>
  <c r="DM400" i="1"/>
  <c r="DO400" i="1"/>
  <c r="DR400" i="1"/>
  <c r="DT400" i="1"/>
  <c r="DU400" i="1"/>
  <c r="DV400" i="1"/>
  <c r="DX400" i="1"/>
  <c r="DY400" i="1"/>
  <c r="DZ400" i="1"/>
  <c r="EA400" i="1"/>
  <c r="EB400" i="1"/>
  <c r="EC400" i="1"/>
  <c r="ED400" i="1"/>
  <c r="EF400" i="1"/>
  <c r="EI400" i="1"/>
  <c r="T406" i="1"/>
  <c r="W406" i="1" s="1"/>
  <c r="AK406" i="1"/>
  <c r="AS406" i="1"/>
  <c r="AT406" i="1"/>
  <c r="AU406" i="1"/>
  <c r="AV406" i="1"/>
  <c r="AW406" i="1"/>
  <c r="AX406" i="1"/>
  <c r="BJ406" i="1"/>
  <c r="BK406" i="1"/>
  <c r="BL406" i="1"/>
  <c r="BM406" i="1"/>
  <c r="BN406" i="1"/>
  <c r="BO406" i="1"/>
  <c r="BP406" i="1"/>
  <c r="BQ406" i="1"/>
  <c r="BR406" i="1"/>
  <c r="BS406" i="1"/>
  <c r="BU406" i="1"/>
  <c r="BV406" i="1"/>
  <c r="BW406" i="1"/>
  <c r="BX406" i="1"/>
  <c r="BY406" i="1"/>
  <c r="BZ406" i="1"/>
  <c r="CA406" i="1"/>
  <c r="CB406" i="1"/>
  <c r="CC406" i="1"/>
  <c r="CH406" i="1"/>
  <c r="DW406" i="1" s="1"/>
  <c r="CP406" i="1"/>
  <c r="CR406" i="1" s="1"/>
  <c r="DA406" i="1"/>
  <c r="DC406" i="1"/>
  <c r="DD406" i="1"/>
  <c r="DE406" i="1"/>
  <c r="DG406" i="1"/>
  <c r="DH406" i="1"/>
  <c r="DI406" i="1"/>
  <c r="DJ406" i="1"/>
  <c r="DK406" i="1"/>
  <c r="DL406" i="1"/>
  <c r="DM406" i="1"/>
  <c r="DO406" i="1"/>
  <c r="DR406" i="1"/>
  <c r="DT406" i="1"/>
  <c r="DU406" i="1"/>
  <c r="DV406" i="1"/>
  <c r="DX406" i="1"/>
  <c r="DY406" i="1"/>
  <c r="DZ406" i="1"/>
  <c r="EA406" i="1"/>
  <c r="EB406" i="1"/>
  <c r="EC406" i="1"/>
  <c r="ED406" i="1"/>
  <c r="EF406" i="1"/>
  <c r="EI406" i="1"/>
  <c r="T407" i="1"/>
  <c r="W407" i="1" s="1"/>
  <c r="AK407" i="1"/>
  <c r="AS407" i="1"/>
  <c r="AT407" i="1"/>
  <c r="AU407" i="1"/>
  <c r="AV407" i="1"/>
  <c r="AW407" i="1"/>
  <c r="AX407" i="1"/>
  <c r="BJ407" i="1"/>
  <c r="BK407" i="1"/>
  <c r="BL407" i="1"/>
  <c r="BM407" i="1"/>
  <c r="BN407" i="1"/>
  <c r="BO407" i="1"/>
  <c r="BP407" i="1"/>
  <c r="BQ407" i="1"/>
  <c r="BR407" i="1"/>
  <c r="BS407" i="1"/>
  <c r="BU407" i="1"/>
  <c r="BV407" i="1"/>
  <c r="BW407" i="1"/>
  <c r="BX407" i="1"/>
  <c r="BY407" i="1"/>
  <c r="BZ407" i="1"/>
  <c r="CA407" i="1"/>
  <c r="CB407" i="1"/>
  <c r="CC407" i="1"/>
  <c r="CH407" i="1"/>
  <c r="CP407" i="1"/>
  <c r="EE407" i="1" s="1"/>
  <c r="DA407" i="1"/>
  <c r="DC407" i="1"/>
  <c r="DD407" i="1"/>
  <c r="DE407" i="1"/>
  <c r="DG407" i="1"/>
  <c r="DH407" i="1"/>
  <c r="DI407" i="1"/>
  <c r="DJ407" i="1"/>
  <c r="DK407" i="1"/>
  <c r="DL407" i="1"/>
  <c r="DM407" i="1"/>
  <c r="DO407" i="1"/>
  <c r="DR407" i="1"/>
  <c r="DT407" i="1"/>
  <c r="DU407" i="1"/>
  <c r="DV407" i="1"/>
  <c r="DX407" i="1"/>
  <c r="DY407" i="1"/>
  <c r="DZ407" i="1"/>
  <c r="EA407" i="1"/>
  <c r="EB407" i="1"/>
  <c r="EC407" i="1"/>
  <c r="ED407" i="1"/>
  <c r="EF407" i="1"/>
  <c r="EI407" i="1"/>
  <c r="AZ403" i="1" l="1"/>
  <c r="AY403" i="1"/>
  <c r="CS403" i="1"/>
  <c r="DP403" i="1"/>
  <c r="EG403" i="1"/>
  <c r="CU404" i="1"/>
  <c r="CZ404" i="1" s="1"/>
  <c r="AY404" i="1"/>
  <c r="BT407" i="1"/>
  <c r="AZ404" i="1"/>
  <c r="DW402" i="1"/>
  <c r="AY402" i="1"/>
  <c r="DN400" i="1"/>
  <c r="CR401" i="1"/>
  <c r="EG401" i="1" s="1"/>
  <c r="BT404" i="1"/>
  <c r="AZ401" i="1"/>
  <c r="AZ402" i="1"/>
  <c r="AR404" i="1"/>
  <c r="DB404" i="1" s="1"/>
  <c r="AR402" i="1"/>
  <c r="DB402" i="1" s="1"/>
  <c r="DP402" i="1"/>
  <c r="EG402" i="1"/>
  <c r="BT406" i="1"/>
  <c r="EG400" i="1"/>
  <c r="DW400" i="1"/>
  <c r="AY401" i="1"/>
  <c r="EE402" i="1"/>
  <c r="EE401" i="1"/>
  <c r="DN402" i="1"/>
  <c r="DF406" i="1"/>
  <c r="AR406" i="1"/>
  <c r="DB406" i="1" s="1"/>
  <c r="CS402" i="1"/>
  <c r="AZ406" i="1"/>
  <c r="BT401" i="1"/>
  <c r="EE400" i="1"/>
  <c r="AR407" i="1"/>
  <c r="DB407" i="1" s="1"/>
  <c r="DN406" i="1"/>
  <c r="AY406" i="1"/>
  <c r="CD406" i="1"/>
  <c r="CR407" i="1"/>
  <c r="DP407" i="1" s="1"/>
  <c r="DP400" i="1"/>
  <c r="AR401" i="1"/>
  <c r="DB401" i="1" s="1"/>
  <c r="EE406" i="1"/>
  <c r="AZ400" i="1"/>
  <c r="AY400" i="1"/>
  <c r="AR400" i="1"/>
  <c r="DB400" i="1" s="1"/>
  <c r="CS406" i="1"/>
  <c r="DP406" i="1"/>
  <c r="EG406" i="1"/>
  <c r="DN407" i="1"/>
  <c r="CD407" i="1"/>
  <c r="AY407" i="1"/>
  <c r="BT400" i="1"/>
  <c r="CS400" i="1"/>
  <c r="DW407" i="1"/>
  <c r="AZ407" i="1"/>
  <c r="CS407" i="1"/>
  <c r="CU407" i="1" s="1"/>
  <c r="CZ407" i="1" s="1"/>
  <c r="CY407" i="1"/>
  <c r="DF407" i="1"/>
  <c r="CW404" i="1" l="1"/>
  <c r="CX404" i="1"/>
  <c r="CV404" i="1"/>
  <c r="DS404" i="1"/>
  <c r="EJ404" i="1"/>
  <c r="CY404" i="1"/>
  <c r="CU403" i="1"/>
  <c r="DQ403" i="1"/>
  <c r="EH403" i="1"/>
  <c r="CS401" i="1"/>
  <c r="DP401" i="1"/>
  <c r="CU402" i="1"/>
  <c r="DQ402" i="1"/>
  <c r="EH402" i="1"/>
  <c r="EG407" i="1"/>
  <c r="CW407" i="1"/>
  <c r="CX407" i="1"/>
  <c r="CV407" i="1"/>
  <c r="DQ407" i="1"/>
  <c r="CU400" i="1"/>
  <c r="DQ400" i="1"/>
  <c r="EH400" i="1"/>
  <c r="EH407" i="1"/>
  <c r="EJ407" i="1"/>
  <c r="DS407" i="1"/>
  <c r="CU406" i="1"/>
  <c r="DQ406" i="1"/>
  <c r="EH406" i="1"/>
  <c r="CX403" i="1" l="1"/>
  <c r="CV403" i="1"/>
  <c r="CW403" i="1"/>
  <c r="CY403" i="1"/>
  <c r="CZ403" i="1"/>
  <c r="DS403" i="1"/>
  <c r="EJ403" i="1"/>
  <c r="EH401" i="1"/>
  <c r="DQ401" i="1"/>
  <c r="CU401" i="1"/>
  <c r="CV402" i="1"/>
  <c r="CW402" i="1"/>
  <c r="CX402" i="1"/>
  <c r="CY402" i="1"/>
  <c r="CZ402" i="1"/>
  <c r="DS402" i="1"/>
  <c r="EJ402" i="1"/>
  <c r="CX406" i="1"/>
  <c r="CY406" i="1"/>
  <c r="CV406" i="1"/>
  <c r="CZ406" i="1"/>
  <c r="CW406" i="1"/>
  <c r="DS406" i="1"/>
  <c r="EJ406" i="1"/>
  <c r="CX400" i="1"/>
  <c r="CY400" i="1"/>
  <c r="CW400" i="1"/>
  <c r="CV400" i="1"/>
  <c r="CZ400" i="1"/>
  <c r="EJ400" i="1"/>
  <c r="DS400" i="1"/>
  <c r="CV401" i="1" l="1"/>
  <c r="EJ401" i="1"/>
  <c r="CW401" i="1"/>
  <c r="CX401" i="1"/>
  <c r="CY401" i="1"/>
  <c r="DS401" i="1"/>
  <c r="CZ401" i="1"/>
  <c r="T405" i="1" l="1"/>
  <c r="W405" i="1" s="1"/>
  <c r="AK405" i="1"/>
  <c r="AS405" i="1"/>
  <c r="AT405" i="1"/>
  <c r="AU405" i="1"/>
  <c r="AV405" i="1"/>
  <c r="AW405" i="1"/>
  <c r="AX405" i="1"/>
  <c r="BJ405" i="1"/>
  <c r="CD405" i="1" s="1"/>
  <c r="BK405" i="1"/>
  <c r="BL405" i="1"/>
  <c r="BM405" i="1"/>
  <c r="BN405" i="1"/>
  <c r="BO405" i="1"/>
  <c r="BP405" i="1"/>
  <c r="BQ405" i="1"/>
  <c r="BR405" i="1"/>
  <c r="BS405" i="1"/>
  <c r="BU405" i="1"/>
  <c r="BV405" i="1"/>
  <c r="BW405" i="1"/>
  <c r="BX405" i="1"/>
  <c r="BY405" i="1"/>
  <c r="BZ405" i="1"/>
  <c r="CA405" i="1"/>
  <c r="CB405" i="1"/>
  <c r="CC405" i="1"/>
  <c r="CH405" i="1"/>
  <c r="DF405" i="1" s="1"/>
  <c r="CP405" i="1"/>
  <c r="DA405" i="1"/>
  <c r="DC405" i="1"/>
  <c r="DD405" i="1"/>
  <c r="DE405" i="1"/>
  <c r="DG405" i="1"/>
  <c r="DH405" i="1"/>
  <c r="DI405" i="1"/>
  <c r="DJ405" i="1"/>
  <c r="DK405" i="1"/>
  <c r="DL405" i="1"/>
  <c r="DM405" i="1"/>
  <c r="DO405" i="1"/>
  <c r="DR405" i="1"/>
  <c r="DT405" i="1"/>
  <c r="DU405" i="1"/>
  <c r="DV405" i="1"/>
  <c r="DX405" i="1"/>
  <c r="DY405" i="1"/>
  <c r="DZ405" i="1"/>
  <c r="EA405" i="1"/>
  <c r="EB405" i="1"/>
  <c r="EC405" i="1"/>
  <c r="ED405" i="1"/>
  <c r="EF405" i="1"/>
  <c r="EI405" i="1"/>
  <c r="T408" i="1"/>
  <c r="W408" i="1" s="1"/>
  <c r="AK408" i="1"/>
  <c r="AS408" i="1"/>
  <c r="AT408" i="1"/>
  <c r="AU408" i="1"/>
  <c r="AV408" i="1"/>
  <c r="AW408" i="1"/>
  <c r="AX408" i="1"/>
  <c r="BJ408" i="1"/>
  <c r="BK408" i="1"/>
  <c r="BL408" i="1"/>
  <c r="BM408" i="1"/>
  <c r="BN408" i="1"/>
  <c r="BO408" i="1"/>
  <c r="BP408" i="1"/>
  <c r="BQ408" i="1"/>
  <c r="BR408" i="1"/>
  <c r="BS408" i="1"/>
  <c r="BU408" i="1"/>
  <c r="BV408" i="1"/>
  <c r="BW408" i="1"/>
  <c r="BX408" i="1"/>
  <c r="BY408" i="1"/>
  <c r="BZ408" i="1"/>
  <c r="CA408" i="1"/>
  <c r="CB408" i="1"/>
  <c r="CC408" i="1"/>
  <c r="CH408" i="1"/>
  <c r="DF408" i="1" s="1"/>
  <c r="CP408" i="1"/>
  <c r="CR408" i="1" s="1"/>
  <c r="DA408" i="1"/>
  <c r="DC408" i="1"/>
  <c r="DD408" i="1"/>
  <c r="DE408" i="1"/>
  <c r="DG408" i="1"/>
  <c r="DH408" i="1"/>
  <c r="DI408" i="1"/>
  <c r="DJ408" i="1"/>
  <c r="DK408" i="1"/>
  <c r="DL408" i="1"/>
  <c r="DM408" i="1"/>
  <c r="DO408" i="1"/>
  <c r="DR408" i="1"/>
  <c r="DT408" i="1"/>
  <c r="DU408" i="1"/>
  <c r="DV408" i="1"/>
  <c r="DX408" i="1"/>
  <c r="DY408" i="1"/>
  <c r="DZ408" i="1"/>
  <c r="EA408" i="1"/>
  <c r="EB408" i="1"/>
  <c r="EC408" i="1"/>
  <c r="ED408" i="1"/>
  <c r="EF408" i="1"/>
  <c r="EI408" i="1"/>
  <c r="CM399" i="1"/>
  <c r="CI399" i="1"/>
  <c r="CF399" i="1"/>
  <c r="ED399" i="1"/>
  <c r="DV399" i="1"/>
  <c r="DM399" i="1"/>
  <c r="ED398" i="1"/>
  <c r="DV398" i="1"/>
  <c r="DM398" i="1"/>
  <c r="CM398" i="1"/>
  <c r="CL398" i="1"/>
  <c r="CI398" i="1"/>
  <c r="AX399" i="1"/>
  <c r="AS399" i="1"/>
  <c r="AX398" i="1"/>
  <c r="AS398" i="1"/>
  <c r="CC399" i="1"/>
  <c r="CB399" i="1"/>
  <c r="CA399" i="1"/>
  <c r="BZ399" i="1"/>
  <c r="BY399" i="1"/>
  <c r="BX399" i="1"/>
  <c r="BW399" i="1"/>
  <c r="BV399" i="1"/>
  <c r="BU399" i="1"/>
  <c r="BJ399" i="1"/>
  <c r="CC398" i="1"/>
  <c r="CB398" i="1"/>
  <c r="CA398" i="1"/>
  <c r="BZ398" i="1"/>
  <c r="BY398" i="1"/>
  <c r="BX398" i="1"/>
  <c r="BW398" i="1"/>
  <c r="BV398" i="1"/>
  <c r="BU398" i="1"/>
  <c r="BJ398" i="1"/>
  <c r="CD398" i="1" s="1"/>
  <c r="CF398" i="1"/>
  <c r="CH398" i="1" s="1"/>
  <c r="EC398" i="1" s="1"/>
  <c r="AK398" i="1"/>
  <c r="AK399" i="1"/>
  <c r="T398" i="1"/>
  <c r="DH398" i="1" s="1"/>
  <c r="T399" i="1"/>
  <c r="DE399" i="1" s="1"/>
  <c r="BP399" i="1" l="1"/>
  <c r="BN398" i="1"/>
  <c r="AR398" i="1"/>
  <c r="DB398" i="1" s="1"/>
  <c r="DI398" i="1"/>
  <c r="DR398" i="1"/>
  <c r="AR405" i="1"/>
  <c r="DB405" i="1" s="1"/>
  <c r="BL399" i="1"/>
  <c r="BT408" i="1"/>
  <c r="DO399" i="1"/>
  <c r="DL398" i="1"/>
  <c r="BK398" i="1"/>
  <c r="EE405" i="1"/>
  <c r="AW399" i="1"/>
  <c r="DJ398" i="1"/>
  <c r="BO399" i="1"/>
  <c r="BQ398" i="1"/>
  <c r="DR399" i="1"/>
  <c r="AV399" i="1"/>
  <c r="DG398" i="1"/>
  <c r="DK398" i="1"/>
  <c r="DW408" i="1"/>
  <c r="CR405" i="1"/>
  <c r="DP405" i="1" s="1"/>
  <c r="AY405" i="1"/>
  <c r="AZ405" i="1"/>
  <c r="DW405" i="1"/>
  <c r="AW398" i="1"/>
  <c r="DD399" i="1"/>
  <c r="BT405" i="1"/>
  <c r="DJ399" i="1"/>
  <c r="DG399" i="1"/>
  <c r="AT399" i="1"/>
  <c r="DK399" i="1"/>
  <c r="AU399" i="1"/>
  <c r="DL399" i="1"/>
  <c r="DN405" i="1"/>
  <c r="AZ408" i="1"/>
  <c r="BS398" i="1"/>
  <c r="BQ399" i="1"/>
  <c r="CD408" i="1"/>
  <c r="BR399" i="1"/>
  <c r="DX398" i="1"/>
  <c r="BT398" i="1"/>
  <c r="BS399" i="1"/>
  <c r="CP398" i="1"/>
  <c r="EE398" i="1" s="1"/>
  <c r="AZ398" i="1"/>
  <c r="DH399" i="1"/>
  <c r="AZ399" i="1"/>
  <c r="AU398" i="1"/>
  <c r="DI399" i="1"/>
  <c r="AY408" i="1"/>
  <c r="DU398" i="1"/>
  <c r="CP399" i="1"/>
  <c r="CR399" i="1" s="1"/>
  <c r="DP399" i="1" s="1"/>
  <c r="DO398" i="1"/>
  <c r="BL398" i="1"/>
  <c r="BN399" i="1"/>
  <c r="AR408" i="1"/>
  <c r="DB408" i="1" s="1"/>
  <c r="CS408" i="1"/>
  <c r="DP408" i="1"/>
  <c r="EG408" i="1"/>
  <c r="DA398" i="1"/>
  <c r="EF398" i="1"/>
  <c r="BM398" i="1"/>
  <c r="DC398" i="1"/>
  <c r="EI398" i="1"/>
  <c r="DD398" i="1"/>
  <c r="DT398" i="1"/>
  <c r="BT399" i="1"/>
  <c r="DE398" i="1"/>
  <c r="BO398" i="1"/>
  <c r="W398" i="1"/>
  <c r="BP398" i="1"/>
  <c r="BK399" i="1"/>
  <c r="AT398" i="1"/>
  <c r="DF398" i="1"/>
  <c r="DC399" i="1"/>
  <c r="EE408" i="1"/>
  <c r="DW398" i="1"/>
  <c r="DN408" i="1"/>
  <c r="BR398" i="1"/>
  <c r="BM399" i="1"/>
  <c r="AV398" i="1"/>
  <c r="DY398" i="1"/>
  <c r="DZ398" i="1"/>
  <c r="EA398" i="1"/>
  <c r="EB398" i="1"/>
  <c r="CH399" i="1"/>
  <c r="CD399" i="1"/>
  <c r="AR399" i="1"/>
  <c r="DB399" i="1" s="1"/>
  <c r="W399" i="1"/>
  <c r="T290" i="1"/>
  <c r="W290" i="1" s="1"/>
  <c r="AK290" i="1"/>
  <c r="AS290" i="1"/>
  <c r="AT290" i="1"/>
  <c r="AU290" i="1"/>
  <c r="AV290" i="1"/>
  <c r="AW290" i="1"/>
  <c r="AX290" i="1"/>
  <c r="BJ290" i="1"/>
  <c r="CD290" i="1" s="1"/>
  <c r="BK290" i="1"/>
  <c r="BL290" i="1"/>
  <c r="BM290" i="1"/>
  <c r="BN290" i="1"/>
  <c r="BO290" i="1"/>
  <c r="BP290" i="1"/>
  <c r="BQ290" i="1"/>
  <c r="BR290" i="1"/>
  <c r="BS290" i="1"/>
  <c r="BU290" i="1"/>
  <c r="BV290" i="1"/>
  <c r="BW290" i="1"/>
  <c r="BX290" i="1"/>
  <c r="BY290" i="1"/>
  <c r="BZ290" i="1"/>
  <c r="CA290" i="1"/>
  <c r="CB290" i="1"/>
  <c r="CC290" i="1"/>
  <c r="CH290" i="1"/>
  <c r="DW290" i="1" s="1"/>
  <c r="CP290" i="1"/>
  <c r="CR290" i="1" s="1"/>
  <c r="DA290" i="1"/>
  <c r="DC290" i="1"/>
  <c r="DD290" i="1"/>
  <c r="DE290" i="1"/>
  <c r="DG290" i="1"/>
  <c r="DH290" i="1"/>
  <c r="DI290" i="1"/>
  <c r="DJ290" i="1"/>
  <c r="DK290" i="1"/>
  <c r="DL290" i="1"/>
  <c r="DM290" i="1"/>
  <c r="DO290" i="1"/>
  <c r="DR290" i="1"/>
  <c r="DT290" i="1"/>
  <c r="DU290" i="1"/>
  <c r="DV290" i="1"/>
  <c r="DX290" i="1"/>
  <c r="DY290" i="1"/>
  <c r="DZ290" i="1"/>
  <c r="EA290" i="1"/>
  <c r="EB290" i="1"/>
  <c r="EC290" i="1"/>
  <c r="ED290" i="1"/>
  <c r="EF290" i="1"/>
  <c r="EI290" i="1"/>
  <c r="CM397" i="1"/>
  <c r="CL397" i="1"/>
  <c r="CI397" i="1"/>
  <c r="CM396" i="1"/>
  <c r="CL396" i="1"/>
  <c r="CI396" i="1"/>
  <c r="CF396" i="1"/>
  <c r="CH396" i="1" s="1"/>
  <c r="CM395" i="1"/>
  <c r="CI395" i="1"/>
  <c r="CM394" i="1"/>
  <c r="CI394" i="1"/>
  <c r="CM393" i="1"/>
  <c r="CI393" i="1"/>
  <c r="CM392" i="1"/>
  <c r="CL392" i="1"/>
  <c r="CI392" i="1"/>
  <c r="CM391" i="1"/>
  <c r="CL391" i="1"/>
  <c r="CI391" i="1"/>
  <c r="CG391" i="1"/>
  <c r="DV391" i="1" s="1"/>
  <c r="CM390" i="1"/>
  <c r="CL390" i="1"/>
  <c r="CI390" i="1"/>
  <c r="CF390" i="1"/>
  <c r="CH390" i="1" s="1"/>
  <c r="CM389" i="1"/>
  <c r="CL389" i="1"/>
  <c r="CI389" i="1"/>
  <c r="CM388" i="1"/>
  <c r="CI388" i="1"/>
  <c r="CM387" i="1"/>
  <c r="CI387" i="1"/>
  <c r="CL386" i="1"/>
  <c r="CM386" i="1"/>
  <c r="CI386" i="1"/>
  <c r="T392" i="1"/>
  <c r="W392" i="1" s="1"/>
  <c r="AK392" i="1"/>
  <c r="AS392" i="1"/>
  <c r="AX392" i="1"/>
  <c r="BJ392" i="1"/>
  <c r="CD392" i="1" s="1"/>
  <c r="BU392" i="1"/>
  <c r="BV392" i="1"/>
  <c r="BW392" i="1"/>
  <c r="BX392" i="1"/>
  <c r="BY392" i="1"/>
  <c r="BZ392" i="1"/>
  <c r="CA392" i="1"/>
  <c r="CB392" i="1"/>
  <c r="CC392" i="1"/>
  <c r="CH392" i="1"/>
  <c r="DM392" i="1"/>
  <c r="DV392" i="1"/>
  <c r="ED392" i="1"/>
  <c r="T393" i="1"/>
  <c r="W393" i="1" s="1"/>
  <c r="AK393" i="1"/>
  <c r="AX393" i="1"/>
  <c r="BJ393" i="1"/>
  <c r="CD393" i="1" s="1"/>
  <c r="BU393" i="1"/>
  <c r="BV393" i="1"/>
  <c r="BW393" i="1"/>
  <c r="BX393" i="1"/>
  <c r="BY393" i="1"/>
  <c r="BZ393" i="1"/>
  <c r="CA393" i="1"/>
  <c r="CB393" i="1"/>
  <c r="CC393" i="1"/>
  <c r="CH393" i="1"/>
  <c r="DW393" i="1" s="1"/>
  <c r="DM393" i="1"/>
  <c r="DV393" i="1"/>
  <c r="ED393" i="1"/>
  <c r="T394" i="1"/>
  <c r="W394" i="1" s="1"/>
  <c r="AK394" i="1"/>
  <c r="AX394" i="1"/>
  <c r="BJ394" i="1"/>
  <c r="CD394" i="1" s="1"/>
  <c r="BU394" i="1"/>
  <c r="BV394" i="1"/>
  <c r="BW394" i="1"/>
  <c r="BX394" i="1"/>
  <c r="BY394" i="1"/>
  <c r="BZ394" i="1"/>
  <c r="CA394" i="1"/>
  <c r="CB394" i="1"/>
  <c r="CC394" i="1"/>
  <c r="CH394" i="1"/>
  <c r="DM394" i="1"/>
  <c r="DV394" i="1"/>
  <c r="ED394" i="1"/>
  <c r="T395" i="1"/>
  <c r="W395" i="1" s="1"/>
  <c r="AK395" i="1"/>
  <c r="AS395" i="1"/>
  <c r="AX395" i="1"/>
  <c r="BJ395" i="1"/>
  <c r="CD395" i="1" s="1"/>
  <c r="BU395" i="1"/>
  <c r="BV395" i="1"/>
  <c r="BW395" i="1"/>
  <c r="BX395" i="1"/>
  <c r="BY395" i="1"/>
  <c r="BZ395" i="1"/>
  <c r="CA395" i="1"/>
  <c r="CB395" i="1"/>
  <c r="CC395" i="1"/>
  <c r="CH395" i="1"/>
  <c r="DY395" i="1" s="1"/>
  <c r="DV395" i="1"/>
  <c r="T396" i="1"/>
  <c r="W396" i="1" s="1"/>
  <c r="AK396" i="1"/>
  <c r="AS396" i="1"/>
  <c r="AX396" i="1"/>
  <c r="BJ396" i="1"/>
  <c r="BU396" i="1"/>
  <c r="BV396" i="1"/>
  <c r="BW396" i="1"/>
  <c r="BX396" i="1"/>
  <c r="BY396" i="1"/>
  <c r="BZ396" i="1"/>
  <c r="CA396" i="1"/>
  <c r="CB396" i="1"/>
  <c r="CC396" i="1"/>
  <c r="DM396" i="1"/>
  <c r="DV396" i="1"/>
  <c r="ED396" i="1"/>
  <c r="T397" i="1"/>
  <c r="W397" i="1" s="1"/>
  <c r="AK397" i="1"/>
  <c r="AS397" i="1"/>
  <c r="AX397" i="1"/>
  <c r="BJ397" i="1"/>
  <c r="CD397" i="1" s="1"/>
  <c r="BU397" i="1"/>
  <c r="BV397" i="1"/>
  <c r="BW397" i="1"/>
  <c r="BX397" i="1"/>
  <c r="BY397" i="1"/>
  <c r="BZ397" i="1"/>
  <c r="CA397" i="1"/>
  <c r="CB397" i="1"/>
  <c r="CC397" i="1"/>
  <c r="CH397" i="1"/>
  <c r="DA397" i="1" s="1"/>
  <c r="DM397" i="1"/>
  <c r="DV397" i="1"/>
  <c r="ED397" i="1"/>
  <c r="T390" i="1"/>
  <c r="W390" i="1" s="1"/>
  <c r="AK390" i="1"/>
  <c r="AS390" i="1"/>
  <c r="AX390" i="1"/>
  <c r="BJ390" i="1"/>
  <c r="CD390" i="1" s="1"/>
  <c r="BU390" i="1"/>
  <c r="BV390" i="1"/>
  <c r="BW390" i="1"/>
  <c r="BX390" i="1"/>
  <c r="BY390" i="1"/>
  <c r="BZ390" i="1"/>
  <c r="CA390" i="1"/>
  <c r="CB390" i="1"/>
  <c r="CC390" i="1"/>
  <c r="DM390" i="1"/>
  <c r="DV390" i="1"/>
  <c r="ED390" i="1"/>
  <c r="T391" i="1"/>
  <c r="W391" i="1" s="1"/>
  <c r="AK391" i="1"/>
  <c r="AS391" i="1"/>
  <c r="AX391" i="1"/>
  <c r="BJ391" i="1"/>
  <c r="CD391" i="1" s="1"/>
  <c r="BU391" i="1"/>
  <c r="BV391" i="1"/>
  <c r="BW391" i="1"/>
  <c r="BX391" i="1"/>
  <c r="BY391" i="1"/>
  <c r="BZ391" i="1"/>
  <c r="CA391" i="1"/>
  <c r="CB391" i="1"/>
  <c r="CC391" i="1"/>
  <c r="T389" i="1"/>
  <c r="W389" i="1" s="1"/>
  <c r="AK389" i="1"/>
  <c r="AS389" i="1"/>
  <c r="AX389" i="1"/>
  <c r="BJ389" i="1"/>
  <c r="CD389" i="1" s="1"/>
  <c r="BU389" i="1"/>
  <c r="BV389" i="1"/>
  <c r="BW389" i="1"/>
  <c r="BX389" i="1"/>
  <c r="BY389" i="1"/>
  <c r="BZ389" i="1"/>
  <c r="CA389" i="1"/>
  <c r="CB389" i="1"/>
  <c r="CC389" i="1"/>
  <c r="CH389" i="1"/>
  <c r="DA389" i="1" s="1"/>
  <c r="DM389" i="1"/>
  <c r="DV389" i="1"/>
  <c r="ED389" i="1"/>
  <c r="T409" i="1"/>
  <c r="W409" i="1" s="1"/>
  <c r="AK409" i="1"/>
  <c r="AS409" i="1"/>
  <c r="AT409" i="1"/>
  <c r="AU409" i="1"/>
  <c r="AV409" i="1"/>
  <c r="AW409" i="1"/>
  <c r="AX409" i="1"/>
  <c r="BJ409" i="1"/>
  <c r="CD409" i="1" s="1"/>
  <c r="BK409" i="1"/>
  <c r="BL409" i="1"/>
  <c r="BM409" i="1"/>
  <c r="BN409" i="1"/>
  <c r="BO409" i="1"/>
  <c r="BP409" i="1"/>
  <c r="BQ409" i="1"/>
  <c r="BR409" i="1"/>
  <c r="BS409" i="1"/>
  <c r="BU409" i="1"/>
  <c r="BV409" i="1"/>
  <c r="BW409" i="1"/>
  <c r="BX409" i="1"/>
  <c r="BY409" i="1"/>
  <c r="BZ409" i="1"/>
  <c r="CA409" i="1"/>
  <c r="CB409" i="1"/>
  <c r="CC409" i="1"/>
  <c r="CH409" i="1"/>
  <c r="DF409" i="1" s="1"/>
  <c r="CP409" i="1"/>
  <c r="CR409" i="1" s="1"/>
  <c r="DP409" i="1" s="1"/>
  <c r="DA409" i="1"/>
  <c r="DC409" i="1"/>
  <c r="DD409" i="1"/>
  <c r="DE409" i="1"/>
  <c r="DG409" i="1"/>
  <c r="DH409" i="1"/>
  <c r="DI409" i="1"/>
  <c r="DJ409" i="1"/>
  <c r="DK409" i="1"/>
  <c r="DL409" i="1"/>
  <c r="DM409" i="1"/>
  <c r="DO409" i="1"/>
  <c r="DR409" i="1"/>
  <c r="DT409" i="1"/>
  <c r="DU409" i="1"/>
  <c r="DV409" i="1"/>
  <c r="DX409" i="1"/>
  <c r="DY409" i="1"/>
  <c r="DZ409" i="1"/>
  <c r="EA409" i="1"/>
  <c r="EB409" i="1"/>
  <c r="EC409" i="1"/>
  <c r="ED409" i="1"/>
  <c r="EF409" i="1"/>
  <c r="EI409" i="1"/>
  <c r="T388" i="1"/>
  <c r="W388" i="1" s="1"/>
  <c r="AK388" i="1"/>
  <c r="AX388" i="1"/>
  <c r="BJ388" i="1"/>
  <c r="BU388" i="1"/>
  <c r="BV388" i="1"/>
  <c r="BW388" i="1"/>
  <c r="BX388" i="1"/>
  <c r="BY388" i="1"/>
  <c r="BZ388" i="1"/>
  <c r="CA388" i="1"/>
  <c r="CB388" i="1"/>
  <c r="CC388" i="1"/>
  <c r="CH388" i="1"/>
  <c r="DA388" i="1" s="1"/>
  <c r="DV388" i="1"/>
  <c r="T387" i="1"/>
  <c r="W387" i="1" s="1"/>
  <c r="AK387" i="1"/>
  <c r="AX387" i="1"/>
  <c r="BJ387" i="1"/>
  <c r="CD387" i="1" s="1"/>
  <c r="BU387" i="1"/>
  <c r="BV387" i="1"/>
  <c r="BW387" i="1"/>
  <c r="BX387" i="1"/>
  <c r="BY387" i="1"/>
  <c r="BZ387" i="1"/>
  <c r="CA387" i="1"/>
  <c r="CB387" i="1"/>
  <c r="CC387" i="1"/>
  <c r="CH387" i="1"/>
  <c r="DA387" i="1" s="1"/>
  <c r="DV387" i="1"/>
  <c r="CL385" i="1"/>
  <c r="CI385" i="1"/>
  <c r="CM384" i="1"/>
  <c r="CI384" i="1"/>
  <c r="CM383" i="1"/>
  <c r="CI383" i="1"/>
  <c r="CM382" i="1"/>
  <c r="CI382" i="1"/>
  <c r="CM381" i="1"/>
  <c r="CI381" i="1"/>
  <c r="CM380" i="1"/>
  <c r="CI380" i="1"/>
  <c r="CM379" i="1"/>
  <c r="CI379" i="1"/>
  <c r="CH379" i="1"/>
  <c r="CM378" i="1"/>
  <c r="CL378" i="1"/>
  <c r="CI378" i="1"/>
  <c r="CM377" i="1"/>
  <c r="CL377" i="1"/>
  <c r="CI377" i="1"/>
  <c r="CM376" i="1"/>
  <c r="CI376" i="1"/>
  <c r="CS405" i="1" l="1"/>
  <c r="DQ405" i="1" s="1"/>
  <c r="EG405" i="1"/>
  <c r="AY399" i="1"/>
  <c r="DN398" i="1"/>
  <c r="CR398" i="1"/>
  <c r="AY398" i="1"/>
  <c r="DN399" i="1"/>
  <c r="DW399" i="1"/>
  <c r="EI399" i="1"/>
  <c r="EF399" i="1"/>
  <c r="EC399" i="1"/>
  <c r="EB399" i="1"/>
  <c r="EA399" i="1"/>
  <c r="DZ399" i="1"/>
  <c r="DA399" i="1"/>
  <c r="DY399" i="1"/>
  <c r="DX399" i="1"/>
  <c r="CU408" i="1"/>
  <c r="DQ408" i="1"/>
  <c r="EH408" i="1"/>
  <c r="DU399" i="1"/>
  <c r="DF399" i="1"/>
  <c r="EG399" i="1"/>
  <c r="DT399" i="1"/>
  <c r="CS399" i="1"/>
  <c r="CU399" i="1" s="1"/>
  <c r="EE399" i="1"/>
  <c r="CS290" i="1"/>
  <c r="CU290" i="1" s="1"/>
  <c r="EE290" i="1"/>
  <c r="DN290" i="1"/>
  <c r="AY290" i="1"/>
  <c r="AZ290" i="1"/>
  <c r="AR290" i="1"/>
  <c r="DB290" i="1" s="1"/>
  <c r="DF290" i="1"/>
  <c r="BT290" i="1"/>
  <c r="EG290" i="1"/>
  <c r="DP290" i="1"/>
  <c r="CP395" i="1"/>
  <c r="EE395" i="1" s="1"/>
  <c r="CP393" i="1"/>
  <c r="CR393" i="1" s="1"/>
  <c r="DP393" i="1" s="1"/>
  <c r="DG392" i="1"/>
  <c r="DI392" i="1"/>
  <c r="CP387" i="1"/>
  <c r="EE387" i="1" s="1"/>
  <c r="DK394" i="1"/>
  <c r="BL396" i="1"/>
  <c r="DH395" i="1"/>
  <c r="CP392" i="1"/>
  <c r="CR392" i="1" s="1"/>
  <c r="CS392" i="1" s="1"/>
  <c r="BQ395" i="1"/>
  <c r="CP389" i="1"/>
  <c r="CR389" i="1" s="1"/>
  <c r="DP389" i="1" s="1"/>
  <c r="CP396" i="1"/>
  <c r="EE396" i="1" s="1"/>
  <c r="DL396" i="1"/>
  <c r="BM394" i="1"/>
  <c r="BL394" i="1"/>
  <c r="DL394" i="1"/>
  <c r="BK394" i="1"/>
  <c r="DJ394" i="1"/>
  <c r="DG396" i="1"/>
  <c r="BR394" i="1"/>
  <c r="DX392" i="1"/>
  <c r="EA392" i="1"/>
  <c r="DO396" i="1"/>
  <c r="AW396" i="1"/>
  <c r="AV396" i="1"/>
  <c r="AU391" i="1"/>
  <c r="EI389" i="1"/>
  <c r="EA395" i="1"/>
  <c r="DJ391" i="1"/>
  <c r="BN390" i="1"/>
  <c r="BM390" i="1"/>
  <c r="AT396" i="1"/>
  <c r="DM391" i="1"/>
  <c r="DH390" i="1"/>
  <c r="BR395" i="1"/>
  <c r="DD390" i="1"/>
  <c r="AV390" i="1"/>
  <c r="DC390" i="1"/>
  <c r="AU390" i="1"/>
  <c r="BS392" i="1"/>
  <c r="DF390" i="1"/>
  <c r="DA392" i="1"/>
  <c r="EB390" i="1"/>
  <c r="DO390" i="1"/>
  <c r="EA393" i="1"/>
  <c r="DO395" i="1"/>
  <c r="AV395" i="1"/>
  <c r="DZ397" i="1"/>
  <c r="EI392" i="1"/>
  <c r="BS390" i="1"/>
  <c r="EI388" i="1"/>
  <c r="DK390" i="1"/>
  <c r="BR390" i="1"/>
  <c r="DY397" i="1"/>
  <c r="EF392" i="1"/>
  <c r="DL390" i="1"/>
  <c r="ED388" i="1"/>
  <c r="DI390" i="1"/>
  <c r="BO390" i="1"/>
  <c r="BR396" i="1"/>
  <c r="AT390" i="1"/>
  <c r="DH394" i="1"/>
  <c r="DI391" i="1"/>
  <c r="DC394" i="1"/>
  <c r="EC390" i="1"/>
  <c r="DF394" i="1"/>
  <c r="DG395" i="1"/>
  <c r="BS389" i="1"/>
  <c r="DZ390" i="1"/>
  <c r="BL390" i="1"/>
  <c r="DX397" i="1"/>
  <c r="DE395" i="1"/>
  <c r="ED387" i="1"/>
  <c r="DL389" i="1"/>
  <c r="DY390" i="1"/>
  <c r="BK390" i="1"/>
  <c r="BL397" i="1"/>
  <c r="DD395" i="1"/>
  <c r="BO395" i="1"/>
  <c r="EB392" i="1"/>
  <c r="EF387" i="1"/>
  <c r="BR397" i="1"/>
  <c r="BP395" i="1"/>
  <c r="DY394" i="1"/>
  <c r="EC392" i="1"/>
  <c r="EC387" i="1"/>
  <c r="DJ389" i="1"/>
  <c r="DX390" i="1"/>
  <c r="DR397" i="1"/>
  <c r="DC395" i="1"/>
  <c r="BN395" i="1"/>
  <c r="DR394" i="1"/>
  <c r="AW394" i="1"/>
  <c r="DZ392" i="1"/>
  <c r="EB387" i="1"/>
  <c r="DI389" i="1"/>
  <c r="AV389" i="1"/>
  <c r="DO397" i="1"/>
  <c r="DF395" i="1"/>
  <c r="BM395" i="1"/>
  <c r="DO394" i="1"/>
  <c r="AU394" i="1"/>
  <c r="DY392" i="1"/>
  <c r="EA387" i="1"/>
  <c r="DH389" i="1"/>
  <c r="AT389" i="1"/>
  <c r="BS391" i="1"/>
  <c r="DR390" i="1"/>
  <c r="AW390" i="1"/>
  <c r="AW397" i="1"/>
  <c r="BL395" i="1"/>
  <c r="AT394" i="1"/>
  <c r="DL397" i="1"/>
  <c r="AV397" i="1"/>
  <c r="BK395" i="1"/>
  <c r="DZ387" i="1"/>
  <c r="DY387" i="1"/>
  <c r="AT397" i="1"/>
  <c r="EF388" i="1"/>
  <c r="DR395" i="1"/>
  <c r="AW395" i="1"/>
  <c r="DI394" i="1"/>
  <c r="BS394" i="1"/>
  <c r="EB393" i="1"/>
  <c r="AT392" i="1"/>
  <c r="EA390" i="1"/>
  <c r="DM395" i="1"/>
  <c r="AU395" i="1"/>
  <c r="DG394" i="1"/>
  <c r="BP394" i="1"/>
  <c r="DY393" i="1"/>
  <c r="EC388" i="1"/>
  <c r="EA388" i="1"/>
  <c r="EI390" i="1"/>
  <c r="DG390" i="1"/>
  <c r="BQ390" i="1"/>
  <c r="DL395" i="1"/>
  <c r="AT395" i="1"/>
  <c r="DE394" i="1"/>
  <c r="BO394" i="1"/>
  <c r="DG391" i="1"/>
  <c r="EF390" i="1"/>
  <c r="DE390" i="1"/>
  <c r="BP390" i="1"/>
  <c r="DR396" i="1"/>
  <c r="BK396" i="1"/>
  <c r="DJ395" i="1"/>
  <c r="DD394" i="1"/>
  <c r="BN394" i="1"/>
  <c r="DI395" i="1"/>
  <c r="BS395" i="1"/>
  <c r="DA393" i="1"/>
  <c r="DJ397" i="1"/>
  <c r="DF396" i="1"/>
  <c r="DX396" i="1"/>
  <c r="DY396" i="1"/>
  <c r="DZ396" i="1"/>
  <c r="DA396" i="1"/>
  <c r="EC396" i="1"/>
  <c r="EF396" i="1"/>
  <c r="EI396" i="1"/>
  <c r="BQ387" i="1"/>
  <c r="DJ390" i="1"/>
  <c r="BO387" i="1"/>
  <c r="BP389" i="1"/>
  <c r="DC391" i="1"/>
  <c r="BK393" i="1"/>
  <c r="BN392" i="1"/>
  <c r="BK387" i="1"/>
  <c r="DU388" i="1"/>
  <c r="BO389" i="1"/>
  <c r="BN391" i="1"/>
  <c r="DK397" i="1"/>
  <c r="DI396" i="1"/>
  <c r="AV394" i="1"/>
  <c r="DR393" i="1"/>
  <c r="DF392" i="1"/>
  <c r="BM392" i="1"/>
  <c r="DC387" i="1"/>
  <c r="BR389" i="1"/>
  <c r="CH391" i="1"/>
  <c r="DX391" i="1" s="1"/>
  <c r="BM391" i="1"/>
  <c r="DI397" i="1"/>
  <c r="BS397" i="1"/>
  <c r="DH396" i="1"/>
  <c r="BS396" i="1"/>
  <c r="DO393" i="1"/>
  <c r="BL392" i="1"/>
  <c r="DG393" i="1"/>
  <c r="BR387" i="1"/>
  <c r="DC393" i="1"/>
  <c r="DF389" i="1"/>
  <c r="DH397" i="1"/>
  <c r="AW393" i="1"/>
  <c r="DR392" i="1"/>
  <c r="BK392" i="1"/>
  <c r="BP393" i="1"/>
  <c r="AW387" i="1"/>
  <c r="DZ389" i="1"/>
  <c r="BL389" i="1"/>
  <c r="BK391" i="1"/>
  <c r="DA390" i="1"/>
  <c r="EI397" i="1"/>
  <c r="DE397" i="1"/>
  <c r="BQ397" i="1"/>
  <c r="DE396" i="1"/>
  <c r="BQ396" i="1"/>
  <c r="EI395" i="1"/>
  <c r="AS394" i="1"/>
  <c r="DL393" i="1"/>
  <c r="AV393" i="1"/>
  <c r="DO392" i="1"/>
  <c r="DG389" i="1"/>
  <c r="DI387" i="1"/>
  <c r="DE387" i="1"/>
  <c r="DE392" i="1"/>
  <c r="DH391" i="1"/>
  <c r="AV387" i="1"/>
  <c r="DY389" i="1"/>
  <c r="BK389" i="1"/>
  <c r="CP390" i="1"/>
  <c r="DN390" i="1" s="1"/>
  <c r="EF397" i="1"/>
  <c r="DD397" i="1"/>
  <c r="BP397" i="1"/>
  <c r="DD396" i="1"/>
  <c r="BP396" i="1"/>
  <c r="EF395" i="1"/>
  <c r="EI394" i="1"/>
  <c r="DK393" i="1"/>
  <c r="AU393" i="1"/>
  <c r="EA389" i="1"/>
  <c r="EB394" i="1"/>
  <c r="DX394" i="1"/>
  <c r="BO393" i="1"/>
  <c r="DD387" i="1"/>
  <c r="DE391" i="1"/>
  <c r="DC389" i="1"/>
  <c r="BN389" i="1"/>
  <c r="BM389" i="1"/>
  <c r="AU387" i="1"/>
  <c r="DC397" i="1"/>
  <c r="BO397" i="1"/>
  <c r="DC396" i="1"/>
  <c r="BO396" i="1"/>
  <c r="ED395" i="1"/>
  <c r="EF394" i="1"/>
  <c r="DJ393" i="1"/>
  <c r="AT393" i="1"/>
  <c r="DL392" i="1"/>
  <c r="AW392" i="1"/>
  <c r="EB389" i="1"/>
  <c r="DX395" i="1"/>
  <c r="BR391" i="1"/>
  <c r="BL387" i="1"/>
  <c r="BL391" i="1"/>
  <c r="AT387" i="1"/>
  <c r="DR389" i="1"/>
  <c r="DR391" i="1"/>
  <c r="AW391" i="1"/>
  <c r="EC397" i="1"/>
  <c r="BN397" i="1"/>
  <c r="BN396" i="1"/>
  <c r="EC395" i="1"/>
  <c r="BQ394" i="1"/>
  <c r="EI393" i="1"/>
  <c r="DI393" i="1"/>
  <c r="AS393" i="1"/>
  <c r="DK392" i="1"/>
  <c r="AV392" i="1"/>
  <c r="DK395" i="1"/>
  <c r="EB396" i="1"/>
  <c r="BO391" i="1"/>
  <c r="DM387" i="1"/>
  <c r="AW389" i="1"/>
  <c r="DO391" i="1"/>
  <c r="AV391" i="1"/>
  <c r="EA397" i="1"/>
  <c r="DF397" i="1"/>
  <c r="BM397" i="1"/>
  <c r="EA396" i="1"/>
  <c r="BM396" i="1"/>
  <c r="EB395" i="1"/>
  <c r="DA395" i="1"/>
  <c r="EC394" i="1"/>
  <c r="EF393" i="1"/>
  <c r="DH393" i="1"/>
  <c r="BS393" i="1"/>
  <c r="DJ392" i="1"/>
  <c r="AU392" i="1"/>
  <c r="EA394" i="1"/>
  <c r="DE393" i="1"/>
  <c r="BR393" i="1"/>
  <c r="DJ387" i="1"/>
  <c r="DK389" i="1"/>
  <c r="AU389" i="1"/>
  <c r="DL391" i="1"/>
  <c r="AT391" i="1"/>
  <c r="BK397" i="1"/>
  <c r="DZ395" i="1"/>
  <c r="DZ394" i="1"/>
  <c r="DA394" i="1"/>
  <c r="EC393" i="1"/>
  <c r="DD393" i="1"/>
  <c r="BQ393" i="1"/>
  <c r="DH392" i="1"/>
  <c r="DZ393" i="1"/>
  <c r="BN393" i="1"/>
  <c r="DD392" i="1"/>
  <c r="BQ392" i="1"/>
  <c r="CP391" i="1"/>
  <c r="DN391" i="1" s="1"/>
  <c r="DG397" i="1"/>
  <c r="DL387" i="1"/>
  <c r="BR392" i="1"/>
  <c r="BP387" i="1"/>
  <c r="DE389" i="1"/>
  <c r="BQ391" i="1"/>
  <c r="BM393" i="1"/>
  <c r="DC392" i="1"/>
  <c r="BP392" i="1"/>
  <c r="BN387" i="1"/>
  <c r="DZ388" i="1"/>
  <c r="DD389" i="1"/>
  <c r="BQ389" i="1"/>
  <c r="DD391" i="1"/>
  <c r="BP391" i="1"/>
  <c r="AU397" i="1"/>
  <c r="AU396" i="1"/>
  <c r="DX393" i="1"/>
  <c r="BL393" i="1"/>
  <c r="BO392" i="1"/>
  <c r="CP397" i="1"/>
  <c r="CR397" i="1" s="1"/>
  <c r="DP397" i="1" s="1"/>
  <c r="EB397" i="1"/>
  <c r="DU397" i="1"/>
  <c r="DT397" i="1"/>
  <c r="DK396" i="1"/>
  <c r="DJ396" i="1"/>
  <c r="DT396" i="1"/>
  <c r="DU396" i="1"/>
  <c r="DU395" i="1"/>
  <c r="DT395" i="1"/>
  <c r="CP394" i="1"/>
  <c r="DN394" i="1" s="1"/>
  <c r="DU394" i="1"/>
  <c r="DT394" i="1"/>
  <c r="DU393" i="1"/>
  <c r="DT393" i="1"/>
  <c r="DT392" i="1"/>
  <c r="DU392" i="1"/>
  <c r="DK391" i="1"/>
  <c r="DU390" i="1"/>
  <c r="DT390" i="1"/>
  <c r="BQ388" i="1"/>
  <c r="DF387" i="1"/>
  <c r="BM387" i="1"/>
  <c r="EB388" i="1"/>
  <c r="BN388" i="1"/>
  <c r="EF389" i="1"/>
  <c r="DF388" i="1"/>
  <c r="BM388" i="1"/>
  <c r="DD388" i="1"/>
  <c r="BO388" i="1"/>
  <c r="EC389" i="1"/>
  <c r="BK388" i="1"/>
  <c r="DH388" i="1"/>
  <c r="BR388" i="1"/>
  <c r="DE388" i="1"/>
  <c r="DC388" i="1"/>
  <c r="BL388" i="1"/>
  <c r="DR387" i="1"/>
  <c r="DY388" i="1"/>
  <c r="DO387" i="1"/>
  <c r="AR397" i="1"/>
  <c r="DB397" i="1" s="1"/>
  <c r="DX387" i="1"/>
  <c r="AW388" i="1"/>
  <c r="AV388" i="1"/>
  <c r="AS387" i="1"/>
  <c r="DR388" i="1"/>
  <c r="DO388" i="1"/>
  <c r="DX389" i="1"/>
  <c r="DM388" i="1"/>
  <c r="AU388" i="1"/>
  <c r="DH387" i="1"/>
  <c r="DL388" i="1"/>
  <c r="AT388" i="1"/>
  <c r="DK387" i="1"/>
  <c r="EI387" i="1"/>
  <c r="DG387" i="1"/>
  <c r="BS387" i="1"/>
  <c r="DJ388" i="1"/>
  <c r="AS388" i="1"/>
  <c r="DO389" i="1"/>
  <c r="DG388" i="1"/>
  <c r="DI388" i="1"/>
  <c r="BS388" i="1"/>
  <c r="DK388" i="1"/>
  <c r="BP388" i="1"/>
  <c r="DU389" i="1"/>
  <c r="DT389" i="1"/>
  <c r="DX388" i="1"/>
  <c r="CP388" i="1"/>
  <c r="DN388" i="1" s="1"/>
  <c r="DT388" i="1"/>
  <c r="DU387" i="1"/>
  <c r="DT387" i="1"/>
  <c r="DW392" i="1"/>
  <c r="DF393" i="1"/>
  <c r="BT392" i="1"/>
  <c r="AR392" i="1"/>
  <c r="DB392" i="1" s="1"/>
  <c r="DW395" i="1"/>
  <c r="BT396" i="1"/>
  <c r="AZ392" i="1"/>
  <c r="AZ393" i="1"/>
  <c r="AZ394" i="1"/>
  <c r="AZ396" i="1"/>
  <c r="BT393" i="1"/>
  <c r="DW390" i="1"/>
  <c r="AR393" i="1"/>
  <c r="DB393" i="1" s="1"/>
  <c r="AR395" i="1"/>
  <c r="DB395" i="1" s="1"/>
  <c r="BT394" i="1"/>
  <c r="AR394" i="1"/>
  <c r="DB394" i="1" s="1"/>
  <c r="DW394" i="1"/>
  <c r="DW396" i="1"/>
  <c r="AZ395" i="1"/>
  <c r="BT395" i="1"/>
  <c r="CD396" i="1"/>
  <c r="DW397" i="1"/>
  <c r="BT397" i="1"/>
  <c r="AR396" i="1"/>
  <c r="DB396" i="1" s="1"/>
  <c r="AZ397" i="1"/>
  <c r="AZ389" i="1"/>
  <c r="BT391" i="1"/>
  <c r="AR391" i="1"/>
  <c r="DB391" i="1" s="1"/>
  <c r="BT390" i="1"/>
  <c r="AZ390" i="1"/>
  <c r="AR390" i="1"/>
  <c r="DB390" i="1" s="1"/>
  <c r="AR388" i="1"/>
  <c r="DB388" i="1" s="1"/>
  <c r="DW389" i="1"/>
  <c r="AZ391" i="1"/>
  <c r="AR387" i="1"/>
  <c r="DB387" i="1" s="1"/>
  <c r="AR389" i="1"/>
  <c r="DB389" i="1" s="1"/>
  <c r="BT389" i="1"/>
  <c r="BT388" i="1"/>
  <c r="BT409" i="1"/>
  <c r="DW409" i="1"/>
  <c r="AZ409" i="1"/>
  <c r="AY409" i="1"/>
  <c r="DN409" i="1"/>
  <c r="AR409" i="1"/>
  <c r="DB409" i="1" s="1"/>
  <c r="DW387" i="1"/>
  <c r="CS409" i="1"/>
  <c r="EH409" i="1" s="1"/>
  <c r="EE409" i="1"/>
  <c r="CD388" i="1"/>
  <c r="AZ388" i="1"/>
  <c r="AZ387" i="1"/>
  <c r="EG409" i="1"/>
  <c r="DW388" i="1"/>
  <c r="BT387" i="1"/>
  <c r="CI375" i="1"/>
  <c r="CP375" i="1" s="1"/>
  <c r="CR375" i="1" s="1"/>
  <c r="CM374" i="1"/>
  <c r="CI374" i="1"/>
  <c r="CM373" i="1"/>
  <c r="CI373" i="1"/>
  <c r="CF373" i="1"/>
  <c r="CH373" i="1" s="1"/>
  <c r="T377" i="1"/>
  <c r="W377" i="1" s="1"/>
  <c r="AK377" i="1"/>
  <c r="AS377" i="1"/>
  <c r="AX377" i="1"/>
  <c r="BJ377" i="1"/>
  <c r="CD377" i="1" s="1"/>
  <c r="BU377" i="1"/>
  <c r="BV377" i="1"/>
  <c r="BW377" i="1"/>
  <c r="BX377" i="1"/>
  <c r="BY377" i="1"/>
  <c r="BZ377" i="1"/>
  <c r="CA377" i="1"/>
  <c r="CB377" i="1"/>
  <c r="CC377" i="1"/>
  <c r="CH377" i="1"/>
  <c r="DW377" i="1" s="1"/>
  <c r="CP377" i="1"/>
  <c r="CR377" i="1" s="1"/>
  <c r="DV377" i="1"/>
  <c r="T378" i="1"/>
  <c r="W378" i="1" s="1"/>
  <c r="AK378" i="1"/>
  <c r="AX378" i="1"/>
  <c r="BJ378" i="1"/>
  <c r="CD378" i="1" s="1"/>
  <c r="BU378" i="1"/>
  <c r="BV378" i="1"/>
  <c r="BW378" i="1"/>
  <c r="BX378" i="1"/>
  <c r="BY378" i="1"/>
  <c r="BZ378" i="1"/>
  <c r="CA378" i="1"/>
  <c r="CB378" i="1"/>
  <c r="CC378" i="1"/>
  <c r="CH378" i="1"/>
  <c r="DX378" i="1" s="1"/>
  <c r="CP378" i="1"/>
  <c r="CR378" i="1" s="1"/>
  <c r="DV378" i="1"/>
  <c r="T379" i="1"/>
  <c r="W379" i="1" s="1"/>
  <c r="AK379" i="1"/>
  <c r="AS379" i="1"/>
  <c r="AX379" i="1"/>
  <c r="BJ379" i="1"/>
  <c r="CD379" i="1" s="1"/>
  <c r="BU379" i="1"/>
  <c r="BV379" i="1"/>
  <c r="BW379" i="1"/>
  <c r="BX379" i="1"/>
  <c r="BY379" i="1"/>
  <c r="BZ379" i="1"/>
  <c r="CA379" i="1"/>
  <c r="CB379" i="1"/>
  <c r="CC379" i="1"/>
  <c r="CP379" i="1"/>
  <c r="CR379" i="1" s="1"/>
  <c r="DA379" i="1"/>
  <c r="DM379" i="1"/>
  <c r="DV379" i="1"/>
  <c r="DX379" i="1"/>
  <c r="DY379" i="1"/>
  <c r="DZ379" i="1"/>
  <c r="EA379" i="1"/>
  <c r="EB379" i="1"/>
  <c r="EC379" i="1"/>
  <c r="ED379" i="1"/>
  <c r="EF379" i="1"/>
  <c r="EI379" i="1"/>
  <c r="T380" i="1"/>
  <c r="W380" i="1" s="1"/>
  <c r="AK380" i="1"/>
  <c r="AX380" i="1"/>
  <c r="BJ380" i="1"/>
  <c r="CD380" i="1" s="1"/>
  <c r="BU380" i="1"/>
  <c r="BV380" i="1"/>
  <c r="BW380" i="1"/>
  <c r="BX380" i="1"/>
  <c r="BY380" i="1"/>
  <c r="BZ380" i="1"/>
  <c r="CA380" i="1"/>
  <c r="CB380" i="1"/>
  <c r="CC380" i="1"/>
  <c r="CH380" i="1"/>
  <c r="DX380" i="1" s="1"/>
  <c r="CP380" i="1"/>
  <c r="CR380" i="1" s="1"/>
  <c r="DV380" i="1"/>
  <c r="T381" i="1"/>
  <c r="W381" i="1" s="1"/>
  <c r="AK381" i="1"/>
  <c r="AX381" i="1"/>
  <c r="BJ381" i="1"/>
  <c r="CD381" i="1" s="1"/>
  <c r="BU381" i="1"/>
  <c r="BV381" i="1"/>
  <c r="BW381" i="1"/>
  <c r="BX381" i="1"/>
  <c r="BY381" i="1"/>
  <c r="BZ381" i="1"/>
  <c r="CA381" i="1"/>
  <c r="CB381" i="1"/>
  <c r="CC381" i="1"/>
  <c r="CH381" i="1"/>
  <c r="DA381" i="1" s="1"/>
  <c r="CP381" i="1"/>
  <c r="CR381" i="1" s="1"/>
  <c r="DV381" i="1"/>
  <c r="T382" i="1"/>
  <c r="W382" i="1" s="1"/>
  <c r="AK382" i="1"/>
  <c r="AX382" i="1"/>
  <c r="BJ382" i="1"/>
  <c r="CD382" i="1" s="1"/>
  <c r="BU382" i="1"/>
  <c r="BV382" i="1"/>
  <c r="BW382" i="1"/>
  <c r="BX382" i="1"/>
  <c r="BY382" i="1"/>
  <c r="BZ382" i="1"/>
  <c r="CA382" i="1"/>
  <c r="CB382" i="1"/>
  <c r="CC382" i="1"/>
  <c r="CH382" i="1"/>
  <c r="CP382" i="1"/>
  <c r="DM382" i="1"/>
  <c r="DV382" i="1"/>
  <c r="ED382" i="1"/>
  <c r="T385" i="1"/>
  <c r="W385" i="1" s="1"/>
  <c r="AK385" i="1"/>
  <c r="AS385" i="1"/>
  <c r="AX385" i="1"/>
  <c r="BJ385" i="1"/>
  <c r="CD385" i="1" s="1"/>
  <c r="BU385" i="1"/>
  <c r="BV385" i="1"/>
  <c r="BW385" i="1"/>
  <c r="BX385" i="1"/>
  <c r="BY385" i="1"/>
  <c r="BZ385" i="1"/>
  <c r="CA385" i="1"/>
  <c r="CB385" i="1"/>
  <c r="CC385" i="1"/>
  <c r="CH385" i="1"/>
  <c r="EA385" i="1" s="1"/>
  <c r="CP385" i="1"/>
  <c r="CR385" i="1" s="1"/>
  <c r="T386" i="1"/>
  <c r="W386" i="1" s="1"/>
  <c r="AK386" i="1"/>
  <c r="AX386" i="1"/>
  <c r="BJ386" i="1"/>
  <c r="CD386" i="1" s="1"/>
  <c r="BU386" i="1"/>
  <c r="BV386" i="1"/>
  <c r="BW386" i="1"/>
  <c r="BX386" i="1"/>
  <c r="BY386" i="1"/>
  <c r="BZ386" i="1"/>
  <c r="CA386" i="1"/>
  <c r="CB386" i="1"/>
  <c r="CC386" i="1"/>
  <c r="CH386" i="1"/>
  <c r="DX386" i="1" s="1"/>
  <c r="CP386" i="1"/>
  <c r="DM386" i="1"/>
  <c r="DV386" i="1"/>
  <c r="ED386" i="1"/>
  <c r="T384" i="1"/>
  <c r="W384" i="1" s="1"/>
  <c r="AK384" i="1"/>
  <c r="AS384" i="1"/>
  <c r="AX384" i="1"/>
  <c r="BJ384" i="1"/>
  <c r="CD384" i="1" s="1"/>
  <c r="BU384" i="1"/>
  <c r="BV384" i="1"/>
  <c r="BW384" i="1"/>
  <c r="BX384" i="1"/>
  <c r="BY384" i="1"/>
  <c r="BZ384" i="1"/>
  <c r="CA384" i="1"/>
  <c r="CB384" i="1"/>
  <c r="CC384" i="1"/>
  <c r="CH384" i="1"/>
  <c r="EA384" i="1" s="1"/>
  <c r="CP384" i="1"/>
  <c r="CR384" i="1" s="1"/>
  <c r="DM384" i="1"/>
  <c r="DV384" i="1"/>
  <c r="ED384" i="1"/>
  <c r="T376" i="1"/>
  <c r="W376" i="1" s="1"/>
  <c r="AK376" i="1"/>
  <c r="AS376" i="1"/>
  <c r="AU376" i="1"/>
  <c r="AX376" i="1"/>
  <c r="BJ376" i="1"/>
  <c r="CD376" i="1" s="1"/>
  <c r="BU376" i="1"/>
  <c r="BV376" i="1"/>
  <c r="BW376" i="1"/>
  <c r="BX376" i="1"/>
  <c r="BY376" i="1"/>
  <c r="BZ376" i="1"/>
  <c r="CA376" i="1"/>
  <c r="CB376" i="1"/>
  <c r="CC376" i="1"/>
  <c r="CH376" i="1"/>
  <c r="CP376" i="1"/>
  <c r="CR376" i="1" s="1"/>
  <c r="DM376" i="1"/>
  <c r="DV376" i="1"/>
  <c r="ED376" i="1"/>
  <c r="T383" i="1"/>
  <c r="W383" i="1" s="1"/>
  <c r="AK383" i="1"/>
  <c r="AS383" i="1"/>
  <c r="AX383" i="1"/>
  <c r="BJ383" i="1"/>
  <c r="CD383" i="1" s="1"/>
  <c r="BU383" i="1"/>
  <c r="BV383" i="1"/>
  <c r="BW383" i="1"/>
  <c r="BX383" i="1"/>
  <c r="BY383" i="1"/>
  <c r="BZ383" i="1"/>
  <c r="CA383" i="1"/>
  <c r="CB383" i="1"/>
  <c r="CC383" i="1"/>
  <c r="CH383" i="1"/>
  <c r="DW383" i="1" s="1"/>
  <c r="CP383" i="1"/>
  <c r="CR383" i="1" s="1"/>
  <c r="DG383" i="1"/>
  <c r="DM383" i="1"/>
  <c r="DV383" i="1"/>
  <c r="DX383" i="1"/>
  <c r="ED383" i="1"/>
  <c r="T375" i="1"/>
  <c r="W375" i="1" s="1"/>
  <c r="AK375" i="1"/>
  <c r="AS375" i="1"/>
  <c r="AX375" i="1"/>
  <c r="BJ375" i="1"/>
  <c r="CD375" i="1" s="1"/>
  <c r="BR375" i="1"/>
  <c r="BU375" i="1"/>
  <c r="BV375" i="1"/>
  <c r="BW375" i="1"/>
  <c r="BX375" i="1"/>
  <c r="BY375" i="1"/>
  <c r="BZ375" i="1"/>
  <c r="CA375" i="1"/>
  <c r="CB375" i="1"/>
  <c r="CC375" i="1"/>
  <c r="CH375" i="1"/>
  <c r="DY375" i="1" s="1"/>
  <c r="DM375" i="1"/>
  <c r="DV375" i="1"/>
  <c r="ED375" i="1"/>
  <c r="T411" i="1"/>
  <c r="W411" i="1" s="1"/>
  <c r="AK411" i="1"/>
  <c r="AS411" i="1"/>
  <c r="AT411" i="1"/>
  <c r="AU411" i="1"/>
  <c r="AV411" i="1"/>
  <c r="AW411" i="1"/>
  <c r="AX411" i="1"/>
  <c r="BJ411" i="1"/>
  <c r="CD411" i="1" s="1"/>
  <c r="BK411" i="1"/>
  <c r="BL411" i="1"/>
  <c r="BM411" i="1"/>
  <c r="BN411" i="1"/>
  <c r="BO411" i="1"/>
  <c r="BP411" i="1"/>
  <c r="BQ411" i="1"/>
  <c r="BR411" i="1"/>
  <c r="BS411" i="1"/>
  <c r="BU411" i="1"/>
  <c r="BV411" i="1"/>
  <c r="BW411" i="1"/>
  <c r="BX411" i="1"/>
  <c r="BY411" i="1"/>
  <c r="BZ411" i="1"/>
  <c r="CA411" i="1"/>
  <c r="CB411" i="1"/>
  <c r="CC411" i="1"/>
  <c r="CH411" i="1"/>
  <c r="DF411" i="1" s="1"/>
  <c r="CP411" i="1"/>
  <c r="CR411" i="1" s="1"/>
  <c r="DP411" i="1" s="1"/>
  <c r="DA411" i="1"/>
  <c r="DC411" i="1"/>
  <c r="DD411" i="1"/>
  <c r="DE411" i="1"/>
  <c r="DG411" i="1"/>
  <c r="DH411" i="1"/>
  <c r="DI411" i="1"/>
  <c r="DJ411" i="1"/>
  <c r="DK411" i="1"/>
  <c r="DL411" i="1"/>
  <c r="DM411" i="1"/>
  <c r="DO411" i="1"/>
  <c r="DR411" i="1"/>
  <c r="DT411" i="1"/>
  <c r="DU411" i="1"/>
  <c r="DV411" i="1"/>
  <c r="DX411" i="1"/>
  <c r="DY411" i="1"/>
  <c r="DZ411" i="1"/>
  <c r="EA411" i="1"/>
  <c r="EB411" i="1"/>
  <c r="EC411" i="1"/>
  <c r="ED411" i="1"/>
  <c r="EF411" i="1"/>
  <c r="EI411" i="1"/>
  <c r="T410" i="1"/>
  <c r="W410" i="1" s="1"/>
  <c r="AK410" i="1"/>
  <c r="AS410" i="1"/>
  <c r="AT410" i="1"/>
  <c r="AU410" i="1"/>
  <c r="AV410" i="1"/>
  <c r="AW410" i="1"/>
  <c r="AX410" i="1"/>
  <c r="BJ410" i="1"/>
  <c r="CD410" i="1" s="1"/>
  <c r="BK410" i="1"/>
  <c r="BL410" i="1"/>
  <c r="BM410" i="1"/>
  <c r="BN410" i="1"/>
  <c r="BO410" i="1"/>
  <c r="BP410" i="1"/>
  <c r="BQ410" i="1"/>
  <c r="BR410" i="1"/>
  <c r="BS410" i="1"/>
  <c r="BU410" i="1"/>
  <c r="BV410" i="1"/>
  <c r="BW410" i="1"/>
  <c r="BX410" i="1"/>
  <c r="BY410" i="1"/>
  <c r="BZ410" i="1"/>
  <c r="CA410" i="1"/>
  <c r="CB410" i="1"/>
  <c r="CC410" i="1"/>
  <c r="CH410" i="1"/>
  <c r="DF410" i="1" s="1"/>
  <c r="CP410" i="1"/>
  <c r="CR410" i="1" s="1"/>
  <c r="DA410" i="1"/>
  <c r="DC410" i="1"/>
  <c r="DD410" i="1"/>
  <c r="DE410" i="1"/>
  <c r="DG410" i="1"/>
  <c r="DH410" i="1"/>
  <c r="DI410" i="1"/>
  <c r="DJ410" i="1"/>
  <c r="DK410" i="1"/>
  <c r="DL410" i="1"/>
  <c r="DM410" i="1"/>
  <c r="DO410" i="1"/>
  <c r="DR410" i="1"/>
  <c r="DT410" i="1"/>
  <c r="DU410" i="1"/>
  <c r="DV410" i="1"/>
  <c r="DX410" i="1"/>
  <c r="DY410" i="1"/>
  <c r="DZ410" i="1"/>
  <c r="EA410" i="1"/>
  <c r="EB410" i="1"/>
  <c r="EC410" i="1"/>
  <c r="ED410" i="1"/>
  <c r="EF410" i="1"/>
  <c r="EI410" i="1"/>
  <c r="T374" i="1"/>
  <c r="W374" i="1" s="1"/>
  <c r="AK374" i="1"/>
  <c r="AS374" i="1"/>
  <c r="AX374" i="1"/>
  <c r="BJ374" i="1"/>
  <c r="CD374" i="1" s="1"/>
  <c r="BU374" i="1"/>
  <c r="BV374" i="1"/>
  <c r="BW374" i="1"/>
  <c r="BX374" i="1"/>
  <c r="BY374" i="1"/>
  <c r="BZ374" i="1"/>
  <c r="CA374" i="1"/>
  <c r="CB374" i="1"/>
  <c r="CC374" i="1"/>
  <c r="CH374" i="1"/>
  <c r="DY374" i="1" s="1"/>
  <c r="DM374" i="1"/>
  <c r="DV374" i="1"/>
  <c r="ED374" i="1"/>
  <c r="T412" i="1"/>
  <c r="W412" i="1" s="1"/>
  <c r="AK412" i="1"/>
  <c r="AS412" i="1"/>
  <c r="AT412" i="1"/>
  <c r="AU412" i="1"/>
  <c r="AV412" i="1"/>
  <c r="AW412" i="1"/>
  <c r="AX412" i="1"/>
  <c r="BJ412" i="1"/>
  <c r="CD412" i="1" s="1"/>
  <c r="BK412" i="1"/>
  <c r="BL412" i="1"/>
  <c r="BM412" i="1"/>
  <c r="BN412" i="1"/>
  <c r="BO412" i="1"/>
  <c r="BP412" i="1"/>
  <c r="BQ412" i="1"/>
  <c r="BR412" i="1"/>
  <c r="BS412" i="1"/>
  <c r="BU412" i="1"/>
  <c r="BV412" i="1"/>
  <c r="BW412" i="1"/>
  <c r="BX412" i="1"/>
  <c r="BY412" i="1"/>
  <c r="BZ412" i="1"/>
  <c r="CA412" i="1"/>
  <c r="CB412" i="1"/>
  <c r="CC412" i="1"/>
  <c r="CH412" i="1"/>
  <c r="DF412" i="1" s="1"/>
  <c r="CP412" i="1"/>
  <c r="DA412" i="1"/>
  <c r="DC412" i="1"/>
  <c r="DD412" i="1"/>
  <c r="DE412" i="1"/>
  <c r="DG412" i="1"/>
  <c r="DH412" i="1"/>
  <c r="DI412" i="1"/>
  <c r="DJ412" i="1"/>
  <c r="DK412" i="1"/>
  <c r="DL412" i="1"/>
  <c r="DM412" i="1"/>
  <c r="DO412" i="1"/>
  <c r="DR412" i="1"/>
  <c r="DT412" i="1"/>
  <c r="DU412" i="1"/>
  <c r="DV412" i="1"/>
  <c r="DX412" i="1"/>
  <c r="DY412" i="1"/>
  <c r="DZ412" i="1"/>
  <c r="EA412" i="1"/>
  <c r="EB412" i="1"/>
  <c r="EC412" i="1"/>
  <c r="ED412" i="1"/>
  <c r="EF412" i="1"/>
  <c r="EI412" i="1"/>
  <c r="T413" i="1"/>
  <c r="W413" i="1" s="1"/>
  <c r="AK413" i="1"/>
  <c r="AS413" i="1"/>
  <c r="AT413" i="1"/>
  <c r="AU413" i="1"/>
  <c r="AV413" i="1"/>
  <c r="AW413" i="1"/>
  <c r="AX413" i="1"/>
  <c r="BJ413" i="1"/>
  <c r="CD413" i="1" s="1"/>
  <c r="BK413" i="1"/>
  <c r="BL413" i="1"/>
  <c r="BM413" i="1"/>
  <c r="BN413" i="1"/>
  <c r="BO413" i="1"/>
  <c r="BP413" i="1"/>
  <c r="BQ413" i="1"/>
  <c r="BR413" i="1"/>
  <c r="BS413" i="1"/>
  <c r="BU413" i="1"/>
  <c r="BV413" i="1"/>
  <c r="BW413" i="1"/>
  <c r="BX413" i="1"/>
  <c r="BY413" i="1"/>
  <c r="BZ413" i="1"/>
  <c r="CA413" i="1"/>
  <c r="CB413" i="1"/>
  <c r="CC413" i="1"/>
  <c r="CH413" i="1"/>
  <c r="DF413" i="1" s="1"/>
  <c r="CP413" i="1"/>
  <c r="CR413" i="1" s="1"/>
  <c r="DA413" i="1"/>
  <c r="DC413" i="1"/>
  <c r="DD413" i="1"/>
  <c r="DE413" i="1"/>
  <c r="DG413" i="1"/>
  <c r="DH413" i="1"/>
  <c r="DI413" i="1"/>
  <c r="DJ413" i="1"/>
  <c r="DK413" i="1"/>
  <c r="DL413" i="1"/>
  <c r="DM413" i="1"/>
  <c r="DO413" i="1"/>
  <c r="DR413" i="1"/>
  <c r="DT413" i="1"/>
  <c r="DU413" i="1"/>
  <c r="DV413" i="1"/>
  <c r="DX413" i="1"/>
  <c r="DY413" i="1"/>
  <c r="DZ413" i="1"/>
  <c r="EA413" i="1"/>
  <c r="EB413" i="1"/>
  <c r="EC413" i="1"/>
  <c r="ED413" i="1"/>
  <c r="EF413" i="1"/>
  <c r="EI413" i="1"/>
  <c r="CM371" i="1"/>
  <c r="CI371" i="1"/>
  <c r="CF371" i="1"/>
  <c r="CM370" i="1"/>
  <c r="CI370" i="1"/>
  <c r="CM369" i="1"/>
  <c r="CI369" i="1"/>
  <c r="CM368" i="1"/>
  <c r="CI368" i="1"/>
  <c r="T368" i="1"/>
  <c r="BP368" i="1" s="1"/>
  <c r="CM367" i="1"/>
  <c r="CI367" i="1"/>
  <c r="CM366" i="1"/>
  <c r="CI366" i="1"/>
  <c r="CM365" i="1"/>
  <c r="CI365" i="1"/>
  <c r="CM364" i="1"/>
  <c r="CI364" i="1"/>
  <c r="CI363" i="1"/>
  <c r="CM363" i="1"/>
  <c r="CM362" i="1"/>
  <c r="CI362" i="1"/>
  <c r="CI361" i="1"/>
  <c r="CM360" i="1"/>
  <c r="CM359" i="1"/>
  <c r="CI359" i="1"/>
  <c r="T365" i="1"/>
  <c r="W365" i="1" s="1"/>
  <c r="AK365" i="1"/>
  <c r="AS365" i="1"/>
  <c r="AX365" i="1"/>
  <c r="BJ365" i="1"/>
  <c r="CD365" i="1" s="1"/>
  <c r="BU365" i="1"/>
  <c r="BV365" i="1"/>
  <c r="BW365" i="1"/>
  <c r="BX365" i="1"/>
  <c r="BY365" i="1"/>
  <c r="BZ365" i="1"/>
  <c r="CA365" i="1"/>
  <c r="CB365" i="1"/>
  <c r="CC365" i="1"/>
  <c r="CH365" i="1"/>
  <c r="DZ365" i="1" s="1"/>
  <c r="DA365" i="1"/>
  <c r="DR365" i="1"/>
  <c r="DV365" i="1"/>
  <c r="EI365" i="1"/>
  <c r="T366" i="1"/>
  <c r="W366" i="1" s="1"/>
  <c r="AK366" i="1"/>
  <c r="AX366" i="1"/>
  <c r="BJ366" i="1"/>
  <c r="CD366" i="1" s="1"/>
  <c r="BU366" i="1"/>
  <c r="BV366" i="1"/>
  <c r="BW366" i="1"/>
  <c r="BX366" i="1"/>
  <c r="BY366" i="1"/>
  <c r="BZ366" i="1"/>
  <c r="CA366" i="1"/>
  <c r="CB366" i="1"/>
  <c r="CC366" i="1"/>
  <c r="CH366" i="1"/>
  <c r="DA366" i="1" s="1"/>
  <c r="DJ366" i="1"/>
  <c r="DM366" i="1"/>
  <c r="DV366" i="1"/>
  <c r="EA366" i="1"/>
  <c r="ED366" i="1"/>
  <c r="T367" i="1"/>
  <c r="W367" i="1" s="1"/>
  <c r="AK367" i="1"/>
  <c r="AX367" i="1"/>
  <c r="BJ367" i="1"/>
  <c r="CD367" i="1" s="1"/>
  <c r="BU367" i="1"/>
  <c r="BV367" i="1"/>
  <c r="BW367" i="1"/>
  <c r="BX367" i="1"/>
  <c r="BY367" i="1"/>
  <c r="BZ367" i="1"/>
  <c r="CA367" i="1"/>
  <c r="CB367" i="1"/>
  <c r="CC367" i="1"/>
  <c r="CH367" i="1"/>
  <c r="DV367" i="1"/>
  <c r="AK368" i="1"/>
  <c r="AS368" i="1"/>
  <c r="AX368" i="1"/>
  <c r="BJ368" i="1"/>
  <c r="CD368" i="1" s="1"/>
  <c r="BU368" i="1"/>
  <c r="BV368" i="1"/>
  <c r="BW368" i="1"/>
  <c r="BX368" i="1"/>
  <c r="BY368" i="1"/>
  <c r="BZ368" i="1"/>
  <c r="CA368" i="1"/>
  <c r="CB368" i="1"/>
  <c r="CC368" i="1"/>
  <c r="CH368" i="1"/>
  <c r="DM368" i="1"/>
  <c r="DV368" i="1"/>
  <c r="ED368" i="1"/>
  <c r="T369" i="1"/>
  <c r="W369" i="1" s="1"/>
  <c r="AK369" i="1"/>
  <c r="AX369" i="1"/>
  <c r="BJ369" i="1"/>
  <c r="CD369" i="1" s="1"/>
  <c r="BU369" i="1"/>
  <c r="BV369" i="1"/>
  <c r="BW369" i="1"/>
  <c r="BX369" i="1"/>
  <c r="BY369" i="1"/>
  <c r="BZ369" i="1"/>
  <c r="CA369" i="1"/>
  <c r="CB369" i="1"/>
  <c r="CC369" i="1"/>
  <c r="CH369" i="1"/>
  <c r="EA369" i="1" s="1"/>
  <c r="DM369" i="1"/>
  <c r="DV369" i="1"/>
  <c r="ED369" i="1"/>
  <c r="T370" i="1"/>
  <c r="W370" i="1" s="1"/>
  <c r="AK370" i="1"/>
  <c r="AX370" i="1"/>
  <c r="BJ370" i="1"/>
  <c r="BU370" i="1"/>
  <c r="BV370" i="1"/>
  <c r="BW370" i="1"/>
  <c r="BX370" i="1"/>
  <c r="BY370" i="1"/>
  <c r="BZ370" i="1"/>
  <c r="CA370" i="1"/>
  <c r="CB370" i="1"/>
  <c r="CC370" i="1"/>
  <c r="CH370" i="1"/>
  <c r="DY370" i="1" s="1"/>
  <c r="DV370" i="1"/>
  <c r="T371" i="1"/>
  <c r="W371" i="1" s="1"/>
  <c r="AK371" i="1"/>
  <c r="AS371" i="1"/>
  <c r="AX371" i="1"/>
  <c r="BJ371" i="1"/>
  <c r="CD371" i="1" s="1"/>
  <c r="BU371" i="1"/>
  <c r="BV371" i="1"/>
  <c r="BW371" i="1"/>
  <c r="BX371" i="1"/>
  <c r="BY371" i="1"/>
  <c r="BZ371" i="1"/>
  <c r="CA371" i="1"/>
  <c r="CB371" i="1"/>
  <c r="CC371" i="1"/>
  <c r="DV371" i="1"/>
  <c r="T372" i="1"/>
  <c r="W372" i="1" s="1"/>
  <c r="AK372" i="1"/>
  <c r="AS372" i="1"/>
  <c r="AT372" i="1"/>
  <c r="AU372" i="1"/>
  <c r="AV372" i="1"/>
  <c r="AW372" i="1"/>
  <c r="AX372" i="1"/>
  <c r="BJ372" i="1"/>
  <c r="CD372" i="1" s="1"/>
  <c r="BK372" i="1"/>
  <c r="BL372" i="1"/>
  <c r="BM372" i="1"/>
  <c r="BN372" i="1"/>
  <c r="BO372" i="1"/>
  <c r="BP372" i="1"/>
  <c r="BQ372" i="1"/>
  <c r="BR372" i="1"/>
  <c r="BS372" i="1"/>
  <c r="BU372" i="1"/>
  <c r="BV372" i="1"/>
  <c r="BW372" i="1"/>
  <c r="BX372" i="1"/>
  <c r="BY372" i="1"/>
  <c r="BZ372" i="1"/>
  <c r="CA372" i="1"/>
  <c r="CB372" i="1"/>
  <c r="CC372" i="1"/>
  <c r="CH372" i="1"/>
  <c r="DF372" i="1" s="1"/>
  <c r="CP372" i="1"/>
  <c r="DN372" i="1" s="1"/>
  <c r="DA372" i="1"/>
  <c r="DC372" i="1"/>
  <c r="DD372" i="1"/>
  <c r="DE372" i="1"/>
  <c r="DG372" i="1"/>
  <c r="DH372" i="1"/>
  <c r="DI372" i="1"/>
  <c r="DJ372" i="1"/>
  <c r="DK372" i="1"/>
  <c r="DL372" i="1"/>
  <c r="DM372" i="1"/>
  <c r="DO372" i="1"/>
  <c r="DR372" i="1"/>
  <c r="DT372" i="1"/>
  <c r="DU372" i="1"/>
  <c r="DV372" i="1"/>
  <c r="DX372" i="1"/>
  <c r="DY372" i="1"/>
  <c r="DZ372" i="1"/>
  <c r="EA372" i="1"/>
  <c r="EB372" i="1"/>
  <c r="EC372" i="1"/>
  <c r="ED372" i="1"/>
  <c r="EF372" i="1"/>
  <c r="EI372" i="1"/>
  <c r="T373" i="1"/>
  <c r="W373" i="1" s="1"/>
  <c r="AK373" i="1"/>
  <c r="AS373" i="1"/>
  <c r="AX373" i="1"/>
  <c r="BJ373" i="1"/>
  <c r="BK373" i="1"/>
  <c r="BU373" i="1"/>
  <c r="BV373" i="1"/>
  <c r="BW373" i="1"/>
  <c r="BX373" i="1"/>
  <c r="BY373" i="1"/>
  <c r="BZ373" i="1"/>
  <c r="CA373" i="1"/>
  <c r="CB373" i="1"/>
  <c r="CC373" i="1"/>
  <c r="DM373" i="1"/>
  <c r="DV373" i="1"/>
  <c r="ED373" i="1"/>
  <c r="T414" i="1"/>
  <c r="W414" i="1" s="1"/>
  <c r="AK414" i="1"/>
  <c r="AS414" i="1"/>
  <c r="AT414" i="1"/>
  <c r="AU414" i="1"/>
  <c r="AV414" i="1"/>
  <c r="AW414" i="1"/>
  <c r="AX414" i="1"/>
  <c r="BJ414" i="1"/>
  <c r="BK414" i="1"/>
  <c r="BL414" i="1"/>
  <c r="BM414" i="1"/>
  <c r="BN414" i="1"/>
  <c r="BO414" i="1"/>
  <c r="BP414" i="1"/>
  <c r="BQ414" i="1"/>
  <c r="BR414" i="1"/>
  <c r="BS414" i="1"/>
  <c r="BU414" i="1"/>
  <c r="BV414" i="1"/>
  <c r="BW414" i="1"/>
  <c r="BX414" i="1"/>
  <c r="BY414" i="1"/>
  <c r="BZ414" i="1"/>
  <c r="CA414" i="1"/>
  <c r="CB414" i="1"/>
  <c r="CC414" i="1"/>
  <c r="CH414" i="1"/>
  <c r="DF414" i="1" s="1"/>
  <c r="CP414" i="1"/>
  <c r="DN414" i="1" s="1"/>
  <c r="DA414" i="1"/>
  <c r="DC414" i="1"/>
  <c r="DD414" i="1"/>
  <c r="DE414" i="1"/>
  <c r="DG414" i="1"/>
  <c r="DH414" i="1"/>
  <c r="DI414" i="1"/>
  <c r="DJ414" i="1"/>
  <c r="DK414" i="1"/>
  <c r="DL414" i="1"/>
  <c r="DM414" i="1"/>
  <c r="DO414" i="1"/>
  <c r="DR414" i="1"/>
  <c r="DT414" i="1"/>
  <c r="DU414" i="1"/>
  <c r="DV414" i="1"/>
  <c r="DX414" i="1"/>
  <c r="DY414" i="1"/>
  <c r="DZ414" i="1"/>
  <c r="EA414" i="1"/>
  <c r="EB414" i="1"/>
  <c r="EC414" i="1"/>
  <c r="ED414" i="1"/>
  <c r="EF414" i="1"/>
  <c r="EI414" i="1"/>
  <c r="CL358" i="1"/>
  <c r="CI358" i="1"/>
  <c r="CM357" i="1"/>
  <c r="CI357" i="1"/>
  <c r="CM356" i="1"/>
  <c r="CL356" i="1"/>
  <c r="CM355" i="1"/>
  <c r="CL355" i="1"/>
  <c r="CM354" i="1"/>
  <c r="CL354" i="1"/>
  <c r="CM353" i="1"/>
  <c r="CM352" i="1"/>
  <c r="CM351" i="1"/>
  <c r="CM350" i="1"/>
  <c r="CM349" i="1"/>
  <c r="CM347" i="1"/>
  <c r="CM346" i="1"/>
  <c r="CT345" i="1"/>
  <c r="CM345" i="1"/>
  <c r="CM344" i="1"/>
  <c r="CL344" i="1"/>
  <c r="CM343" i="1"/>
  <c r="CL343" i="1"/>
  <c r="CI343" i="1"/>
  <c r="CM342" i="1"/>
  <c r="CM341" i="1"/>
  <c r="CM340" i="1"/>
  <c r="CF340" i="1"/>
  <c r="EH405" i="1" l="1"/>
  <c r="CU405" i="1"/>
  <c r="DS405" i="1" s="1"/>
  <c r="DP398" i="1"/>
  <c r="CS398" i="1"/>
  <c r="EG398" i="1"/>
  <c r="CV408" i="1"/>
  <c r="CW408" i="1"/>
  <c r="EJ408" i="1"/>
  <c r="CX408" i="1"/>
  <c r="CY408" i="1"/>
  <c r="CZ408" i="1"/>
  <c r="DS408" i="1"/>
  <c r="EH399" i="1"/>
  <c r="DQ399" i="1"/>
  <c r="EJ399" i="1"/>
  <c r="DS399" i="1"/>
  <c r="CW399" i="1"/>
  <c r="CX399" i="1"/>
  <c r="CZ399" i="1"/>
  <c r="CV399" i="1"/>
  <c r="CY399" i="1"/>
  <c r="DQ290" i="1"/>
  <c r="EH290" i="1"/>
  <c r="DS290" i="1"/>
  <c r="CV290" i="1"/>
  <c r="CW290" i="1"/>
  <c r="EJ290" i="1"/>
  <c r="CX290" i="1"/>
  <c r="CY290" i="1"/>
  <c r="CZ290" i="1"/>
  <c r="CR395" i="1"/>
  <c r="DP395" i="1" s="1"/>
  <c r="EE393" i="1"/>
  <c r="EG393" i="1"/>
  <c r="CS393" i="1"/>
  <c r="EH393" i="1" s="1"/>
  <c r="DN393" i="1"/>
  <c r="EG392" i="1"/>
  <c r="EE392" i="1"/>
  <c r="DP392" i="1"/>
  <c r="DN389" i="1"/>
  <c r="CR387" i="1"/>
  <c r="CS387" i="1" s="1"/>
  <c r="DQ387" i="1" s="1"/>
  <c r="DN387" i="1"/>
  <c r="CR396" i="1"/>
  <c r="CS396" i="1" s="1"/>
  <c r="CU396" i="1" s="1"/>
  <c r="CZ396" i="1" s="1"/>
  <c r="DN396" i="1"/>
  <c r="DN392" i="1"/>
  <c r="CS389" i="1"/>
  <c r="EH389" i="1" s="1"/>
  <c r="EG389" i="1"/>
  <c r="EE389" i="1"/>
  <c r="CR390" i="1"/>
  <c r="CS390" i="1" s="1"/>
  <c r="CU390" i="1" s="1"/>
  <c r="DS390" i="1" s="1"/>
  <c r="DW391" i="1"/>
  <c r="DT391" i="1"/>
  <c r="EA391" i="1"/>
  <c r="AY394" i="1"/>
  <c r="AY390" i="1"/>
  <c r="CS397" i="1"/>
  <c r="CU397" i="1" s="1"/>
  <c r="CY397" i="1" s="1"/>
  <c r="DK386" i="1"/>
  <c r="EE397" i="1"/>
  <c r="AY395" i="1"/>
  <c r="DI386" i="1"/>
  <c r="EE390" i="1"/>
  <c r="AY387" i="1"/>
  <c r="EI386" i="1"/>
  <c r="EF386" i="1"/>
  <c r="AY392" i="1"/>
  <c r="AY391" i="1"/>
  <c r="EC386" i="1"/>
  <c r="AY393" i="1"/>
  <c r="EB386" i="1"/>
  <c r="DY386" i="1"/>
  <c r="AY397" i="1"/>
  <c r="AY396" i="1"/>
  <c r="AY389" i="1"/>
  <c r="DG386" i="1"/>
  <c r="AY388" i="1"/>
  <c r="EE391" i="1"/>
  <c r="DF391" i="1"/>
  <c r="EI391" i="1"/>
  <c r="EF391" i="1"/>
  <c r="DY391" i="1"/>
  <c r="DZ391" i="1"/>
  <c r="EC391" i="1"/>
  <c r="DA391" i="1"/>
  <c r="ED391" i="1"/>
  <c r="DA386" i="1"/>
  <c r="EG397" i="1"/>
  <c r="DU391" i="1"/>
  <c r="EB391" i="1"/>
  <c r="CR391" i="1"/>
  <c r="DP391" i="1" s="1"/>
  <c r="EE394" i="1"/>
  <c r="EA386" i="1"/>
  <c r="DN397" i="1"/>
  <c r="DZ386" i="1"/>
  <c r="DN395" i="1"/>
  <c r="CR394" i="1"/>
  <c r="DP394" i="1" s="1"/>
  <c r="DR386" i="1"/>
  <c r="DO386" i="1"/>
  <c r="DL386" i="1"/>
  <c r="DJ386" i="1"/>
  <c r="DH386" i="1"/>
  <c r="EE388" i="1"/>
  <c r="CR388" i="1"/>
  <c r="DP388" i="1" s="1"/>
  <c r="BS386" i="1"/>
  <c r="BR386" i="1"/>
  <c r="DE386" i="1"/>
  <c r="BQ386" i="1"/>
  <c r="DC386" i="1"/>
  <c r="BP386" i="1"/>
  <c r="BO386" i="1"/>
  <c r="BL386" i="1"/>
  <c r="BK386" i="1"/>
  <c r="AW386" i="1"/>
  <c r="AV386" i="1"/>
  <c r="AU386" i="1"/>
  <c r="BN386" i="1"/>
  <c r="AT386" i="1"/>
  <c r="DD386" i="1"/>
  <c r="DF386" i="1"/>
  <c r="BM386" i="1"/>
  <c r="AS386" i="1"/>
  <c r="DU386" i="1"/>
  <c r="DT386" i="1"/>
  <c r="CU392" i="1"/>
  <c r="DQ392" i="1"/>
  <c r="EH392" i="1"/>
  <c r="DM385" i="1"/>
  <c r="AV385" i="1"/>
  <c r="DI374" i="1"/>
  <c r="DL385" i="1"/>
  <c r="DC385" i="1"/>
  <c r="CP374" i="1"/>
  <c r="DN374" i="1" s="1"/>
  <c r="DA380" i="1"/>
  <c r="DK374" i="1"/>
  <c r="BS373" i="1"/>
  <c r="DC376" i="1"/>
  <c r="EI378" i="1"/>
  <c r="BR380" i="1"/>
  <c r="DY380" i="1"/>
  <c r="EA378" i="1"/>
  <c r="AT374" i="1"/>
  <c r="AV375" i="1"/>
  <c r="DO384" i="1"/>
  <c r="DU378" i="1"/>
  <c r="BP376" i="1"/>
  <c r="DJ376" i="1"/>
  <c r="BO376" i="1"/>
  <c r="DE376" i="1"/>
  <c r="BL376" i="1"/>
  <c r="BO385" i="1"/>
  <c r="DL374" i="1"/>
  <c r="AU374" i="1"/>
  <c r="DD376" i="1"/>
  <c r="DR385" i="1"/>
  <c r="BN385" i="1"/>
  <c r="DF376" i="1"/>
  <c r="DM380" i="1"/>
  <c r="DJ380" i="1"/>
  <c r="AU380" i="1"/>
  <c r="DZ378" i="1"/>
  <c r="CP373" i="1"/>
  <c r="CR373" i="1" s="1"/>
  <c r="DP373" i="1" s="1"/>
  <c r="DX374" i="1"/>
  <c r="DZ384" i="1"/>
  <c r="BL382" i="1"/>
  <c r="BQ374" i="1"/>
  <c r="DY384" i="1"/>
  <c r="DQ409" i="1"/>
  <c r="CU409" i="1"/>
  <c r="DF382" i="1"/>
  <c r="EI384" i="1"/>
  <c r="EF384" i="1"/>
  <c r="EC384" i="1"/>
  <c r="BP374" i="1"/>
  <c r="BQ376" i="1"/>
  <c r="DL375" i="1"/>
  <c r="BQ375" i="1"/>
  <c r="EI376" i="1"/>
  <c r="AS382" i="1"/>
  <c r="DE378" i="1"/>
  <c r="EF377" i="1"/>
  <c r="DK375" i="1"/>
  <c r="BP375" i="1"/>
  <c r="DG382" i="1"/>
  <c r="BS381" i="1"/>
  <c r="EB377" i="1"/>
  <c r="DE375" i="1"/>
  <c r="BM375" i="1"/>
  <c r="EB376" i="1"/>
  <c r="DZ377" i="1"/>
  <c r="DD375" i="1"/>
  <c r="EA376" i="1"/>
  <c r="DZ376" i="1"/>
  <c r="BR385" i="1"/>
  <c r="DO381" i="1"/>
  <c r="AS381" i="1"/>
  <c r="DF375" i="1"/>
  <c r="AW375" i="1"/>
  <c r="DX376" i="1"/>
  <c r="DG381" i="1"/>
  <c r="BM379" i="1"/>
  <c r="AU375" i="1"/>
  <c r="BR373" i="1"/>
  <c r="DE374" i="1"/>
  <c r="AV374" i="1"/>
  <c r="DI376" i="1"/>
  <c r="BR376" i="1"/>
  <c r="AW385" i="1"/>
  <c r="DR373" i="1"/>
  <c r="DF379" i="1"/>
  <c r="DE373" i="1"/>
  <c r="DX375" i="1"/>
  <c r="DA376" i="1"/>
  <c r="BN376" i="1"/>
  <c r="BM376" i="1"/>
  <c r="DW373" i="1"/>
  <c r="DY373" i="1"/>
  <c r="DZ373" i="1"/>
  <c r="EC373" i="1"/>
  <c r="EI373" i="1"/>
  <c r="EF373" i="1"/>
  <c r="BS383" i="1"/>
  <c r="DE380" i="1"/>
  <c r="BQ380" i="1"/>
  <c r="DU377" i="1"/>
  <c r="DH373" i="1"/>
  <c r="DD374" i="1"/>
  <c r="BO374" i="1"/>
  <c r="DJ375" i="1"/>
  <c r="BR383" i="1"/>
  <c r="DR376" i="1"/>
  <c r="AW376" i="1"/>
  <c r="DH384" i="1"/>
  <c r="DO385" i="1"/>
  <c r="DY382" i="1"/>
  <c r="DU381" i="1"/>
  <c r="DD380" i="1"/>
  <c r="BP380" i="1"/>
  <c r="DY378" i="1"/>
  <c r="DT377" i="1"/>
  <c r="DC374" i="1"/>
  <c r="BN374" i="1"/>
  <c r="BM383" i="1"/>
  <c r="DO376" i="1"/>
  <c r="AV376" i="1"/>
  <c r="DE384" i="1"/>
  <c r="DX382" i="1"/>
  <c r="DT381" i="1"/>
  <c r="DC380" i="1"/>
  <c r="BO380" i="1"/>
  <c r="DM377" i="1"/>
  <c r="DL377" i="1"/>
  <c r="BL383" i="1"/>
  <c r="BN380" i="1"/>
  <c r="DF374" i="1"/>
  <c r="BL374" i="1"/>
  <c r="DC375" i="1"/>
  <c r="BO375" i="1"/>
  <c r="DE383" i="1"/>
  <c r="DL376" i="1"/>
  <c r="AT376" i="1"/>
  <c r="DE385" i="1"/>
  <c r="BQ385" i="1"/>
  <c r="BN382" i="1"/>
  <c r="DM381" i="1"/>
  <c r="BM380" i="1"/>
  <c r="DK377" i="1"/>
  <c r="BM374" i="1"/>
  <c r="BS382" i="1"/>
  <c r="DA375" i="1"/>
  <c r="BN375" i="1"/>
  <c r="DK376" i="1"/>
  <c r="DD385" i="1"/>
  <c r="BP385" i="1"/>
  <c r="DH382" i="1"/>
  <c r="BM382" i="1"/>
  <c r="DH381" i="1"/>
  <c r="DF380" i="1"/>
  <c r="BS379" i="1"/>
  <c r="DA378" i="1"/>
  <c r="EI377" i="1"/>
  <c r="DJ377" i="1"/>
  <c r="BR377" i="1"/>
  <c r="DE377" i="1"/>
  <c r="BP377" i="1"/>
  <c r="AW374" i="1"/>
  <c r="DA385" i="1"/>
  <c r="DE382" i="1"/>
  <c r="DE381" i="1"/>
  <c r="AW380" i="1"/>
  <c r="DG379" i="1"/>
  <c r="BL379" i="1"/>
  <c r="ED377" i="1"/>
  <c r="DD377" i="1"/>
  <c r="BO377" i="1"/>
  <c r="DN382" i="1"/>
  <c r="AV380" i="1"/>
  <c r="DE379" i="1"/>
  <c r="EC377" i="1"/>
  <c r="DC377" i="1"/>
  <c r="BN377" i="1"/>
  <c r="DA377" i="1"/>
  <c r="EI385" i="1"/>
  <c r="EA377" i="1"/>
  <c r="EF385" i="1"/>
  <c r="AW377" i="1"/>
  <c r="ED385" i="1"/>
  <c r="EC381" i="1"/>
  <c r="DY377" i="1"/>
  <c r="AV377" i="1"/>
  <c r="EC385" i="1"/>
  <c r="EB381" i="1"/>
  <c r="DL380" i="1"/>
  <c r="DX377" i="1"/>
  <c r="DJ374" i="1"/>
  <c r="BR374" i="1"/>
  <c r="DY376" i="1"/>
  <c r="BK376" i="1"/>
  <c r="BS384" i="1"/>
  <c r="EB385" i="1"/>
  <c r="EA381" i="1"/>
  <c r="DK380" i="1"/>
  <c r="EB378" i="1"/>
  <c r="EF382" i="1"/>
  <c r="DZ381" i="1"/>
  <c r="BQ378" i="1"/>
  <c r="DZ374" i="1"/>
  <c r="DA374" i="1"/>
  <c r="DZ375" i="1"/>
  <c r="EF383" i="1"/>
  <c r="DH383" i="1"/>
  <c r="DR384" i="1"/>
  <c r="EI382" i="1"/>
  <c r="DI382" i="1"/>
  <c r="AT382" i="1"/>
  <c r="DR381" i="1"/>
  <c r="BK381" i="1"/>
  <c r="DZ380" i="1"/>
  <c r="DH379" i="1"/>
  <c r="DM378" i="1"/>
  <c r="BQ377" i="1"/>
  <c r="DG373" i="1"/>
  <c r="BR379" i="1"/>
  <c r="DK378" i="1"/>
  <c r="AV378" i="1"/>
  <c r="DK373" i="1"/>
  <c r="DJ378" i="1"/>
  <c r="EC383" i="1"/>
  <c r="AW384" i="1"/>
  <c r="DD383" i="1"/>
  <c r="DD379" i="1"/>
  <c r="BQ379" i="1"/>
  <c r="AU378" i="1"/>
  <c r="DL373" i="1"/>
  <c r="AU373" i="1"/>
  <c r="DR374" i="1"/>
  <c r="BK374" i="1"/>
  <c r="DU375" i="1"/>
  <c r="BL375" i="1"/>
  <c r="EA383" i="1"/>
  <c r="DC383" i="1"/>
  <c r="BP383" i="1"/>
  <c r="EF376" i="1"/>
  <c r="DH376" i="1"/>
  <c r="DK384" i="1"/>
  <c r="AU384" i="1"/>
  <c r="DF385" i="1"/>
  <c r="BM385" i="1"/>
  <c r="EB382" i="1"/>
  <c r="DD382" i="1"/>
  <c r="BQ382" i="1"/>
  <c r="EI381" i="1"/>
  <c r="DK381" i="1"/>
  <c r="AV381" i="1"/>
  <c r="BL380" i="1"/>
  <c r="DC379" i="1"/>
  <c r="BP379" i="1"/>
  <c r="EF378" i="1"/>
  <c r="DI378" i="1"/>
  <c r="AT378" i="1"/>
  <c r="BM377" i="1"/>
  <c r="AW378" i="1"/>
  <c r="AW373" i="1"/>
  <c r="EC382" i="1"/>
  <c r="DO374" i="1"/>
  <c r="DR375" i="1"/>
  <c r="BK375" i="1"/>
  <c r="DZ383" i="1"/>
  <c r="DA383" i="1"/>
  <c r="BO383" i="1"/>
  <c r="DG376" i="1"/>
  <c r="BS376" i="1"/>
  <c r="DJ384" i="1"/>
  <c r="AT384" i="1"/>
  <c r="DZ385" i="1"/>
  <c r="BL385" i="1"/>
  <c r="EA382" i="1"/>
  <c r="DC382" i="1"/>
  <c r="BP382" i="1"/>
  <c r="EF381" i="1"/>
  <c r="DJ381" i="1"/>
  <c r="AU381" i="1"/>
  <c r="DR380" i="1"/>
  <c r="BK380" i="1"/>
  <c r="BO379" i="1"/>
  <c r="ED378" i="1"/>
  <c r="DH378" i="1"/>
  <c r="AS378" i="1"/>
  <c r="DR377" i="1"/>
  <c r="BL377" i="1"/>
  <c r="DL378" i="1"/>
  <c r="DO373" i="1"/>
  <c r="AV373" i="1"/>
  <c r="EB383" i="1"/>
  <c r="BQ383" i="1"/>
  <c r="DL384" i="1"/>
  <c r="AV384" i="1"/>
  <c r="BR382" i="1"/>
  <c r="DL381" i="1"/>
  <c r="AW381" i="1"/>
  <c r="DW380" i="1"/>
  <c r="DJ373" i="1"/>
  <c r="AT373" i="1"/>
  <c r="DI373" i="1"/>
  <c r="DO375" i="1"/>
  <c r="DY383" i="1"/>
  <c r="BN383" i="1"/>
  <c r="EC376" i="1"/>
  <c r="DI384" i="1"/>
  <c r="DY385" i="1"/>
  <c r="BK385" i="1"/>
  <c r="DZ382" i="1"/>
  <c r="DA382" i="1"/>
  <c r="BO382" i="1"/>
  <c r="ED381" i="1"/>
  <c r="DI381" i="1"/>
  <c r="AT381" i="1"/>
  <c r="DO380" i="1"/>
  <c r="BN379" i="1"/>
  <c r="EC378" i="1"/>
  <c r="DG378" i="1"/>
  <c r="BS378" i="1"/>
  <c r="DO377" i="1"/>
  <c r="BK377" i="1"/>
  <c r="BR378" i="1"/>
  <c r="BR384" i="1"/>
  <c r="BK383" i="1"/>
  <c r="BQ384" i="1"/>
  <c r="BR381" i="1"/>
  <c r="DC378" i="1"/>
  <c r="EI374" i="1"/>
  <c r="BP384" i="1"/>
  <c r="DD381" i="1"/>
  <c r="EI380" i="1"/>
  <c r="DO379" i="1"/>
  <c r="EB373" i="1"/>
  <c r="DA373" i="1"/>
  <c r="BO373" i="1"/>
  <c r="EF374" i="1"/>
  <c r="DH374" i="1"/>
  <c r="EF375" i="1"/>
  <c r="DI375" i="1"/>
  <c r="AT375" i="1"/>
  <c r="EB384" i="1"/>
  <c r="DA384" i="1"/>
  <c r="BO384" i="1"/>
  <c r="DK385" i="1"/>
  <c r="AU385" i="1"/>
  <c r="DO382" i="1"/>
  <c r="DY381" i="1"/>
  <c r="DC381" i="1"/>
  <c r="BP381" i="1"/>
  <c r="EF380" i="1"/>
  <c r="DI380" i="1"/>
  <c r="AT380" i="1"/>
  <c r="BN378" i="1"/>
  <c r="DI377" i="1"/>
  <c r="AU377" i="1"/>
  <c r="DC384" i="1"/>
  <c r="DR382" i="1"/>
  <c r="BK382" i="1"/>
  <c r="BQ381" i="1"/>
  <c r="BO378" i="1"/>
  <c r="EA373" i="1"/>
  <c r="BN373" i="1"/>
  <c r="DG374" i="1"/>
  <c r="BS374" i="1"/>
  <c r="DH375" i="1"/>
  <c r="DL383" i="1"/>
  <c r="AW383" i="1"/>
  <c r="BN384" i="1"/>
  <c r="DJ385" i="1"/>
  <c r="AT385" i="1"/>
  <c r="DX381" i="1"/>
  <c r="BO381" i="1"/>
  <c r="ED380" i="1"/>
  <c r="DH380" i="1"/>
  <c r="AS380" i="1"/>
  <c r="DL379" i="1"/>
  <c r="AW379" i="1"/>
  <c r="DF378" i="1"/>
  <c r="BM378" i="1"/>
  <c r="DH377" i="1"/>
  <c r="AT377" i="1"/>
  <c r="BQ373" i="1"/>
  <c r="DD384" i="1"/>
  <c r="DR379" i="1"/>
  <c r="BP378" i="1"/>
  <c r="EI375" i="1"/>
  <c r="DO383" i="1"/>
  <c r="BM373" i="1"/>
  <c r="EC374" i="1"/>
  <c r="EC375" i="1"/>
  <c r="DG375" i="1"/>
  <c r="BS375" i="1"/>
  <c r="DK383" i="1"/>
  <c r="AV383" i="1"/>
  <c r="DF384" i="1"/>
  <c r="BM384" i="1"/>
  <c r="DI385" i="1"/>
  <c r="DL382" i="1"/>
  <c r="AW382" i="1"/>
  <c r="BN381" i="1"/>
  <c r="EC380" i="1"/>
  <c r="DG380" i="1"/>
  <c r="BS380" i="1"/>
  <c r="DK379" i="1"/>
  <c r="AV379" i="1"/>
  <c r="BL378" i="1"/>
  <c r="DG377" i="1"/>
  <c r="DD378" i="1"/>
  <c r="DD373" i="1"/>
  <c r="BK379" i="1"/>
  <c r="DC373" i="1"/>
  <c r="EB374" i="1"/>
  <c r="EB375" i="1"/>
  <c r="DJ383" i="1"/>
  <c r="AU383" i="1"/>
  <c r="BL384" i="1"/>
  <c r="DH385" i="1"/>
  <c r="BS385" i="1"/>
  <c r="DK382" i="1"/>
  <c r="AV382" i="1"/>
  <c r="DF381" i="1"/>
  <c r="BM381" i="1"/>
  <c r="EB380" i="1"/>
  <c r="DJ379" i="1"/>
  <c r="AU379" i="1"/>
  <c r="DR378" i="1"/>
  <c r="BK378" i="1"/>
  <c r="DF377" i="1"/>
  <c r="BS377" i="1"/>
  <c r="DR383" i="1"/>
  <c r="BP373" i="1"/>
  <c r="BL373" i="1"/>
  <c r="DX373" i="1"/>
  <c r="EA374" i="1"/>
  <c r="EA375" i="1"/>
  <c r="EI383" i="1"/>
  <c r="DI383" i="1"/>
  <c r="AT383" i="1"/>
  <c r="BK384" i="1"/>
  <c r="DJ382" i="1"/>
  <c r="AU382" i="1"/>
  <c r="BL381" i="1"/>
  <c r="EA380" i="1"/>
  <c r="DI379" i="1"/>
  <c r="AT379" i="1"/>
  <c r="DO378" i="1"/>
  <c r="DV385" i="1"/>
  <c r="DX385" i="1"/>
  <c r="DU385" i="1"/>
  <c r="DT385" i="1"/>
  <c r="DG385" i="1"/>
  <c r="DU384" i="1"/>
  <c r="DX384" i="1"/>
  <c r="DT384" i="1"/>
  <c r="DG384" i="1"/>
  <c r="DT383" i="1"/>
  <c r="DU383" i="1"/>
  <c r="DU382" i="1"/>
  <c r="DT382" i="1"/>
  <c r="DU380" i="1"/>
  <c r="DT380" i="1"/>
  <c r="DU379" i="1"/>
  <c r="DT379" i="1"/>
  <c r="DN378" i="1"/>
  <c r="DW378" i="1"/>
  <c r="DT378" i="1"/>
  <c r="DN377" i="1"/>
  <c r="DP377" i="1"/>
  <c r="CS377" i="1"/>
  <c r="DQ377" i="1" s="1"/>
  <c r="EE377" i="1"/>
  <c r="AZ377" i="1"/>
  <c r="DU376" i="1"/>
  <c r="DT376" i="1"/>
  <c r="DT375" i="1"/>
  <c r="DU374" i="1"/>
  <c r="DT374" i="1"/>
  <c r="DU373" i="1"/>
  <c r="DT373" i="1"/>
  <c r="AR382" i="1"/>
  <c r="DB382" i="1" s="1"/>
  <c r="DW384" i="1"/>
  <c r="EG377" i="1"/>
  <c r="BT378" i="1"/>
  <c r="AZ378" i="1"/>
  <c r="BT377" i="1"/>
  <c r="AR377" i="1"/>
  <c r="DB377" i="1" s="1"/>
  <c r="CS381" i="1"/>
  <c r="DQ381" i="1" s="1"/>
  <c r="AR378" i="1"/>
  <c r="DB378" i="1" s="1"/>
  <c r="DP378" i="1"/>
  <c r="EG378" i="1"/>
  <c r="DW379" i="1"/>
  <c r="EE378" i="1"/>
  <c r="EE379" i="1"/>
  <c r="AZ379" i="1"/>
  <c r="CS378" i="1"/>
  <c r="AR379" i="1"/>
  <c r="DB379" i="1" s="1"/>
  <c r="CS379" i="1"/>
  <c r="DP379" i="1"/>
  <c r="EG379" i="1"/>
  <c r="DN379" i="1"/>
  <c r="EE386" i="1"/>
  <c r="BT379" i="1"/>
  <c r="EE381" i="1"/>
  <c r="AZ380" i="1"/>
  <c r="EE382" i="1"/>
  <c r="AR380" i="1"/>
  <c r="DB380" i="1" s="1"/>
  <c r="CS380" i="1"/>
  <c r="DP380" i="1"/>
  <c r="EG380" i="1"/>
  <c r="DP381" i="1"/>
  <c r="DN381" i="1"/>
  <c r="CR382" i="1"/>
  <c r="DP382" i="1" s="1"/>
  <c r="EE380" i="1"/>
  <c r="DN380" i="1"/>
  <c r="BT380" i="1"/>
  <c r="AZ381" i="1"/>
  <c r="DW381" i="1"/>
  <c r="AR381" i="1"/>
  <c r="DB381" i="1" s="1"/>
  <c r="DW385" i="1"/>
  <c r="EG381" i="1"/>
  <c r="DN385" i="1"/>
  <c r="AZ382" i="1"/>
  <c r="EE412" i="1"/>
  <c r="BT382" i="1"/>
  <c r="CR386" i="1"/>
  <c r="DP386" i="1" s="1"/>
  <c r="DW382" i="1"/>
  <c r="BT381" i="1"/>
  <c r="DW376" i="1"/>
  <c r="AZ385" i="1"/>
  <c r="EE385" i="1"/>
  <c r="BT385" i="1"/>
  <c r="AR385" i="1"/>
  <c r="DB385" i="1" s="1"/>
  <c r="CS385" i="1"/>
  <c r="DP385" i="1"/>
  <c r="EG385" i="1"/>
  <c r="AZ384" i="1"/>
  <c r="DN386" i="1"/>
  <c r="AZ386" i="1"/>
  <c r="AZ376" i="1"/>
  <c r="AR386" i="1"/>
  <c r="DB386" i="1" s="1"/>
  <c r="DW386" i="1"/>
  <c r="DN384" i="1"/>
  <c r="EE384" i="1"/>
  <c r="BT386" i="1"/>
  <c r="AR412" i="1"/>
  <c r="DB412" i="1" s="1"/>
  <c r="BT384" i="1"/>
  <c r="DW412" i="1"/>
  <c r="AR384" i="1"/>
  <c r="DB384" i="1" s="1"/>
  <c r="CS384" i="1"/>
  <c r="DP384" i="1"/>
  <c r="EG384" i="1"/>
  <c r="DF383" i="1"/>
  <c r="BT376" i="1"/>
  <c r="AR376" i="1"/>
  <c r="DB376" i="1" s="1"/>
  <c r="CS376" i="1"/>
  <c r="DP376" i="1"/>
  <c r="EG376" i="1"/>
  <c r="EG411" i="1"/>
  <c r="DN383" i="1"/>
  <c r="EE376" i="1"/>
  <c r="BR368" i="1"/>
  <c r="DW375" i="1"/>
  <c r="EE383" i="1"/>
  <c r="DN376" i="1"/>
  <c r="DW410" i="1"/>
  <c r="AZ383" i="1"/>
  <c r="BT383" i="1"/>
  <c r="AR383" i="1"/>
  <c r="DB383" i="1" s="1"/>
  <c r="CS383" i="1"/>
  <c r="DP383" i="1"/>
  <c r="EG383" i="1"/>
  <c r="DW411" i="1"/>
  <c r="BS369" i="1"/>
  <c r="BP369" i="1"/>
  <c r="EE411" i="1"/>
  <c r="AZ375" i="1"/>
  <c r="BO368" i="1"/>
  <c r="DN411" i="1"/>
  <c r="AR375" i="1"/>
  <c r="DB375" i="1" s="1"/>
  <c r="CS375" i="1"/>
  <c r="DP375" i="1"/>
  <c r="EG375" i="1"/>
  <c r="DC367" i="1"/>
  <c r="CS411" i="1"/>
  <c r="DY366" i="1"/>
  <c r="AY411" i="1"/>
  <c r="EE375" i="1"/>
  <c r="AR374" i="1"/>
  <c r="DB374" i="1" s="1"/>
  <c r="DN375" i="1"/>
  <c r="DW374" i="1"/>
  <c r="BT375" i="1"/>
  <c r="AZ411" i="1"/>
  <c r="AT367" i="1"/>
  <c r="AR411" i="1"/>
  <c r="DB411" i="1" s="1"/>
  <c r="BT374" i="1"/>
  <c r="DR370" i="1"/>
  <c r="BN368" i="1"/>
  <c r="BT410" i="1"/>
  <c r="BM368" i="1"/>
  <c r="BT411" i="1"/>
  <c r="AY410" i="1"/>
  <c r="DJ368" i="1"/>
  <c r="DG370" i="1"/>
  <c r="AZ410" i="1"/>
  <c r="DL369" i="1"/>
  <c r="BQ370" i="1"/>
  <c r="BN370" i="1"/>
  <c r="DI368" i="1"/>
  <c r="AR410" i="1"/>
  <c r="DB410" i="1" s="1"/>
  <c r="CS410" i="1"/>
  <c r="DP410" i="1"/>
  <c r="EG410" i="1"/>
  <c r="DC368" i="1"/>
  <c r="BL368" i="1"/>
  <c r="BK368" i="1"/>
  <c r="BN365" i="1"/>
  <c r="DG371" i="1"/>
  <c r="EE410" i="1"/>
  <c r="BM365" i="1"/>
  <c r="DD368" i="1"/>
  <c r="DO365" i="1"/>
  <c r="DJ365" i="1"/>
  <c r="DH365" i="1"/>
  <c r="DU369" i="1"/>
  <c r="W368" i="1"/>
  <c r="DF365" i="1"/>
  <c r="DO369" i="1"/>
  <c r="AT365" i="1"/>
  <c r="BK365" i="1"/>
  <c r="DC365" i="1"/>
  <c r="DN410" i="1"/>
  <c r="EB366" i="1"/>
  <c r="AZ374" i="1"/>
  <c r="DF368" i="1"/>
  <c r="BL365" i="1"/>
  <c r="AU368" i="1"/>
  <c r="DD365" i="1"/>
  <c r="AW365" i="1"/>
  <c r="EB367" i="1"/>
  <c r="CR412" i="1"/>
  <c r="EB368" i="1"/>
  <c r="DY367" i="1"/>
  <c r="BO367" i="1"/>
  <c r="DZ368" i="1"/>
  <c r="BN367" i="1"/>
  <c r="DL365" i="1"/>
  <c r="BR365" i="1"/>
  <c r="EF369" i="1"/>
  <c r="DY368" i="1"/>
  <c r="DR367" i="1"/>
  <c r="BL367" i="1"/>
  <c r="BP365" i="1"/>
  <c r="DN412" i="1"/>
  <c r="AY412" i="1"/>
  <c r="DX368" i="1"/>
  <c r="DM367" i="1"/>
  <c r="BO365" i="1"/>
  <c r="DJ367" i="1"/>
  <c r="DR369" i="1"/>
  <c r="BR369" i="1"/>
  <c r="AZ412" i="1"/>
  <c r="DC369" i="1"/>
  <c r="AV369" i="1"/>
  <c r="AV365" i="1"/>
  <c r="AT369" i="1"/>
  <c r="AW371" i="1"/>
  <c r="BR366" i="1"/>
  <c r="AT371" i="1"/>
  <c r="DZ367" i="1"/>
  <c r="DX366" i="1"/>
  <c r="DW413" i="1"/>
  <c r="BR370" i="1"/>
  <c r="DK370" i="1"/>
  <c r="AY413" i="1"/>
  <c r="BL370" i="1"/>
  <c r="DX365" i="1"/>
  <c r="BT412" i="1"/>
  <c r="DH370" i="1"/>
  <c r="BN371" i="1"/>
  <c r="DE370" i="1"/>
  <c r="BK370" i="1"/>
  <c r="DI369" i="1"/>
  <c r="EI366" i="1"/>
  <c r="DM365" i="1"/>
  <c r="AU365" i="1"/>
  <c r="EB365" i="1"/>
  <c r="BM370" i="1"/>
  <c r="DR371" i="1"/>
  <c r="BM371" i="1"/>
  <c r="DF370" i="1"/>
  <c r="EF366" i="1"/>
  <c r="CP366" i="1"/>
  <c r="CR366" i="1" s="1"/>
  <c r="CS366" i="1" s="1"/>
  <c r="CP371" i="1"/>
  <c r="CR371" i="1" s="1"/>
  <c r="DP371" i="1" s="1"/>
  <c r="DO371" i="1"/>
  <c r="BL371" i="1"/>
  <c r="AZ413" i="1"/>
  <c r="DH371" i="1"/>
  <c r="BK371" i="1"/>
  <c r="AW370" i="1"/>
  <c r="EC366" i="1"/>
  <c r="DI365" i="1"/>
  <c r="BS365" i="1"/>
  <c r="CP367" i="1"/>
  <c r="EE367" i="1" s="1"/>
  <c r="DD371" i="1"/>
  <c r="BR371" i="1"/>
  <c r="BQ371" i="1"/>
  <c r="AT370" i="1"/>
  <c r="AR413" i="1"/>
  <c r="DB413" i="1" s="1"/>
  <c r="DO370" i="1"/>
  <c r="EF368" i="1"/>
  <c r="BS366" i="1"/>
  <c r="DE365" i="1"/>
  <c r="BQ365" i="1"/>
  <c r="DP413" i="1"/>
  <c r="EG413" i="1"/>
  <c r="DM371" i="1"/>
  <c r="AV371" i="1"/>
  <c r="DM370" i="1"/>
  <c r="AV370" i="1"/>
  <c r="DH369" i="1"/>
  <c r="BO369" i="1"/>
  <c r="DR368" i="1"/>
  <c r="AW368" i="1"/>
  <c r="DG366" i="1"/>
  <c r="DL371" i="1"/>
  <c r="AU371" i="1"/>
  <c r="DL370" i="1"/>
  <c r="AU370" i="1"/>
  <c r="DD369" i="1"/>
  <c r="BM369" i="1"/>
  <c r="DO368" i="1"/>
  <c r="AV368" i="1"/>
  <c r="DA367" i="1"/>
  <c r="AW367" i="1"/>
  <c r="DE366" i="1"/>
  <c r="DK371" i="1"/>
  <c r="EE413" i="1"/>
  <c r="DJ371" i="1"/>
  <c r="DJ370" i="1"/>
  <c r="AS370" i="1"/>
  <c r="DF369" i="1"/>
  <c r="DL368" i="1"/>
  <c r="AT368" i="1"/>
  <c r="DG368" i="1"/>
  <c r="DN413" i="1"/>
  <c r="DI371" i="1"/>
  <c r="BS371" i="1"/>
  <c r="DI370" i="1"/>
  <c r="BS370" i="1"/>
  <c r="AW369" i="1"/>
  <c r="DK368" i="1"/>
  <c r="EF365" i="1"/>
  <c r="BS368" i="1"/>
  <c r="EC365" i="1"/>
  <c r="CP365" i="1"/>
  <c r="DN365" i="1" s="1"/>
  <c r="BT413" i="1"/>
  <c r="EI370" i="1"/>
  <c r="DE371" i="1"/>
  <c r="BP371" i="1"/>
  <c r="EF370" i="1"/>
  <c r="DD370" i="1"/>
  <c r="BP370" i="1"/>
  <c r="AR369" i="1"/>
  <c r="DB369" i="1" s="1"/>
  <c r="DH368" i="1"/>
  <c r="BQ368" i="1"/>
  <c r="ED367" i="1"/>
  <c r="DY365" i="1"/>
  <c r="CS413" i="1"/>
  <c r="DC371" i="1"/>
  <c r="BO371" i="1"/>
  <c r="ED370" i="1"/>
  <c r="DC370" i="1"/>
  <c r="BO370" i="1"/>
  <c r="DE368" i="1"/>
  <c r="EA367" i="1"/>
  <c r="DW365" i="1"/>
  <c r="EC370" i="1"/>
  <c r="DA370" i="1"/>
  <c r="EB370" i="1"/>
  <c r="EA370" i="1"/>
  <c r="DZ370" i="1"/>
  <c r="DX367" i="1"/>
  <c r="CH371" i="1"/>
  <c r="EB371" i="1" s="1"/>
  <c r="CP370" i="1"/>
  <c r="DN370" i="1" s="1"/>
  <c r="DX370" i="1"/>
  <c r="DU370" i="1"/>
  <c r="DT370" i="1"/>
  <c r="DL367" i="1"/>
  <c r="AV367" i="1"/>
  <c r="DR366" i="1"/>
  <c r="BK366" i="1"/>
  <c r="EI369" i="1"/>
  <c r="DE369" i="1"/>
  <c r="BQ369" i="1"/>
  <c r="EI368" i="1"/>
  <c r="DK367" i="1"/>
  <c r="AU367" i="1"/>
  <c r="DO366" i="1"/>
  <c r="EI367" i="1"/>
  <c r="DI367" i="1"/>
  <c r="AS367" i="1"/>
  <c r="DL366" i="1"/>
  <c r="AW366" i="1"/>
  <c r="EC369" i="1"/>
  <c r="DA369" i="1"/>
  <c r="BN369" i="1"/>
  <c r="EC368" i="1"/>
  <c r="EF367" i="1"/>
  <c r="DH367" i="1"/>
  <c r="BS367" i="1"/>
  <c r="DK366" i="1"/>
  <c r="AV366" i="1"/>
  <c r="AU366" i="1"/>
  <c r="DZ369" i="1"/>
  <c r="BL369" i="1"/>
  <c r="EA368" i="1"/>
  <c r="DA368" i="1"/>
  <c r="EC367" i="1"/>
  <c r="DE367" i="1"/>
  <c r="BQ367" i="1"/>
  <c r="DI366" i="1"/>
  <c r="AT366" i="1"/>
  <c r="DG367" i="1"/>
  <c r="BR367" i="1"/>
  <c r="DY369" i="1"/>
  <c r="BK369" i="1"/>
  <c r="DD367" i="1"/>
  <c r="BP367" i="1"/>
  <c r="DH366" i="1"/>
  <c r="AS366" i="1"/>
  <c r="DF367" i="1"/>
  <c r="BM367" i="1"/>
  <c r="DD366" i="1"/>
  <c r="BQ366" i="1"/>
  <c r="DC366" i="1"/>
  <c r="BP366" i="1"/>
  <c r="AU369" i="1"/>
  <c r="BK367" i="1"/>
  <c r="DZ366" i="1"/>
  <c r="BO366" i="1"/>
  <c r="ED365" i="1"/>
  <c r="CP368" i="1"/>
  <c r="CR368" i="1" s="1"/>
  <c r="CS368" i="1" s="1"/>
  <c r="DQ368" i="1" s="1"/>
  <c r="BN366" i="1"/>
  <c r="DJ369" i="1"/>
  <c r="AS369" i="1"/>
  <c r="DO367" i="1"/>
  <c r="DF366" i="1"/>
  <c r="BM366" i="1"/>
  <c r="EA365" i="1"/>
  <c r="BL366" i="1"/>
  <c r="EB369" i="1"/>
  <c r="CP369" i="1"/>
  <c r="CR369" i="1" s="1"/>
  <c r="DP369" i="1" s="1"/>
  <c r="DK369" i="1"/>
  <c r="DG369" i="1"/>
  <c r="DX369" i="1"/>
  <c r="DT369" i="1"/>
  <c r="DU368" i="1"/>
  <c r="DT368" i="1"/>
  <c r="DU367" i="1"/>
  <c r="DT367" i="1"/>
  <c r="AR367" i="1"/>
  <c r="DB367" i="1" s="1"/>
  <c r="DU366" i="1"/>
  <c r="DT366" i="1"/>
  <c r="BT366" i="1"/>
  <c r="DK365" i="1"/>
  <c r="DG365" i="1"/>
  <c r="DU365" i="1"/>
  <c r="DT365" i="1"/>
  <c r="BT365" i="1"/>
  <c r="AR365" i="1"/>
  <c r="DB365" i="1" s="1"/>
  <c r="AZ365" i="1"/>
  <c r="CR414" i="1"/>
  <c r="DP414" i="1" s="1"/>
  <c r="DW367" i="1"/>
  <c r="AZ366" i="1"/>
  <c r="DW368" i="1"/>
  <c r="AR366" i="1"/>
  <c r="DB366" i="1" s="1"/>
  <c r="DW370" i="1"/>
  <c r="DW366" i="1"/>
  <c r="AZ368" i="1"/>
  <c r="AZ367" i="1"/>
  <c r="BT367" i="1"/>
  <c r="AZ369" i="1"/>
  <c r="BT368" i="1"/>
  <c r="AR368" i="1"/>
  <c r="DB368" i="1" s="1"/>
  <c r="BT370" i="1"/>
  <c r="AY414" i="1"/>
  <c r="BT373" i="1"/>
  <c r="AR372" i="1"/>
  <c r="DB372" i="1" s="1"/>
  <c r="BT369" i="1"/>
  <c r="DW414" i="1"/>
  <c r="DW372" i="1"/>
  <c r="CR372" i="1"/>
  <c r="EG372" i="1" s="1"/>
  <c r="DW369" i="1"/>
  <c r="BT371" i="1"/>
  <c r="CD370" i="1"/>
  <c r="AZ370" i="1"/>
  <c r="AZ371" i="1"/>
  <c r="AR371" i="1"/>
  <c r="DB371" i="1" s="1"/>
  <c r="CD373" i="1"/>
  <c r="AR370" i="1"/>
  <c r="DB370" i="1" s="1"/>
  <c r="AR414" i="1"/>
  <c r="DB414" i="1" s="1"/>
  <c r="BT372" i="1"/>
  <c r="AY372" i="1"/>
  <c r="AZ372" i="1"/>
  <c r="AZ373" i="1"/>
  <c r="BT414" i="1"/>
  <c r="EE372" i="1"/>
  <c r="AR373" i="1"/>
  <c r="DB373" i="1" s="1"/>
  <c r="DF373" i="1"/>
  <c r="AZ414" i="1"/>
  <c r="CD414" i="1"/>
  <c r="EE414" i="1"/>
  <c r="CM339" i="1"/>
  <c r="CP339" i="1" s="1"/>
  <c r="CM338" i="1"/>
  <c r="CP338" i="1" s="1"/>
  <c r="CM336" i="1"/>
  <c r="CP336" i="1" s="1"/>
  <c r="CM335" i="1"/>
  <c r="CP335" i="1" s="1"/>
  <c r="CM333" i="1"/>
  <c r="CP333" i="1" s="1"/>
  <c r="C14" i="2"/>
  <c r="AA94" i="2"/>
  <c r="W17" i="2"/>
  <c r="AZ117" i="2"/>
  <c r="AZ114" i="2"/>
  <c r="AX117" i="2"/>
  <c r="AX114" i="2"/>
  <c r="AV117" i="2"/>
  <c r="AV114" i="2"/>
  <c r="AT117" i="2"/>
  <c r="AT114" i="2"/>
  <c r="AR117" i="2"/>
  <c r="AR114" i="2"/>
  <c r="AP117" i="2"/>
  <c r="AP114" i="2"/>
  <c r="AN117" i="2"/>
  <c r="AN114" i="2"/>
  <c r="AL117" i="2"/>
  <c r="AL114" i="2"/>
  <c r="AJ117" i="2"/>
  <c r="AJ114" i="2"/>
  <c r="AH117" i="2"/>
  <c r="AH114" i="2"/>
  <c r="AF117" i="2"/>
  <c r="AF114" i="2"/>
  <c r="AD117" i="2"/>
  <c r="AD114" i="2"/>
  <c r="AB117" i="2"/>
  <c r="AB114" i="2"/>
  <c r="Z117" i="2"/>
  <c r="Z114" i="2"/>
  <c r="X117" i="2"/>
  <c r="X114" i="2"/>
  <c r="V117" i="2"/>
  <c r="V114" i="2"/>
  <c r="T117" i="2"/>
  <c r="T114" i="2"/>
  <c r="R117" i="2"/>
  <c r="R114" i="2"/>
  <c r="P117" i="2"/>
  <c r="P114" i="2"/>
  <c r="N117" i="2"/>
  <c r="N114" i="2"/>
  <c r="L117" i="2"/>
  <c r="L114" i="2"/>
  <c r="J117" i="2"/>
  <c r="J114" i="2"/>
  <c r="H117" i="2"/>
  <c r="H114" i="2"/>
  <c r="F117" i="2"/>
  <c r="F114" i="2"/>
  <c r="E9" i="2"/>
  <c r="G9" i="2"/>
  <c r="I9" i="2"/>
  <c r="AY94" i="2"/>
  <c r="AW94" i="2"/>
  <c r="AU94" i="2"/>
  <c r="AS94" i="2"/>
  <c r="AQ94" i="2"/>
  <c r="AO94" i="2"/>
  <c r="AM94" i="2"/>
  <c r="AK94" i="2"/>
  <c r="AI94" i="2"/>
  <c r="AJ94" i="2" s="1"/>
  <c r="AG94" i="2"/>
  <c r="AE94" i="2"/>
  <c r="AC94" i="2"/>
  <c r="Y94" i="2"/>
  <c r="Z94" i="2" s="1"/>
  <c r="W94" i="2"/>
  <c r="X94" i="2" s="1"/>
  <c r="U94" i="2"/>
  <c r="V94" i="2" s="1"/>
  <c r="S94" i="2"/>
  <c r="T94" i="2" s="1"/>
  <c r="Q94" i="2"/>
  <c r="O94" i="2"/>
  <c r="P94" i="2" s="1"/>
  <c r="M94" i="2"/>
  <c r="K94" i="2"/>
  <c r="L94" i="2" s="1"/>
  <c r="I94" i="2"/>
  <c r="G94" i="2"/>
  <c r="AY9" i="2"/>
  <c r="AW9" i="2"/>
  <c r="AU9" i="2"/>
  <c r="AS9" i="2"/>
  <c r="AQ9" i="2"/>
  <c r="AO9" i="2"/>
  <c r="AM9" i="2"/>
  <c r="AK9" i="2"/>
  <c r="AI9" i="2"/>
  <c r="AG9" i="2"/>
  <c r="AE9" i="2"/>
  <c r="AC9" i="2"/>
  <c r="Y9" i="2"/>
  <c r="W9" i="2"/>
  <c r="U9" i="2"/>
  <c r="S9" i="2"/>
  <c r="Q9" i="2"/>
  <c r="O9" i="2"/>
  <c r="M9" i="2"/>
  <c r="K9" i="2"/>
  <c r="AZ111" i="2"/>
  <c r="AY110" i="2"/>
  <c r="AZ110" i="2" s="1"/>
  <c r="AZ109" i="2"/>
  <c r="AZ108" i="2"/>
  <c r="AZ107" i="2"/>
  <c r="AY106" i="2"/>
  <c r="AZ106" i="2" s="1"/>
  <c r="AZ105" i="2"/>
  <c r="AZ104" i="2"/>
  <c r="AZ103" i="2"/>
  <c r="AZ102" i="2"/>
  <c r="AZ101" i="2"/>
  <c r="AY100" i="2"/>
  <c r="AZ100" i="2" s="1"/>
  <c r="AZ99" i="2"/>
  <c r="AZ98" i="2"/>
  <c r="AZ97" i="2"/>
  <c r="AZ95" i="2"/>
  <c r="AZ94" i="2"/>
  <c r="AZ93" i="2"/>
  <c r="AZ92" i="2"/>
  <c r="AZ91" i="2"/>
  <c r="AZ90" i="2"/>
  <c r="AZ89" i="2"/>
  <c r="AZ88" i="2"/>
  <c r="AZ87" i="2"/>
  <c r="AZ86" i="2"/>
  <c r="AZ84" i="2"/>
  <c r="AZ82" i="2"/>
  <c r="AY81" i="2"/>
  <c r="AZ81" i="2" s="1"/>
  <c r="AZ80" i="2"/>
  <c r="AZ79" i="2"/>
  <c r="AZ78" i="2"/>
  <c r="AZ77" i="2"/>
  <c r="AZ76" i="2"/>
  <c r="AZ75" i="2"/>
  <c r="AZ74" i="2"/>
  <c r="AZ73" i="2"/>
  <c r="AY72" i="2"/>
  <c r="AZ71" i="2"/>
  <c r="AZ70" i="2"/>
  <c r="AZ69" i="2"/>
  <c r="AY68" i="2"/>
  <c r="AZ68" i="2" s="1"/>
  <c r="AZ67" i="2"/>
  <c r="AZ66" i="2"/>
  <c r="AZ65" i="2"/>
  <c r="AZ64" i="2"/>
  <c r="AY63" i="2"/>
  <c r="AZ63" i="2" s="1"/>
  <c r="AZ62" i="2"/>
  <c r="AZ61" i="2"/>
  <c r="AZ60" i="2"/>
  <c r="AZ59" i="2"/>
  <c r="AZ58" i="2"/>
  <c r="AZ57" i="2"/>
  <c r="AZ56" i="2"/>
  <c r="AZ55" i="2"/>
  <c r="AY54" i="2"/>
  <c r="AZ54" i="2" s="1"/>
  <c r="AZ53" i="2"/>
  <c r="AZ52" i="2"/>
  <c r="AZ51" i="2"/>
  <c r="AZ50" i="2"/>
  <c r="AZ49" i="2"/>
  <c r="AZ48" i="2"/>
  <c r="AZ47" i="2"/>
  <c r="AZ46" i="2"/>
  <c r="AZ45" i="2"/>
  <c r="AY44" i="2"/>
  <c r="AZ44" i="2" s="1"/>
  <c r="AZ43" i="2"/>
  <c r="AZ42" i="2"/>
  <c r="AZ41" i="2"/>
  <c r="AZ40" i="2"/>
  <c r="AZ39" i="2"/>
  <c r="AZ38" i="2"/>
  <c r="AY38" i="2"/>
  <c r="AZ37" i="2"/>
  <c r="AZ36" i="2"/>
  <c r="AZ35" i="2"/>
  <c r="AY34" i="2"/>
  <c r="AY83" i="2" s="1"/>
  <c r="AZ83" i="2" s="1"/>
  <c r="AZ33" i="2"/>
  <c r="AZ32" i="2"/>
  <c r="AZ31" i="2"/>
  <c r="AZ30" i="2"/>
  <c r="AZ29" i="2"/>
  <c r="AZ28" i="2"/>
  <c r="AZ27" i="2"/>
  <c r="AZ26" i="2"/>
  <c r="AZ25" i="2"/>
  <c r="AZ24" i="2"/>
  <c r="AZ23" i="2"/>
  <c r="AZ22" i="2"/>
  <c r="AZ20" i="2"/>
  <c r="AZ19" i="2"/>
  <c r="AZ18" i="2"/>
  <c r="AZ17" i="2"/>
  <c r="AY17" i="2"/>
  <c r="AY21" i="2" s="1"/>
  <c r="AZ16" i="2"/>
  <c r="AZ15" i="2"/>
  <c r="AZ14" i="2"/>
  <c r="AY11" i="2"/>
  <c r="AX111" i="2"/>
  <c r="AW110" i="2"/>
  <c r="AX110" i="2" s="1"/>
  <c r="AX109" i="2"/>
  <c r="AX108" i="2"/>
  <c r="AX107" i="2"/>
  <c r="AW106" i="2"/>
  <c r="AX106" i="2" s="1"/>
  <c r="AX105" i="2"/>
  <c r="AX104" i="2"/>
  <c r="AX103" i="2"/>
  <c r="AX102" i="2"/>
  <c r="AX101" i="2"/>
  <c r="AX100" i="2"/>
  <c r="AW100" i="2"/>
  <c r="AX99" i="2"/>
  <c r="AX98" i="2"/>
  <c r="AX97" i="2"/>
  <c r="AX95" i="2"/>
  <c r="AX94" i="2"/>
  <c r="AX93" i="2"/>
  <c r="AX92" i="2"/>
  <c r="AX91" i="2"/>
  <c r="AX90" i="2"/>
  <c r="AX89" i="2"/>
  <c r="AX88" i="2"/>
  <c r="AX87" i="2"/>
  <c r="AX86" i="2"/>
  <c r="AX84" i="2"/>
  <c r="AX82" i="2"/>
  <c r="AX81" i="2"/>
  <c r="AW81" i="2"/>
  <c r="AX80" i="2"/>
  <c r="AX79" i="2"/>
  <c r="AX78" i="2"/>
  <c r="AX77" i="2"/>
  <c r="AX76" i="2"/>
  <c r="AX75" i="2"/>
  <c r="AX74" i="2"/>
  <c r="AX73" i="2"/>
  <c r="AX72" i="2"/>
  <c r="AW72" i="2"/>
  <c r="AX71" i="2"/>
  <c r="AX70" i="2"/>
  <c r="AX69" i="2"/>
  <c r="AW68" i="2"/>
  <c r="AX68" i="2" s="1"/>
  <c r="AX67" i="2"/>
  <c r="AX66" i="2"/>
  <c r="AX65" i="2"/>
  <c r="AX64" i="2"/>
  <c r="AW63" i="2"/>
  <c r="AX63" i="2" s="1"/>
  <c r="AX62" i="2"/>
  <c r="AX61" i="2"/>
  <c r="AX60" i="2"/>
  <c r="AX59" i="2"/>
  <c r="AX58" i="2"/>
  <c r="AX57" i="2"/>
  <c r="AX56" i="2"/>
  <c r="AX55" i="2"/>
  <c r="AW54" i="2"/>
  <c r="AX54" i="2" s="1"/>
  <c r="AX53" i="2"/>
  <c r="AX52" i="2"/>
  <c r="AX51" i="2"/>
  <c r="AX50" i="2"/>
  <c r="AX49" i="2"/>
  <c r="AX48" i="2"/>
  <c r="AX47" i="2"/>
  <c r="AX46" i="2"/>
  <c r="AX45" i="2"/>
  <c r="AX44" i="2"/>
  <c r="AW44" i="2"/>
  <c r="AX43" i="2"/>
  <c r="AX42" i="2"/>
  <c r="AX41" i="2"/>
  <c r="AX40" i="2"/>
  <c r="AX39" i="2"/>
  <c r="AW38" i="2"/>
  <c r="AX38" i="2" s="1"/>
  <c r="AX37" i="2"/>
  <c r="AX36" i="2"/>
  <c r="AX35" i="2"/>
  <c r="AW34" i="2"/>
  <c r="AW83" i="2" s="1"/>
  <c r="AX83" i="2" s="1"/>
  <c r="AX33" i="2"/>
  <c r="AX32" i="2"/>
  <c r="AX31" i="2"/>
  <c r="AX30" i="2"/>
  <c r="AX29" i="2"/>
  <c r="AX28" i="2"/>
  <c r="AX27" i="2"/>
  <c r="AX26" i="2"/>
  <c r="AX25" i="2"/>
  <c r="AX24" i="2"/>
  <c r="AX23" i="2"/>
  <c r="AX22" i="2"/>
  <c r="AX20" i="2"/>
  <c r="AX19" i="2"/>
  <c r="AX18" i="2"/>
  <c r="AW17" i="2"/>
  <c r="AW21" i="2" s="1"/>
  <c r="AX16" i="2"/>
  <c r="AX15" i="2"/>
  <c r="AX14" i="2"/>
  <c r="AW11" i="2"/>
  <c r="AV111" i="2"/>
  <c r="AU110" i="2"/>
  <c r="AV110" i="2" s="1"/>
  <c r="AV109" i="2"/>
  <c r="AV108" i="2"/>
  <c r="AV107" i="2"/>
  <c r="AV106" i="2"/>
  <c r="AU106" i="2"/>
  <c r="AV105" i="2"/>
  <c r="AV104" i="2"/>
  <c r="AV103" i="2"/>
  <c r="AV102" i="2"/>
  <c r="AV101" i="2"/>
  <c r="AU100" i="2"/>
  <c r="AV100" i="2" s="1"/>
  <c r="AV99" i="2"/>
  <c r="AV98" i="2"/>
  <c r="AV97" i="2"/>
  <c r="AV95" i="2"/>
  <c r="AV94" i="2"/>
  <c r="AV93" i="2"/>
  <c r="AV92" i="2"/>
  <c r="AV91" i="2"/>
  <c r="AV90" i="2"/>
  <c r="AV89" i="2"/>
  <c r="AV88" i="2"/>
  <c r="AV87" i="2"/>
  <c r="AV86" i="2"/>
  <c r="AV84" i="2"/>
  <c r="AV82" i="2"/>
  <c r="AU81" i="2"/>
  <c r="AV81" i="2" s="1"/>
  <c r="AV80" i="2"/>
  <c r="AV79" i="2"/>
  <c r="AV78" i="2"/>
  <c r="AV77" i="2"/>
  <c r="AV76" i="2"/>
  <c r="AV75" i="2"/>
  <c r="AV74" i="2"/>
  <c r="AV73" i="2"/>
  <c r="AU72" i="2"/>
  <c r="AV72" i="2" s="1"/>
  <c r="AV71" i="2"/>
  <c r="AV70" i="2"/>
  <c r="AV69" i="2"/>
  <c r="AU68" i="2"/>
  <c r="AV68" i="2" s="1"/>
  <c r="AV67" i="2"/>
  <c r="AV66" i="2"/>
  <c r="AV65" i="2"/>
  <c r="AV64" i="2"/>
  <c r="AU63" i="2"/>
  <c r="AV63" i="2" s="1"/>
  <c r="AV62" i="2"/>
  <c r="AV61" i="2"/>
  <c r="AV60" i="2"/>
  <c r="AV59" i="2"/>
  <c r="AV58" i="2"/>
  <c r="AV57" i="2"/>
  <c r="AV56" i="2"/>
  <c r="AV55" i="2"/>
  <c r="AU54" i="2"/>
  <c r="AV54" i="2" s="1"/>
  <c r="AV53" i="2"/>
  <c r="AV52" i="2"/>
  <c r="AV51" i="2"/>
  <c r="AV50" i="2"/>
  <c r="AV49" i="2"/>
  <c r="AV48" i="2"/>
  <c r="AV47" i="2"/>
  <c r="AV46" i="2"/>
  <c r="AV45" i="2"/>
  <c r="AU44" i="2"/>
  <c r="AV44" i="2" s="1"/>
  <c r="AV43" i="2"/>
  <c r="AV42" i="2"/>
  <c r="AV41" i="2"/>
  <c r="AV40" i="2"/>
  <c r="AV39" i="2"/>
  <c r="AV38" i="2"/>
  <c r="AU38" i="2"/>
  <c r="AV37" i="2"/>
  <c r="AV36" i="2"/>
  <c r="AV35" i="2"/>
  <c r="AV34" i="2"/>
  <c r="AU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0" i="2"/>
  <c r="AV19" i="2"/>
  <c r="AV18" i="2"/>
  <c r="AV17" i="2"/>
  <c r="AU17" i="2"/>
  <c r="AU21" i="2" s="1"/>
  <c r="AV16" i="2"/>
  <c r="AV15" i="2"/>
  <c r="AV14" i="2"/>
  <c r="AU11" i="2"/>
  <c r="AT111" i="2"/>
  <c r="AS110" i="2"/>
  <c r="AT110" i="2" s="1"/>
  <c r="AT109" i="2"/>
  <c r="AT108" i="2"/>
  <c r="AT107" i="2"/>
  <c r="AS106" i="2"/>
  <c r="AT106" i="2" s="1"/>
  <c r="AT105" i="2"/>
  <c r="AT104" i="2"/>
  <c r="AT103" i="2"/>
  <c r="AT102" i="2"/>
  <c r="AT101" i="2"/>
  <c r="AS100" i="2"/>
  <c r="AT100" i="2" s="1"/>
  <c r="AT99" i="2"/>
  <c r="AT98" i="2"/>
  <c r="AT97" i="2"/>
  <c r="AT95" i="2"/>
  <c r="AT94" i="2"/>
  <c r="AT93" i="2"/>
  <c r="AT92" i="2"/>
  <c r="AT91" i="2"/>
  <c r="AT90" i="2"/>
  <c r="AT89" i="2"/>
  <c r="AT88" i="2"/>
  <c r="AT87" i="2"/>
  <c r="AT86" i="2"/>
  <c r="AT84" i="2"/>
  <c r="AT82" i="2"/>
  <c r="AS81" i="2"/>
  <c r="AT81" i="2" s="1"/>
  <c r="AT80" i="2"/>
  <c r="AT79" i="2"/>
  <c r="AT78" i="2"/>
  <c r="AT77" i="2"/>
  <c r="AT76" i="2"/>
  <c r="AT75" i="2"/>
  <c r="AT74" i="2"/>
  <c r="AT73" i="2"/>
  <c r="AT72" i="2"/>
  <c r="AS72" i="2"/>
  <c r="AT71" i="2"/>
  <c r="AT70" i="2"/>
  <c r="AT69" i="2"/>
  <c r="AT68" i="2"/>
  <c r="AS68" i="2"/>
  <c r="AT67" i="2"/>
  <c r="AT66" i="2"/>
  <c r="AT65" i="2"/>
  <c r="AT64" i="2"/>
  <c r="AS63" i="2"/>
  <c r="AT63" i="2" s="1"/>
  <c r="AT62" i="2"/>
  <c r="AT61" i="2"/>
  <c r="AT60" i="2"/>
  <c r="AT59" i="2"/>
  <c r="AT58" i="2"/>
  <c r="AT57" i="2"/>
  <c r="AT56" i="2"/>
  <c r="AT55" i="2"/>
  <c r="AT54" i="2"/>
  <c r="AS54" i="2"/>
  <c r="AT53" i="2"/>
  <c r="AT52" i="2"/>
  <c r="AT51" i="2"/>
  <c r="AT50" i="2"/>
  <c r="AT49" i="2"/>
  <c r="AT48" i="2"/>
  <c r="AT47" i="2"/>
  <c r="AT46" i="2"/>
  <c r="AT45" i="2"/>
  <c r="AT44" i="2"/>
  <c r="AS44" i="2"/>
  <c r="AT43" i="2"/>
  <c r="AT42" i="2"/>
  <c r="AT41" i="2"/>
  <c r="AT40" i="2"/>
  <c r="AT39" i="2"/>
  <c r="AS38" i="2"/>
  <c r="AT38" i="2" s="1"/>
  <c r="AT37" i="2"/>
  <c r="AT36" i="2"/>
  <c r="AT35" i="2"/>
  <c r="AS34" i="2"/>
  <c r="AS83" i="2" s="1"/>
  <c r="AT83" i="2" s="1"/>
  <c r="AT33" i="2"/>
  <c r="AT32" i="2"/>
  <c r="AT31" i="2"/>
  <c r="AT30" i="2"/>
  <c r="AT29" i="2"/>
  <c r="AT28" i="2"/>
  <c r="AT27" i="2"/>
  <c r="AT26" i="2"/>
  <c r="AT25" i="2"/>
  <c r="AT24" i="2"/>
  <c r="AT23" i="2"/>
  <c r="AT22" i="2"/>
  <c r="AT20" i="2"/>
  <c r="AT19" i="2"/>
  <c r="AT18" i="2"/>
  <c r="AS17" i="2"/>
  <c r="AS21" i="2" s="1"/>
  <c r="AT16" i="2"/>
  <c r="AT15" i="2"/>
  <c r="AT14" i="2"/>
  <c r="AS11" i="2"/>
  <c r="AR111" i="2"/>
  <c r="AQ110" i="2"/>
  <c r="AR110" i="2" s="1"/>
  <c r="AR109" i="2"/>
  <c r="AR108" i="2"/>
  <c r="AR107" i="2"/>
  <c r="AR106" i="2"/>
  <c r="AQ106" i="2"/>
  <c r="AR105" i="2"/>
  <c r="AR104" i="2"/>
  <c r="AR103" i="2"/>
  <c r="AR102" i="2"/>
  <c r="AR101" i="2"/>
  <c r="AQ100" i="2"/>
  <c r="AR100" i="2" s="1"/>
  <c r="AR99" i="2"/>
  <c r="AR98" i="2"/>
  <c r="AR97" i="2"/>
  <c r="AR95" i="2"/>
  <c r="AR94" i="2"/>
  <c r="AR93" i="2"/>
  <c r="AR92" i="2"/>
  <c r="AR91" i="2"/>
  <c r="AR90" i="2"/>
  <c r="AR89" i="2"/>
  <c r="AR88" i="2"/>
  <c r="AR87" i="2"/>
  <c r="AR86" i="2"/>
  <c r="AR84" i="2"/>
  <c r="AR82" i="2"/>
  <c r="AQ81" i="2"/>
  <c r="AR81" i="2" s="1"/>
  <c r="AR80" i="2"/>
  <c r="AR79" i="2"/>
  <c r="AR78" i="2"/>
  <c r="AR77" i="2"/>
  <c r="AR76" i="2"/>
  <c r="AR75" i="2"/>
  <c r="AR74" i="2"/>
  <c r="AR73" i="2"/>
  <c r="AR72" i="2"/>
  <c r="AQ72" i="2"/>
  <c r="AR71" i="2"/>
  <c r="AR70" i="2"/>
  <c r="AR69" i="2"/>
  <c r="AQ68" i="2"/>
  <c r="AR68" i="2" s="1"/>
  <c r="AR67" i="2"/>
  <c r="AR66" i="2"/>
  <c r="AR65" i="2"/>
  <c r="AR64" i="2"/>
  <c r="AQ63" i="2"/>
  <c r="AR63" i="2" s="1"/>
  <c r="AR62" i="2"/>
  <c r="AR61" i="2"/>
  <c r="AR60" i="2"/>
  <c r="AR59" i="2"/>
  <c r="AR58" i="2"/>
  <c r="AR57" i="2"/>
  <c r="AR56" i="2"/>
  <c r="AR55" i="2"/>
  <c r="AQ54" i="2"/>
  <c r="AR54" i="2" s="1"/>
  <c r="AR53" i="2"/>
  <c r="AR52" i="2"/>
  <c r="AR51" i="2"/>
  <c r="AR50" i="2"/>
  <c r="AR49" i="2"/>
  <c r="AR48" i="2"/>
  <c r="AR47" i="2"/>
  <c r="AR46" i="2"/>
  <c r="AR45" i="2"/>
  <c r="AR44" i="2"/>
  <c r="AQ44" i="2"/>
  <c r="AR43" i="2"/>
  <c r="AR42" i="2"/>
  <c r="AR41" i="2"/>
  <c r="AR40" i="2"/>
  <c r="AR39" i="2"/>
  <c r="AR38" i="2"/>
  <c r="AQ38" i="2"/>
  <c r="AR37" i="2"/>
  <c r="AR36" i="2"/>
  <c r="AR35" i="2"/>
  <c r="AR34" i="2"/>
  <c r="AQ34" i="2"/>
  <c r="AQ83" i="2" s="1"/>
  <c r="AR83" i="2" s="1"/>
  <c r="AR33" i="2"/>
  <c r="AR32" i="2"/>
  <c r="AR31" i="2"/>
  <c r="AR30" i="2"/>
  <c r="AR29" i="2"/>
  <c r="AR28" i="2"/>
  <c r="AR27" i="2"/>
  <c r="AR26" i="2"/>
  <c r="AR25" i="2"/>
  <c r="AR24" i="2"/>
  <c r="AR23" i="2"/>
  <c r="AR22" i="2"/>
  <c r="AR20" i="2"/>
  <c r="AR19" i="2"/>
  <c r="AR18" i="2"/>
  <c r="AR17" i="2"/>
  <c r="AQ17" i="2"/>
  <c r="AQ21" i="2" s="1"/>
  <c r="AR16" i="2"/>
  <c r="AR15" i="2"/>
  <c r="AR14" i="2"/>
  <c r="AQ11" i="2"/>
  <c r="AP111" i="2"/>
  <c r="AO110" i="2"/>
  <c r="AP110" i="2" s="1"/>
  <c r="AP109" i="2"/>
  <c r="AP108" i="2"/>
  <c r="AP107" i="2"/>
  <c r="AP106" i="2"/>
  <c r="AO106" i="2"/>
  <c r="AP105" i="2"/>
  <c r="AP104" i="2"/>
  <c r="AP103" i="2"/>
  <c r="AP102" i="2"/>
  <c r="AP101" i="2"/>
  <c r="AO100" i="2"/>
  <c r="AP100" i="2" s="1"/>
  <c r="AP99" i="2"/>
  <c r="AP98" i="2"/>
  <c r="AP97" i="2"/>
  <c r="AP95" i="2"/>
  <c r="AP94" i="2"/>
  <c r="AP93" i="2"/>
  <c r="AP92" i="2"/>
  <c r="AP91" i="2"/>
  <c r="AP90" i="2"/>
  <c r="AP89" i="2"/>
  <c r="AP88" i="2"/>
  <c r="AP87" i="2"/>
  <c r="AP86" i="2"/>
  <c r="AP84" i="2"/>
  <c r="AP82" i="2"/>
  <c r="AO81" i="2"/>
  <c r="AP81" i="2" s="1"/>
  <c r="AP80" i="2"/>
  <c r="AP79" i="2"/>
  <c r="AP78" i="2"/>
  <c r="AP77" i="2"/>
  <c r="AP76" i="2"/>
  <c r="AP75" i="2"/>
  <c r="AP74" i="2"/>
  <c r="AP73" i="2"/>
  <c r="AP72" i="2"/>
  <c r="AO72" i="2"/>
  <c r="AP71" i="2"/>
  <c r="AP70" i="2"/>
  <c r="AP69" i="2"/>
  <c r="AP68" i="2"/>
  <c r="AO68" i="2"/>
  <c r="AP67" i="2"/>
  <c r="AP66" i="2"/>
  <c r="AP65" i="2"/>
  <c r="AP64" i="2"/>
  <c r="AO63" i="2"/>
  <c r="AP63" i="2" s="1"/>
  <c r="AP62" i="2"/>
  <c r="AP61" i="2"/>
  <c r="AP60" i="2"/>
  <c r="AP59" i="2"/>
  <c r="AP58" i="2"/>
  <c r="AP57" i="2"/>
  <c r="AP56" i="2"/>
  <c r="AP55" i="2"/>
  <c r="AP54" i="2"/>
  <c r="AO54" i="2"/>
  <c r="AP53" i="2"/>
  <c r="AP52" i="2"/>
  <c r="AP51" i="2"/>
  <c r="AP50" i="2"/>
  <c r="AP49" i="2"/>
  <c r="AP48" i="2"/>
  <c r="AP47" i="2"/>
  <c r="AP46" i="2"/>
  <c r="AP45" i="2"/>
  <c r="AP44" i="2"/>
  <c r="AO44" i="2"/>
  <c r="AP43" i="2"/>
  <c r="AP42" i="2"/>
  <c r="AP41" i="2"/>
  <c r="AP40" i="2"/>
  <c r="AP39" i="2"/>
  <c r="AP38" i="2"/>
  <c r="AO38" i="2"/>
  <c r="AP37" i="2"/>
  <c r="AP36" i="2"/>
  <c r="AP35" i="2"/>
  <c r="AO34" i="2"/>
  <c r="AO83" i="2" s="1"/>
  <c r="AP83" i="2" s="1"/>
  <c r="AP33" i="2"/>
  <c r="AP32" i="2"/>
  <c r="AP31" i="2"/>
  <c r="AP30" i="2"/>
  <c r="AP29" i="2"/>
  <c r="AP28" i="2"/>
  <c r="AP27" i="2"/>
  <c r="AP26" i="2"/>
  <c r="AP25" i="2"/>
  <c r="AP24" i="2"/>
  <c r="AP23" i="2"/>
  <c r="AP22" i="2"/>
  <c r="AP20" i="2"/>
  <c r="AP19" i="2"/>
  <c r="AP18" i="2"/>
  <c r="AP17" i="2"/>
  <c r="AO17" i="2"/>
  <c r="AO21" i="2" s="1"/>
  <c r="AP16" i="2"/>
  <c r="AP15" i="2"/>
  <c r="AP14" i="2"/>
  <c r="AO11" i="2"/>
  <c r="AN111" i="2"/>
  <c r="AN110" i="2"/>
  <c r="AM110" i="2"/>
  <c r="AN109" i="2"/>
  <c r="AN108" i="2"/>
  <c r="AN107" i="2"/>
  <c r="AM106" i="2"/>
  <c r="AN106" i="2" s="1"/>
  <c r="AN105" i="2"/>
  <c r="AN104" i="2"/>
  <c r="AN103" i="2"/>
  <c r="AN102" i="2"/>
  <c r="AN101" i="2"/>
  <c r="AM100" i="2"/>
  <c r="AN100" i="2" s="1"/>
  <c r="AN99" i="2"/>
  <c r="AN98" i="2"/>
  <c r="AN97" i="2"/>
  <c r="AN95" i="2"/>
  <c r="AN94" i="2"/>
  <c r="AN93" i="2"/>
  <c r="AN92" i="2"/>
  <c r="AN91" i="2"/>
  <c r="AN90" i="2"/>
  <c r="AN89" i="2"/>
  <c r="AN88" i="2"/>
  <c r="AN87" i="2"/>
  <c r="AN86" i="2"/>
  <c r="AN84" i="2"/>
  <c r="AN82" i="2"/>
  <c r="AM81" i="2"/>
  <c r="AN81" i="2" s="1"/>
  <c r="AN80" i="2"/>
  <c r="AN79" i="2"/>
  <c r="AN78" i="2"/>
  <c r="AN77" i="2"/>
  <c r="AN76" i="2"/>
  <c r="AN75" i="2"/>
  <c r="AN74" i="2"/>
  <c r="AN73" i="2"/>
  <c r="AN72" i="2"/>
  <c r="AM72" i="2"/>
  <c r="AN71" i="2"/>
  <c r="AN70" i="2"/>
  <c r="AN69" i="2"/>
  <c r="AM68" i="2"/>
  <c r="AN68" i="2" s="1"/>
  <c r="AN67" i="2"/>
  <c r="AN66" i="2"/>
  <c r="AN65" i="2"/>
  <c r="AN64" i="2"/>
  <c r="AM63" i="2"/>
  <c r="AN63" i="2" s="1"/>
  <c r="AN62" i="2"/>
  <c r="AN61" i="2"/>
  <c r="AN60" i="2"/>
  <c r="AN59" i="2"/>
  <c r="AN58" i="2"/>
  <c r="AN57" i="2"/>
  <c r="AN56" i="2"/>
  <c r="AN55" i="2"/>
  <c r="AM54" i="2"/>
  <c r="AN54" i="2" s="1"/>
  <c r="AN53" i="2"/>
  <c r="AN52" i="2"/>
  <c r="AN51" i="2"/>
  <c r="AN50" i="2"/>
  <c r="AN49" i="2"/>
  <c r="AN48" i="2"/>
  <c r="AN47" i="2"/>
  <c r="AN46" i="2"/>
  <c r="AN45" i="2"/>
  <c r="AN44" i="2"/>
  <c r="AM44" i="2"/>
  <c r="AN43" i="2"/>
  <c r="AN42" i="2"/>
  <c r="AN41" i="2"/>
  <c r="AN40" i="2"/>
  <c r="AN39" i="2"/>
  <c r="AM38" i="2"/>
  <c r="AM83" i="2" s="1"/>
  <c r="AN83" i="2" s="1"/>
  <c r="AN37" i="2"/>
  <c r="AN36" i="2"/>
  <c r="AN35" i="2"/>
  <c r="AN34" i="2"/>
  <c r="AM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0" i="2"/>
  <c r="AN19" i="2"/>
  <c r="AN18" i="2"/>
  <c r="AM17" i="2"/>
  <c r="AM21" i="2" s="1"/>
  <c r="AN16" i="2"/>
  <c r="AN15" i="2"/>
  <c r="AN14" i="2"/>
  <c r="AM11" i="2"/>
  <c r="AL111" i="2"/>
  <c r="AK110" i="2"/>
  <c r="AL110" i="2" s="1"/>
  <c r="AL109" i="2"/>
  <c r="AL108" i="2"/>
  <c r="AL107" i="2"/>
  <c r="AL106" i="2"/>
  <c r="AK106" i="2"/>
  <c r="AL105" i="2"/>
  <c r="AL104" i="2"/>
  <c r="AL103" i="2"/>
  <c r="AL102" i="2"/>
  <c r="AL101" i="2"/>
  <c r="AK100" i="2"/>
  <c r="AL100" i="2" s="1"/>
  <c r="AL99" i="2"/>
  <c r="AL98" i="2"/>
  <c r="AL97" i="2"/>
  <c r="AL95" i="2"/>
  <c r="AL94" i="2"/>
  <c r="AL93" i="2"/>
  <c r="AL92" i="2"/>
  <c r="AL91" i="2"/>
  <c r="AL90" i="2"/>
  <c r="AL89" i="2"/>
  <c r="AL88" i="2"/>
  <c r="AL87" i="2"/>
  <c r="AL86" i="2"/>
  <c r="AL84" i="2"/>
  <c r="AL82" i="2"/>
  <c r="AK81" i="2"/>
  <c r="AL81" i="2" s="1"/>
  <c r="AL80" i="2"/>
  <c r="AL79" i="2"/>
  <c r="AL78" i="2"/>
  <c r="AL77" i="2"/>
  <c r="AL76" i="2"/>
  <c r="AL75" i="2"/>
  <c r="AL74" i="2"/>
  <c r="AL73" i="2"/>
  <c r="AL72" i="2"/>
  <c r="AK72" i="2"/>
  <c r="AL71" i="2"/>
  <c r="AL70" i="2"/>
  <c r="AL69" i="2"/>
  <c r="AK68" i="2"/>
  <c r="AL68" i="2" s="1"/>
  <c r="AL67" i="2"/>
  <c r="AL66" i="2"/>
  <c r="AL65" i="2"/>
  <c r="AL64" i="2"/>
  <c r="AK63" i="2"/>
  <c r="AL63" i="2" s="1"/>
  <c r="AL62" i="2"/>
  <c r="AL61" i="2"/>
  <c r="AL60" i="2"/>
  <c r="AL59" i="2"/>
  <c r="AL58" i="2"/>
  <c r="AL57" i="2"/>
  <c r="AL56" i="2"/>
  <c r="AL55" i="2"/>
  <c r="AK54" i="2"/>
  <c r="AL54" i="2" s="1"/>
  <c r="AL53" i="2"/>
  <c r="AL52" i="2"/>
  <c r="AL51" i="2"/>
  <c r="AL50" i="2"/>
  <c r="AL49" i="2"/>
  <c r="AL48" i="2"/>
  <c r="AL47" i="2"/>
  <c r="AL46" i="2"/>
  <c r="AL45" i="2"/>
  <c r="AL44" i="2"/>
  <c r="AK44" i="2"/>
  <c r="AL43" i="2"/>
  <c r="AL42" i="2"/>
  <c r="AL41" i="2"/>
  <c r="AL40" i="2"/>
  <c r="AL39" i="2"/>
  <c r="AL38" i="2"/>
  <c r="AK38" i="2"/>
  <c r="AL37" i="2"/>
  <c r="AL36" i="2"/>
  <c r="AL35" i="2"/>
  <c r="AK34" i="2"/>
  <c r="AK83" i="2" s="1"/>
  <c r="AL83" i="2" s="1"/>
  <c r="AL33" i="2"/>
  <c r="AL32" i="2"/>
  <c r="AL31" i="2"/>
  <c r="AL30" i="2"/>
  <c r="AL29" i="2"/>
  <c r="AL28" i="2"/>
  <c r="AL27" i="2"/>
  <c r="AL26" i="2"/>
  <c r="AL25" i="2"/>
  <c r="AL24" i="2"/>
  <c r="AL23" i="2"/>
  <c r="AL22" i="2"/>
  <c r="AL20" i="2"/>
  <c r="AL19" i="2"/>
  <c r="AL18" i="2"/>
  <c r="AL17" i="2"/>
  <c r="AK17" i="2"/>
  <c r="AK21" i="2" s="1"/>
  <c r="AL16" i="2"/>
  <c r="AL15" i="2"/>
  <c r="AL14" i="2"/>
  <c r="AK11" i="2"/>
  <c r="AJ111" i="2"/>
  <c r="AI110" i="2"/>
  <c r="AJ110" i="2" s="1"/>
  <c r="AJ109" i="2"/>
  <c r="AJ108" i="2"/>
  <c r="AJ107" i="2"/>
  <c r="AJ106" i="2"/>
  <c r="AI106" i="2"/>
  <c r="AJ105" i="2"/>
  <c r="AJ104" i="2"/>
  <c r="AJ103" i="2"/>
  <c r="AJ102" i="2"/>
  <c r="AJ101" i="2"/>
  <c r="AI100" i="2"/>
  <c r="AJ100" i="2" s="1"/>
  <c r="AJ99" i="2"/>
  <c r="AJ98" i="2"/>
  <c r="AJ97" i="2"/>
  <c r="AJ95" i="2"/>
  <c r="AJ93" i="2"/>
  <c r="AJ92" i="2"/>
  <c r="AJ91" i="2"/>
  <c r="AJ90" i="2"/>
  <c r="AJ89" i="2"/>
  <c r="AJ88" i="2"/>
  <c r="AJ87" i="2"/>
  <c r="AJ86" i="2"/>
  <c r="AJ84" i="2"/>
  <c r="AJ82" i="2"/>
  <c r="AI81" i="2"/>
  <c r="AJ81" i="2" s="1"/>
  <c r="AJ80" i="2"/>
  <c r="AJ79" i="2"/>
  <c r="AJ78" i="2"/>
  <c r="AJ77" i="2"/>
  <c r="AJ76" i="2"/>
  <c r="AJ75" i="2"/>
  <c r="AJ74" i="2"/>
  <c r="AJ73" i="2"/>
  <c r="AJ72" i="2"/>
  <c r="AI72" i="2"/>
  <c r="AJ71" i="2"/>
  <c r="AJ70" i="2"/>
  <c r="AJ69" i="2"/>
  <c r="AI68" i="2"/>
  <c r="AJ68" i="2" s="1"/>
  <c r="AJ67" i="2"/>
  <c r="AJ66" i="2"/>
  <c r="AJ65" i="2"/>
  <c r="AJ64" i="2"/>
  <c r="AI63" i="2"/>
  <c r="AJ63" i="2" s="1"/>
  <c r="AJ62" i="2"/>
  <c r="AJ61" i="2"/>
  <c r="AJ60" i="2"/>
  <c r="AJ59" i="2"/>
  <c r="AJ58" i="2"/>
  <c r="AJ57" i="2"/>
  <c r="AJ56" i="2"/>
  <c r="AJ55" i="2"/>
  <c r="AI54" i="2"/>
  <c r="AJ54" i="2" s="1"/>
  <c r="AJ53" i="2"/>
  <c r="AJ52" i="2"/>
  <c r="AJ51" i="2"/>
  <c r="AJ50" i="2"/>
  <c r="AJ49" i="2"/>
  <c r="AJ48" i="2"/>
  <c r="AJ47" i="2"/>
  <c r="AJ46" i="2"/>
  <c r="AJ45" i="2"/>
  <c r="AI44" i="2"/>
  <c r="AJ44" i="2" s="1"/>
  <c r="AJ43" i="2"/>
  <c r="AJ42" i="2"/>
  <c r="AJ41" i="2"/>
  <c r="AJ40" i="2"/>
  <c r="AJ39" i="2"/>
  <c r="AI38" i="2"/>
  <c r="AJ38" i="2" s="1"/>
  <c r="AJ37" i="2"/>
  <c r="AJ36" i="2"/>
  <c r="AJ35" i="2"/>
  <c r="AI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0" i="2"/>
  <c r="AJ19" i="2"/>
  <c r="AJ18" i="2"/>
  <c r="AI17" i="2"/>
  <c r="AI21" i="2" s="1"/>
  <c r="AJ16" i="2"/>
  <c r="AJ15" i="2"/>
  <c r="AJ14" i="2"/>
  <c r="AI11" i="2"/>
  <c r="AH111" i="2"/>
  <c r="AG110" i="2"/>
  <c r="AH110" i="2" s="1"/>
  <c r="AH109" i="2"/>
  <c r="AH108" i="2"/>
  <c r="AH107" i="2"/>
  <c r="AG106" i="2"/>
  <c r="AH106" i="2" s="1"/>
  <c r="AH105" i="2"/>
  <c r="AH104" i="2"/>
  <c r="AH103" i="2"/>
  <c r="AH102" i="2"/>
  <c r="AH101" i="2"/>
  <c r="AG100" i="2"/>
  <c r="AH100" i="2" s="1"/>
  <c r="AH99" i="2"/>
  <c r="AH98" i="2"/>
  <c r="AH97" i="2"/>
  <c r="AH95" i="2"/>
  <c r="AH94" i="2"/>
  <c r="AH93" i="2"/>
  <c r="AH92" i="2"/>
  <c r="AH91" i="2"/>
  <c r="AH90" i="2"/>
  <c r="AH89" i="2"/>
  <c r="AH88" i="2"/>
  <c r="AH87" i="2"/>
  <c r="AH86" i="2"/>
  <c r="AH84" i="2"/>
  <c r="AH82" i="2"/>
  <c r="AG81" i="2"/>
  <c r="AH81" i="2" s="1"/>
  <c r="AH80" i="2"/>
  <c r="AH79" i="2"/>
  <c r="AH78" i="2"/>
  <c r="AH77" i="2"/>
  <c r="AH76" i="2"/>
  <c r="AH75" i="2"/>
  <c r="AH74" i="2"/>
  <c r="AH73" i="2"/>
  <c r="AH72" i="2"/>
  <c r="AG72" i="2"/>
  <c r="AH71" i="2"/>
  <c r="AH70" i="2"/>
  <c r="AH69" i="2"/>
  <c r="AG68" i="2"/>
  <c r="AH68" i="2" s="1"/>
  <c r="AH67" i="2"/>
  <c r="AH66" i="2"/>
  <c r="AH65" i="2"/>
  <c r="AH64" i="2"/>
  <c r="AG63" i="2"/>
  <c r="AH63" i="2" s="1"/>
  <c r="AH62" i="2"/>
  <c r="AH61" i="2"/>
  <c r="AH60" i="2"/>
  <c r="AH59" i="2"/>
  <c r="AH58" i="2"/>
  <c r="AH57" i="2"/>
  <c r="AH56" i="2"/>
  <c r="AH55" i="2"/>
  <c r="AG54" i="2"/>
  <c r="AH54" i="2" s="1"/>
  <c r="AH53" i="2"/>
  <c r="AH52" i="2"/>
  <c r="AH51" i="2"/>
  <c r="AH50" i="2"/>
  <c r="AH49" i="2"/>
  <c r="AH48" i="2"/>
  <c r="AH47" i="2"/>
  <c r="AH46" i="2"/>
  <c r="AH45" i="2"/>
  <c r="AG44" i="2"/>
  <c r="AH44" i="2" s="1"/>
  <c r="AH43" i="2"/>
  <c r="AH42" i="2"/>
  <c r="AH41" i="2"/>
  <c r="AH40" i="2"/>
  <c r="AH39" i="2"/>
  <c r="AG38" i="2"/>
  <c r="AH38" i="2" s="1"/>
  <c r="AH37" i="2"/>
  <c r="AH36" i="2"/>
  <c r="AH35" i="2"/>
  <c r="AG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0" i="2"/>
  <c r="AH19" i="2"/>
  <c r="AH18" i="2"/>
  <c r="AG17" i="2"/>
  <c r="AG21" i="2" s="1"/>
  <c r="AH16" i="2"/>
  <c r="AH15" i="2"/>
  <c r="AH14" i="2"/>
  <c r="AG11" i="2"/>
  <c r="AF111" i="2"/>
  <c r="AE110" i="2"/>
  <c r="AF110" i="2" s="1"/>
  <c r="AF109" i="2"/>
  <c r="AF108" i="2"/>
  <c r="AF107" i="2"/>
  <c r="AE106" i="2"/>
  <c r="AF106" i="2" s="1"/>
  <c r="AF105" i="2"/>
  <c r="AF104" i="2"/>
  <c r="AF103" i="2"/>
  <c r="AF102" i="2"/>
  <c r="AF101" i="2"/>
  <c r="AE100" i="2"/>
  <c r="AF100" i="2" s="1"/>
  <c r="AF99" i="2"/>
  <c r="AF98" i="2"/>
  <c r="AF97" i="2"/>
  <c r="AF95" i="2"/>
  <c r="AF94" i="2"/>
  <c r="AF93" i="2"/>
  <c r="AF92" i="2"/>
  <c r="AF91" i="2"/>
  <c r="AF90" i="2"/>
  <c r="AF89" i="2"/>
  <c r="AF88" i="2"/>
  <c r="AF87" i="2"/>
  <c r="AF86" i="2"/>
  <c r="AF84" i="2"/>
  <c r="AF82" i="2"/>
  <c r="AE81" i="2"/>
  <c r="AF81" i="2" s="1"/>
  <c r="AF80" i="2"/>
  <c r="AF79" i="2"/>
  <c r="AF78" i="2"/>
  <c r="AF77" i="2"/>
  <c r="AF76" i="2"/>
  <c r="AF75" i="2"/>
  <c r="AF74" i="2"/>
  <c r="AF73" i="2"/>
  <c r="AE72" i="2"/>
  <c r="AF72" i="2" s="1"/>
  <c r="AF71" i="2"/>
  <c r="AF70" i="2"/>
  <c r="AF69" i="2"/>
  <c r="AE68" i="2"/>
  <c r="AF68" i="2" s="1"/>
  <c r="AF67" i="2"/>
  <c r="AF66" i="2"/>
  <c r="AF65" i="2"/>
  <c r="AF64" i="2"/>
  <c r="AE63" i="2"/>
  <c r="AF63" i="2" s="1"/>
  <c r="AF62" i="2"/>
  <c r="AF61" i="2"/>
  <c r="AF60" i="2"/>
  <c r="AF59" i="2"/>
  <c r="AF58" i="2"/>
  <c r="AF57" i="2"/>
  <c r="AF56" i="2"/>
  <c r="AF55" i="2"/>
  <c r="AE54" i="2"/>
  <c r="AF54" i="2" s="1"/>
  <c r="AF53" i="2"/>
  <c r="AF52" i="2"/>
  <c r="AF51" i="2"/>
  <c r="AF50" i="2"/>
  <c r="AF49" i="2"/>
  <c r="AF48" i="2"/>
  <c r="AF47" i="2"/>
  <c r="AF46" i="2"/>
  <c r="AF45" i="2"/>
  <c r="AE44" i="2"/>
  <c r="AF44" i="2" s="1"/>
  <c r="AF43" i="2"/>
  <c r="AF42" i="2"/>
  <c r="AF41" i="2"/>
  <c r="AF40" i="2"/>
  <c r="AF39" i="2"/>
  <c r="AE38" i="2"/>
  <c r="AF38" i="2" s="1"/>
  <c r="AF37" i="2"/>
  <c r="AF36" i="2"/>
  <c r="AF35" i="2"/>
  <c r="AE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0" i="2"/>
  <c r="AF19" i="2"/>
  <c r="AF18" i="2"/>
  <c r="AE17" i="2"/>
  <c r="AE21" i="2" s="1"/>
  <c r="AF16" i="2"/>
  <c r="AF15" i="2"/>
  <c r="AF14" i="2"/>
  <c r="AE11" i="2"/>
  <c r="AD111" i="2"/>
  <c r="AC110" i="2"/>
  <c r="AD110" i="2" s="1"/>
  <c r="AD109" i="2"/>
  <c r="AD108" i="2"/>
  <c r="AD107" i="2"/>
  <c r="AD106" i="2"/>
  <c r="AC106" i="2"/>
  <c r="AD105" i="2"/>
  <c r="AD104" i="2"/>
  <c r="AD103" i="2"/>
  <c r="AD102" i="2"/>
  <c r="AD101" i="2"/>
  <c r="AC100" i="2"/>
  <c r="AD100" i="2" s="1"/>
  <c r="AD99" i="2"/>
  <c r="AD98" i="2"/>
  <c r="AD97" i="2"/>
  <c r="AD95" i="2"/>
  <c r="AD94" i="2"/>
  <c r="AD93" i="2"/>
  <c r="AD92" i="2"/>
  <c r="AD91" i="2"/>
  <c r="AD90" i="2"/>
  <c r="AD89" i="2"/>
  <c r="AD88" i="2"/>
  <c r="AD87" i="2"/>
  <c r="AD86" i="2"/>
  <c r="AD84" i="2"/>
  <c r="AD82" i="2"/>
  <c r="AC81" i="2"/>
  <c r="AD81" i="2" s="1"/>
  <c r="AD80" i="2"/>
  <c r="AD79" i="2"/>
  <c r="AD78" i="2"/>
  <c r="AD77" i="2"/>
  <c r="AD76" i="2"/>
  <c r="AD75" i="2"/>
  <c r="AD74" i="2"/>
  <c r="AD73" i="2"/>
  <c r="AD72" i="2"/>
  <c r="AC72" i="2"/>
  <c r="AD71" i="2"/>
  <c r="AD70" i="2"/>
  <c r="AD69" i="2"/>
  <c r="AC68" i="2"/>
  <c r="AD68" i="2" s="1"/>
  <c r="AD67" i="2"/>
  <c r="AD66" i="2"/>
  <c r="AD65" i="2"/>
  <c r="AD64" i="2"/>
  <c r="AC63" i="2"/>
  <c r="AD63" i="2" s="1"/>
  <c r="AD62" i="2"/>
  <c r="AD61" i="2"/>
  <c r="AD60" i="2"/>
  <c r="AD59" i="2"/>
  <c r="AD58" i="2"/>
  <c r="AD57" i="2"/>
  <c r="AD56" i="2"/>
  <c r="AD55" i="2"/>
  <c r="AC54" i="2"/>
  <c r="AD54" i="2" s="1"/>
  <c r="AD53" i="2"/>
  <c r="AD52" i="2"/>
  <c r="AD51" i="2"/>
  <c r="AD50" i="2"/>
  <c r="AD49" i="2"/>
  <c r="AD48" i="2"/>
  <c r="AD47" i="2"/>
  <c r="AD46" i="2"/>
  <c r="AD45" i="2"/>
  <c r="AC44" i="2"/>
  <c r="AD44" i="2" s="1"/>
  <c r="AD43" i="2"/>
  <c r="AD42" i="2"/>
  <c r="AD41" i="2"/>
  <c r="AD40" i="2"/>
  <c r="AD39" i="2"/>
  <c r="AD38" i="2"/>
  <c r="AC38" i="2"/>
  <c r="AD37" i="2"/>
  <c r="AD36" i="2"/>
  <c r="AD35" i="2"/>
  <c r="AC34" i="2"/>
  <c r="AD34" i="2" s="1"/>
  <c r="AD33" i="2"/>
  <c r="AD32" i="2"/>
  <c r="AD31" i="2"/>
  <c r="AD30" i="2"/>
  <c r="AD29" i="2"/>
  <c r="AD28" i="2"/>
  <c r="AD27" i="2"/>
  <c r="AD26" i="2"/>
  <c r="AD25" i="2"/>
  <c r="AD24" i="2"/>
  <c r="AD23" i="2"/>
  <c r="AD22" i="2"/>
  <c r="AD20" i="2"/>
  <c r="AD19" i="2"/>
  <c r="AD18" i="2"/>
  <c r="AC17" i="2"/>
  <c r="AC21" i="2" s="1"/>
  <c r="AD16" i="2"/>
  <c r="AD15" i="2"/>
  <c r="AD14" i="2"/>
  <c r="AC11" i="2"/>
  <c r="AB111" i="2"/>
  <c r="AA110" i="2"/>
  <c r="AB110" i="2" s="1"/>
  <c r="AB109" i="2"/>
  <c r="AB108" i="2"/>
  <c r="AB107" i="2"/>
  <c r="AA106" i="2"/>
  <c r="AB106" i="2" s="1"/>
  <c r="AB105" i="2"/>
  <c r="AB104" i="2"/>
  <c r="AB103" i="2"/>
  <c r="AB102" i="2"/>
  <c r="AB101" i="2"/>
  <c r="AA100" i="2"/>
  <c r="AB100" i="2" s="1"/>
  <c r="AB99" i="2"/>
  <c r="AB98" i="2"/>
  <c r="AB97" i="2"/>
  <c r="AB95" i="2"/>
  <c r="AB94" i="2"/>
  <c r="AB93" i="2"/>
  <c r="AB92" i="2"/>
  <c r="AB91" i="2"/>
  <c r="AB90" i="2"/>
  <c r="AB89" i="2"/>
  <c r="AB88" i="2"/>
  <c r="AB87" i="2"/>
  <c r="AB86" i="2"/>
  <c r="AB84" i="2"/>
  <c r="AB82" i="2"/>
  <c r="AA81" i="2"/>
  <c r="AB81" i="2" s="1"/>
  <c r="AB80" i="2"/>
  <c r="AB79" i="2"/>
  <c r="AB78" i="2"/>
  <c r="AB77" i="2"/>
  <c r="AB76" i="2"/>
  <c r="AB75" i="2"/>
  <c r="AB74" i="2"/>
  <c r="AB73" i="2"/>
  <c r="AA72" i="2"/>
  <c r="AB72" i="2" s="1"/>
  <c r="AB71" i="2"/>
  <c r="AB70" i="2"/>
  <c r="AB69" i="2"/>
  <c r="AA68" i="2"/>
  <c r="AB68" i="2" s="1"/>
  <c r="AB67" i="2"/>
  <c r="AB66" i="2"/>
  <c r="AB65" i="2"/>
  <c r="AB64" i="2"/>
  <c r="AA63" i="2"/>
  <c r="AB63" i="2" s="1"/>
  <c r="AB62" i="2"/>
  <c r="AB61" i="2"/>
  <c r="AB60" i="2"/>
  <c r="AB59" i="2"/>
  <c r="AB58" i="2"/>
  <c r="AB57" i="2"/>
  <c r="AB56" i="2"/>
  <c r="AB55" i="2"/>
  <c r="AA54" i="2"/>
  <c r="AB54" i="2" s="1"/>
  <c r="AB53" i="2"/>
  <c r="AB52" i="2"/>
  <c r="AB51" i="2"/>
  <c r="AB50" i="2"/>
  <c r="AB49" i="2"/>
  <c r="AB48" i="2"/>
  <c r="AB47" i="2"/>
  <c r="AB46" i="2"/>
  <c r="AB45" i="2"/>
  <c r="AA44" i="2"/>
  <c r="AB44" i="2" s="1"/>
  <c r="AB43" i="2"/>
  <c r="AB42" i="2"/>
  <c r="AB41" i="2"/>
  <c r="AB40" i="2"/>
  <c r="AB39" i="2"/>
  <c r="AA38" i="2"/>
  <c r="AB38" i="2" s="1"/>
  <c r="AB37" i="2"/>
  <c r="AB36" i="2"/>
  <c r="AB35" i="2"/>
  <c r="AA34" i="2"/>
  <c r="AB34" i="2" s="1"/>
  <c r="AB33" i="2"/>
  <c r="AB32" i="2"/>
  <c r="AB31" i="2"/>
  <c r="AB30" i="2"/>
  <c r="AB29" i="2"/>
  <c r="AB28" i="2"/>
  <c r="AB27" i="2"/>
  <c r="AB26" i="2"/>
  <c r="AB25" i="2"/>
  <c r="AB24" i="2"/>
  <c r="AB23" i="2"/>
  <c r="AB22" i="2"/>
  <c r="AB20" i="2"/>
  <c r="AB19" i="2"/>
  <c r="AB18" i="2"/>
  <c r="AA17" i="2"/>
  <c r="AA21" i="2" s="1"/>
  <c r="AB16" i="2"/>
  <c r="AB15" i="2"/>
  <c r="AB14" i="2"/>
  <c r="AA11" i="2"/>
  <c r="Z111" i="2"/>
  <c r="Y110" i="2"/>
  <c r="Z110" i="2" s="1"/>
  <c r="Z109" i="2"/>
  <c r="Z108" i="2"/>
  <c r="Z107" i="2"/>
  <c r="Y106" i="2"/>
  <c r="Z106" i="2" s="1"/>
  <c r="Z105" i="2"/>
  <c r="Z104" i="2"/>
  <c r="Z103" i="2"/>
  <c r="Z102" i="2"/>
  <c r="Z101" i="2"/>
  <c r="Y100" i="2"/>
  <c r="Z100" i="2" s="1"/>
  <c r="Z99" i="2"/>
  <c r="Z98" i="2"/>
  <c r="Z97" i="2"/>
  <c r="Z95" i="2"/>
  <c r="Z93" i="2"/>
  <c r="Z92" i="2"/>
  <c r="Z91" i="2"/>
  <c r="Z90" i="2"/>
  <c r="Z89" i="2"/>
  <c r="Z88" i="2"/>
  <c r="Z87" i="2"/>
  <c r="Z86" i="2"/>
  <c r="Z84" i="2"/>
  <c r="Z82" i="2"/>
  <c r="Y81" i="2"/>
  <c r="Z81" i="2" s="1"/>
  <c r="Z80" i="2"/>
  <c r="Z79" i="2"/>
  <c r="Z78" i="2"/>
  <c r="Z77" i="2"/>
  <c r="Z76" i="2"/>
  <c r="Z75" i="2"/>
  <c r="Z74" i="2"/>
  <c r="Z73" i="2"/>
  <c r="Y72" i="2"/>
  <c r="Z72" i="2" s="1"/>
  <c r="Z71" i="2"/>
  <c r="Z70" i="2"/>
  <c r="Z69" i="2"/>
  <c r="Y68" i="2"/>
  <c r="Z68" i="2" s="1"/>
  <c r="Z67" i="2"/>
  <c r="Z66" i="2"/>
  <c r="Z65" i="2"/>
  <c r="Z64" i="2"/>
  <c r="Y63" i="2"/>
  <c r="Z63" i="2" s="1"/>
  <c r="Z62" i="2"/>
  <c r="Z61" i="2"/>
  <c r="Z60" i="2"/>
  <c r="Z59" i="2"/>
  <c r="Z58" i="2"/>
  <c r="Z57" i="2"/>
  <c r="Z56" i="2"/>
  <c r="Z55" i="2"/>
  <c r="Y54" i="2"/>
  <c r="Z54" i="2" s="1"/>
  <c r="Z53" i="2"/>
  <c r="Z52" i="2"/>
  <c r="Z51" i="2"/>
  <c r="Z50" i="2"/>
  <c r="Z49" i="2"/>
  <c r="Z48" i="2"/>
  <c r="Z47" i="2"/>
  <c r="Z46" i="2"/>
  <c r="Z45" i="2"/>
  <c r="Y44" i="2"/>
  <c r="Z44" i="2" s="1"/>
  <c r="Z43" i="2"/>
  <c r="Z42" i="2"/>
  <c r="Z41" i="2"/>
  <c r="Z40" i="2"/>
  <c r="Z39" i="2"/>
  <c r="Y38" i="2"/>
  <c r="Z38" i="2" s="1"/>
  <c r="Z37" i="2"/>
  <c r="Z36" i="2"/>
  <c r="Z35" i="2"/>
  <c r="Y34" i="2"/>
  <c r="Z33" i="2"/>
  <c r="Z32" i="2"/>
  <c r="Z31" i="2"/>
  <c r="Z30" i="2"/>
  <c r="Z29" i="2"/>
  <c r="Z28" i="2"/>
  <c r="Z27" i="2"/>
  <c r="Z26" i="2"/>
  <c r="Z25" i="2"/>
  <c r="Z24" i="2"/>
  <c r="Z23" i="2"/>
  <c r="Z22" i="2"/>
  <c r="Z20" i="2"/>
  <c r="Z19" i="2"/>
  <c r="Z18" i="2"/>
  <c r="Y17" i="2"/>
  <c r="Y21" i="2" s="1"/>
  <c r="Z16" i="2"/>
  <c r="Z15" i="2"/>
  <c r="Z14" i="2"/>
  <c r="Y11" i="2"/>
  <c r="X111" i="2"/>
  <c r="W110" i="2"/>
  <c r="X110" i="2" s="1"/>
  <c r="X109" i="2"/>
  <c r="X108" i="2"/>
  <c r="X107" i="2"/>
  <c r="W106" i="2"/>
  <c r="X106" i="2" s="1"/>
  <c r="X105" i="2"/>
  <c r="X104" i="2"/>
  <c r="X103" i="2"/>
  <c r="X102" i="2"/>
  <c r="X101" i="2"/>
  <c r="W100" i="2"/>
  <c r="X100" i="2" s="1"/>
  <c r="X99" i="2"/>
  <c r="X98" i="2"/>
  <c r="X97" i="2"/>
  <c r="X95" i="2"/>
  <c r="X93" i="2"/>
  <c r="X92" i="2"/>
  <c r="X91" i="2"/>
  <c r="X90" i="2"/>
  <c r="X89" i="2"/>
  <c r="X88" i="2"/>
  <c r="X87" i="2"/>
  <c r="X86" i="2"/>
  <c r="X84" i="2"/>
  <c r="X82" i="2"/>
  <c r="W81" i="2"/>
  <c r="X81" i="2" s="1"/>
  <c r="X80" i="2"/>
  <c r="X79" i="2"/>
  <c r="X78" i="2"/>
  <c r="X77" i="2"/>
  <c r="X76" i="2"/>
  <c r="X75" i="2"/>
  <c r="X74" i="2"/>
  <c r="X73" i="2"/>
  <c r="W72" i="2"/>
  <c r="X72" i="2" s="1"/>
  <c r="X71" i="2"/>
  <c r="X70" i="2"/>
  <c r="X69" i="2"/>
  <c r="W68" i="2"/>
  <c r="X68" i="2" s="1"/>
  <c r="X67" i="2"/>
  <c r="X66" i="2"/>
  <c r="X65" i="2"/>
  <c r="X64" i="2"/>
  <c r="W63" i="2"/>
  <c r="X63" i="2" s="1"/>
  <c r="X62" i="2"/>
  <c r="X61" i="2"/>
  <c r="X60" i="2"/>
  <c r="X59" i="2"/>
  <c r="X58" i="2"/>
  <c r="X57" i="2"/>
  <c r="X56" i="2"/>
  <c r="X55" i="2"/>
  <c r="W54" i="2"/>
  <c r="X54" i="2" s="1"/>
  <c r="X53" i="2"/>
  <c r="X52" i="2"/>
  <c r="X51" i="2"/>
  <c r="X50" i="2"/>
  <c r="X49" i="2"/>
  <c r="X48" i="2"/>
  <c r="X47" i="2"/>
  <c r="X46" i="2"/>
  <c r="X45" i="2"/>
  <c r="W44" i="2"/>
  <c r="X44" i="2" s="1"/>
  <c r="X43" i="2"/>
  <c r="X42" i="2"/>
  <c r="X41" i="2"/>
  <c r="X40" i="2"/>
  <c r="X39" i="2"/>
  <c r="X38" i="2"/>
  <c r="W38" i="2"/>
  <c r="X37" i="2"/>
  <c r="X36" i="2"/>
  <c r="X35" i="2"/>
  <c r="W34" i="2"/>
  <c r="X33" i="2"/>
  <c r="X32" i="2"/>
  <c r="X31" i="2"/>
  <c r="X30" i="2"/>
  <c r="X29" i="2"/>
  <c r="X28" i="2"/>
  <c r="X27" i="2"/>
  <c r="X26" i="2"/>
  <c r="X25" i="2"/>
  <c r="X24" i="2"/>
  <c r="X23" i="2"/>
  <c r="X22" i="2"/>
  <c r="X20" i="2"/>
  <c r="X19" i="2"/>
  <c r="X18" i="2"/>
  <c r="W21" i="2"/>
  <c r="X16" i="2"/>
  <c r="X15" i="2"/>
  <c r="X14" i="2"/>
  <c r="W11" i="2"/>
  <c r="V111" i="2"/>
  <c r="U110" i="2"/>
  <c r="V110" i="2" s="1"/>
  <c r="V109" i="2"/>
  <c r="V108" i="2"/>
  <c r="V107" i="2"/>
  <c r="U106" i="2"/>
  <c r="V106" i="2" s="1"/>
  <c r="V105" i="2"/>
  <c r="V104" i="2"/>
  <c r="V103" i="2"/>
  <c r="V102" i="2"/>
  <c r="V101" i="2"/>
  <c r="U100" i="2"/>
  <c r="V100" i="2" s="1"/>
  <c r="V99" i="2"/>
  <c r="V98" i="2"/>
  <c r="V97" i="2"/>
  <c r="V95" i="2"/>
  <c r="V93" i="2"/>
  <c r="V92" i="2"/>
  <c r="V91" i="2"/>
  <c r="V90" i="2"/>
  <c r="V89" i="2"/>
  <c r="V88" i="2"/>
  <c r="V87" i="2"/>
  <c r="V86" i="2"/>
  <c r="V84" i="2"/>
  <c r="V82" i="2"/>
  <c r="U81" i="2"/>
  <c r="V81" i="2" s="1"/>
  <c r="V80" i="2"/>
  <c r="V79" i="2"/>
  <c r="V78" i="2"/>
  <c r="V77" i="2"/>
  <c r="V76" i="2"/>
  <c r="V75" i="2"/>
  <c r="V74" i="2"/>
  <c r="V73" i="2"/>
  <c r="U72" i="2"/>
  <c r="V72" i="2" s="1"/>
  <c r="V71" i="2"/>
  <c r="V70" i="2"/>
  <c r="V69" i="2"/>
  <c r="U68" i="2"/>
  <c r="V68" i="2" s="1"/>
  <c r="V67" i="2"/>
  <c r="V66" i="2"/>
  <c r="V65" i="2"/>
  <c r="V64" i="2"/>
  <c r="U63" i="2"/>
  <c r="V63" i="2" s="1"/>
  <c r="V62" i="2"/>
  <c r="V61" i="2"/>
  <c r="V60" i="2"/>
  <c r="V59" i="2"/>
  <c r="V58" i="2"/>
  <c r="V57" i="2"/>
  <c r="V56" i="2"/>
  <c r="V55" i="2"/>
  <c r="U54" i="2"/>
  <c r="V54" i="2" s="1"/>
  <c r="V53" i="2"/>
  <c r="V52" i="2"/>
  <c r="V51" i="2"/>
  <c r="V50" i="2"/>
  <c r="V49" i="2"/>
  <c r="V48" i="2"/>
  <c r="V47" i="2"/>
  <c r="V46" i="2"/>
  <c r="V45" i="2"/>
  <c r="U44" i="2"/>
  <c r="V44" i="2" s="1"/>
  <c r="V43" i="2"/>
  <c r="V42" i="2"/>
  <c r="V41" i="2"/>
  <c r="V40" i="2"/>
  <c r="V39" i="2"/>
  <c r="U38" i="2"/>
  <c r="V38" i="2" s="1"/>
  <c r="V37" i="2"/>
  <c r="V36" i="2"/>
  <c r="V35" i="2"/>
  <c r="U34" i="2"/>
  <c r="V33" i="2"/>
  <c r="V32" i="2"/>
  <c r="V31" i="2"/>
  <c r="V30" i="2"/>
  <c r="V29" i="2"/>
  <c r="V28" i="2"/>
  <c r="V27" i="2"/>
  <c r="V26" i="2"/>
  <c r="V25" i="2"/>
  <c r="V24" i="2"/>
  <c r="V23" i="2"/>
  <c r="V22" i="2"/>
  <c r="V20" i="2"/>
  <c r="V19" i="2"/>
  <c r="V18" i="2"/>
  <c r="U17" i="2"/>
  <c r="U21" i="2" s="1"/>
  <c r="V16" i="2"/>
  <c r="V15" i="2"/>
  <c r="V14" i="2"/>
  <c r="U11" i="2"/>
  <c r="T111" i="2"/>
  <c r="S110" i="2"/>
  <c r="T110" i="2" s="1"/>
  <c r="T109" i="2"/>
  <c r="T108" i="2"/>
  <c r="T107" i="2"/>
  <c r="S106" i="2"/>
  <c r="T106" i="2" s="1"/>
  <c r="T105" i="2"/>
  <c r="T104" i="2"/>
  <c r="T103" i="2"/>
  <c r="T102" i="2"/>
  <c r="T101" i="2"/>
  <c r="S100" i="2"/>
  <c r="T100" i="2" s="1"/>
  <c r="T99" i="2"/>
  <c r="T98" i="2"/>
  <c r="T97" i="2"/>
  <c r="T95" i="2"/>
  <c r="T93" i="2"/>
  <c r="T92" i="2"/>
  <c r="T91" i="2"/>
  <c r="T90" i="2"/>
  <c r="T89" i="2"/>
  <c r="T88" i="2"/>
  <c r="T87" i="2"/>
  <c r="T86" i="2"/>
  <c r="T84" i="2"/>
  <c r="T82" i="2"/>
  <c r="S81" i="2"/>
  <c r="T81" i="2" s="1"/>
  <c r="T80" i="2"/>
  <c r="T79" i="2"/>
  <c r="T78" i="2"/>
  <c r="T77" i="2"/>
  <c r="T76" i="2"/>
  <c r="T75" i="2"/>
  <c r="T74" i="2"/>
  <c r="T73" i="2"/>
  <c r="S72" i="2"/>
  <c r="T72" i="2" s="1"/>
  <c r="T71" i="2"/>
  <c r="T70" i="2"/>
  <c r="T69" i="2"/>
  <c r="S68" i="2"/>
  <c r="T68" i="2" s="1"/>
  <c r="T67" i="2"/>
  <c r="T66" i="2"/>
  <c r="T65" i="2"/>
  <c r="T64" i="2"/>
  <c r="S63" i="2"/>
  <c r="T63" i="2" s="1"/>
  <c r="T62" i="2"/>
  <c r="T61" i="2"/>
  <c r="T60" i="2"/>
  <c r="T59" i="2"/>
  <c r="T58" i="2"/>
  <c r="T57" i="2"/>
  <c r="T56" i="2"/>
  <c r="T55" i="2"/>
  <c r="S54" i="2"/>
  <c r="T54" i="2" s="1"/>
  <c r="T53" i="2"/>
  <c r="T52" i="2"/>
  <c r="T51" i="2"/>
  <c r="T50" i="2"/>
  <c r="T49" i="2"/>
  <c r="T48" i="2"/>
  <c r="T47" i="2"/>
  <c r="T46" i="2"/>
  <c r="T45" i="2"/>
  <c r="S44" i="2"/>
  <c r="T44" i="2" s="1"/>
  <c r="T43" i="2"/>
  <c r="T42" i="2"/>
  <c r="T41" i="2"/>
  <c r="T40" i="2"/>
  <c r="T39" i="2"/>
  <c r="S38" i="2"/>
  <c r="T37" i="2"/>
  <c r="T36" i="2"/>
  <c r="T35" i="2"/>
  <c r="S34" i="2"/>
  <c r="T34" i="2" s="1"/>
  <c r="T33" i="2"/>
  <c r="T32" i="2"/>
  <c r="T31" i="2"/>
  <c r="T30" i="2"/>
  <c r="T29" i="2"/>
  <c r="T28" i="2"/>
  <c r="T27" i="2"/>
  <c r="T26" i="2"/>
  <c r="T25" i="2"/>
  <c r="T24" i="2"/>
  <c r="T23" i="2"/>
  <c r="T22" i="2"/>
  <c r="T20" i="2"/>
  <c r="T19" i="2"/>
  <c r="T18" i="2"/>
  <c r="S17" i="2"/>
  <c r="S21" i="2" s="1"/>
  <c r="T16" i="2"/>
  <c r="T15" i="2"/>
  <c r="T14" i="2"/>
  <c r="S11" i="2"/>
  <c r="R111" i="2"/>
  <c r="Q110" i="2"/>
  <c r="R110" i="2" s="1"/>
  <c r="R109" i="2"/>
  <c r="R108" i="2"/>
  <c r="R107" i="2"/>
  <c r="Q106" i="2"/>
  <c r="R106" i="2" s="1"/>
  <c r="R105" i="2"/>
  <c r="R104" i="2"/>
  <c r="R103" i="2"/>
  <c r="R102" i="2"/>
  <c r="R101" i="2"/>
  <c r="Q100" i="2"/>
  <c r="R100" i="2" s="1"/>
  <c r="R99" i="2"/>
  <c r="R98" i="2"/>
  <c r="R97" i="2"/>
  <c r="R95" i="2"/>
  <c r="R94" i="2"/>
  <c r="R93" i="2"/>
  <c r="R92" i="2"/>
  <c r="R91" i="2"/>
  <c r="R90" i="2"/>
  <c r="R89" i="2"/>
  <c r="R88" i="2"/>
  <c r="R87" i="2"/>
  <c r="R86" i="2"/>
  <c r="R84" i="2"/>
  <c r="R82" i="2"/>
  <c r="Q81" i="2"/>
  <c r="R81" i="2" s="1"/>
  <c r="R80" i="2"/>
  <c r="R79" i="2"/>
  <c r="R78" i="2"/>
  <c r="R77" i="2"/>
  <c r="R76" i="2"/>
  <c r="R75" i="2"/>
  <c r="R74" i="2"/>
  <c r="R73" i="2"/>
  <c r="Q72" i="2"/>
  <c r="R72" i="2" s="1"/>
  <c r="R71" i="2"/>
  <c r="R70" i="2"/>
  <c r="R69" i="2"/>
  <c r="Q68" i="2"/>
  <c r="R68" i="2" s="1"/>
  <c r="R67" i="2"/>
  <c r="R66" i="2"/>
  <c r="R65" i="2"/>
  <c r="R64" i="2"/>
  <c r="Q63" i="2"/>
  <c r="R63" i="2" s="1"/>
  <c r="R62" i="2"/>
  <c r="R61" i="2"/>
  <c r="R60" i="2"/>
  <c r="R59" i="2"/>
  <c r="R58" i="2"/>
  <c r="R57" i="2"/>
  <c r="R56" i="2"/>
  <c r="R55" i="2"/>
  <c r="Q54" i="2"/>
  <c r="R54" i="2" s="1"/>
  <c r="R53" i="2"/>
  <c r="R52" i="2"/>
  <c r="R51" i="2"/>
  <c r="R50" i="2"/>
  <c r="R49" i="2"/>
  <c r="R48" i="2"/>
  <c r="R47" i="2"/>
  <c r="R46" i="2"/>
  <c r="R45" i="2"/>
  <c r="Q44" i="2"/>
  <c r="R44" i="2" s="1"/>
  <c r="R43" i="2"/>
  <c r="R42" i="2"/>
  <c r="R41" i="2"/>
  <c r="R40" i="2"/>
  <c r="R39" i="2"/>
  <c r="Q38" i="2"/>
  <c r="R38" i="2" s="1"/>
  <c r="R37" i="2"/>
  <c r="R36" i="2"/>
  <c r="R35" i="2"/>
  <c r="Q34" i="2"/>
  <c r="R33" i="2"/>
  <c r="R32" i="2"/>
  <c r="R31" i="2"/>
  <c r="R30" i="2"/>
  <c r="R29" i="2"/>
  <c r="R28" i="2"/>
  <c r="R27" i="2"/>
  <c r="R26" i="2"/>
  <c r="R25" i="2"/>
  <c r="R24" i="2"/>
  <c r="R23" i="2"/>
  <c r="R22" i="2"/>
  <c r="R20" i="2"/>
  <c r="R19" i="2"/>
  <c r="R18" i="2"/>
  <c r="Q17" i="2"/>
  <c r="Q21" i="2" s="1"/>
  <c r="R16" i="2"/>
  <c r="R15" i="2"/>
  <c r="R14" i="2"/>
  <c r="Q11" i="2"/>
  <c r="P111" i="2"/>
  <c r="O110" i="2"/>
  <c r="P110" i="2" s="1"/>
  <c r="P109" i="2"/>
  <c r="P108" i="2"/>
  <c r="P107" i="2"/>
  <c r="O106" i="2"/>
  <c r="P106" i="2" s="1"/>
  <c r="P105" i="2"/>
  <c r="P104" i="2"/>
  <c r="P103" i="2"/>
  <c r="P102" i="2"/>
  <c r="P101" i="2"/>
  <c r="P100" i="2"/>
  <c r="O100" i="2"/>
  <c r="P99" i="2"/>
  <c r="P98" i="2"/>
  <c r="P97" i="2"/>
  <c r="P95" i="2"/>
  <c r="P93" i="2"/>
  <c r="P92" i="2"/>
  <c r="P91" i="2"/>
  <c r="P90" i="2"/>
  <c r="P89" i="2"/>
  <c r="P88" i="2"/>
  <c r="P87" i="2"/>
  <c r="P86" i="2"/>
  <c r="P84" i="2"/>
  <c r="P82" i="2"/>
  <c r="O81" i="2"/>
  <c r="P81" i="2" s="1"/>
  <c r="P80" i="2"/>
  <c r="P79" i="2"/>
  <c r="P78" i="2"/>
  <c r="P77" i="2"/>
  <c r="P76" i="2"/>
  <c r="P75" i="2"/>
  <c r="P74" i="2"/>
  <c r="P73" i="2"/>
  <c r="P72" i="2"/>
  <c r="O72" i="2"/>
  <c r="P71" i="2"/>
  <c r="P70" i="2"/>
  <c r="P69" i="2"/>
  <c r="O68" i="2"/>
  <c r="P68" i="2" s="1"/>
  <c r="P67" i="2"/>
  <c r="P66" i="2"/>
  <c r="P65" i="2"/>
  <c r="P64" i="2"/>
  <c r="O63" i="2"/>
  <c r="P63" i="2" s="1"/>
  <c r="P62" i="2"/>
  <c r="P61" i="2"/>
  <c r="P60" i="2"/>
  <c r="P59" i="2"/>
  <c r="P58" i="2"/>
  <c r="P57" i="2"/>
  <c r="P56" i="2"/>
  <c r="P55" i="2"/>
  <c r="O54" i="2"/>
  <c r="P54" i="2" s="1"/>
  <c r="P53" i="2"/>
  <c r="P52" i="2"/>
  <c r="P51" i="2"/>
  <c r="P50" i="2"/>
  <c r="P49" i="2"/>
  <c r="P48" i="2"/>
  <c r="P47" i="2"/>
  <c r="P46" i="2"/>
  <c r="P45" i="2"/>
  <c r="O44" i="2"/>
  <c r="P44" i="2" s="1"/>
  <c r="P43" i="2"/>
  <c r="P42" i="2"/>
  <c r="P41" i="2"/>
  <c r="P40" i="2"/>
  <c r="P39" i="2"/>
  <c r="O38" i="2"/>
  <c r="P38" i="2" s="1"/>
  <c r="P37" i="2"/>
  <c r="P36" i="2"/>
  <c r="P35" i="2"/>
  <c r="O34" i="2"/>
  <c r="P33" i="2"/>
  <c r="P32" i="2"/>
  <c r="P31" i="2"/>
  <c r="P30" i="2"/>
  <c r="P29" i="2"/>
  <c r="P28" i="2"/>
  <c r="P27" i="2"/>
  <c r="P26" i="2"/>
  <c r="P25" i="2"/>
  <c r="P24" i="2"/>
  <c r="P23" i="2"/>
  <c r="P22" i="2"/>
  <c r="P20" i="2"/>
  <c r="P19" i="2"/>
  <c r="P18" i="2"/>
  <c r="O17" i="2"/>
  <c r="O21" i="2" s="1"/>
  <c r="P16" i="2"/>
  <c r="P15" i="2"/>
  <c r="P14" i="2"/>
  <c r="O11" i="2"/>
  <c r="N111" i="2"/>
  <c r="M110" i="2"/>
  <c r="N110" i="2" s="1"/>
  <c r="N109" i="2"/>
  <c r="N108" i="2"/>
  <c r="N107" i="2"/>
  <c r="M106" i="2"/>
  <c r="N106" i="2" s="1"/>
  <c r="N105" i="2"/>
  <c r="N104" i="2"/>
  <c r="N103" i="2"/>
  <c r="N102" i="2"/>
  <c r="N101" i="2"/>
  <c r="M100" i="2"/>
  <c r="N100" i="2" s="1"/>
  <c r="N99" i="2"/>
  <c r="N98" i="2"/>
  <c r="N97" i="2"/>
  <c r="N95" i="2"/>
  <c r="N93" i="2"/>
  <c r="N92" i="2"/>
  <c r="N91" i="2"/>
  <c r="N90" i="2"/>
  <c r="N89" i="2"/>
  <c r="N88" i="2"/>
  <c r="N87" i="2"/>
  <c r="N86" i="2"/>
  <c r="N84" i="2"/>
  <c r="N82" i="2"/>
  <c r="M81" i="2"/>
  <c r="N81" i="2" s="1"/>
  <c r="N80" i="2"/>
  <c r="N79" i="2"/>
  <c r="N78" i="2"/>
  <c r="N77" i="2"/>
  <c r="N76" i="2"/>
  <c r="N75" i="2"/>
  <c r="N74" i="2"/>
  <c r="N73" i="2"/>
  <c r="N72" i="2"/>
  <c r="M72" i="2"/>
  <c r="N71" i="2"/>
  <c r="N70" i="2"/>
  <c r="N69" i="2"/>
  <c r="M68" i="2"/>
  <c r="N68" i="2" s="1"/>
  <c r="N67" i="2"/>
  <c r="N66" i="2"/>
  <c r="N65" i="2"/>
  <c r="N64" i="2"/>
  <c r="M63" i="2"/>
  <c r="N63" i="2" s="1"/>
  <c r="N62" i="2"/>
  <c r="N61" i="2"/>
  <c r="N60" i="2"/>
  <c r="N59" i="2"/>
  <c r="N58" i="2"/>
  <c r="N57" i="2"/>
  <c r="N56" i="2"/>
  <c r="N55" i="2"/>
  <c r="M54" i="2"/>
  <c r="N54" i="2" s="1"/>
  <c r="N53" i="2"/>
  <c r="N52" i="2"/>
  <c r="N51" i="2"/>
  <c r="N50" i="2"/>
  <c r="N49" i="2"/>
  <c r="N48" i="2"/>
  <c r="N47" i="2"/>
  <c r="N46" i="2"/>
  <c r="N45" i="2"/>
  <c r="M44" i="2"/>
  <c r="N44" i="2" s="1"/>
  <c r="N43" i="2"/>
  <c r="N42" i="2"/>
  <c r="N41" i="2"/>
  <c r="N40" i="2"/>
  <c r="N39" i="2"/>
  <c r="M38" i="2"/>
  <c r="N38" i="2" s="1"/>
  <c r="N37" i="2"/>
  <c r="N36" i="2"/>
  <c r="N35" i="2"/>
  <c r="M34" i="2"/>
  <c r="N34" i="2" s="1"/>
  <c r="N33" i="2"/>
  <c r="N32" i="2"/>
  <c r="N31" i="2"/>
  <c r="N30" i="2"/>
  <c r="N29" i="2"/>
  <c r="N28" i="2"/>
  <c r="N27" i="2"/>
  <c r="N26" i="2"/>
  <c r="N25" i="2"/>
  <c r="N24" i="2"/>
  <c r="N23" i="2"/>
  <c r="N22" i="2"/>
  <c r="N20" i="2"/>
  <c r="N19" i="2"/>
  <c r="N18" i="2"/>
  <c r="M17" i="2"/>
  <c r="M21" i="2" s="1"/>
  <c r="N16" i="2"/>
  <c r="N15" i="2"/>
  <c r="N14" i="2"/>
  <c r="M11" i="2"/>
  <c r="L111" i="2"/>
  <c r="K110" i="2"/>
  <c r="L110" i="2" s="1"/>
  <c r="L109" i="2"/>
  <c r="L108" i="2"/>
  <c r="L107" i="2"/>
  <c r="K106" i="2"/>
  <c r="L106" i="2" s="1"/>
  <c r="L105" i="2"/>
  <c r="L104" i="2"/>
  <c r="L103" i="2"/>
  <c r="L102" i="2"/>
  <c r="L101" i="2"/>
  <c r="K100" i="2"/>
  <c r="L100" i="2" s="1"/>
  <c r="L99" i="2"/>
  <c r="L98" i="2"/>
  <c r="L97" i="2"/>
  <c r="L95" i="2"/>
  <c r="L93" i="2"/>
  <c r="L92" i="2"/>
  <c r="L91" i="2"/>
  <c r="L90" i="2"/>
  <c r="L89" i="2"/>
  <c r="L88" i="2"/>
  <c r="L87" i="2"/>
  <c r="L86" i="2"/>
  <c r="L84" i="2"/>
  <c r="L82" i="2"/>
  <c r="K81" i="2"/>
  <c r="L81" i="2" s="1"/>
  <c r="L80" i="2"/>
  <c r="L79" i="2"/>
  <c r="L78" i="2"/>
  <c r="L77" i="2"/>
  <c r="L76" i="2"/>
  <c r="L75" i="2"/>
  <c r="L74" i="2"/>
  <c r="L73" i="2"/>
  <c r="K72" i="2"/>
  <c r="L72" i="2" s="1"/>
  <c r="L71" i="2"/>
  <c r="L70" i="2"/>
  <c r="L69" i="2"/>
  <c r="K68" i="2"/>
  <c r="L68" i="2" s="1"/>
  <c r="L67" i="2"/>
  <c r="L66" i="2"/>
  <c r="L65" i="2"/>
  <c r="L64" i="2"/>
  <c r="K63" i="2"/>
  <c r="L63" i="2" s="1"/>
  <c r="L62" i="2"/>
  <c r="L61" i="2"/>
  <c r="L60" i="2"/>
  <c r="L59" i="2"/>
  <c r="L58" i="2"/>
  <c r="L57" i="2"/>
  <c r="L56" i="2"/>
  <c r="L55" i="2"/>
  <c r="K54" i="2"/>
  <c r="L53" i="2"/>
  <c r="L52" i="2"/>
  <c r="L51" i="2"/>
  <c r="L50" i="2"/>
  <c r="L49" i="2"/>
  <c r="L48" i="2"/>
  <c r="L47" i="2"/>
  <c r="L46" i="2"/>
  <c r="L45" i="2"/>
  <c r="K44" i="2"/>
  <c r="L44" i="2" s="1"/>
  <c r="L43" i="2"/>
  <c r="L42" i="2"/>
  <c r="L41" i="2"/>
  <c r="L40" i="2"/>
  <c r="L39" i="2"/>
  <c r="K38" i="2"/>
  <c r="L38" i="2" s="1"/>
  <c r="L37" i="2"/>
  <c r="L36" i="2"/>
  <c r="L35" i="2"/>
  <c r="K34" i="2"/>
  <c r="L33" i="2"/>
  <c r="L32" i="2"/>
  <c r="L31" i="2"/>
  <c r="L30" i="2"/>
  <c r="L29" i="2"/>
  <c r="L28" i="2"/>
  <c r="L27" i="2"/>
  <c r="L26" i="2"/>
  <c r="L25" i="2"/>
  <c r="L24" i="2"/>
  <c r="L23" i="2"/>
  <c r="L22" i="2"/>
  <c r="L20" i="2"/>
  <c r="L19" i="2"/>
  <c r="L18" i="2"/>
  <c r="K17" i="2"/>
  <c r="K21" i="2" s="1"/>
  <c r="L16" i="2"/>
  <c r="L15" i="2"/>
  <c r="L14" i="2"/>
  <c r="K11" i="2"/>
  <c r="J111" i="2"/>
  <c r="I110" i="2"/>
  <c r="J110" i="2" s="1"/>
  <c r="J109" i="2"/>
  <c r="J108" i="2"/>
  <c r="J107" i="2"/>
  <c r="I106" i="2"/>
  <c r="J106" i="2" s="1"/>
  <c r="J105" i="2"/>
  <c r="J104" i="2"/>
  <c r="J103" i="2"/>
  <c r="J102" i="2"/>
  <c r="J101" i="2"/>
  <c r="I100" i="2"/>
  <c r="J100" i="2" s="1"/>
  <c r="J99" i="2"/>
  <c r="J98" i="2"/>
  <c r="J97" i="2"/>
  <c r="J95" i="2"/>
  <c r="J94" i="2"/>
  <c r="J93" i="2"/>
  <c r="J92" i="2"/>
  <c r="J91" i="2"/>
  <c r="J90" i="2"/>
  <c r="J89" i="2"/>
  <c r="J88" i="2"/>
  <c r="J87" i="2"/>
  <c r="J86" i="2"/>
  <c r="J84" i="2"/>
  <c r="J82" i="2"/>
  <c r="I81" i="2"/>
  <c r="J81" i="2" s="1"/>
  <c r="J80" i="2"/>
  <c r="J79" i="2"/>
  <c r="J78" i="2"/>
  <c r="J77" i="2"/>
  <c r="J76" i="2"/>
  <c r="J75" i="2"/>
  <c r="J74" i="2"/>
  <c r="J73" i="2"/>
  <c r="J72" i="2"/>
  <c r="I72" i="2"/>
  <c r="J71" i="2"/>
  <c r="J70" i="2"/>
  <c r="J69" i="2"/>
  <c r="I68" i="2"/>
  <c r="J68" i="2" s="1"/>
  <c r="J67" i="2"/>
  <c r="J66" i="2"/>
  <c r="J65" i="2"/>
  <c r="J64" i="2"/>
  <c r="I63" i="2"/>
  <c r="J63" i="2" s="1"/>
  <c r="J62" i="2"/>
  <c r="J61" i="2"/>
  <c r="J60" i="2"/>
  <c r="J59" i="2"/>
  <c r="J58" i="2"/>
  <c r="J57" i="2"/>
  <c r="J56" i="2"/>
  <c r="J55" i="2"/>
  <c r="I54" i="2"/>
  <c r="J54" i="2" s="1"/>
  <c r="J53" i="2"/>
  <c r="J52" i="2"/>
  <c r="J51" i="2"/>
  <c r="J50" i="2"/>
  <c r="J49" i="2"/>
  <c r="J48" i="2"/>
  <c r="J47" i="2"/>
  <c r="J46" i="2"/>
  <c r="J45" i="2"/>
  <c r="I44" i="2"/>
  <c r="J44" i="2" s="1"/>
  <c r="J43" i="2"/>
  <c r="J42" i="2"/>
  <c r="J41" i="2"/>
  <c r="J40" i="2"/>
  <c r="J39" i="2"/>
  <c r="I38" i="2"/>
  <c r="J38" i="2" s="1"/>
  <c r="J37" i="2"/>
  <c r="J36" i="2"/>
  <c r="J35" i="2"/>
  <c r="I34" i="2"/>
  <c r="J33" i="2"/>
  <c r="J32" i="2"/>
  <c r="J31" i="2"/>
  <c r="J30" i="2"/>
  <c r="J29" i="2"/>
  <c r="J28" i="2"/>
  <c r="J27" i="2"/>
  <c r="J26" i="2"/>
  <c r="J25" i="2"/>
  <c r="J24" i="2"/>
  <c r="J23" i="2"/>
  <c r="J22" i="2"/>
  <c r="J20" i="2"/>
  <c r="J19" i="2"/>
  <c r="J18" i="2"/>
  <c r="I17" i="2"/>
  <c r="I21" i="2" s="1"/>
  <c r="J16" i="2"/>
  <c r="J15" i="2"/>
  <c r="J14" i="2"/>
  <c r="I11" i="2"/>
  <c r="H111" i="2"/>
  <c r="G110" i="2"/>
  <c r="H110" i="2" s="1"/>
  <c r="H109" i="2"/>
  <c r="H108" i="2"/>
  <c r="H107" i="2"/>
  <c r="G106" i="2"/>
  <c r="H106" i="2" s="1"/>
  <c r="H105" i="2"/>
  <c r="H104" i="2"/>
  <c r="H103" i="2"/>
  <c r="H102" i="2"/>
  <c r="H101" i="2"/>
  <c r="G100" i="2"/>
  <c r="H100" i="2" s="1"/>
  <c r="H99" i="2"/>
  <c r="H98" i="2"/>
  <c r="H97" i="2"/>
  <c r="H95" i="2"/>
  <c r="H94" i="2"/>
  <c r="H93" i="2"/>
  <c r="H92" i="2"/>
  <c r="H91" i="2"/>
  <c r="H90" i="2"/>
  <c r="H89" i="2"/>
  <c r="H88" i="2"/>
  <c r="H87" i="2"/>
  <c r="H86" i="2"/>
  <c r="H84" i="2"/>
  <c r="H82" i="2"/>
  <c r="G81" i="2"/>
  <c r="H81" i="2" s="1"/>
  <c r="H80" i="2"/>
  <c r="H79" i="2"/>
  <c r="H78" i="2"/>
  <c r="H77" i="2"/>
  <c r="H76" i="2"/>
  <c r="H75" i="2"/>
  <c r="H74" i="2"/>
  <c r="H73" i="2"/>
  <c r="G72" i="2"/>
  <c r="H72" i="2" s="1"/>
  <c r="H71" i="2"/>
  <c r="H70" i="2"/>
  <c r="H69" i="2"/>
  <c r="G68" i="2"/>
  <c r="H67" i="2"/>
  <c r="H66" i="2"/>
  <c r="H65" i="2"/>
  <c r="H64" i="2"/>
  <c r="G63" i="2"/>
  <c r="H63" i="2" s="1"/>
  <c r="H62" i="2"/>
  <c r="H61" i="2"/>
  <c r="H60" i="2"/>
  <c r="H59" i="2"/>
  <c r="H58" i="2"/>
  <c r="H57" i="2"/>
  <c r="H56" i="2"/>
  <c r="H55" i="2"/>
  <c r="G54" i="2"/>
  <c r="H54" i="2" s="1"/>
  <c r="H53" i="2"/>
  <c r="H52" i="2"/>
  <c r="H51" i="2"/>
  <c r="H50" i="2"/>
  <c r="H49" i="2"/>
  <c r="H48" i="2"/>
  <c r="H47" i="2"/>
  <c r="H46" i="2"/>
  <c r="H45" i="2"/>
  <c r="G44" i="2"/>
  <c r="H43" i="2"/>
  <c r="H42" i="2"/>
  <c r="H41" i="2"/>
  <c r="H40" i="2"/>
  <c r="H39" i="2"/>
  <c r="G38" i="2"/>
  <c r="H38" i="2" s="1"/>
  <c r="H37" i="2"/>
  <c r="H36" i="2"/>
  <c r="H35" i="2"/>
  <c r="G34" i="2"/>
  <c r="H33" i="2"/>
  <c r="H32" i="2"/>
  <c r="H31" i="2"/>
  <c r="H30" i="2"/>
  <c r="H29" i="2"/>
  <c r="H28" i="2"/>
  <c r="H27" i="2"/>
  <c r="H26" i="2"/>
  <c r="H25" i="2"/>
  <c r="H24" i="2"/>
  <c r="H23" i="2"/>
  <c r="H22" i="2"/>
  <c r="H20" i="2"/>
  <c r="H19" i="2"/>
  <c r="H18" i="2"/>
  <c r="G17" i="2"/>
  <c r="G21" i="2" s="1"/>
  <c r="H16" i="2"/>
  <c r="H15" i="2"/>
  <c r="H14" i="2"/>
  <c r="G11" i="2"/>
  <c r="C119" i="2"/>
  <c r="C117" i="2"/>
  <c r="C114" i="2"/>
  <c r="C109" i="2"/>
  <c r="C105" i="2"/>
  <c r="C104" i="2"/>
  <c r="C103" i="2"/>
  <c r="C99" i="2"/>
  <c r="C93" i="2"/>
  <c r="C92" i="2"/>
  <c r="C91" i="2"/>
  <c r="C90" i="2"/>
  <c r="C89" i="2"/>
  <c r="C88" i="2"/>
  <c r="C80" i="2"/>
  <c r="C79" i="2"/>
  <c r="C78" i="2"/>
  <c r="C77" i="2"/>
  <c r="C76" i="2"/>
  <c r="C75" i="2"/>
  <c r="C71" i="2"/>
  <c r="C67" i="2"/>
  <c r="C66" i="2"/>
  <c r="C62" i="2"/>
  <c r="C61" i="2"/>
  <c r="C60" i="2"/>
  <c r="C59" i="2"/>
  <c r="C58" i="2"/>
  <c r="C57" i="2"/>
  <c r="C53" i="2"/>
  <c r="C52" i="2"/>
  <c r="C51" i="2"/>
  <c r="C50" i="2"/>
  <c r="C49" i="2"/>
  <c r="C48" i="2"/>
  <c r="C47" i="2"/>
  <c r="C43" i="2"/>
  <c r="C42" i="2"/>
  <c r="C41" i="2"/>
  <c r="C37" i="2"/>
  <c r="C33" i="2"/>
  <c r="C32" i="2"/>
  <c r="C31" i="2"/>
  <c r="C30" i="2"/>
  <c r="C29" i="2"/>
  <c r="C28" i="2"/>
  <c r="C27" i="2"/>
  <c r="C26" i="2"/>
  <c r="C25" i="2"/>
  <c r="C20" i="2"/>
  <c r="C19" i="2"/>
  <c r="C18" i="2"/>
  <c r="C16" i="2"/>
  <c r="C15" i="2"/>
  <c r="E110" i="2"/>
  <c r="E106" i="2"/>
  <c r="E100" i="2"/>
  <c r="F100" i="2" s="1"/>
  <c r="E94" i="2"/>
  <c r="F94" i="2" s="1"/>
  <c r="E81" i="2"/>
  <c r="F81" i="2" s="1"/>
  <c r="E72" i="2"/>
  <c r="F72" i="2" s="1"/>
  <c r="E68" i="2"/>
  <c r="E63" i="2"/>
  <c r="F63" i="2" s="1"/>
  <c r="E54" i="2"/>
  <c r="F54" i="2" s="1"/>
  <c r="E44" i="2"/>
  <c r="E38" i="2"/>
  <c r="E34" i="2"/>
  <c r="F111" i="2"/>
  <c r="F110" i="2"/>
  <c r="F109" i="2"/>
  <c r="F108" i="2"/>
  <c r="F107" i="2"/>
  <c r="F106" i="2"/>
  <c r="F105" i="2"/>
  <c r="F104" i="2"/>
  <c r="F103" i="2"/>
  <c r="F102" i="2"/>
  <c r="F101" i="2"/>
  <c r="F99" i="2"/>
  <c r="F98" i="2"/>
  <c r="F97" i="2"/>
  <c r="F95" i="2"/>
  <c r="F93" i="2"/>
  <c r="F92" i="2"/>
  <c r="F91" i="2"/>
  <c r="F90" i="2"/>
  <c r="F89" i="2"/>
  <c r="F88" i="2"/>
  <c r="F87" i="2"/>
  <c r="F86" i="2"/>
  <c r="F84" i="2"/>
  <c r="F82" i="2"/>
  <c r="F80" i="2"/>
  <c r="F79" i="2"/>
  <c r="F78" i="2"/>
  <c r="F77" i="2"/>
  <c r="F76" i="2"/>
  <c r="F75" i="2"/>
  <c r="F74" i="2"/>
  <c r="F73" i="2"/>
  <c r="F71" i="2"/>
  <c r="F70" i="2"/>
  <c r="F69" i="2"/>
  <c r="F68" i="2"/>
  <c r="F67" i="2"/>
  <c r="F66" i="2"/>
  <c r="F65" i="2"/>
  <c r="F64" i="2"/>
  <c r="F62" i="2"/>
  <c r="F61" i="2"/>
  <c r="F60" i="2"/>
  <c r="F59" i="2"/>
  <c r="F58" i="2"/>
  <c r="F57" i="2"/>
  <c r="F56" i="2"/>
  <c r="F55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3" i="2"/>
  <c r="F32" i="2"/>
  <c r="F31" i="2"/>
  <c r="F30" i="2"/>
  <c r="F29" i="2"/>
  <c r="F28" i="2"/>
  <c r="F27" i="2"/>
  <c r="F26" i="2"/>
  <c r="F25" i="2"/>
  <c r="F24" i="2"/>
  <c r="F23" i="2"/>
  <c r="F22" i="2"/>
  <c r="F20" i="2"/>
  <c r="F19" i="2"/>
  <c r="F18" i="2"/>
  <c r="F16" i="2"/>
  <c r="F15" i="2"/>
  <c r="F14" i="2"/>
  <c r="E17" i="2"/>
  <c r="E21" i="2" s="1"/>
  <c r="E11" i="2"/>
  <c r="C5" i="2"/>
  <c r="C8" i="2"/>
  <c r="C7" i="2"/>
  <c r="C6" i="2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8" i="1"/>
  <c r="T19" i="1"/>
  <c r="T20" i="1"/>
  <c r="T21" i="1"/>
  <c r="T22" i="1"/>
  <c r="T23" i="1"/>
  <c r="T24" i="1"/>
  <c r="T25" i="1"/>
  <c r="T26" i="1"/>
  <c r="T27" i="1"/>
  <c r="T29" i="1"/>
  <c r="T31" i="1"/>
  <c r="T33" i="1"/>
  <c r="T34" i="1"/>
  <c r="T35" i="1"/>
  <c r="T36" i="1"/>
  <c r="T37" i="1"/>
  <c r="T38" i="1"/>
  <c r="T39" i="1"/>
  <c r="T40" i="1"/>
  <c r="T42" i="1"/>
  <c r="T44" i="1"/>
  <c r="T45" i="1"/>
  <c r="T46" i="1"/>
  <c r="T47" i="1"/>
  <c r="T48" i="1"/>
  <c r="T50" i="1"/>
  <c r="T51" i="1"/>
  <c r="T52" i="1"/>
  <c r="T53" i="1"/>
  <c r="T54" i="1"/>
  <c r="T55" i="1"/>
  <c r="T56" i="1"/>
  <c r="T57" i="1"/>
  <c r="T58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9" i="1"/>
  <c r="T80" i="1"/>
  <c r="T81" i="1"/>
  <c r="T83" i="1"/>
  <c r="T85" i="1"/>
  <c r="T87" i="1"/>
  <c r="T88" i="1"/>
  <c r="T90" i="1"/>
  <c r="T93" i="1"/>
  <c r="T94" i="1"/>
  <c r="T95" i="1"/>
  <c r="T96" i="1"/>
  <c r="T97" i="1"/>
  <c r="T98" i="1"/>
  <c r="T101" i="1"/>
  <c r="T103" i="1"/>
  <c r="T105" i="1"/>
  <c r="T106" i="1"/>
  <c r="T107" i="1"/>
  <c r="T108" i="1"/>
  <c r="T110" i="1"/>
  <c r="T111" i="1"/>
  <c r="T114" i="1"/>
  <c r="T115" i="1"/>
  <c r="T116" i="1"/>
  <c r="T117" i="1"/>
  <c r="T118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2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3" i="1"/>
  <c r="T184" i="1"/>
  <c r="T185" i="1"/>
  <c r="T187" i="1"/>
  <c r="T188" i="1"/>
  <c r="T189" i="1"/>
  <c r="T190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1" i="1"/>
  <c r="T272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1" i="1"/>
  <c r="T292" i="1"/>
  <c r="T293" i="1"/>
  <c r="T294" i="1"/>
  <c r="T295" i="1"/>
  <c r="T296" i="1"/>
  <c r="T297" i="1"/>
  <c r="T299" i="1"/>
  <c r="T300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DJ346" i="1" s="1"/>
  <c r="T347" i="1"/>
  <c r="W347" i="1" s="1"/>
  <c r="T348" i="1"/>
  <c r="W348" i="1" s="1"/>
  <c r="T349" i="1"/>
  <c r="W349" i="1" s="1"/>
  <c r="T350" i="1"/>
  <c r="W350" i="1" s="1"/>
  <c r="T351" i="1"/>
  <c r="BM351" i="1" s="1"/>
  <c r="T352" i="1"/>
  <c r="DJ352" i="1" s="1"/>
  <c r="T353" i="1"/>
  <c r="W353" i="1" s="1"/>
  <c r="T354" i="1"/>
  <c r="W354" i="1" s="1"/>
  <c r="T355" i="1"/>
  <c r="W355" i="1" s="1"/>
  <c r="T356" i="1"/>
  <c r="W356" i="1" s="1"/>
  <c r="T357" i="1"/>
  <c r="W357" i="1" s="1"/>
  <c r="T358" i="1"/>
  <c r="W358" i="1" s="1"/>
  <c r="T359" i="1"/>
  <c r="AW359" i="1" s="1"/>
  <c r="T360" i="1"/>
  <c r="W360" i="1" s="1"/>
  <c r="T361" i="1"/>
  <c r="W361" i="1" s="1"/>
  <c r="T362" i="1"/>
  <c r="T363" i="1"/>
  <c r="T364" i="1"/>
  <c r="T415" i="1"/>
  <c r="CP4" i="1"/>
  <c r="CP66" i="1"/>
  <c r="CP13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93" i="1"/>
  <c r="CP196" i="1"/>
  <c r="CP197" i="1"/>
  <c r="CP200" i="1"/>
  <c r="CP286" i="1"/>
  <c r="CP334" i="1"/>
  <c r="CP337" i="1"/>
  <c r="CP340" i="1"/>
  <c r="CP341" i="1"/>
  <c r="CP342" i="1"/>
  <c r="CP343" i="1"/>
  <c r="CP344" i="1"/>
  <c r="CP345" i="1"/>
  <c r="CP346" i="1"/>
  <c r="CR346" i="1" s="1"/>
  <c r="CP347" i="1"/>
  <c r="CR347" i="1" s="1"/>
  <c r="CP348" i="1"/>
  <c r="CR348" i="1" s="1"/>
  <c r="CP349" i="1"/>
  <c r="CR349" i="1" s="1"/>
  <c r="CP350" i="1"/>
  <c r="CP351" i="1"/>
  <c r="CR351" i="1" s="1"/>
  <c r="CP352" i="1"/>
  <c r="CP353" i="1"/>
  <c r="CP354" i="1"/>
  <c r="CR354" i="1" s="1"/>
  <c r="CP355" i="1"/>
  <c r="CR355" i="1" s="1"/>
  <c r="CP356" i="1"/>
  <c r="CR356" i="1" s="1"/>
  <c r="CP357" i="1"/>
  <c r="CR357" i="1" s="1"/>
  <c r="CP358" i="1"/>
  <c r="CP359" i="1"/>
  <c r="CR359" i="1" s="1"/>
  <c r="CP360" i="1"/>
  <c r="CR360" i="1" s="1"/>
  <c r="CP361" i="1"/>
  <c r="CP362" i="1"/>
  <c r="CP363" i="1"/>
  <c r="CP364" i="1"/>
  <c r="CP415" i="1"/>
  <c r="ED361" i="1"/>
  <c r="DV361" i="1"/>
  <c r="DM361" i="1"/>
  <c r="CH361" i="1"/>
  <c r="DW361" i="1" s="1"/>
  <c r="CC361" i="1"/>
  <c r="CB361" i="1"/>
  <c r="CA361" i="1"/>
  <c r="BZ361" i="1"/>
  <c r="BY361" i="1"/>
  <c r="BX361" i="1"/>
  <c r="BW361" i="1"/>
  <c r="BV361" i="1"/>
  <c r="BU361" i="1"/>
  <c r="BJ361" i="1"/>
  <c r="CD361" i="1" s="1"/>
  <c r="AX361" i="1"/>
  <c r="AS361" i="1"/>
  <c r="AK361" i="1"/>
  <c r="DV360" i="1"/>
  <c r="CH360" i="1"/>
  <c r="DW360" i="1" s="1"/>
  <c r="CC360" i="1"/>
  <c r="CB360" i="1"/>
  <c r="CA360" i="1"/>
  <c r="BZ360" i="1"/>
  <c r="BY360" i="1"/>
  <c r="BX360" i="1"/>
  <c r="BW360" i="1"/>
  <c r="BV360" i="1"/>
  <c r="BU360" i="1"/>
  <c r="BJ360" i="1"/>
  <c r="CD360" i="1" s="1"/>
  <c r="AX360" i="1"/>
  <c r="AK360" i="1"/>
  <c r="ED359" i="1"/>
  <c r="DV359" i="1"/>
  <c r="DM359" i="1"/>
  <c r="CH359" i="1"/>
  <c r="DX359" i="1" s="1"/>
  <c r="CC359" i="1"/>
  <c r="CB359" i="1"/>
  <c r="CA359" i="1"/>
  <c r="BZ359" i="1"/>
  <c r="BY359" i="1"/>
  <c r="BX359" i="1"/>
  <c r="BW359" i="1"/>
  <c r="BV359" i="1"/>
  <c r="BU359" i="1"/>
  <c r="BJ359" i="1"/>
  <c r="AX359" i="1"/>
  <c r="AK359" i="1"/>
  <c r="ED358" i="1"/>
  <c r="DV358" i="1"/>
  <c r="DM358" i="1"/>
  <c r="CH358" i="1"/>
  <c r="DA358" i="1" s="1"/>
  <c r="CC358" i="1"/>
  <c r="CB358" i="1"/>
  <c r="CA358" i="1"/>
  <c r="BZ358" i="1"/>
  <c r="BY358" i="1"/>
  <c r="BX358" i="1"/>
  <c r="BW358" i="1"/>
  <c r="BV358" i="1"/>
  <c r="BU358" i="1"/>
  <c r="BJ358" i="1"/>
  <c r="CD358" i="1" s="1"/>
  <c r="AX358" i="1"/>
  <c r="AK358" i="1"/>
  <c r="DV357" i="1"/>
  <c r="CH357" i="1"/>
  <c r="DW357" i="1" s="1"/>
  <c r="CC357" i="1"/>
  <c r="CB357" i="1"/>
  <c r="CA357" i="1"/>
  <c r="BZ357" i="1"/>
  <c r="BY357" i="1"/>
  <c r="BX357" i="1"/>
  <c r="BW357" i="1"/>
  <c r="BV357" i="1"/>
  <c r="BU357" i="1"/>
  <c r="BJ357" i="1"/>
  <c r="AX357" i="1"/>
  <c r="AU357" i="1"/>
  <c r="AK357" i="1"/>
  <c r="DV356" i="1"/>
  <c r="CH356" i="1"/>
  <c r="DT356" i="1" s="1"/>
  <c r="CC356" i="1"/>
  <c r="CB356" i="1"/>
  <c r="CA356" i="1"/>
  <c r="BZ356" i="1"/>
  <c r="BY356" i="1"/>
  <c r="BX356" i="1"/>
  <c r="BW356" i="1"/>
  <c r="BV356" i="1"/>
  <c r="BU356" i="1"/>
  <c r="BJ356" i="1"/>
  <c r="AX356" i="1"/>
  <c r="AK356" i="1"/>
  <c r="ED355" i="1"/>
  <c r="DV355" i="1"/>
  <c r="DM355" i="1"/>
  <c r="CH355" i="1"/>
  <c r="CC355" i="1"/>
  <c r="CB355" i="1"/>
  <c r="CA355" i="1"/>
  <c r="BZ355" i="1"/>
  <c r="BY355" i="1"/>
  <c r="BX355" i="1"/>
  <c r="BW355" i="1"/>
  <c r="BV355" i="1"/>
  <c r="BU355" i="1"/>
  <c r="BJ355" i="1"/>
  <c r="AX355" i="1"/>
  <c r="AS355" i="1"/>
  <c r="AK355" i="1"/>
  <c r="DV354" i="1"/>
  <c r="CH354" i="1"/>
  <c r="DT354" i="1" s="1"/>
  <c r="CC354" i="1"/>
  <c r="CB354" i="1"/>
  <c r="CA354" i="1"/>
  <c r="BZ354" i="1"/>
  <c r="BY354" i="1"/>
  <c r="BX354" i="1"/>
  <c r="BW354" i="1"/>
  <c r="BV354" i="1"/>
  <c r="BU354" i="1"/>
  <c r="BJ354" i="1"/>
  <c r="CD354" i="1" s="1"/>
  <c r="AX354" i="1"/>
  <c r="AK354" i="1"/>
  <c r="DV353" i="1"/>
  <c r="CH353" i="1"/>
  <c r="DW353" i="1" s="1"/>
  <c r="CC353" i="1"/>
  <c r="CB353" i="1"/>
  <c r="CA353" i="1"/>
  <c r="BZ353" i="1"/>
  <c r="BY353" i="1"/>
  <c r="BX353" i="1"/>
  <c r="BW353" i="1"/>
  <c r="BV353" i="1"/>
  <c r="BU353" i="1"/>
  <c r="BJ353" i="1"/>
  <c r="AX353" i="1"/>
  <c r="AK353" i="1"/>
  <c r="DV352" i="1"/>
  <c r="CH352" i="1"/>
  <c r="DW352" i="1" s="1"/>
  <c r="CC352" i="1"/>
  <c r="CB352" i="1"/>
  <c r="CA352" i="1"/>
  <c r="BZ352" i="1"/>
  <c r="BY352" i="1"/>
  <c r="BX352" i="1"/>
  <c r="BW352" i="1"/>
  <c r="BV352" i="1"/>
  <c r="BU352" i="1"/>
  <c r="BJ352" i="1"/>
  <c r="AX352" i="1"/>
  <c r="AK352" i="1"/>
  <c r="DV351" i="1"/>
  <c r="CH351" i="1"/>
  <c r="DA351" i="1" s="1"/>
  <c r="CC351" i="1"/>
  <c r="CB351" i="1"/>
  <c r="CA351" i="1"/>
  <c r="BZ351" i="1"/>
  <c r="BY351" i="1"/>
  <c r="BX351" i="1"/>
  <c r="BW351" i="1"/>
  <c r="BV351" i="1"/>
  <c r="BU351" i="1"/>
  <c r="BK351" i="1"/>
  <c r="BJ351" i="1"/>
  <c r="CD351" i="1" s="1"/>
  <c r="AX351" i="1"/>
  <c r="AU351" i="1"/>
  <c r="AS351" i="1"/>
  <c r="AK351" i="1"/>
  <c r="ED350" i="1"/>
  <c r="DV350" i="1"/>
  <c r="DM350" i="1"/>
  <c r="CH350" i="1"/>
  <c r="EA350" i="1" s="1"/>
  <c r="CC350" i="1"/>
  <c r="CB350" i="1"/>
  <c r="CA350" i="1"/>
  <c r="BZ350" i="1"/>
  <c r="BY350" i="1"/>
  <c r="BX350" i="1"/>
  <c r="BW350" i="1"/>
  <c r="BV350" i="1"/>
  <c r="BU350" i="1"/>
  <c r="BJ350" i="1"/>
  <c r="CD350" i="1" s="1"/>
  <c r="AX350" i="1"/>
  <c r="AS350" i="1"/>
  <c r="AK350" i="1"/>
  <c r="DV349" i="1"/>
  <c r="CH349" i="1"/>
  <c r="DU349" i="1" s="1"/>
  <c r="CC349" i="1"/>
  <c r="CB349" i="1"/>
  <c r="CA349" i="1"/>
  <c r="BZ349" i="1"/>
  <c r="BY349" i="1"/>
  <c r="BX349" i="1"/>
  <c r="BW349" i="1"/>
  <c r="BV349" i="1"/>
  <c r="BU349" i="1"/>
  <c r="BJ349" i="1"/>
  <c r="CD349" i="1" s="1"/>
  <c r="AX349" i="1"/>
  <c r="AS349" i="1"/>
  <c r="AK349" i="1"/>
  <c r="DV348" i="1"/>
  <c r="CH348" i="1"/>
  <c r="EA348" i="1" s="1"/>
  <c r="CC348" i="1"/>
  <c r="CB348" i="1"/>
  <c r="CA348" i="1"/>
  <c r="BZ348" i="1"/>
  <c r="BY348" i="1"/>
  <c r="BX348" i="1"/>
  <c r="BW348" i="1"/>
  <c r="BV348" i="1"/>
  <c r="BU348" i="1"/>
  <c r="BJ348" i="1"/>
  <c r="CD348" i="1" s="1"/>
  <c r="AX348" i="1"/>
  <c r="AS348" i="1"/>
  <c r="AK348" i="1"/>
  <c r="ED347" i="1"/>
  <c r="DV347" i="1"/>
  <c r="DM347" i="1"/>
  <c r="CH347" i="1"/>
  <c r="DY347" i="1" s="1"/>
  <c r="CC347" i="1"/>
  <c r="CB347" i="1"/>
  <c r="CA347" i="1"/>
  <c r="BZ347" i="1"/>
  <c r="BY347" i="1"/>
  <c r="BX347" i="1"/>
  <c r="BW347" i="1"/>
  <c r="BV347" i="1"/>
  <c r="BU347" i="1"/>
  <c r="BJ347" i="1"/>
  <c r="AX347" i="1"/>
  <c r="AU347" i="1"/>
  <c r="AK347" i="1"/>
  <c r="DV346" i="1"/>
  <c r="CH346" i="1"/>
  <c r="DT346" i="1" s="1"/>
  <c r="CC346" i="1"/>
  <c r="CB346" i="1"/>
  <c r="CA346" i="1"/>
  <c r="BZ346" i="1"/>
  <c r="BY346" i="1"/>
  <c r="BX346" i="1"/>
  <c r="BW346" i="1"/>
  <c r="BV346" i="1"/>
  <c r="BU346" i="1"/>
  <c r="BJ346" i="1"/>
  <c r="CD346" i="1" s="1"/>
  <c r="AX346" i="1"/>
  <c r="AK346" i="1"/>
  <c r="CM332" i="1"/>
  <c r="CL332" i="1"/>
  <c r="CL331" i="1"/>
  <c r="CI332" i="1"/>
  <c r="CX405" i="1" l="1"/>
  <c r="CW405" i="1"/>
  <c r="CV405" i="1"/>
  <c r="CY405" i="1"/>
  <c r="EJ405" i="1"/>
  <c r="CZ405" i="1"/>
  <c r="CU398" i="1"/>
  <c r="DQ398" i="1"/>
  <c r="EH398" i="1"/>
  <c r="DL361" i="1"/>
  <c r="DQ393" i="1"/>
  <c r="CS395" i="1"/>
  <c r="EH395" i="1" s="1"/>
  <c r="EG395" i="1"/>
  <c r="CU393" i="1"/>
  <c r="DS393" i="1" s="1"/>
  <c r="CV390" i="1"/>
  <c r="CU387" i="1"/>
  <c r="EJ387" i="1" s="1"/>
  <c r="EG387" i="1"/>
  <c r="CZ390" i="1"/>
  <c r="CY390" i="1"/>
  <c r="DQ389" i="1"/>
  <c r="DQ397" i="1"/>
  <c r="DP390" i="1"/>
  <c r="CU389" i="1"/>
  <c r="DS389" i="1" s="1"/>
  <c r="EH396" i="1"/>
  <c r="CY396" i="1"/>
  <c r="EG396" i="1"/>
  <c r="DP387" i="1"/>
  <c r="EH387" i="1"/>
  <c r="DP396" i="1"/>
  <c r="CX396" i="1"/>
  <c r="DQ396" i="1"/>
  <c r="CW396" i="1"/>
  <c r="CV396" i="1"/>
  <c r="DS397" i="1"/>
  <c r="CX390" i="1"/>
  <c r="EJ396" i="1"/>
  <c r="CW390" i="1"/>
  <c r="DS396" i="1"/>
  <c r="CZ397" i="1"/>
  <c r="CV397" i="1"/>
  <c r="CX397" i="1"/>
  <c r="DQ390" i="1"/>
  <c r="EH390" i="1"/>
  <c r="EJ390" i="1"/>
  <c r="EG390" i="1"/>
  <c r="EJ397" i="1"/>
  <c r="EH397" i="1"/>
  <c r="CW397" i="1"/>
  <c r="EG391" i="1"/>
  <c r="CS391" i="1"/>
  <c r="CU391" i="1" s="1"/>
  <c r="CS394" i="1"/>
  <c r="CU394" i="1" s="1"/>
  <c r="CV394" i="1" s="1"/>
  <c r="EG394" i="1"/>
  <c r="EG388" i="1"/>
  <c r="CS388" i="1"/>
  <c r="CU388" i="1" s="1"/>
  <c r="CY388" i="1" s="1"/>
  <c r="AY386" i="1"/>
  <c r="CV392" i="1"/>
  <c r="CW392" i="1"/>
  <c r="CX392" i="1"/>
  <c r="CY392" i="1"/>
  <c r="CZ392" i="1"/>
  <c r="EJ392" i="1"/>
  <c r="DS392" i="1"/>
  <c r="EE374" i="1"/>
  <c r="CR374" i="1"/>
  <c r="DP374" i="1" s="1"/>
  <c r="CS373" i="1"/>
  <c r="DQ373" i="1" s="1"/>
  <c r="EG373" i="1"/>
  <c r="AY376" i="1"/>
  <c r="AY385" i="1"/>
  <c r="AY373" i="1"/>
  <c r="AY384" i="1"/>
  <c r="AY374" i="1"/>
  <c r="DN373" i="1"/>
  <c r="AY383" i="1"/>
  <c r="EE373" i="1"/>
  <c r="CZ409" i="1"/>
  <c r="CV409" i="1"/>
  <c r="CW409" i="1"/>
  <c r="CX409" i="1"/>
  <c r="CY409" i="1"/>
  <c r="DS409" i="1"/>
  <c r="EJ409" i="1"/>
  <c r="AY380" i="1"/>
  <c r="AY375" i="1"/>
  <c r="AY379" i="1"/>
  <c r="AY381" i="1"/>
  <c r="AY378" i="1"/>
  <c r="AY382" i="1"/>
  <c r="AY377" i="1"/>
  <c r="CU381" i="1"/>
  <c r="CV381" i="1" s="1"/>
  <c r="EH377" i="1"/>
  <c r="CU377" i="1"/>
  <c r="CV377" i="1" s="1"/>
  <c r="EH381" i="1"/>
  <c r="CS386" i="1"/>
  <c r="CU386" i="1" s="1"/>
  <c r="EG382" i="1"/>
  <c r="CU378" i="1"/>
  <c r="DQ378" i="1"/>
  <c r="EH378" i="1"/>
  <c r="CS382" i="1"/>
  <c r="EH382" i="1" s="1"/>
  <c r="EG386" i="1"/>
  <c r="CU379" i="1"/>
  <c r="EH379" i="1"/>
  <c r="DQ379" i="1"/>
  <c r="CU380" i="1"/>
  <c r="DQ380" i="1"/>
  <c r="EH380" i="1"/>
  <c r="CU385" i="1"/>
  <c r="DQ385" i="1"/>
  <c r="EH385" i="1"/>
  <c r="DN371" i="1"/>
  <c r="AY368" i="1"/>
  <c r="CU384" i="1"/>
  <c r="EH384" i="1"/>
  <c r="DQ384" i="1"/>
  <c r="EC359" i="1"/>
  <c r="AY371" i="1"/>
  <c r="CU376" i="1"/>
  <c r="EH376" i="1"/>
  <c r="DQ376" i="1"/>
  <c r="AY365" i="1"/>
  <c r="DK361" i="1"/>
  <c r="CU383" i="1"/>
  <c r="DQ383" i="1"/>
  <c r="EH383" i="1"/>
  <c r="CU411" i="1"/>
  <c r="DQ411" i="1"/>
  <c r="EH411" i="1"/>
  <c r="CU375" i="1"/>
  <c r="DQ375" i="1"/>
  <c r="EH375" i="1"/>
  <c r="AV361" i="1"/>
  <c r="DE361" i="1"/>
  <c r="AY370" i="1"/>
  <c r="BN361" i="1"/>
  <c r="DP366" i="1"/>
  <c r="EG366" i="1"/>
  <c r="BL361" i="1"/>
  <c r="EE371" i="1"/>
  <c r="DP368" i="1"/>
  <c r="EE366" i="1"/>
  <c r="CU410" i="1"/>
  <c r="DQ410" i="1"/>
  <c r="EH410" i="1"/>
  <c r="DA359" i="1"/>
  <c r="AY367" i="1"/>
  <c r="EB359" i="1"/>
  <c r="DX371" i="1"/>
  <c r="DG361" i="1"/>
  <c r="CS412" i="1"/>
  <c r="EG412" i="1"/>
  <c r="DP412" i="1"/>
  <c r="BQ361" i="1"/>
  <c r="DR361" i="1"/>
  <c r="BQ359" i="1"/>
  <c r="DE359" i="1"/>
  <c r="BR359" i="1"/>
  <c r="DG359" i="1"/>
  <c r="BS359" i="1"/>
  <c r="DI359" i="1"/>
  <c r="DH359" i="1"/>
  <c r="CR367" i="1"/>
  <c r="DP367" i="1" s="1"/>
  <c r="DN367" i="1"/>
  <c r="AS359" i="1"/>
  <c r="AS360" i="1"/>
  <c r="DD360" i="1"/>
  <c r="EE365" i="1"/>
  <c r="AU360" i="1"/>
  <c r="DH360" i="1"/>
  <c r="DK360" i="1"/>
  <c r="DN366" i="1"/>
  <c r="BN359" i="1"/>
  <c r="BO359" i="1"/>
  <c r="DC359" i="1"/>
  <c r="BP360" i="1"/>
  <c r="AY369" i="1"/>
  <c r="BP359" i="1"/>
  <c r="DD359" i="1"/>
  <c r="BS360" i="1"/>
  <c r="DN369" i="1"/>
  <c r="CR365" i="1"/>
  <c r="CS365" i="1" s="1"/>
  <c r="DQ365" i="1" s="1"/>
  <c r="DX360" i="1"/>
  <c r="BR361" i="1"/>
  <c r="EG368" i="1"/>
  <c r="EI360" i="1"/>
  <c r="AY366" i="1"/>
  <c r="EI361" i="1"/>
  <c r="EF360" i="1"/>
  <c r="AT361" i="1"/>
  <c r="DU371" i="1"/>
  <c r="DZ371" i="1"/>
  <c r="EA371" i="1"/>
  <c r="DA371" i="1"/>
  <c r="EC371" i="1"/>
  <c r="ED371" i="1"/>
  <c r="EF371" i="1"/>
  <c r="EI371" i="1"/>
  <c r="DY371" i="1"/>
  <c r="DZ360" i="1"/>
  <c r="AU361" i="1"/>
  <c r="CU413" i="1"/>
  <c r="EH413" i="1"/>
  <c r="DQ413" i="1"/>
  <c r="AW361" i="1"/>
  <c r="DI360" i="1"/>
  <c r="BM361" i="1"/>
  <c r="DJ361" i="1"/>
  <c r="CS369" i="1"/>
  <c r="CU369" i="1" s="1"/>
  <c r="DW371" i="1"/>
  <c r="CS371" i="1"/>
  <c r="CU371" i="1" s="1"/>
  <c r="CY371" i="1" s="1"/>
  <c r="EG371" i="1"/>
  <c r="DF371" i="1"/>
  <c r="DT371" i="1"/>
  <c r="EE370" i="1"/>
  <c r="CR370" i="1"/>
  <c r="EG370" i="1" s="1"/>
  <c r="AU359" i="1"/>
  <c r="AW360" i="1"/>
  <c r="DO359" i="1"/>
  <c r="BK360" i="1"/>
  <c r="DJ359" i="1"/>
  <c r="DR359" i="1"/>
  <c r="BL360" i="1"/>
  <c r="EE368" i="1"/>
  <c r="DL360" i="1"/>
  <c r="BM360" i="1"/>
  <c r="AT359" i="1"/>
  <c r="DM360" i="1"/>
  <c r="BK359" i="1"/>
  <c r="BL359" i="1"/>
  <c r="BN360" i="1"/>
  <c r="DA360" i="1"/>
  <c r="EA360" i="1"/>
  <c r="DN368" i="1"/>
  <c r="BM359" i="1"/>
  <c r="DF359" i="1"/>
  <c r="DZ359" i="1"/>
  <c r="BO360" i="1"/>
  <c r="DC360" i="1"/>
  <c r="EB360" i="1"/>
  <c r="BQ360" i="1"/>
  <c r="DE360" i="1"/>
  <c r="BR360" i="1"/>
  <c r="DG360" i="1"/>
  <c r="CS414" i="1"/>
  <c r="EH414" i="1" s="1"/>
  <c r="AT360" i="1"/>
  <c r="DJ360" i="1"/>
  <c r="AV360" i="1"/>
  <c r="DK359" i="1"/>
  <c r="AV359" i="1"/>
  <c r="DL359" i="1"/>
  <c r="DO360" i="1"/>
  <c r="EG414" i="1"/>
  <c r="DR360" i="1"/>
  <c r="EE369" i="1"/>
  <c r="EG369" i="1"/>
  <c r="CU368" i="1"/>
  <c r="CX368" i="1" s="1"/>
  <c r="EH368" i="1"/>
  <c r="DY361" i="1"/>
  <c r="EI359" i="1"/>
  <c r="ED360" i="1"/>
  <c r="BP361" i="1"/>
  <c r="DD361" i="1"/>
  <c r="EA361" i="1"/>
  <c r="EB361" i="1"/>
  <c r="EC361" i="1"/>
  <c r="BS361" i="1"/>
  <c r="DH361" i="1"/>
  <c r="DG346" i="1"/>
  <c r="DI361" i="1"/>
  <c r="EF361" i="1"/>
  <c r="DY359" i="1"/>
  <c r="DO361" i="1"/>
  <c r="EA359" i="1"/>
  <c r="DY360" i="1"/>
  <c r="BK361" i="1"/>
  <c r="DU361" i="1"/>
  <c r="DX361" i="1"/>
  <c r="DA361" i="1"/>
  <c r="EF359" i="1"/>
  <c r="EC360" i="1"/>
  <c r="BO361" i="1"/>
  <c r="DC361" i="1"/>
  <c r="DZ361" i="1"/>
  <c r="DT361" i="1"/>
  <c r="DU360" i="1"/>
  <c r="DT360" i="1"/>
  <c r="DT359" i="1"/>
  <c r="DU359" i="1"/>
  <c r="BN349" i="1"/>
  <c r="DC349" i="1"/>
  <c r="DD349" i="1"/>
  <c r="DE349" i="1"/>
  <c r="BK349" i="1"/>
  <c r="BL349" i="1"/>
  <c r="BO349" i="1"/>
  <c r="CU366" i="1"/>
  <c r="DQ366" i="1"/>
  <c r="EH366" i="1"/>
  <c r="DX356" i="1"/>
  <c r="EC357" i="1"/>
  <c r="BR354" i="1"/>
  <c r="BP355" i="1"/>
  <c r="BL357" i="1"/>
  <c r="DG355" i="1"/>
  <c r="BP357" i="1"/>
  <c r="DR355" i="1"/>
  <c r="DM356" i="1"/>
  <c r="AU358" i="1"/>
  <c r="DC358" i="1"/>
  <c r="AV358" i="1"/>
  <c r="DI358" i="1"/>
  <c r="DP372" i="1"/>
  <c r="CS372" i="1"/>
  <c r="DK358" i="1"/>
  <c r="AW358" i="1"/>
  <c r="AT355" i="1"/>
  <c r="DL358" i="1"/>
  <c r="DJ358" i="1"/>
  <c r="AU355" i="1"/>
  <c r="DE355" i="1"/>
  <c r="BO358" i="1"/>
  <c r="DI355" i="1"/>
  <c r="BO355" i="1"/>
  <c r="BQ355" i="1"/>
  <c r="DC346" i="1"/>
  <c r="DD346" i="1"/>
  <c r="AR360" i="1"/>
  <c r="DB360" i="1" s="1"/>
  <c r="AS358" i="1"/>
  <c r="BL347" i="1"/>
  <c r="BP347" i="1"/>
  <c r="BQ347" i="1"/>
  <c r="AT356" i="1"/>
  <c r="DR356" i="1"/>
  <c r="AV356" i="1"/>
  <c r="AW349" i="1"/>
  <c r="AW356" i="1"/>
  <c r="BO346" i="1"/>
  <c r="DG347" i="1"/>
  <c r="BN346" i="1"/>
  <c r="DH347" i="1"/>
  <c r="DI347" i="1"/>
  <c r="AW348" i="1"/>
  <c r="DH349" i="1"/>
  <c r="BK348" i="1"/>
  <c r="DL349" i="1"/>
  <c r="DZ351" i="1"/>
  <c r="DJ354" i="1"/>
  <c r="EA358" i="1"/>
  <c r="DG349" i="1"/>
  <c r="DM351" i="1"/>
  <c r="ED346" i="1"/>
  <c r="DK351" i="1"/>
  <c r="BL348" i="1"/>
  <c r="EF346" i="1"/>
  <c r="BN348" i="1"/>
  <c r="AT349" i="1"/>
  <c r="DO349" i="1"/>
  <c r="AU352" i="1"/>
  <c r="AT354" i="1"/>
  <c r="DM354" i="1"/>
  <c r="EF358" i="1"/>
  <c r="AW351" i="1"/>
  <c r="DL354" i="1"/>
  <c r="EI346" i="1"/>
  <c r="AU349" i="1"/>
  <c r="DR349" i="1"/>
  <c r="BL353" i="1"/>
  <c r="AT351" i="1"/>
  <c r="DM349" i="1"/>
  <c r="AS354" i="1"/>
  <c r="AV349" i="1"/>
  <c r="BM353" i="1"/>
  <c r="DZ354" i="1"/>
  <c r="DX357" i="1"/>
  <c r="DA346" i="1"/>
  <c r="DJ351" i="1"/>
  <c r="DC348" i="1"/>
  <c r="BP349" i="1"/>
  <c r="BQ349" i="1"/>
  <c r="DO351" i="1"/>
  <c r="BQ346" i="1"/>
  <c r="DI346" i="1"/>
  <c r="DE348" i="1"/>
  <c r="BR349" i="1"/>
  <c r="DJ349" i="1"/>
  <c r="DR351" i="1"/>
  <c r="DO358" i="1"/>
  <c r="BR346" i="1"/>
  <c r="DM346" i="1"/>
  <c r="DK349" i="1"/>
  <c r="DK347" i="1"/>
  <c r="DA352" i="1"/>
  <c r="DL347" i="1"/>
  <c r="BL351" i="1"/>
  <c r="DO347" i="1"/>
  <c r="BS348" i="1"/>
  <c r="DM348" i="1"/>
  <c r="BN351" i="1"/>
  <c r="EB352" i="1"/>
  <c r="BM355" i="1"/>
  <c r="DD355" i="1"/>
  <c r="DL357" i="1"/>
  <c r="DR350" i="1"/>
  <c r="BO351" i="1"/>
  <c r="DC351" i="1"/>
  <c r="ED352" i="1"/>
  <c r="DR348" i="1"/>
  <c r="BK350" i="1"/>
  <c r="BP351" i="1"/>
  <c r="DD351" i="1"/>
  <c r="EI352" i="1"/>
  <c r="DO348" i="1"/>
  <c r="BQ351" i="1"/>
  <c r="AS347" i="1"/>
  <c r="DY348" i="1"/>
  <c r="BR351" i="1"/>
  <c r="DG351" i="1"/>
  <c r="BS355" i="1"/>
  <c r="DK355" i="1"/>
  <c r="BR357" i="1"/>
  <c r="AR346" i="1"/>
  <c r="DB346" i="1" s="1"/>
  <c r="AS346" i="1"/>
  <c r="BR350" i="1"/>
  <c r="BS349" i="1"/>
  <c r="DI349" i="1"/>
  <c r="BS351" i="1"/>
  <c r="DH351" i="1"/>
  <c r="W346" i="1"/>
  <c r="BM350" i="1"/>
  <c r="DE351" i="1"/>
  <c r="AV347" i="1"/>
  <c r="AV348" i="1"/>
  <c r="DI351" i="1"/>
  <c r="DO355" i="1"/>
  <c r="BP346" i="1"/>
  <c r="DE346" i="1"/>
  <c r="BK347" i="1"/>
  <c r="DE347" i="1"/>
  <c r="AV351" i="1"/>
  <c r="DL351" i="1"/>
  <c r="DO346" i="1"/>
  <c r="BP348" i="1"/>
  <c r="DG348" i="1"/>
  <c r="DR346" i="1"/>
  <c r="BQ348" i="1"/>
  <c r="DF355" i="1"/>
  <c r="BR347" i="1"/>
  <c r="BS347" i="1"/>
  <c r="DH348" i="1"/>
  <c r="DF350" i="1"/>
  <c r="BK355" i="1"/>
  <c r="BR348" i="1"/>
  <c r="DI348" i="1"/>
  <c r="BM349" i="1"/>
  <c r="AV350" i="1"/>
  <c r="DH350" i="1"/>
  <c r="DF351" i="1"/>
  <c r="EA352" i="1"/>
  <c r="BL355" i="1"/>
  <c r="DC355" i="1"/>
  <c r="DE357" i="1"/>
  <c r="EB358" i="1"/>
  <c r="AU354" i="1"/>
  <c r="BP353" i="1"/>
  <c r="BK356" i="1"/>
  <c r="DK346" i="1"/>
  <c r="AW347" i="1"/>
  <c r="DR347" i="1"/>
  <c r="BO348" i="1"/>
  <c r="DD348" i="1"/>
  <c r="BN350" i="1"/>
  <c r="DC350" i="1"/>
  <c r="EF352" i="1"/>
  <c r="BQ353" i="1"/>
  <c r="DG353" i="1"/>
  <c r="EB354" i="1"/>
  <c r="DJ355" i="1"/>
  <c r="BL356" i="1"/>
  <c r="DG357" i="1"/>
  <c r="DZ358" i="1"/>
  <c r="BO350" i="1"/>
  <c r="DD350" i="1"/>
  <c r="BR353" i="1"/>
  <c r="DH353" i="1"/>
  <c r="BM356" i="1"/>
  <c r="DC356" i="1"/>
  <c r="BP350" i="1"/>
  <c r="DE350" i="1"/>
  <c r="BS353" i="1"/>
  <c r="DI353" i="1"/>
  <c r="BK354" i="1"/>
  <c r="BN356" i="1"/>
  <c r="DD356" i="1"/>
  <c r="DC353" i="1"/>
  <c r="BQ350" i="1"/>
  <c r="DG350" i="1"/>
  <c r="AS353" i="1"/>
  <c r="DJ353" i="1"/>
  <c r="BL354" i="1"/>
  <c r="BO356" i="1"/>
  <c r="DE356" i="1"/>
  <c r="AW354" i="1"/>
  <c r="DC354" i="1"/>
  <c r="DH356" i="1"/>
  <c r="AU346" i="1"/>
  <c r="DX346" i="1"/>
  <c r="BM347" i="1"/>
  <c r="DF347" i="1"/>
  <c r="DJ348" i="1"/>
  <c r="BS350" i="1"/>
  <c r="DI350" i="1"/>
  <c r="AU353" i="1"/>
  <c r="DL353" i="1"/>
  <c r="BN354" i="1"/>
  <c r="DD354" i="1"/>
  <c r="AW355" i="1"/>
  <c r="BR356" i="1"/>
  <c r="DI356" i="1"/>
  <c r="EI358" i="1"/>
  <c r="DK353" i="1"/>
  <c r="BP356" i="1"/>
  <c r="AW346" i="1"/>
  <c r="DZ346" i="1"/>
  <c r="BN347" i="1"/>
  <c r="DC347" i="1"/>
  <c r="AT348" i="1"/>
  <c r="DK348" i="1"/>
  <c r="DJ350" i="1"/>
  <c r="AV353" i="1"/>
  <c r="DM353" i="1"/>
  <c r="BO354" i="1"/>
  <c r="DE354" i="1"/>
  <c r="BS356" i="1"/>
  <c r="DJ356" i="1"/>
  <c r="DP346" i="1"/>
  <c r="DE353" i="1"/>
  <c r="AT353" i="1"/>
  <c r="BM354" i="1"/>
  <c r="EA346" i="1"/>
  <c r="BO347" i="1"/>
  <c r="DD347" i="1"/>
  <c r="AU348" i="1"/>
  <c r="DL348" i="1"/>
  <c r="AT350" i="1"/>
  <c r="DK350" i="1"/>
  <c r="AW353" i="1"/>
  <c r="DO353" i="1"/>
  <c r="BP354" i="1"/>
  <c r="DG354" i="1"/>
  <c r="DK356" i="1"/>
  <c r="BN353" i="1"/>
  <c r="EC346" i="1"/>
  <c r="AU350" i="1"/>
  <c r="DL350" i="1"/>
  <c r="DR353" i="1"/>
  <c r="BQ354" i="1"/>
  <c r="DI354" i="1"/>
  <c r="AS356" i="1"/>
  <c r="DL356" i="1"/>
  <c r="AW350" i="1"/>
  <c r="DO350" i="1"/>
  <c r="EI351" i="1"/>
  <c r="DK352" i="1"/>
  <c r="BK353" i="1"/>
  <c r="DK354" i="1"/>
  <c r="AU356" i="1"/>
  <c r="DO356" i="1"/>
  <c r="DO354" i="1"/>
  <c r="BS346" i="1"/>
  <c r="DH346" i="1"/>
  <c r="BM348" i="1"/>
  <c r="BL350" i="1"/>
  <c r="EB350" i="1"/>
  <c r="EC352" i="1"/>
  <c r="BO353" i="1"/>
  <c r="DD353" i="1"/>
  <c r="AV354" i="1"/>
  <c r="BR355" i="1"/>
  <c r="DH355" i="1"/>
  <c r="AR361" i="1"/>
  <c r="DB361" i="1" s="1"/>
  <c r="DX349" i="1"/>
  <c r="AV352" i="1"/>
  <c r="DL352" i="1"/>
  <c r="DZ357" i="1"/>
  <c r="EC349" i="1"/>
  <c r="AW352" i="1"/>
  <c r="DM352" i="1"/>
  <c r="EB357" i="1"/>
  <c r="ED349" i="1"/>
  <c r="AV357" i="1"/>
  <c r="DO352" i="1"/>
  <c r="DR352" i="1"/>
  <c r="DX355" i="1"/>
  <c r="AW357" i="1"/>
  <c r="CP332" i="1"/>
  <c r="BK352" i="1"/>
  <c r="DZ355" i="1"/>
  <c r="BL352" i="1"/>
  <c r="DX352" i="1"/>
  <c r="DR354" i="1"/>
  <c r="BN355" i="1"/>
  <c r="DA355" i="1"/>
  <c r="EA355" i="1"/>
  <c r="BQ356" i="1"/>
  <c r="DG356" i="1"/>
  <c r="DA357" i="1"/>
  <c r="AT358" i="1"/>
  <c r="DP347" i="1"/>
  <c r="DX348" i="1"/>
  <c r="BM352" i="1"/>
  <c r="DZ352" i="1"/>
  <c r="DX353" i="1"/>
  <c r="BK357" i="1"/>
  <c r="DD357" i="1"/>
  <c r="DZ353" i="1"/>
  <c r="BO352" i="1"/>
  <c r="BN352" i="1"/>
  <c r="DC352" i="1"/>
  <c r="DA353" i="1"/>
  <c r="EF351" i="1"/>
  <c r="BP352" i="1"/>
  <c r="DD352" i="1"/>
  <c r="EB353" i="1"/>
  <c r="DA354" i="1"/>
  <c r="EC354" i="1"/>
  <c r="BQ357" i="1"/>
  <c r="DK357" i="1"/>
  <c r="EA353" i="1"/>
  <c r="DZ347" i="1"/>
  <c r="W352" i="1"/>
  <c r="BR352" i="1"/>
  <c r="DG352" i="1"/>
  <c r="ED353" i="1"/>
  <c r="DM357" i="1"/>
  <c r="DE352" i="1"/>
  <c r="EC353" i="1"/>
  <c r="BS352" i="1"/>
  <c r="DH352" i="1"/>
  <c r="EF353" i="1"/>
  <c r="DO357" i="1"/>
  <c r="EA347" i="1"/>
  <c r="DA347" i="1"/>
  <c r="AS352" i="1"/>
  <c r="DI352" i="1"/>
  <c r="EI353" i="1"/>
  <c r="DR357" i="1"/>
  <c r="BQ352" i="1"/>
  <c r="EC350" i="1"/>
  <c r="EB346" i="1"/>
  <c r="AT352" i="1"/>
  <c r="BS354" i="1"/>
  <c r="DH354" i="1"/>
  <c r="AV355" i="1"/>
  <c r="DL355" i="1"/>
  <c r="EF347" i="1"/>
  <c r="EC348" i="1"/>
  <c r="EA349" i="1"/>
  <c r="DY350" i="1"/>
  <c r="EI354" i="1"/>
  <c r="AV346" i="1"/>
  <c r="DL346" i="1"/>
  <c r="AT347" i="1"/>
  <c r="DJ347" i="1"/>
  <c r="EI347" i="1"/>
  <c r="ED348" i="1"/>
  <c r="EB349" i="1"/>
  <c r="DA350" i="1"/>
  <c r="DZ350" i="1"/>
  <c r="DX351" i="1"/>
  <c r="EF355" i="1"/>
  <c r="EC356" i="1"/>
  <c r="BO357" i="1"/>
  <c r="DC357" i="1"/>
  <c r="EA357" i="1"/>
  <c r="BM358" i="1"/>
  <c r="DF358" i="1"/>
  <c r="DY358" i="1"/>
  <c r="DY351" i="1"/>
  <c r="EI355" i="1"/>
  <c r="ED356" i="1"/>
  <c r="BN358" i="1"/>
  <c r="ED357" i="1"/>
  <c r="BP358" i="1"/>
  <c r="DD358" i="1"/>
  <c r="EF348" i="1"/>
  <c r="EI356" i="1"/>
  <c r="EB351" i="1"/>
  <c r="DY352" i="1"/>
  <c r="BS357" i="1"/>
  <c r="DH357" i="1"/>
  <c r="EF357" i="1"/>
  <c r="BQ358" i="1"/>
  <c r="DE358" i="1"/>
  <c r="EC358" i="1"/>
  <c r="DN352" i="1"/>
  <c r="EI348" i="1"/>
  <c r="EF356" i="1"/>
  <c r="BK346" i="1"/>
  <c r="EI349" i="1"/>
  <c r="BL346" i="1"/>
  <c r="EF350" i="1"/>
  <c r="EC351" i="1"/>
  <c r="AS357" i="1"/>
  <c r="DI357" i="1"/>
  <c r="EI357" i="1"/>
  <c r="BR358" i="1"/>
  <c r="DG358" i="1"/>
  <c r="EF349" i="1"/>
  <c r="EA351" i="1"/>
  <c r="BM346" i="1"/>
  <c r="DY346" i="1"/>
  <c r="DU347" i="1"/>
  <c r="EI350" i="1"/>
  <c r="ED351" i="1"/>
  <c r="DY353" i="1"/>
  <c r="AT357" i="1"/>
  <c r="DJ357" i="1"/>
  <c r="BS358" i="1"/>
  <c r="DH358" i="1"/>
  <c r="DX354" i="1"/>
  <c r="DX347" i="1"/>
  <c r="DY354" i="1"/>
  <c r="EA354" i="1"/>
  <c r="DY355" i="1"/>
  <c r="DZ348" i="1"/>
  <c r="DY356" i="1"/>
  <c r="EC347" i="1"/>
  <c r="ED354" i="1"/>
  <c r="EB355" i="1"/>
  <c r="DA356" i="1"/>
  <c r="DZ356" i="1"/>
  <c r="DR358" i="1"/>
  <c r="AT346" i="1"/>
  <c r="EB348" i="1"/>
  <c r="DA349" i="1"/>
  <c r="DZ349" i="1"/>
  <c r="DX350" i="1"/>
  <c r="EF354" i="1"/>
  <c r="EC355" i="1"/>
  <c r="EA356" i="1"/>
  <c r="BM357" i="1"/>
  <c r="DY357" i="1"/>
  <c r="BK358" i="1"/>
  <c r="EB347" i="1"/>
  <c r="DA348" i="1"/>
  <c r="DY349" i="1"/>
  <c r="EB356" i="1"/>
  <c r="BN357" i="1"/>
  <c r="BL358" i="1"/>
  <c r="DX358" i="1"/>
  <c r="DU358" i="1"/>
  <c r="DT358" i="1"/>
  <c r="DN357" i="1"/>
  <c r="DU357" i="1"/>
  <c r="DT357" i="1"/>
  <c r="DF357" i="1"/>
  <c r="AR357" i="1"/>
  <c r="DB357" i="1" s="1"/>
  <c r="BT357" i="1"/>
  <c r="DU356" i="1"/>
  <c r="DU355" i="1"/>
  <c r="DT355" i="1"/>
  <c r="AR355" i="1"/>
  <c r="DB355" i="1" s="1"/>
  <c r="DU354" i="1"/>
  <c r="DU353" i="1"/>
  <c r="DT353" i="1"/>
  <c r="DT352" i="1"/>
  <c r="DU352" i="1"/>
  <c r="DU351" i="1"/>
  <c r="DT351" i="1"/>
  <c r="DU350" i="1"/>
  <c r="DT350" i="1"/>
  <c r="DT349" i="1"/>
  <c r="DN348" i="1"/>
  <c r="EE348" i="1"/>
  <c r="DU348" i="1"/>
  <c r="DT348" i="1"/>
  <c r="DN347" i="1"/>
  <c r="DT347" i="1"/>
  <c r="DN346" i="1"/>
  <c r="DU346" i="1"/>
  <c r="EG357" i="1"/>
  <c r="EG355" i="1"/>
  <c r="AR353" i="1"/>
  <c r="DB353" i="1" s="1"/>
  <c r="AR350" i="1"/>
  <c r="DB350" i="1" s="1"/>
  <c r="BT352" i="1"/>
  <c r="DN355" i="1"/>
  <c r="DN349" i="1"/>
  <c r="AR347" i="1"/>
  <c r="DB347" i="1" s="1"/>
  <c r="CR352" i="1"/>
  <c r="EG352" i="1" s="1"/>
  <c r="BT347" i="1"/>
  <c r="EE349" i="1"/>
  <c r="BT353" i="1"/>
  <c r="AR352" i="1"/>
  <c r="DB352" i="1" s="1"/>
  <c r="BT355" i="1"/>
  <c r="DP355" i="1"/>
  <c r="AZ356" i="1"/>
  <c r="AR354" i="1"/>
  <c r="DB354" i="1" s="1"/>
  <c r="DN356" i="1"/>
  <c r="EE352" i="1"/>
  <c r="BT354" i="1"/>
  <c r="EE356" i="1"/>
  <c r="AZ347" i="1"/>
  <c r="EE350" i="1"/>
  <c r="BT359" i="1"/>
  <c r="AZ355" i="1"/>
  <c r="BT360" i="1"/>
  <c r="EG349" i="1"/>
  <c r="EG347" i="1"/>
  <c r="BT351" i="1"/>
  <c r="CD352" i="1"/>
  <c r="DW349" i="1"/>
  <c r="AZ353" i="1"/>
  <c r="CD357" i="1"/>
  <c r="DW359" i="1"/>
  <c r="AR349" i="1"/>
  <c r="DB349" i="1" s="1"/>
  <c r="EG356" i="1"/>
  <c r="AZ358" i="1"/>
  <c r="DN351" i="1"/>
  <c r="CS346" i="1"/>
  <c r="DQ346" i="1" s="1"/>
  <c r="EG348" i="1"/>
  <c r="EG354" i="1"/>
  <c r="DP354" i="1"/>
  <c r="BT346" i="1"/>
  <c r="DW346" i="1"/>
  <c r="AZ351" i="1"/>
  <c r="CS357" i="1"/>
  <c r="DQ357" i="1" s="1"/>
  <c r="DP357" i="1"/>
  <c r="AR358" i="1"/>
  <c r="DB358" i="1" s="1"/>
  <c r="DN359" i="1"/>
  <c r="AZ361" i="1"/>
  <c r="DF346" i="1"/>
  <c r="CD359" i="1"/>
  <c r="AZ346" i="1"/>
  <c r="EE354" i="1"/>
  <c r="AR348" i="1"/>
  <c r="DB348" i="1" s="1"/>
  <c r="DF348" i="1"/>
  <c r="DW350" i="1"/>
  <c r="DN354" i="1"/>
  <c r="CR350" i="1"/>
  <c r="CS350" i="1" s="1"/>
  <c r="EH350" i="1" s="1"/>
  <c r="BT356" i="1"/>
  <c r="AZ360" i="1"/>
  <c r="EE361" i="1"/>
  <c r="AR359" i="1"/>
  <c r="DB359" i="1" s="1"/>
  <c r="CS354" i="1"/>
  <c r="DQ354" i="1" s="1"/>
  <c r="CS349" i="1"/>
  <c r="CU349" i="1" s="1"/>
  <c r="DP349" i="1"/>
  <c r="EE360" i="1"/>
  <c r="EE358" i="1"/>
  <c r="AZ348" i="1"/>
  <c r="AZ357" i="1"/>
  <c r="EE346" i="1"/>
  <c r="AZ352" i="1"/>
  <c r="DW354" i="1"/>
  <c r="AZ359" i="1"/>
  <c r="EG346" i="1"/>
  <c r="DF349" i="1"/>
  <c r="DW351" i="1"/>
  <c r="AZ354" i="1"/>
  <c r="CR358" i="1"/>
  <c r="EG358" i="1" s="1"/>
  <c r="EE353" i="1"/>
  <c r="AR351" i="1"/>
  <c r="DB351" i="1" s="1"/>
  <c r="AZ350" i="1"/>
  <c r="AZ349" i="1"/>
  <c r="AR356" i="1"/>
  <c r="DB356" i="1" s="1"/>
  <c r="DF356" i="1"/>
  <c r="EE357" i="1"/>
  <c r="DW358" i="1"/>
  <c r="CS360" i="1"/>
  <c r="DQ360" i="1" s="1"/>
  <c r="DF354" i="1"/>
  <c r="BT349" i="1"/>
  <c r="AI83" i="2"/>
  <c r="AJ83" i="2" s="1"/>
  <c r="AJ34" i="2"/>
  <c r="AJ17" i="2"/>
  <c r="AG83" i="2"/>
  <c r="AH83" i="2" s="1"/>
  <c r="AH17" i="2"/>
  <c r="AE83" i="2"/>
  <c r="AF83" i="2" s="1"/>
  <c r="AF34" i="2"/>
  <c r="AF17" i="2"/>
  <c r="D114" i="2"/>
  <c r="D14" i="2"/>
  <c r="Z17" i="2"/>
  <c r="E83" i="2"/>
  <c r="F83" i="2" s="1"/>
  <c r="F34" i="2"/>
  <c r="F21" i="2"/>
  <c r="E85" i="2"/>
  <c r="F85" i="2" s="1"/>
  <c r="F17" i="2"/>
  <c r="AD17" i="2"/>
  <c r="AB17" i="2"/>
  <c r="Y83" i="2"/>
  <c r="Z83" i="2" s="1"/>
  <c r="W83" i="2"/>
  <c r="X83" i="2" s="1"/>
  <c r="X17" i="2"/>
  <c r="U83" i="2"/>
  <c r="V83" i="2" s="1"/>
  <c r="V34" i="2"/>
  <c r="V17" i="2"/>
  <c r="S83" i="2"/>
  <c r="T83" i="2" s="1"/>
  <c r="D117" i="2"/>
  <c r="D78" i="2"/>
  <c r="D71" i="2"/>
  <c r="Q83" i="2"/>
  <c r="R83" i="2" s="1"/>
  <c r="R34" i="2"/>
  <c r="R17" i="2"/>
  <c r="D91" i="2"/>
  <c r="O83" i="2"/>
  <c r="P83" i="2" s="1"/>
  <c r="C9" i="2"/>
  <c r="D103" i="2"/>
  <c r="D58" i="2"/>
  <c r="D43" i="2"/>
  <c r="C44" i="2"/>
  <c r="N17" i="2"/>
  <c r="K83" i="2"/>
  <c r="L83" i="2" s="1"/>
  <c r="L34" i="2"/>
  <c r="L17" i="2"/>
  <c r="D51" i="2"/>
  <c r="D105" i="2"/>
  <c r="D90" i="2"/>
  <c r="I83" i="2"/>
  <c r="J83" i="2" s="1"/>
  <c r="J34" i="2"/>
  <c r="J17" i="2"/>
  <c r="D92" i="2"/>
  <c r="D30" i="2"/>
  <c r="D77" i="2"/>
  <c r="C110" i="2"/>
  <c r="D104" i="2"/>
  <c r="C72" i="2"/>
  <c r="D50" i="2"/>
  <c r="H44" i="2"/>
  <c r="D44" i="2" s="1"/>
  <c r="G83" i="2"/>
  <c r="D28" i="2"/>
  <c r="D93" i="2"/>
  <c r="D49" i="2"/>
  <c r="D42" i="2"/>
  <c r="D16" i="2"/>
  <c r="D79" i="2"/>
  <c r="AZ34" i="2"/>
  <c r="AZ72" i="2"/>
  <c r="D37" i="2"/>
  <c r="AY85" i="2"/>
  <c r="AZ21" i="2"/>
  <c r="AW85" i="2"/>
  <c r="AX21" i="2"/>
  <c r="AX17" i="2"/>
  <c r="AX34" i="2"/>
  <c r="AV21" i="2"/>
  <c r="AU83" i="2"/>
  <c r="AV83" i="2" s="1"/>
  <c r="AS85" i="2"/>
  <c r="AT21" i="2"/>
  <c r="AT17" i="2"/>
  <c r="AT34" i="2"/>
  <c r="AQ85" i="2"/>
  <c r="AR21" i="2"/>
  <c r="AO85" i="2"/>
  <c r="AP21" i="2"/>
  <c r="AP34" i="2"/>
  <c r="AM85" i="2"/>
  <c r="AN21" i="2"/>
  <c r="AN17" i="2"/>
  <c r="AN38" i="2"/>
  <c r="D57" i="2"/>
  <c r="D72" i="2"/>
  <c r="D80" i="2"/>
  <c r="D99" i="2"/>
  <c r="D15" i="2"/>
  <c r="AK85" i="2"/>
  <c r="AL21" i="2"/>
  <c r="AL34" i="2"/>
  <c r="AI85" i="2"/>
  <c r="AJ21" i="2"/>
  <c r="AG85" i="2"/>
  <c r="AH21" i="2"/>
  <c r="AH34" i="2"/>
  <c r="AF21" i="2"/>
  <c r="AD21" i="2"/>
  <c r="AC83" i="2"/>
  <c r="AD83" i="2" s="1"/>
  <c r="AB21" i="2"/>
  <c r="AA83" i="2"/>
  <c r="AB83" i="2" s="1"/>
  <c r="Z21" i="2"/>
  <c r="Z34" i="2"/>
  <c r="X21" i="2"/>
  <c r="X34" i="2"/>
  <c r="V21" i="2"/>
  <c r="D89" i="2"/>
  <c r="T21" i="2"/>
  <c r="T17" i="2"/>
  <c r="T38" i="2"/>
  <c r="D38" i="2" s="1"/>
  <c r="D31" i="2"/>
  <c r="D29" i="2"/>
  <c r="R21" i="2"/>
  <c r="D53" i="2"/>
  <c r="D76" i="2"/>
  <c r="C94" i="2"/>
  <c r="P21" i="2"/>
  <c r="P17" i="2"/>
  <c r="P34" i="2"/>
  <c r="D48" i="2"/>
  <c r="C54" i="2"/>
  <c r="N21" i="2"/>
  <c r="N94" i="2"/>
  <c r="D94" i="2" s="1"/>
  <c r="M83" i="2"/>
  <c r="N83" i="2" s="1"/>
  <c r="D62" i="2"/>
  <c r="D47" i="2"/>
  <c r="D88" i="2"/>
  <c r="D19" i="2"/>
  <c r="D25" i="2"/>
  <c r="D33" i="2"/>
  <c r="D41" i="2"/>
  <c r="D20" i="2"/>
  <c r="L21" i="2"/>
  <c r="D32" i="2"/>
  <c r="L54" i="2"/>
  <c r="D54" i="2" s="1"/>
  <c r="D26" i="2"/>
  <c r="C34" i="2"/>
  <c r="C81" i="2"/>
  <c r="D59" i="2"/>
  <c r="J21" i="2"/>
  <c r="D61" i="2"/>
  <c r="D63" i="2"/>
  <c r="D106" i="2"/>
  <c r="D18" i="2"/>
  <c r="D27" i="2"/>
  <c r="D66" i="2"/>
  <c r="D81" i="2"/>
  <c r="D100" i="2"/>
  <c r="D67" i="2"/>
  <c r="D109" i="2"/>
  <c r="D52" i="2"/>
  <c r="D60" i="2"/>
  <c r="C68" i="2"/>
  <c r="D75" i="2"/>
  <c r="D110" i="2"/>
  <c r="E96" i="2"/>
  <c r="F96" i="2" s="1"/>
  <c r="C106" i="2"/>
  <c r="C100" i="2"/>
  <c r="H68" i="2"/>
  <c r="D68" i="2" s="1"/>
  <c r="C63" i="2"/>
  <c r="C38" i="2"/>
  <c r="C17" i="2"/>
  <c r="H21" i="2"/>
  <c r="C21" i="2"/>
  <c r="H17" i="2"/>
  <c r="H34" i="2"/>
  <c r="EG360" i="1"/>
  <c r="DP360" i="1"/>
  <c r="CS359" i="1"/>
  <c r="EG359" i="1"/>
  <c r="DP359" i="1"/>
  <c r="CS351" i="1"/>
  <c r="EG351" i="1"/>
  <c r="DP351" i="1"/>
  <c r="BT361" i="1"/>
  <c r="CD347" i="1"/>
  <c r="DW347" i="1"/>
  <c r="EE347" i="1"/>
  <c r="CS348" i="1"/>
  <c r="DF352" i="1"/>
  <c r="CR353" i="1"/>
  <c r="CD355" i="1"/>
  <c r="DW355" i="1"/>
  <c r="EE355" i="1"/>
  <c r="CS356" i="1"/>
  <c r="DF360" i="1"/>
  <c r="DN360" i="1"/>
  <c r="CR361" i="1"/>
  <c r="BT348" i="1"/>
  <c r="CS355" i="1"/>
  <c r="DW348" i="1"/>
  <c r="BT350" i="1"/>
  <c r="W351" i="1"/>
  <c r="DF353" i="1"/>
  <c r="DN353" i="1"/>
  <c r="CD356" i="1"/>
  <c r="DW356" i="1"/>
  <c r="BT358" i="1"/>
  <c r="W359" i="1"/>
  <c r="DF361" i="1"/>
  <c r="DN361" i="1"/>
  <c r="CS347" i="1"/>
  <c r="EE351" i="1"/>
  <c r="EE359" i="1"/>
  <c r="DP348" i="1"/>
  <c r="DN350" i="1"/>
  <c r="CD353" i="1"/>
  <c r="DP356" i="1"/>
  <c r="DN358" i="1"/>
  <c r="CM331" i="1"/>
  <c r="CI331" i="1"/>
  <c r="CX398" i="1" l="1"/>
  <c r="CW398" i="1"/>
  <c r="CV398" i="1"/>
  <c r="CZ398" i="1"/>
  <c r="CY398" i="1"/>
  <c r="EJ398" i="1"/>
  <c r="DS398" i="1"/>
  <c r="CZ393" i="1"/>
  <c r="CX393" i="1"/>
  <c r="DQ395" i="1"/>
  <c r="CU395" i="1"/>
  <c r="CV395" i="1" s="1"/>
  <c r="CW393" i="1"/>
  <c r="CV393" i="1"/>
  <c r="CY393" i="1"/>
  <c r="CZ387" i="1"/>
  <c r="EJ393" i="1"/>
  <c r="CV387" i="1"/>
  <c r="CY387" i="1"/>
  <c r="DS387" i="1"/>
  <c r="CW387" i="1"/>
  <c r="CX387" i="1"/>
  <c r="EJ389" i="1"/>
  <c r="CZ389" i="1"/>
  <c r="CX389" i="1"/>
  <c r="CW389" i="1"/>
  <c r="CY389" i="1"/>
  <c r="CV389" i="1"/>
  <c r="DQ391" i="1"/>
  <c r="EH391" i="1"/>
  <c r="CY394" i="1"/>
  <c r="EJ394" i="1"/>
  <c r="CX394" i="1"/>
  <c r="CW394" i="1"/>
  <c r="DS394" i="1"/>
  <c r="CZ394" i="1"/>
  <c r="DQ394" i="1"/>
  <c r="EH394" i="1"/>
  <c r="CV388" i="1"/>
  <c r="EH388" i="1"/>
  <c r="DS388" i="1"/>
  <c r="EJ388" i="1"/>
  <c r="DQ388" i="1"/>
  <c r="CW388" i="1"/>
  <c r="CX388" i="1"/>
  <c r="CZ388" i="1"/>
  <c r="CX391" i="1"/>
  <c r="CV391" i="1"/>
  <c r="CY391" i="1"/>
  <c r="CZ391" i="1"/>
  <c r="DS391" i="1"/>
  <c r="EJ391" i="1"/>
  <c r="CW391" i="1"/>
  <c r="EG374" i="1"/>
  <c r="CS374" i="1"/>
  <c r="CU374" i="1" s="1"/>
  <c r="CW374" i="1" s="1"/>
  <c r="CU373" i="1"/>
  <c r="CY373" i="1" s="1"/>
  <c r="EH373" i="1"/>
  <c r="DQ382" i="1"/>
  <c r="CU382" i="1"/>
  <c r="CV382" i="1" s="1"/>
  <c r="CW381" i="1"/>
  <c r="CX381" i="1"/>
  <c r="EJ381" i="1"/>
  <c r="DS381" i="1"/>
  <c r="CZ381" i="1"/>
  <c r="CY381" i="1"/>
  <c r="CW377" i="1"/>
  <c r="DS377" i="1"/>
  <c r="EJ377" i="1"/>
  <c r="CZ377" i="1"/>
  <c r="CY377" i="1"/>
  <c r="CX377" i="1"/>
  <c r="DQ386" i="1"/>
  <c r="EH386" i="1"/>
  <c r="CV378" i="1"/>
  <c r="CW378" i="1"/>
  <c r="CX378" i="1"/>
  <c r="CY378" i="1"/>
  <c r="CZ378" i="1"/>
  <c r="DS378" i="1"/>
  <c r="EJ378" i="1"/>
  <c r="EJ379" i="1"/>
  <c r="CV379" i="1"/>
  <c r="CW379" i="1"/>
  <c r="DS379" i="1"/>
  <c r="CX379" i="1"/>
  <c r="CY379" i="1"/>
  <c r="CZ379" i="1"/>
  <c r="CV380" i="1"/>
  <c r="CW380" i="1"/>
  <c r="EJ380" i="1"/>
  <c r="CX380" i="1"/>
  <c r="CY380" i="1"/>
  <c r="CZ380" i="1"/>
  <c r="DS380" i="1"/>
  <c r="CW385" i="1"/>
  <c r="CX385" i="1"/>
  <c r="CY385" i="1"/>
  <c r="CV385" i="1"/>
  <c r="CZ385" i="1"/>
  <c r="DS385" i="1"/>
  <c r="EJ385" i="1"/>
  <c r="CS367" i="1"/>
  <c r="DQ367" i="1" s="1"/>
  <c r="EJ386" i="1"/>
  <c r="CV386" i="1"/>
  <c r="CW386" i="1"/>
  <c r="CX386" i="1"/>
  <c r="CY386" i="1"/>
  <c r="DS386" i="1"/>
  <c r="CZ386" i="1"/>
  <c r="CW384" i="1"/>
  <c r="CX384" i="1"/>
  <c r="CV384" i="1"/>
  <c r="CY384" i="1"/>
  <c r="CZ384" i="1"/>
  <c r="EJ384" i="1"/>
  <c r="DS384" i="1"/>
  <c r="CW376" i="1"/>
  <c r="CX376" i="1"/>
  <c r="CY376" i="1"/>
  <c r="CZ376" i="1"/>
  <c r="CV376" i="1"/>
  <c r="DS376" i="1"/>
  <c r="EJ376" i="1"/>
  <c r="CY383" i="1"/>
  <c r="CV383" i="1"/>
  <c r="CX383" i="1"/>
  <c r="CW383" i="1"/>
  <c r="CZ383" i="1"/>
  <c r="EJ383" i="1"/>
  <c r="DS383" i="1"/>
  <c r="CV375" i="1"/>
  <c r="CW375" i="1"/>
  <c r="CX375" i="1"/>
  <c r="CY375" i="1"/>
  <c r="CZ375" i="1"/>
  <c r="DS375" i="1"/>
  <c r="EJ375" i="1"/>
  <c r="DS411" i="1"/>
  <c r="EJ411" i="1"/>
  <c r="CV411" i="1"/>
  <c r="CW411" i="1"/>
  <c r="CX411" i="1"/>
  <c r="CZ411" i="1"/>
  <c r="CY411" i="1"/>
  <c r="CY410" i="1"/>
  <c r="CV410" i="1"/>
  <c r="CX410" i="1"/>
  <c r="CW410" i="1"/>
  <c r="CZ410" i="1"/>
  <c r="EJ410" i="1"/>
  <c r="DS410" i="1"/>
  <c r="EG365" i="1"/>
  <c r="AY361" i="1"/>
  <c r="DQ369" i="1"/>
  <c r="EH369" i="1"/>
  <c r="CU412" i="1"/>
  <c r="DQ412" i="1"/>
  <c r="EH412" i="1"/>
  <c r="DP365" i="1"/>
  <c r="EH365" i="1"/>
  <c r="EG367" i="1"/>
  <c r="CU365" i="1"/>
  <c r="DS365" i="1" s="1"/>
  <c r="AY359" i="1"/>
  <c r="AY360" i="1"/>
  <c r="DQ414" i="1"/>
  <c r="CV413" i="1"/>
  <c r="DS413" i="1"/>
  <c r="EJ413" i="1"/>
  <c r="CW413" i="1"/>
  <c r="CX413" i="1"/>
  <c r="CY413" i="1"/>
  <c r="CZ413" i="1"/>
  <c r="CX371" i="1"/>
  <c r="EH371" i="1"/>
  <c r="EJ371" i="1"/>
  <c r="DS371" i="1"/>
  <c r="CW371" i="1"/>
  <c r="CV371" i="1"/>
  <c r="DQ371" i="1"/>
  <c r="CZ371" i="1"/>
  <c r="DP370" i="1"/>
  <c r="CS370" i="1"/>
  <c r="DQ370" i="1" s="1"/>
  <c r="CU414" i="1"/>
  <c r="CY414" i="1" s="1"/>
  <c r="CZ368" i="1"/>
  <c r="CY368" i="1"/>
  <c r="CW368" i="1"/>
  <c r="CV368" i="1"/>
  <c r="EJ368" i="1"/>
  <c r="DS368" i="1"/>
  <c r="CW366" i="1"/>
  <c r="CV366" i="1"/>
  <c r="CX366" i="1"/>
  <c r="CY366" i="1"/>
  <c r="CZ366" i="1"/>
  <c r="DS366" i="1"/>
  <c r="EJ366" i="1"/>
  <c r="AY349" i="1"/>
  <c r="AY350" i="1"/>
  <c r="AY355" i="1"/>
  <c r="DS369" i="1"/>
  <c r="CV369" i="1"/>
  <c r="EJ369" i="1"/>
  <c r="CW369" i="1"/>
  <c r="CZ369" i="1"/>
  <c r="CX369" i="1"/>
  <c r="CY369" i="1"/>
  <c r="AY351" i="1"/>
  <c r="CU372" i="1"/>
  <c r="EH372" i="1"/>
  <c r="DQ372" i="1"/>
  <c r="AY353" i="1"/>
  <c r="CP331" i="1"/>
  <c r="CR331" i="1" s="1"/>
  <c r="AY347" i="1"/>
  <c r="AY348" i="1"/>
  <c r="AY354" i="1"/>
  <c r="AY356" i="1"/>
  <c r="AY352" i="1"/>
  <c r="AY346" i="1"/>
  <c r="AY358" i="1"/>
  <c r="AY357" i="1"/>
  <c r="CS352" i="1"/>
  <c r="DQ352" i="1" s="1"/>
  <c r="DP352" i="1"/>
  <c r="CU346" i="1"/>
  <c r="CY346" i="1" s="1"/>
  <c r="EH346" i="1"/>
  <c r="DP358" i="1"/>
  <c r="EG350" i="1"/>
  <c r="DP350" i="1"/>
  <c r="CU350" i="1"/>
  <c r="CY350" i="1" s="1"/>
  <c r="DQ350" i="1"/>
  <c r="CU354" i="1"/>
  <c r="DS354" i="1" s="1"/>
  <c r="EH354" i="1"/>
  <c r="CU360" i="1"/>
  <c r="CW360" i="1" s="1"/>
  <c r="EH360" i="1"/>
  <c r="CU357" i="1"/>
  <c r="DS357" i="1" s="1"/>
  <c r="EH357" i="1"/>
  <c r="EH349" i="1"/>
  <c r="DQ349" i="1"/>
  <c r="CS358" i="1"/>
  <c r="EH358" i="1" s="1"/>
  <c r="AE85" i="2"/>
  <c r="Y85" i="2"/>
  <c r="W85" i="2"/>
  <c r="U85" i="2"/>
  <c r="S85" i="2"/>
  <c r="S96" i="2" s="1"/>
  <c r="T96" i="2" s="1"/>
  <c r="Q85" i="2"/>
  <c r="Q96" i="2" s="1"/>
  <c r="R96" i="2" s="1"/>
  <c r="O85" i="2"/>
  <c r="O96" i="2" s="1"/>
  <c r="P96" i="2" s="1"/>
  <c r="D17" i="2"/>
  <c r="K85" i="2"/>
  <c r="L85" i="2" s="1"/>
  <c r="I85" i="2"/>
  <c r="J85" i="2" s="1"/>
  <c r="D21" i="2"/>
  <c r="AY96" i="2"/>
  <c r="AZ96" i="2" s="1"/>
  <c r="AZ85" i="2"/>
  <c r="D34" i="2"/>
  <c r="AW96" i="2"/>
  <c r="AX96" i="2" s="1"/>
  <c r="AX85" i="2"/>
  <c r="AU85" i="2"/>
  <c r="AS96" i="2"/>
  <c r="AT96" i="2" s="1"/>
  <c r="AT85" i="2"/>
  <c r="AQ96" i="2"/>
  <c r="AR96" i="2" s="1"/>
  <c r="AR85" i="2"/>
  <c r="AO96" i="2"/>
  <c r="AP96" i="2" s="1"/>
  <c r="AP85" i="2"/>
  <c r="AM96" i="2"/>
  <c r="AN96" i="2" s="1"/>
  <c r="AN85" i="2"/>
  <c r="AK96" i="2"/>
  <c r="AL96" i="2" s="1"/>
  <c r="AL85" i="2"/>
  <c r="AI96" i="2"/>
  <c r="AJ96" i="2" s="1"/>
  <c r="AJ85" i="2"/>
  <c r="AG96" i="2"/>
  <c r="AH96" i="2" s="1"/>
  <c r="AH85" i="2"/>
  <c r="AE96" i="2"/>
  <c r="AF96" i="2" s="1"/>
  <c r="AF85" i="2"/>
  <c r="AC85" i="2"/>
  <c r="AA85" i="2"/>
  <c r="Y96" i="2"/>
  <c r="Z96" i="2" s="1"/>
  <c r="Z85" i="2"/>
  <c r="W96" i="2"/>
  <c r="X96" i="2" s="1"/>
  <c r="X85" i="2"/>
  <c r="U96" i="2"/>
  <c r="V96" i="2" s="1"/>
  <c r="V85" i="2"/>
  <c r="M85" i="2"/>
  <c r="K96" i="2"/>
  <c r="L96" i="2" s="1"/>
  <c r="H83" i="2"/>
  <c r="D83" i="2" s="1"/>
  <c r="C83" i="2"/>
  <c r="G85" i="2"/>
  <c r="G96" i="2" s="1"/>
  <c r="EJ349" i="1"/>
  <c r="CV349" i="1"/>
  <c r="DS349" i="1"/>
  <c r="CZ349" i="1"/>
  <c r="CX349" i="1"/>
  <c r="CW349" i="1"/>
  <c r="CY349" i="1"/>
  <c r="DP353" i="1"/>
  <c r="CS353" i="1"/>
  <c r="EG353" i="1"/>
  <c r="DQ356" i="1"/>
  <c r="CU356" i="1"/>
  <c r="EH356" i="1"/>
  <c r="DP361" i="1"/>
  <c r="CS361" i="1"/>
  <c r="EG361" i="1"/>
  <c r="CU347" i="1"/>
  <c r="EH347" i="1"/>
  <c r="DQ347" i="1"/>
  <c r="EH351" i="1"/>
  <c r="DQ351" i="1"/>
  <c r="CU351" i="1"/>
  <c r="DQ348" i="1"/>
  <c r="CU348" i="1"/>
  <c r="EH348" i="1"/>
  <c r="CU355" i="1"/>
  <c r="EH355" i="1"/>
  <c r="DQ355" i="1"/>
  <c r="EH359" i="1"/>
  <c r="DQ359" i="1"/>
  <c r="CU359" i="1"/>
  <c r="W334" i="1"/>
  <c r="W336" i="1"/>
  <c r="W342" i="1"/>
  <c r="W344" i="1"/>
  <c r="W363" i="1"/>
  <c r="W415" i="1"/>
  <c r="CR66" i="1"/>
  <c r="CR145" i="1"/>
  <c r="CR153" i="1"/>
  <c r="CR161" i="1"/>
  <c r="CR332" i="1"/>
  <c r="CR334" i="1"/>
  <c r="DN336" i="1"/>
  <c r="CR342" i="1"/>
  <c r="DP342" i="1" s="1"/>
  <c r="CR363" i="1"/>
  <c r="DP363" i="1" s="1"/>
  <c r="CR4" i="1"/>
  <c r="CR134" i="1"/>
  <c r="CR146" i="1"/>
  <c r="CR147" i="1"/>
  <c r="CR148" i="1"/>
  <c r="CR149" i="1"/>
  <c r="CR150" i="1"/>
  <c r="CR151" i="1"/>
  <c r="CR152" i="1"/>
  <c r="CR154" i="1"/>
  <c r="CR155" i="1"/>
  <c r="CR156" i="1"/>
  <c r="CR157" i="1"/>
  <c r="CR158" i="1"/>
  <c r="CR159" i="1"/>
  <c r="CR160" i="1"/>
  <c r="CR162" i="1"/>
  <c r="CR163" i="1"/>
  <c r="CR164" i="1"/>
  <c r="CR193" i="1"/>
  <c r="CR196" i="1"/>
  <c r="CR197" i="1"/>
  <c r="CR200" i="1"/>
  <c r="CR286" i="1"/>
  <c r="CR333" i="1"/>
  <c r="DP333" i="1" s="1"/>
  <c r="CR335" i="1"/>
  <c r="DP335" i="1" s="1"/>
  <c r="CR336" i="1"/>
  <c r="CR337" i="1"/>
  <c r="DP337" i="1" s="1"/>
  <c r="CR338" i="1"/>
  <c r="DP338" i="1" s="1"/>
  <c r="CR339" i="1"/>
  <c r="DP339" i="1" s="1"/>
  <c r="CR340" i="1"/>
  <c r="DP340" i="1" s="1"/>
  <c r="CR341" i="1"/>
  <c r="DP341" i="1" s="1"/>
  <c r="CR343" i="1"/>
  <c r="DP343" i="1" s="1"/>
  <c r="CR344" i="1"/>
  <c r="CR345" i="1"/>
  <c r="DP345" i="1" s="1"/>
  <c r="CR362" i="1"/>
  <c r="DP362" i="1" s="1"/>
  <c r="CR364" i="1"/>
  <c r="DP364" i="1" s="1"/>
  <c r="CR415" i="1"/>
  <c r="EI415" i="1"/>
  <c r="EF415" i="1"/>
  <c r="ED415" i="1"/>
  <c r="EC415" i="1"/>
  <c r="EB415" i="1"/>
  <c r="EA415" i="1"/>
  <c r="DZ415" i="1"/>
  <c r="DY415" i="1"/>
  <c r="DX415" i="1"/>
  <c r="DV415" i="1"/>
  <c r="DU415" i="1"/>
  <c r="DT415" i="1"/>
  <c r="DR415" i="1"/>
  <c r="DO415" i="1"/>
  <c r="DN415" i="1"/>
  <c r="DM415" i="1"/>
  <c r="DL415" i="1"/>
  <c r="DK415" i="1"/>
  <c r="DJ415" i="1"/>
  <c r="DI415" i="1"/>
  <c r="DH415" i="1"/>
  <c r="DG415" i="1"/>
  <c r="DE415" i="1"/>
  <c r="DD415" i="1"/>
  <c r="DC415" i="1"/>
  <c r="DA415" i="1"/>
  <c r="CH415" i="1"/>
  <c r="DW415" i="1" s="1"/>
  <c r="CC415" i="1"/>
  <c r="CB415" i="1"/>
  <c r="CA415" i="1"/>
  <c r="BZ415" i="1"/>
  <c r="BY415" i="1"/>
  <c r="BX415" i="1"/>
  <c r="BW415" i="1"/>
  <c r="BV415" i="1"/>
  <c r="BU415" i="1"/>
  <c r="BS415" i="1"/>
  <c r="BR415" i="1"/>
  <c r="BQ415" i="1"/>
  <c r="BP415" i="1"/>
  <c r="BO415" i="1"/>
  <c r="BN415" i="1"/>
  <c r="BM415" i="1"/>
  <c r="BL415" i="1"/>
  <c r="BK415" i="1"/>
  <c r="BJ415" i="1"/>
  <c r="CD415" i="1" s="1"/>
  <c r="AX415" i="1"/>
  <c r="AW415" i="1"/>
  <c r="AV415" i="1"/>
  <c r="AU415" i="1"/>
  <c r="AT415" i="1"/>
  <c r="AS415" i="1"/>
  <c r="AK415" i="1"/>
  <c r="DV364" i="1"/>
  <c r="DR364" i="1"/>
  <c r="DO364" i="1"/>
  <c r="DM364" i="1"/>
  <c r="DL364" i="1"/>
  <c r="DK364" i="1"/>
  <c r="DJ364" i="1"/>
  <c r="DI364" i="1"/>
  <c r="DH364" i="1"/>
  <c r="DG364" i="1"/>
  <c r="DE364" i="1"/>
  <c r="DD364" i="1"/>
  <c r="DC364" i="1"/>
  <c r="CH364" i="1"/>
  <c r="EE364" i="1" s="1"/>
  <c r="CC364" i="1"/>
  <c r="CB364" i="1"/>
  <c r="CA364" i="1"/>
  <c r="BZ364" i="1"/>
  <c r="BY364" i="1"/>
  <c r="BX364" i="1"/>
  <c r="BW364" i="1"/>
  <c r="BV364" i="1"/>
  <c r="BU364" i="1"/>
  <c r="BS364" i="1"/>
  <c r="BR364" i="1"/>
  <c r="BQ364" i="1"/>
  <c r="BP364" i="1"/>
  <c r="BO364" i="1"/>
  <c r="BN364" i="1"/>
  <c r="BM364" i="1"/>
  <c r="BL364" i="1"/>
  <c r="BK364" i="1"/>
  <c r="BJ364" i="1"/>
  <c r="CD364" i="1" s="1"/>
  <c r="AX364" i="1"/>
  <c r="AW364" i="1"/>
  <c r="AV364" i="1"/>
  <c r="AU364" i="1"/>
  <c r="AT364" i="1"/>
  <c r="AS364" i="1"/>
  <c r="AK364" i="1"/>
  <c r="W364" i="1"/>
  <c r="ED363" i="1"/>
  <c r="DV363" i="1"/>
  <c r="DR363" i="1"/>
  <c r="DO363" i="1"/>
  <c r="DN363" i="1"/>
  <c r="DM363" i="1"/>
  <c r="DL363" i="1"/>
  <c r="DK363" i="1"/>
  <c r="DJ363" i="1"/>
  <c r="DI363" i="1"/>
  <c r="DH363" i="1"/>
  <c r="DG363" i="1"/>
  <c r="DE363" i="1"/>
  <c r="DD363" i="1"/>
  <c r="DC363" i="1"/>
  <c r="CH363" i="1"/>
  <c r="EE363" i="1" s="1"/>
  <c r="CC363" i="1"/>
  <c r="CB363" i="1"/>
  <c r="CA363" i="1"/>
  <c r="BZ363" i="1"/>
  <c r="BY363" i="1"/>
  <c r="BX363" i="1"/>
  <c r="BW363" i="1"/>
  <c r="BV363" i="1"/>
  <c r="BU363" i="1"/>
  <c r="BS363" i="1"/>
  <c r="BR363" i="1"/>
  <c r="BQ363" i="1"/>
  <c r="BP363" i="1"/>
  <c r="BO363" i="1"/>
  <c r="BN363" i="1"/>
  <c r="BM363" i="1"/>
  <c r="BL363" i="1"/>
  <c r="BK363" i="1"/>
  <c r="BJ363" i="1"/>
  <c r="CD363" i="1" s="1"/>
  <c r="AX363" i="1"/>
  <c r="AW363" i="1"/>
  <c r="AV363" i="1"/>
  <c r="AU363" i="1"/>
  <c r="AT363" i="1"/>
  <c r="AS363" i="1"/>
  <c r="AK363" i="1"/>
  <c r="AR363" i="1" s="1"/>
  <c r="DB363" i="1" s="1"/>
  <c r="ED362" i="1"/>
  <c r="DV362" i="1"/>
  <c r="DR362" i="1"/>
  <c r="DO362" i="1"/>
  <c r="DM362" i="1"/>
  <c r="DL362" i="1"/>
  <c r="DK362" i="1"/>
  <c r="DJ362" i="1"/>
  <c r="DI362" i="1"/>
  <c r="DH362" i="1"/>
  <c r="DG362" i="1"/>
  <c r="DE362" i="1"/>
  <c r="DD362" i="1"/>
  <c r="DC362" i="1"/>
  <c r="CH362" i="1"/>
  <c r="EI362" i="1" s="1"/>
  <c r="CC362" i="1"/>
  <c r="CB362" i="1"/>
  <c r="CA362" i="1"/>
  <c r="BZ362" i="1"/>
  <c r="BY362" i="1"/>
  <c r="BX362" i="1"/>
  <c r="BW362" i="1"/>
  <c r="BV362" i="1"/>
  <c r="BU362" i="1"/>
  <c r="BS362" i="1"/>
  <c r="BR362" i="1"/>
  <c r="BQ362" i="1"/>
  <c r="BP362" i="1"/>
  <c r="BO362" i="1"/>
  <c r="BN362" i="1"/>
  <c r="BM362" i="1"/>
  <c r="BL362" i="1"/>
  <c r="BK362" i="1"/>
  <c r="BJ362" i="1"/>
  <c r="CD362" i="1" s="1"/>
  <c r="AX362" i="1"/>
  <c r="AW362" i="1"/>
  <c r="AV362" i="1"/>
  <c r="AU362" i="1"/>
  <c r="AT362" i="1"/>
  <c r="AS362" i="1"/>
  <c r="AK362" i="1"/>
  <c r="AR362" i="1" s="1"/>
  <c r="DB362" i="1" s="1"/>
  <c r="W362" i="1"/>
  <c r="ED345" i="1"/>
  <c r="DV345" i="1"/>
  <c r="DR345" i="1"/>
  <c r="DO345" i="1"/>
  <c r="DN345" i="1"/>
  <c r="DM345" i="1"/>
  <c r="DL345" i="1"/>
  <c r="DK345" i="1"/>
  <c r="DJ345" i="1"/>
  <c r="DI345" i="1"/>
  <c r="DH345" i="1"/>
  <c r="DG345" i="1"/>
  <c r="DE345" i="1"/>
  <c r="DD345" i="1"/>
  <c r="DC345" i="1"/>
  <c r="CH345" i="1"/>
  <c r="DU345" i="1" s="1"/>
  <c r="CC345" i="1"/>
  <c r="CB345" i="1"/>
  <c r="CA345" i="1"/>
  <c r="BZ345" i="1"/>
  <c r="BY345" i="1"/>
  <c r="BX345" i="1"/>
  <c r="BW345" i="1"/>
  <c r="BV345" i="1"/>
  <c r="BU345" i="1"/>
  <c r="BS345" i="1"/>
  <c r="BR345" i="1"/>
  <c r="BQ345" i="1"/>
  <c r="BP345" i="1"/>
  <c r="BO345" i="1"/>
  <c r="BN345" i="1"/>
  <c r="BM345" i="1"/>
  <c r="BL345" i="1"/>
  <c r="BK345" i="1"/>
  <c r="BJ345" i="1"/>
  <c r="CD345" i="1" s="1"/>
  <c r="AX345" i="1"/>
  <c r="AW345" i="1"/>
  <c r="AV345" i="1"/>
  <c r="AU345" i="1"/>
  <c r="AT345" i="1"/>
  <c r="AS345" i="1"/>
  <c r="AK345" i="1"/>
  <c r="AR345" i="1" s="1"/>
  <c r="DB345" i="1" s="1"/>
  <c r="W345" i="1"/>
  <c r="ED344" i="1"/>
  <c r="DV344" i="1"/>
  <c r="DR344" i="1"/>
  <c r="DO344" i="1"/>
  <c r="DM344" i="1"/>
  <c r="DL344" i="1"/>
  <c r="DK344" i="1"/>
  <c r="DJ344" i="1"/>
  <c r="DI344" i="1"/>
  <c r="DH344" i="1"/>
  <c r="DG344" i="1"/>
  <c r="DE344" i="1"/>
  <c r="DD344" i="1"/>
  <c r="DC344" i="1"/>
  <c r="CH344" i="1"/>
  <c r="DF344" i="1" s="1"/>
  <c r="CC344" i="1"/>
  <c r="CB344" i="1"/>
  <c r="CA344" i="1"/>
  <c r="BZ344" i="1"/>
  <c r="BY344" i="1"/>
  <c r="BX344" i="1"/>
  <c r="BW344" i="1"/>
  <c r="BV344" i="1"/>
  <c r="BU344" i="1"/>
  <c r="BS344" i="1"/>
  <c r="BR344" i="1"/>
  <c r="BQ344" i="1"/>
  <c r="BP344" i="1"/>
  <c r="BO344" i="1"/>
  <c r="BN344" i="1"/>
  <c r="BM344" i="1"/>
  <c r="BL344" i="1"/>
  <c r="BK344" i="1"/>
  <c r="BJ344" i="1"/>
  <c r="CD344" i="1" s="1"/>
  <c r="AX344" i="1"/>
  <c r="AW344" i="1"/>
  <c r="AV344" i="1"/>
  <c r="AU344" i="1"/>
  <c r="AT344" i="1"/>
  <c r="AS344" i="1"/>
  <c r="AK344" i="1"/>
  <c r="ED343" i="1"/>
  <c r="DV343" i="1"/>
  <c r="DR343" i="1"/>
  <c r="DO343" i="1"/>
  <c r="DM343" i="1"/>
  <c r="DL343" i="1"/>
  <c r="DK343" i="1"/>
  <c r="DJ343" i="1"/>
  <c r="DI343" i="1"/>
  <c r="DH343" i="1"/>
  <c r="DG343" i="1"/>
  <c r="DE343" i="1"/>
  <c r="DD343" i="1"/>
  <c r="DC343" i="1"/>
  <c r="CH343" i="1"/>
  <c r="DU343" i="1" s="1"/>
  <c r="CC343" i="1"/>
  <c r="CB343" i="1"/>
  <c r="CA343" i="1"/>
  <c r="BZ343" i="1"/>
  <c r="BY343" i="1"/>
  <c r="BX343" i="1"/>
  <c r="BW343" i="1"/>
  <c r="BV343" i="1"/>
  <c r="BU343" i="1"/>
  <c r="BS343" i="1"/>
  <c r="BR343" i="1"/>
  <c r="BQ343" i="1"/>
  <c r="BP343" i="1"/>
  <c r="BO343" i="1"/>
  <c r="BN343" i="1"/>
  <c r="BM343" i="1"/>
  <c r="BL343" i="1"/>
  <c r="BK343" i="1"/>
  <c r="BJ343" i="1"/>
  <c r="CD343" i="1" s="1"/>
  <c r="AX343" i="1"/>
  <c r="AW343" i="1"/>
  <c r="AV343" i="1"/>
  <c r="AU343" i="1"/>
  <c r="AT343" i="1"/>
  <c r="AS343" i="1"/>
  <c r="AK343" i="1"/>
  <c r="AR343" i="1" s="1"/>
  <c r="DB343" i="1" s="1"/>
  <c r="W343" i="1"/>
  <c r="ED342" i="1"/>
  <c r="DV342" i="1"/>
  <c r="DR342" i="1"/>
  <c r="DO342" i="1"/>
  <c r="DN342" i="1"/>
  <c r="DM342" i="1"/>
  <c r="DL342" i="1"/>
  <c r="DK342" i="1"/>
  <c r="DJ342" i="1"/>
  <c r="DI342" i="1"/>
  <c r="DH342" i="1"/>
  <c r="DG342" i="1"/>
  <c r="DE342" i="1"/>
  <c r="DD342" i="1"/>
  <c r="DC342" i="1"/>
  <c r="CH342" i="1"/>
  <c r="DF342" i="1" s="1"/>
  <c r="CC342" i="1"/>
  <c r="CB342" i="1"/>
  <c r="CA342" i="1"/>
  <c r="BZ342" i="1"/>
  <c r="BY342" i="1"/>
  <c r="BX342" i="1"/>
  <c r="BW342" i="1"/>
  <c r="BV342" i="1"/>
  <c r="BU342" i="1"/>
  <c r="BS342" i="1"/>
  <c r="BR342" i="1"/>
  <c r="BQ342" i="1"/>
  <c r="BP342" i="1"/>
  <c r="BO342" i="1"/>
  <c r="BN342" i="1"/>
  <c r="BM342" i="1"/>
  <c r="BL342" i="1"/>
  <c r="BK342" i="1"/>
  <c r="BJ342" i="1"/>
  <c r="BT342" i="1" s="1"/>
  <c r="AX342" i="1"/>
  <c r="AW342" i="1"/>
  <c r="AV342" i="1"/>
  <c r="AU342" i="1"/>
  <c r="AT342" i="1"/>
  <c r="AS342" i="1"/>
  <c r="AK342" i="1"/>
  <c r="AR342" i="1" s="1"/>
  <c r="DB342" i="1" s="1"/>
  <c r="ED341" i="1"/>
  <c r="DV341" i="1"/>
  <c r="DR341" i="1"/>
  <c r="DO341" i="1"/>
  <c r="DM341" i="1"/>
  <c r="DL341" i="1"/>
  <c r="DK341" i="1"/>
  <c r="DJ341" i="1"/>
  <c r="DI341" i="1"/>
  <c r="DH341" i="1"/>
  <c r="DG341" i="1"/>
  <c r="DE341" i="1"/>
  <c r="DD341" i="1"/>
  <c r="DC341" i="1"/>
  <c r="CH341" i="1"/>
  <c r="DT341" i="1" s="1"/>
  <c r="CC341" i="1"/>
  <c r="CB341" i="1"/>
  <c r="CA341" i="1"/>
  <c r="BZ341" i="1"/>
  <c r="BY341" i="1"/>
  <c r="BX341" i="1"/>
  <c r="BW341" i="1"/>
  <c r="BV341" i="1"/>
  <c r="BU341" i="1"/>
  <c r="BS341" i="1"/>
  <c r="BR341" i="1"/>
  <c r="BQ341" i="1"/>
  <c r="BP341" i="1"/>
  <c r="BO341" i="1"/>
  <c r="BN341" i="1"/>
  <c r="BM341" i="1"/>
  <c r="BL341" i="1"/>
  <c r="BK341" i="1"/>
  <c r="BJ341" i="1"/>
  <c r="CD341" i="1" s="1"/>
  <c r="AX341" i="1"/>
  <c r="AW341" i="1"/>
  <c r="AV341" i="1"/>
  <c r="AU341" i="1"/>
  <c r="AT341" i="1"/>
  <c r="AS341" i="1"/>
  <c r="AK341" i="1"/>
  <c r="AR341" i="1" s="1"/>
  <c r="DB341" i="1" s="1"/>
  <c r="W341" i="1"/>
  <c r="ED340" i="1"/>
  <c r="DV340" i="1"/>
  <c r="DR340" i="1"/>
  <c r="DO340" i="1"/>
  <c r="DN340" i="1"/>
  <c r="DM340" i="1"/>
  <c r="DL340" i="1"/>
  <c r="DK340" i="1"/>
  <c r="DJ340" i="1"/>
  <c r="DI340" i="1"/>
  <c r="DH340" i="1"/>
  <c r="DG340" i="1"/>
  <c r="DE340" i="1"/>
  <c r="DD340" i="1"/>
  <c r="DC340" i="1"/>
  <c r="CH340" i="1"/>
  <c r="EE340" i="1" s="1"/>
  <c r="CC340" i="1"/>
  <c r="CB340" i="1"/>
  <c r="CA340" i="1"/>
  <c r="BZ340" i="1"/>
  <c r="BY340" i="1"/>
  <c r="BX340" i="1"/>
  <c r="BW340" i="1"/>
  <c r="BV340" i="1"/>
  <c r="BU340" i="1"/>
  <c r="BS340" i="1"/>
  <c r="BR340" i="1"/>
  <c r="BQ340" i="1"/>
  <c r="BP340" i="1"/>
  <c r="BO340" i="1"/>
  <c r="BN340" i="1"/>
  <c r="BM340" i="1"/>
  <c r="BL340" i="1"/>
  <c r="BK340" i="1"/>
  <c r="BJ340" i="1"/>
  <c r="CD340" i="1" s="1"/>
  <c r="AX340" i="1"/>
  <c r="AW340" i="1"/>
  <c r="AV340" i="1"/>
  <c r="AU340" i="1"/>
  <c r="AT340" i="1"/>
  <c r="AS340" i="1"/>
  <c r="AK340" i="1"/>
  <c r="AR340" i="1" s="1"/>
  <c r="DB340" i="1" s="1"/>
  <c r="W340" i="1"/>
  <c r="DV339" i="1"/>
  <c r="DR339" i="1"/>
  <c r="DO339" i="1"/>
  <c r="DN339" i="1"/>
  <c r="DM339" i="1"/>
  <c r="DL339" i="1"/>
  <c r="DK339" i="1"/>
  <c r="DJ339" i="1"/>
  <c r="DI339" i="1"/>
  <c r="DH339" i="1"/>
  <c r="DG339" i="1"/>
  <c r="DE339" i="1"/>
  <c r="DD339" i="1"/>
  <c r="DC339" i="1"/>
  <c r="CH339" i="1"/>
  <c r="DZ339" i="1" s="1"/>
  <c r="CC339" i="1"/>
  <c r="CB339" i="1"/>
  <c r="CA339" i="1"/>
  <c r="BZ339" i="1"/>
  <c r="BY339" i="1"/>
  <c r="BX339" i="1"/>
  <c r="BW339" i="1"/>
  <c r="BV339" i="1"/>
  <c r="BU339" i="1"/>
  <c r="BS339" i="1"/>
  <c r="BR339" i="1"/>
  <c r="BQ339" i="1"/>
  <c r="BP339" i="1"/>
  <c r="BO339" i="1"/>
  <c r="BN339" i="1"/>
  <c r="BM339" i="1"/>
  <c r="BL339" i="1"/>
  <c r="BK339" i="1"/>
  <c r="BJ339" i="1"/>
  <c r="CD339" i="1" s="1"/>
  <c r="AX339" i="1"/>
  <c r="AW339" i="1"/>
  <c r="AV339" i="1"/>
  <c r="AU339" i="1"/>
  <c r="AT339" i="1"/>
  <c r="AS339" i="1"/>
  <c r="AK339" i="1"/>
  <c r="AR339" i="1" s="1"/>
  <c r="DB339" i="1" s="1"/>
  <c r="W339" i="1"/>
  <c r="ED338" i="1"/>
  <c r="DV338" i="1"/>
  <c r="DR338" i="1"/>
  <c r="DO338" i="1"/>
  <c r="DN338" i="1"/>
  <c r="DM338" i="1"/>
  <c r="DL338" i="1"/>
  <c r="DK338" i="1"/>
  <c r="DJ338" i="1"/>
  <c r="DI338" i="1"/>
  <c r="DH338" i="1"/>
  <c r="DG338" i="1"/>
  <c r="DE338" i="1"/>
  <c r="DD338" i="1"/>
  <c r="DC338" i="1"/>
  <c r="CH338" i="1"/>
  <c r="DT338" i="1" s="1"/>
  <c r="CC338" i="1"/>
  <c r="CB338" i="1"/>
  <c r="CA338" i="1"/>
  <c r="BZ338" i="1"/>
  <c r="BY338" i="1"/>
  <c r="BX338" i="1"/>
  <c r="BW338" i="1"/>
  <c r="BV338" i="1"/>
  <c r="BU338" i="1"/>
  <c r="BS338" i="1"/>
  <c r="BR338" i="1"/>
  <c r="BQ338" i="1"/>
  <c r="BP338" i="1"/>
  <c r="BO338" i="1"/>
  <c r="BN338" i="1"/>
  <c r="BM338" i="1"/>
  <c r="BL338" i="1"/>
  <c r="BK338" i="1"/>
  <c r="BJ338" i="1"/>
  <c r="CD338" i="1" s="1"/>
  <c r="AX338" i="1"/>
  <c r="AW338" i="1"/>
  <c r="AV338" i="1"/>
  <c r="AU338" i="1"/>
  <c r="AT338" i="1"/>
  <c r="AS338" i="1"/>
  <c r="AK338" i="1"/>
  <c r="AR338" i="1" s="1"/>
  <c r="DB338" i="1" s="1"/>
  <c r="W338" i="1"/>
  <c r="ED337" i="1"/>
  <c r="DV337" i="1"/>
  <c r="DR337" i="1"/>
  <c r="DO337" i="1"/>
  <c r="DN337" i="1"/>
  <c r="DM337" i="1"/>
  <c r="DL337" i="1"/>
  <c r="DK337" i="1"/>
  <c r="DJ337" i="1"/>
  <c r="DI337" i="1"/>
  <c r="DH337" i="1"/>
  <c r="DG337" i="1"/>
  <c r="DE337" i="1"/>
  <c r="DD337" i="1"/>
  <c r="DC337" i="1"/>
  <c r="CH337" i="1"/>
  <c r="DU337" i="1" s="1"/>
  <c r="CC337" i="1"/>
  <c r="CB337" i="1"/>
  <c r="CA337" i="1"/>
  <c r="BZ337" i="1"/>
  <c r="BY337" i="1"/>
  <c r="BX337" i="1"/>
  <c r="BW337" i="1"/>
  <c r="BV337" i="1"/>
  <c r="BU337" i="1"/>
  <c r="BS337" i="1"/>
  <c r="BR337" i="1"/>
  <c r="BQ337" i="1"/>
  <c r="BP337" i="1"/>
  <c r="BO337" i="1"/>
  <c r="BN337" i="1"/>
  <c r="BM337" i="1"/>
  <c r="BL337" i="1"/>
  <c r="BK337" i="1"/>
  <c r="BJ337" i="1"/>
  <c r="CD337" i="1" s="1"/>
  <c r="AX337" i="1"/>
  <c r="AW337" i="1"/>
  <c r="AV337" i="1"/>
  <c r="AU337" i="1"/>
  <c r="AT337" i="1"/>
  <c r="AS337" i="1"/>
  <c r="AK337" i="1"/>
  <c r="AR337" i="1" s="1"/>
  <c r="DB337" i="1" s="1"/>
  <c r="W337" i="1"/>
  <c r="DV336" i="1"/>
  <c r="DR336" i="1"/>
  <c r="DO336" i="1"/>
  <c r="DM336" i="1"/>
  <c r="DL336" i="1"/>
  <c r="DK336" i="1"/>
  <c r="DJ336" i="1"/>
  <c r="DI336" i="1"/>
  <c r="DH336" i="1"/>
  <c r="DG336" i="1"/>
  <c r="DE336" i="1"/>
  <c r="DD336" i="1"/>
  <c r="DC336" i="1"/>
  <c r="CH336" i="1"/>
  <c r="DW336" i="1" s="1"/>
  <c r="CC336" i="1"/>
  <c r="CB336" i="1"/>
  <c r="CA336" i="1"/>
  <c r="BZ336" i="1"/>
  <c r="BY336" i="1"/>
  <c r="BX336" i="1"/>
  <c r="BW336" i="1"/>
  <c r="BV336" i="1"/>
  <c r="BU336" i="1"/>
  <c r="BS336" i="1"/>
  <c r="BR336" i="1"/>
  <c r="BQ336" i="1"/>
  <c r="BP336" i="1"/>
  <c r="BO336" i="1"/>
  <c r="BN336" i="1"/>
  <c r="BM336" i="1"/>
  <c r="BL336" i="1"/>
  <c r="BK336" i="1"/>
  <c r="BJ336" i="1"/>
  <c r="CD336" i="1" s="1"/>
  <c r="AX336" i="1"/>
  <c r="AW336" i="1"/>
  <c r="AV336" i="1"/>
  <c r="AU336" i="1"/>
  <c r="AT336" i="1"/>
  <c r="AS336" i="1"/>
  <c r="AK336" i="1"/>
  <c r="ED335" i="1"/>
  <c r="DV335" i="1"/>
  <c r="DR335" i="1"/>
  <c r="DO335" i="1"/>
  <c r="DM335" i="1"/>
  <c r="DL335" i="1"/>
  <c r="DK335" i="1"/>
  <c r="DJ335" i="1"/>
  <c r="DI335" i="1"/>
  <c r="DH335" i="1"/>
  <c r="DG335" i="1"/>
  <c r="DE335" i="1"/>
  <c r="DD335" i="1"/>
  <c r="DC335" i="1"/>
  <c r="CH335" i="1"/>
  <c r="DX335" i="1" s="1"/>
  <c r="CC335" i="1"/>
  <c r="CB335" i="1"/>
  <c r="CA335" i="1"/>
  <c r="BZ335" i="1"/>
  <c r="BY335" i="1"/>
  <c r="BX335" i="1"/>
  <c r="BW335" i="1"/>
  <c r="BV335" i="1"/>
  <c r="BU335" i="1"/>
  <c r="BS335" i="1"/>
  <c r="BR335" i="1"/>
  <c r="BQ335" i="1"/>
  <c r="BP335" i="1"/>
  <c r="BO335" i="1"/>
  <c r="BN335" i="1"/>
  <c r="BM335" i="1"/>
  <c r="BL335" i="1"/>
  <c r="BK335" i="1"/>
  <c r="BJ335" i="1"/>
  <c r="CD335" i="1" s="1"/>
  <c r="AX335" i="1"/>
  <c r="AW335" i="1"/>
  <c r="AV335" i="1"/>
  <c r="AU335" i="1"/>
  <c r="AT335" i="1"/>
  <c r="AS335" i="1"/>
  <c r="AK335" i="1"/>
  <c r="AR335" i="1" s="1"/>
  <c r="DB335" i="1" s="1"/>
  <c r="W335" i="1"/>
  <c r="ED334" i="1"/>
  <c r="DV334" i="1"/>
  <c r="DR334" i="1"/>
  <c r="DO334" i="1"/>
  <c r="DN334" i="1"/>
  <c r="DM334" i="1"/>
  <c r="DL334" i="1"/>
  <c r="DK334" i="1"/>
  <c r="DJ334" i="1"/>
  <c r="DI334" i="1"/>
  <c r="DH334" i="1"/>
  <c r="DG334" i="1"/>
  <c r="DE334" i="1"/>
  <c r="DD334" i="1"/>
  <c r="DC334" i="1"/>
  <c r="CH334" i="1"/>
  <c r="DW334" i="1" s="1"/>
  <c r="CC334" i="1"/>
  <c r="CB334" i="1"/>
  <c r="CA334" i="1"/>
  <c r="BZ334" i="1"/>
  <c r="BY334" i="1"/>
  <c r="BX334" i="1"/>
  <c r="BW334" i="1"/>
  <c r="BV334" i="1"/>
  <c r="BU334" i="1"/>
  <c r="BS334" i="1"/>
  <c r="BR334" i="1"/>
  <c r="BQ334" i="1"/>
  <c r="BP334" i="1"/>
  <c r="BO334" i="1"/>
  <c r="BN334" i="1"/>
  <c r="BM334" i="1"/>
  <c r="BL334" i="1"/>
  <c r="BK334" i="1"/>
  <c r="BJ334" i="1"/>
  <c r="CD334" i="1" s="1"/>
  <c r="AX334" i="1"/>
  <c r="AW334" i="1"/>
  <c r="AV334" i="1"/>
  <c r="AU334" i="1"/>
  <c r="AT334" i="1"/>
  <c r="AS334" i="1"/>
  <c r="AK334" i="1"/>
  <c r="AR334" i="1" s="1"/>
  <c r="DB334" i="1" s="1"/>
  <c r="ED333" i="1"/>
  <c r="DV333" i="1"/>
  <c r="DT333" i="1"/>
  <c r="DR333" i="1"/>
  <c r="DO333" i="1"/>
  <c r="DM333" i="1"/>
  <c r="DL333" i="1"/>
  <c r="DK333" i="1"/>
  <c r="DJ333" i="1"/>
  <c r="DI333" i="1"/>
  <c r="DH333" i="1"/>
  <c r="DG333" i="1"/>
  <c r="DE333" i="1"/>
  <c r="DD333" i="1"/>
  <c r="DC333" i="1"/>
  <c r="CH333" i="1"/>
  <c r="DU333" i="1" s="1"/>
  <c r="CC333" i="1"/>
  <c r="CB333" i="1"/>
  <c r="CA333" i="1"/>
  <c r="BZ333" i="1"/>
  <c r="BY333" i="1"/>
  <c r="BX333" i="1"/>
  <c r="BW333" i="1"/>
  <c r="BV333" i="1"/>
  <c r="BU333" i="1"/>
  <c r="BS333" i="1"/>
  <c r="BR333" i="1"/>
  <c r="BQ333" i="1"/>
  <c r="BP333" i="1"/>
  <c r="BO333" i="1"/>
  <c r="BN333" i="1"/>
  <c r="BM333" i="1"/>
  <c r="BL333" i="1"/>
  <c r="BK333" i="1"/>
  <c r="BJ333" i="1"/>
  <c r="CD333" i="1" s="1"/>
  <c r="AX333" i="1"/>
  <c r="AW333" i="1"/>
  <c r="AV333" i="1"/>
  <c r="AU333" i="1"/>
  <c r="AT333" i="1"/>
  <c r="AS333" i="1"/>
  <c r="AK333" i="1"/>
  <c r="AR333" i="1" s="1"/>
  <c r="DB333" i="1" s="1"/>
  <c r="W333" i="1"/>
  <c r="EJ395" i="1" l="1"/>
  <c r="CW395" i="1"/>
  <c r="DS395" i="1"/>
  <c r="CZ395" i="1"/>
  <c r="CY395" i="1"/>
  <c r="CX395" i="1"/>
  <c r="EJ373" i="1"/>
  <c r="DS373" i="1"/>
  <c r="CZ373" i="1"/>
  <c r="EJ374" i="1"/>
  <c r="CV374" i="1"/>
  <c r="CY374" i="1"/>
  <c r="CZ374" i="1"/>
  <c r="CV373" i="1"/>
  <c r="CW373" i="1"/>
  <c r="CX373" i="1"/>
  <c r="EH374" i="1"/>
  <c r="DQ374" i="1"/>
  <c r="CX374" i="1"/>
  <c r="DS374" i="1"/>
  <c r="DS382" i="1"/>
  <c r="CW382" i="1"/>
  <c r="CY382" i="1"/>
  <c r="CX382" i="1"/>
  <c r="EJ382" i="1"/>
  <c r="CZ382" i="1"/>
  <c r="CU367" i="1"/>
  <c r="CX367" i="1" s="1"/>
  <c r="EH367" i="1"/>
  <c r="CW365" i="1"/>
  <c r="CZ414" i="1"/>
  <c r="CW414" i="1"/>
  <c r="CY365" i="1"/>
  <c r="CV414" i="1"/>
  <c r="EJ365" i="1"/>
  <c r="CV365" i="1"/>
  <c r="CX365" i="1"/>
  <c r="DT362" i="1"/>
  <c r="CZ365" i="1"/>
  <c r="DY362" i="1"/>
  <c r="EF362" i="1"/>
  <c r="CZ412" i="1"/>
  <c r="DS412" i="1"/>
  <c r="EJ412" i="1"/>
  <c r="CW412" i="1"/>
  <c r="CY412" i="1"/>
  <c r="CV412" i="1"/>
  <c r="CX412" i="1"/>
  <c r="DX364" i="1"/>
  <c r="EB364" i="1"/>
  <c r="DZ363" i="1"/>
  <c r="DZ362" i="1"/>
  <c r="DA363" i="1"/>
  <c r="EA362" i="1"/>
  <c r="DU362" i="1"/>
  <c r="DA362" i="1"/>
  <c r="DX362" i="1"/>
  <c r="CX414" i="1"/>
  <c r="DY363" i="1"/>
  <c r="DS414" i="1"/>
  <c r="EC362" i="1"/>
  <c r="EB362" i="1"/>
  <c r="CU370" i="1"/>
  <c r="CZ370" i="1" s="1"/>
  <c r="EH370" i="1"/>
  <c r="EI363" i="1"/>
  <c r="EC364" i="1"/>
  <c r="ED364" i="1"/>
  <c r="EF364" i="1"/>
  <c r="EF363" i="1"/>
  <c r="EI364" i="1"/>
  <c r="EA363" i="1"/>
  <c r="DX363" i="1"/>
  <c r="EC363" i="1"/>
  <c r="DA364" i="1"/>
  <c r="DZ364" i="1"/>
  <c r="EB363" i="1"/>
  <c r="DY364" i="1"/>
  <c r="EA364" i="1"/>
  <c r="EJ414" i="1"/>
  <c r="DU364" i="1"/>
  <c r="DT364" i="1"/>
  <c r="DU363" i="1"/>
  <c r="DT363" i="1"/>
  <c r="CW372" i="1"/>
  <c r="CX372" i="1"/>
  <c r="CY372" i="1"/>
  <c r="CV372" i="1"/>
  <c r="CZ372" i="1"/>
  <c r="DS372" i="1"/>
  <c r="EJ372" i="1"/>
  <c r="DZ343" i="1"/>
  <c r="DX345" i="1"/>
  <c r="EB344" i="1"/>
  <c r="DX338" i="1"/>
  <c r="DA341" i="1"/>
  <c r="DX341" i="1"/>
  <c r="EC344" i="1"/>
  <c r="DZ341" i="1"/>
  <c r="DA345" i="1"/>
  <c r="EB339" i="1"/>
  <c r="DZ345" i="1"/>
  <c r="EC339" i="1"/>
  <c r="EF344" i="1"/>
  <c r="EA345" i="1"/>
  <c r="EI338" i="1"/>
  <c r="ED339" i="1"/>
  <c r="EA343" i="1"/>
  <c r="EI344" i="1"/>
  <c r="EB345" i="1"/>
  <c r="EF339" i="1"/>
  <c r="DA343" i="1"/>
  <c r="EC345" i="1"/>
  <c r="DY345" i="1"/>
  <c r="DX337" i="1"/>
  <c r="EI339" i="1"/>
  <c r="EF343" i="1"/>
  <c r="EA339" i="1"/>
  <c r="EI343" i="1"/>
  <c r="DX339" i="1"/>
  <c r="DA339" i="1"/>
  <c r="DZ337" i="1"/>
  <c r="DY342" i="1"/>
  <c r="DY338" i="1"/>
  <c r="EF337" i="1"/>
  <c r="EA338" i="1"/>
  <c r="DU339" i="1"/>
  <c r="EF341" i="1"/>
  <c r="EB342" i="1"/>
  <c r="DY343" i="1"/>
  <c r="EA337" i="1"/>
  <c r="EI337" i="1"/>
  <c r="EB338" i="1"/>
  <c r="EI341" i="1"/>
  <c r="EC342" i="1"/>
  <c r="DX344" i="1"/>
  <c r="DY344" i="1"/>
  <c r="EC340" i="1"/>
  <c r="DY339" i="1"/>
  <c r="EF342" i="1"/>
  <c r="EB343" i="1"/>
  <c r="DA344" i="1"/>
  <c r="DZ344" i="1"/>
  <c r="DX342" i="1"/>
  <c r="EC338" i="1"/>
  <c r="EF338" i="1"/>
  <c r="EI342" i="1"/>
  <c r="EC343" i="1"/>
  <c r="EA344" i="1"/>
  <c r="DT345" i="1"/>
  <c r="DA340" i="1"/>
  <c r="DX340" i="1"/>
  <c r="DZ340" i="1"/>
  <c r="EA340" i="1"/>
  <c r="DA337" i="1"/>
  <c r="DY337" i="1"/>
  <c r="EB340" i="1"/>
  <c r="DY341" i="1"/>
  <c r="EA341" i="1"/>
  <c r="EB337" i="1"/>
  <c r="EB341" i="1"/>
  <c r="EF345" i="1"/>
  <c r="DY340" i="1"/>
  <c r="EF340" i="1"/>
  <c r="DA342" i="1"/>
  <c r="DA338" i="1"/>
  <c r="EI340" i="1"/>
  <c r="EC337" i="1"/>
  <c r="EC341" i="1"/>
  <c r="DZ342" i="1"/>
  <c r="EI345" i="1"/>
  <c r="DZ338" i="1"/>
  <c r="EA342" i="1"/>
  <c r="DX343" i="1"/>
  <c r="CX357" i="1"/>
  <c r="CV357" i="1"/>
  <c r="EJ357" i="1"/>
  <c r="CY357" i="1"/>
  <c r="EH352" i="1"/>
  <c r="CU352" i="1"/>
  <c r="CX352" i="1" s="1"/>
  <c r="DS346" i="1"/>
  <c r="CV346" i="1"/>
  <c r="CX346" i="1"/>
  <c r="EJ346" i="1"/>
  <c r="CW346" i="1"/>
  <c r="CZ346" i="1"/>
  <c r="DU344" i="1"/>
  <c r="DT344" i="1"/>
  <c r="DT343" i="1"/>
  <c r="DT342" i="1"/>
  <c r="DU342" i="1"/>
  <c r="DU341" i="1"/>
  <c r="DU340" i="1"/>
  <c r="DT340" i="1"/>
  <c r="CS339" i="1"/>
  <c r="EH339" i="1" s="1"/>
  <c r="DT339" i="1"/>
  <c r="DU338" i="1"/>
  <c r="DT337" i="1"/>
  <c r="EJ350" i="1"/>
  <c r="CZ350" i="1"/>
  <c r="EA335" i="1"/>
  <c r="CU358" i="1"/>
  <c r="CY358" i="1" s="1"/>
  <c r="DQ358" i="1"/>
  <c r="CV354" i="1"/>
  <c r="CW350" i="1"/>
  <c r="EJ354" i="1"/>
  <c r="CX350" i="1"/>
  <c r="CW354" i="1"/>
  <c r="DS350" i="1"/>
  <c r="CX354" i="1"/>
  <c r="CV350" i="1"/>
  <c r="CY354" i="1"/>
  <c r="DU335" i="1"/>
  <c r="CZ354" i="1"/>
  <c r="DS360" i="1"/>
  <c r="CW357" i="1"/>
  <c r="EB335" i="1"/>
  <c r="AZ338" i="1"/>
  <c r="EC335" i="1"/>
  <c r="EG362" i="1"/>
  <c r="AZ340" i="1"/>
  <c r="CX360" i="1"/>
  <c r="AZ343" i="1"/>
  <c r="CY360" i="1"/>
  <c r="AY363" i="1"/>
  <c r="CZ360" i="1"/>
  <c r="CV360" i="1"/>
  <c r="EJ360" i="1"/>
  <c r="DT335" i="1"/>
  <c r="AZ363" i="1"/>
  <c r="DY335" i="1"/>
  <c r="DZ335" i="1"/>
  <c r="EF335" i="1"/>
  <c r="EB333" i="1"/>
  <c r="EI335" i="1"/>
  <c r="DW363" i="1"/>
  <c r="AZ342" i="1"/>
  <c r="AZ415" i="1"/>
  <c r="EA333" i="1"/>
  <c r="BT338" i="1"/>
  <c r="BT340" i="1"/>
  <c r="EE342" i="1"/>
  <c r="CZ357" i="1"/>
  <c r="DA335" i="1"/>
  <c r="DT336" i="1"/>
  <c r="DW342" i="1"/>
  <c r="DZ333" i="1"/>
  <c r="EG338" i="1"/>
  <c r="AZ341" i="1"/>
  <c r="DF415" i="1"/>
  <c r="EF336" i="1"/>
  <c r="DA336" i="1"/>
  <c r="EI336" i="1"/>
  <c r="DZ336" i="1"/>
  <c r="EB336" i="1"/>
  <c r="DX336" i="1"/>
  <c r="DY336" i="1"/>
  <c r="EA336" i="1"/>
  <c r="EC336" i="1"/>
  <c r="ED336" i="1"/>
  <c r="DU336" i="1"/>
  <c r="AZ336" i="1"/>
  <c r="DT334" i="1"/>
  <c r="DU334" i="1"/>
  <c r="DX333" i="1"/>
  <c r="DA333" i="1"/>
  <c r="DY333" i="1"/>
  <c r="EF333" i="1"/>
  <c r="EI333" i="1"/>
  <c r="EC333" i="1"/>
  <c r="EF334" i="1"/>
  <c r="EI334" i="1"/>
  <c r="DW340" i="1"/>
  <c r="DF340" i="1"/>
  <c r="DF336" i="1"/>
  <c r="DX334" i="1"/>
  <c r="DF363" i="1"/>
  <c r="CS334" i="1"/>
  <c r="CU334" i="1" s="1"/>
  <c r="DF334" i="1"/>
  <c r="EA334" i="1"/>
  <c r="DW344" i="1"/>
  <c r="DY334" i="1"/>
  <c r="EC334" i="1"/>
  <c r="DA334" i="1"/>
  <c r="DZ334" i="1"/>
  <c r="EB334" i="1"/>
  <c r="AY334" i="1"/>
  <c r="BT334" i="1"/>
  <c r="AZ334" i="1"/>
  <c r="R85" i="2"/>
  <c r="P85" i="2"/>
  <c r="T85" i="2"/>
  <c r="I96" i="2"/>
  <c r="J96" i="2" s="1"/>
  <c r="AU96" i="2"/>
  <c r="AV96" i="2" s="1"/>
  <c r="AV85" i="2"/>
  <c r="AC96" i="2"/>
  <c r="AD96" i="2" s="1"/>
  <c r="AD85" i="2"/>
  <c r="AA96" i="2"/>
  <c r="AB96" i="2" s="1"/>
  <c r="AB85" i="2"/>
  <c r="M96" i="2"/>
  <c r="N96" i="2" s="1"/>
  <c r="N85" i="2"/>
  <c r="C85" i="2"/>
  <c r="H85" i="2"/>
  <c r="CX355" i="1"/>
  <c r="CW355" i="1"/>
  <c r="EJ355" i="1"/>
  <c r="CV355" i="1"/>
  <c r="CY355" i="1"/>
  <c r="DS355" i="1"/>
  <c r="CZ355" i="1"/>
  <c r="AY338" i="1"/>
  <c r="AY340" i="1"/>
  <c r="AY342" i="1"/>
  <c r="CX347" i="1"/>
  <c r="DS347" i="1"/>
  <c r="CW347" i="1"/>
  <c r="EJ347" i="1"/>
  <c r="CV347" i="1"/>
  <c r="CY347" i="1"/>
  <c r="CZ347" i="1"/>
  <c r="CW348" i="1"/>
  <c r="CV348" i="1"/>
  <c r="DS348" i="1"/>
  <c r="CZ348" i="1"/>
  <c r="CY348" i="1"/>
  <c r="CX348" i="1"/>
  <c r="EJ348" i="1"/>
  <c r="CZ356" i="1"/>
  <c r="EJ356" i="1"/>
  <c r="DS356" i="1"/>
  <c r="CY356" i="1"/>
  <c r="CX356" i="1"/>
  <c r="CV356" i="1"/>
  <c r="CW356" i="1"/>
  <c r="CY359" i="1"/>
  <c r="CX359" i="1"/>
  <c r="CZ359" i="1"/>
  <c r="CW359" i="1"/>
  <c r="EJ359" i="1"/>
  <c r="DS359" i="1"/>
  <c r="CV359" i="1"/>
  <c r="CU361" i="1"/>
  <c r="EH361" i="1"/>
  <c r="DQ361" i="1"/>
  <c r="CU353" i="1"/>
  <c r="DQ353" i="1"/>
  <c r="EH353" i="1"/>
  <c r="EG343" i="1"/>
  <c r="AY336" i="1"/>
  <c r="EG340" i="1"/>
  <c r="AY364" i="1"/>
  <c r="EJ351" i="1"/>
  <c r="CZ351" i="1"/>
  <c r="CY351" i="1"/>
  <c r="CV351" i="1"/>
  <c r="CX351" i="1"/>
  <c r="CW351" i="1"/>
  <c r="DS351" i="1"/>
  <c r="AY335" i="1"/>
  <c r="AY333" i="1"/>
  <c r="AY415" i="1"/>
  <c r="EG333" i="1"/>
  <c r="AY344" i="1"/>
  <c r="EE343" i="1"/>
  <c r="AY341" i="1"/>
  <c r="BT363" i="1"/>
  <c r="DW338" i="1"/>
  <c r="EE338" i="1"/>
  <c r="AY339" i="1"/>
  <c r="CD342" i="1"/>
  <c r="AR364" i="1"/>
  <c r="DB364" i="1" s="1"/>
  <c r="AY337" i="1"/>
  <c r="AZ337" i="1"/>
  <c r="CS338" i="1"/>
  <c r="CU338" i="1" s="1"/>
  <c r="DS338" i="1" s="1"/>
  <c r="DF338" i="1"/>
  <c r="CS340" i="1"/>
  <c r="CU340" i="1" s="1"/>
  <c r="CX340" i="1" s="1"/>
  <c r="AZ344" i="1"/>
  <c r="AZ362" i="1"/>
  <c r="CS362" i="1"/>
  <c r="CU362" i="1" s="1"/>
  <c r="CY362" i="1" s="1"/>
  <c r="CS363" i="1"/>
  <c r="EH363" i="1" s="1"/>
  <c r="AZ339" i="1"/>
  <c r="AZ345" i="1"/>
  <c r="AY362" i="1"/>
  <c r="AY343" i="1"/>
  <c r="AZ333" i="1"/>
  <c r="EE334" i="1"/>
  <c r="AZ335" i="1"/>
  <c r="EG335" i="1"/>
  <c r="AY345" i="1"/>
  <c r="EE415" i="1"/>
  <c r="EE344" i="1"/>
  <c r="EE362" i="1"/>
  <c r="EE333" i="1"/>
  <c r="DW341" i="1"/>
  <c r="DF341" i="1"/>
  <c r="EE345" i="1"/>
  <c r="DW345" i="1"/>
  <c r="DF345" i="1"/>
  <c r="CS341" i="1"/>
  <c r="DN344" i="1"/>
  <c r="CS345" i="1"/>
  <c r="CS415" i="1"/>
  <c r="EE335" i="1"/>
  <c r="EG364" i="1"/>
  <c r="CS336" i="1"/>
  <c r="EG336" i="1"/>
  <c r="DP336" i="1"/>
  <c r="EE341" i="1"/>
  <c r="EG345" i="1"/>
  <c r="EG415" i="1"/>
  <c r="DP415" i="1"/>
  <c r="AR336" i="1"/>
  <c r="DB336" i="1" s="1"/>
  <c r="BT336" i="1"/>
  <c r="DW343" i="1"/>
  <c r="DF343" i="1"/>
  <c r="CS344" i="1"/>
  <c r="DP344" i="1"/>
  <c r="EG344" i="1"/>
  <c r="EE336" i="1"/>
  <c r="CS343" i="1"/>
  <c r="AR344" i="1"/>
  <c r="DB344" i="1" s="1"/>
  <c r="AR415" i="1"/>
  <c r="DB415" i="1" s="1"/>
  <c r="DW335" i="1"/>
  <c r="DF335" i="1"/>
  <c r="DW333" i="1"/>
  <c r="DF333" i="1"/>
  <c r="EE337" i="1"/>
  <c r="DW337" i="1"/>
  <c r="DF337" i="1"/>
  <c r="EG337" i="1"/>
  <c r="EG341" i="1"/>
  <c r="BT344" i="1"/>
  <c r="DW364" i="1"/>
  <c r="DF364" i="1"/>
  <c r="BT415" i="1"/>
  <c r="CS335" i="1"/>
  <c r="CS333" i="1"/>
  <c r="CS337" i="1"/>
  <c r="EE339" i="1"/>
  <c r="DW339" i="1"/>
  <c r="DF339" i="1"/>
  <c r="EG339" i="1"/>
  <c r="DW362" i="1"/>
  <c r="DF362" i="1"/>
  <c r="AZ364" i="1"/>
  <c r="CS364" i="1"/>
  <c r="DP334" i="1"/>
  <c r="EG334" i="1"/>
  <c r="EG342" i="1"/>
  <c r="EG363" i="1"/>
  <c r="BT333" i="1"/>
  <c r="DN333" i="1"/>
  <c r="BT335" i="1"/>
  <c r="DN335" i="1"/>
  <c r="BT337" i="1"/>
  <c r="BT339" i="1"/>
  <c r="BT341" i="1"/>
  <c r="DN341" i="1"/>
  <c r="CS342" i="1"/>
  <c r="BT343" i="1"/>
  <c r="DN343" i="1"/>
  <c r="BT345" i="1"/>
  <c r="BT362" i="1"/>
  <c r="DN362" i="1"/>
  <c r="BT364" i="1"/>
  <c r="DN364" i="1"/>
  <c r="CZ367" i="1" l="1"/>
  <c r="DS367" i="1"/>
  <c r="CW367" i="1"/>
  <c r="CY367" i="1"/>
  <c r="EJ367" i="1"/>
  <c r="CV367" i="1"/>
  <c r="DS370" i="1"/>
  <c r="EJ370" i="1"/>
  <c r="CV370" i="1"/>
  <c r="CY370" i="1"/>
  <c r="CW370" i="1"/>
  <c r="CX370" i="1"/>
  <c r="EJ352" i="1"/>
  <c r="CW352" i="1"/>
  <c r="CV352" i="1"/>
  <c r="CZ352" i="1"/>
  <c r="DS352" i="1"/>
  <c r="CY352" i="1"/>
  <c r="DQ339" i="1"/>
  <c r="CU339" i="1"/>
  <c r="EJ339" i="1" s="1"/>
  <c r="CW358" i="1"/>
  <c r="CV358" i="1"/>
  <c r="EJ358" i="1"/>
  <c r="EH338" i="1"/>
  <c r="CZ358" i="1"/>
  <c r="DS358" i="1"/>
  <c r="CX358" i="1"/>
  <c r="EJ338" i="1"/>
  <c r="DS340" i="1"/>
  <c r="CZ340" i="1"/>
  <c r="CV338" i="1"/>
  <c r="CY340" i="1"/>
  <c r="CV340" i="1"/>
  <c r="DQ340" i="1"/>
  <c r="EJ340" i="1"/>
  <c r="DQ338" i="1"/>
  <c r="EH340" i="1"/>
  <c r="DQ334" i="1"/>
  <c r="DQ362" i="1"/>
  <c r="EH334" i="1"/>
  <c r="CW340" i="1"/>
  <c r="D85" i="2"/>
  <c r="H96" i="2"/>
  <c r="D96" i="2" s="1"/>
  <c r="C96" i="2"/>
  <c r="CW362" i="1"/>
  <c r="DQ363" i="1"/>
  <c r="CZ353" i="1"/>
  <c r="EJ353" i="1"/>
  <c r="CY353" i="1"/>
  <c r="CX353" i="1"/>
  <c r="CW353" i="1"/>
  <c r="CV353" i="1"/>
  <c r="DS353" i="1"/>
  <c r="CZ361" i="1"/>
  <c r="CY361" i="1"/>
  <c r="CV361" i="1"/>
  <c r="CX361" i="1"/>
  <c r="CW361" i="1"/>
  <c r="EJ361" i="1"/>
  <c r="DS361" i="1"/>
  <c r="EJ362" i="1"/>
  <c r="EH362" i="1"/>
  <c r="CX362" i="1"/>
  <c r="CU363" i="1"/>
  <c r="EJ363" i="1" s="1"/>
  <c r="DS362" i="1"/>
  <c r="CX338" i="1"/>
  <c r="CW338" i="1"/>
  <c r="CY338" i="1"/>
  <c r="CV362" i="1"/>
  <c r="CZ362" i="1"/>
  <c r="CZ338" i="1"/>
  <c r="EH341" i="1"/>
  <c r="DQ341" i="1"/>
  <c r="CU341" i="1"/>
  <c r="DQ333" i="1"/>
  <c r="CU333" i="1"/>
  <c r="EH333" i="1"/>
  <c r="CU336" i="1"/>
  <c r="EH336" i="1"/>
  <c r="DQ336" i="1"/>
  <c r="CU343" i="1"/>
  <c r="EH343" i="1"/>
  <c r="DQ343" i="1"/>
  <c r="CU415" i="1"/>
  <c r="EH415" i="1"/>
  <c r="DQ415" i="1"/>
  <c r="CU344" i="1"/>
  <c r="EH344" i="1"/>
  <c r="DQ344" i="1"/>
  <c r="DQ335" i="1"/>
  <c r="CU335" i="1"/>
  <c r="EH335" i="1"/>
  <c r="EJ334" i="1"/>
  <c r="CV334" i="1"/>
  <c r="DS334" i="1"/>
  <c r="CZ334" i="1"/>
  <c r="CY334" i="1"/>
  <c r="CX334" i="1"/>
  <c r="CW334" i="1"/>
  <c r="CU342" i="1"/>
  <c r="EH342" i="1"/>
  <c r="DQ342" i="1"/>
  <c r="CU364" i="1"/>
  <c r="DQ364" i="1"/>
  <c r="EH364" i="1"/>
  <c r="EH337" i="1"/>
  <c r="DQ337" i="1"/>
  <c r="CU337" i="1"/>
  <c r="DQ345" i="1"/>
  <c r="CU345" i="1"/>
  <c r="EH345" i="1"/>
  <c r="CY339" i="1" l="1"/>
  <c r="CZ339" i="1"/>
  <c r="CW339" i="1"/>
  <c r="CV339" i="1"/>
  <c r="DS339" i="1"/>
  <c r="CX339" i="1"/>
  <c r="DS363" i="1"/>
  <c r="CZ363" i="1"/>
  <c r="CW363" i="1"/>
  <c r="CX363" i="1"/>
  <c r="CY363" i="1"/>
  <c r="CV363" i="1"/>
  <c r="CZ337" i="1"/>
  <c r="EJ337" i="1"/>
  <c r="CY337" i="1"/>
  <c r="CX337" i="1"/>
  <c r="CW337" i="1"/>
  <c r="CV337" i="1"/>
  <c r="DS337" i="1"/>
  <c r="CZ335" i="1"/>
  <c r="CV335" i="1"/>
  <c r="CY335" i="1"/>
  <c r="CX335" i="1"/>
  <c r="CW335" i="1"/>
  <c r="EJ335" i="1"/>
  <c r="DS335" i="1"/>
  <c r="CZ341" i="1"/>
  <c r="CY341" i="1"/>
  <c r="CX341" i="1"/>
  <c r="CW341" i="1"/>
  <c r="EJ341" i="1"/>
  <c r="CV341" i="1"/>
  <c r="DS341" i="1"/>
  <c r="CZ345" i="1"/>
  <c r="CY345" i="1"/>
  <c r="CX345" i="1"/>
  <c r="CV345" i="1"/>
  <c r="CW345" i="1"/>
  <c r="EJ345" i="1"/>
  <c r="DS345" i="1"/>
  <c r="EJ344" i="1"/>
  <c r="CV344" i="1"/>
  <c r="CZ344" i="1"/>
  <c r="DS344" i="1"/>
  <c r="CY344" i="1"/>
  <c r="CX344" i="1"/>
  <c r="CW344" i="1"/>
  <c r="EJ342" i="1"/>
  <c r="CV342" i="1"/>
  <c r="DS342" i="1"/>
  <c r="CZ342" i="1"/>
  <c r="CX342" i="1"/>
  <c r="CW342" i="1"/>
  <c r="CY342" i="1"/>
  <c r="EJ415" i="1"/>
  <c r="CV415" i="1"/>
  <c r="CZ415" i="1"/>
  <c r="DS415" i="1"/>
  <c r="CY415" i="1"/>
  <c r="CX415" i="1"/>
  <c r="CW415" i="1"/>
  <c r="EJ336" i="1"/>
  <c r="CV336" i="1"/>
  <c r="DS336" i="1"/>
  <c r="CZ336" i="1"/>
  <c r="CX336" i="1"/>
  <c r="CW336" i="1"/>
  <c r="CY336" i="1"/>
  <c r="CZ333" i="1"/>
  <c r="CY333" i="1"/>
  <c r="CX333" i="1"/>
  <c r="CW333" i="1"/>
  <c r="EJ333" i="1"/>
  <c r="CV333" i="1"/>
  <c r="DS333" i="1"/>
  <c r="CZ364" i="1"/>
  <c r="DS364" i="1"/>
  <c r="CY364" i="1"/>
  <c r="CV364" i="1"/>
  <c r="CX364" i="1"/>
  <c r="EJ364" i="1"/>
  <c r="CW364" i="1"/>
  <c r="CZ343" i="1"/>
  <c r="CY343" i="1"/>
  <c r="EJ343" i="1"/>
  <c r="CV343" i="1"/>
  <c r="CX343" i="1"/>
  <c r="CW343" i="1"/>
  <c r="DS343" i="1"/>
  <c r="CM330" i="1" l="1"/>
  <c r="CI330" i="1"/>
  <c r="CF330" i="1"/>
  <c r="AN330" i="1"/>
  <c r="AA330" i="1"/>
  <c r="AA325" i="1"/>
  <c r="CM329" i="1"/>
  <c r="CI329" i="1"/>
  <c r="AO329" i="1"/>
  <c r="AL329" i="1"/>
  <c r="R329" i="1"/>
  <c r="T329" i="1" s="1"/>
  <c r="CM328" i="1"/>
  <c r="CI328" i="1"/>
  <c r="AO328" i="1"/>
  <c r="CP328" i="1" l="1"/>
  <c r="CR328" i="1" s="1"/>
  <c r="CP329" i="1"/>
  <c r="CR329" i="1" s="1"/>
  <c r="CP330" i="1"/>
  <c r="CR330" i="1" s="1"/>
  <c r="CM327" i="1"/>
  <c r="CI327" i="1"/>
  <c r="CH327" i="1"/>
  <c r="CP327" i="1" l="1"/>
  <c r="CR327" i="1" s="1"/>
  <c r="CL326" i="1"/>
  <c r="CI326" i="1"/>
  <c r="CP326" i="1" l="1"/>
  <c r="CR326" i="1" s="1"/>
  <c r="CI325" i="1"/>
  <c r="CM325" i="1"/>
  <c r="CL325" i="1"/>
  <c r="CI324" i="1"/>
  <c r="CL324" i="1"/>
  <c r="CM324" i="1"/>
  <c r="CP324" i="1" l="1"/>
  <c r="CR324" i="1" s="1"/>
  <c r="CP325" i="1"/>
  <c r="CR325" i="1" s="1"/>
  <c r="AA323" i="1"/>
  <c r="AA321" i="1"/>
  <c r="CM322" i="1" l="1"/>
  <c r="CI322" i="1"/>
  <c r="CM323" i="1"/>
  <c r="CM321" i="1"/>
  <c r="CI323" i="1"/>
  <c r="CI321" i="1"/>
  <c r="AW323" i="1"/>
  <c r="CP321" i="1" l="1"/>
  <c r="CR321" i="1" s="1"/>
  <c r="CP323" i="1"/>
  <c r="CR323" i="1" s="1"/>
  <c r="CP322" i="1"/>
  <c r="CR322" i="1" s="1"/>
  <c r="CM320" i="1"/>
  <c r="CL320" i="1"/>
  <c r="CI320" i="1"/>
  <c r="CT319" i="1"/>
  <c r="CM319" i="1"/>
  <c r="CI319" i="1"/>
  <c r="AA319" i="1"/>
  <c r="CM318" i="1"/>
  <c r="CL318" i="1"/>
  <c r="CI318" i="1"/>
  <c r="CP318" i="1" l="1"/>
  <c r="CR318" i="1" s="1"/>
  <c r="CP320" i="1"/>
  <c r="CR320" i="1" s="1"/>
  <c r="CP319" i="1"/>
  <c r="CR319" i="1" s="1"/>
  <c r="CM317" i="1"/>
  <c r="CL317" i="1"/>
  <c r="CI317" i="1"/>
  <c r="CF317" i="1"/>
  <c r="AP317" i="1"/>
  <c r="AA317" i="1"/>
  <c r="CP317" i="1" l="1"/>
  <c r="CR317" i="1" s="1"/>
  <c r="CT316" i="1"/>
  <c r="CM316" i="1"/>
  <c r="CI316" i="1"/>
  <c r="DG316" i="1" s="1"/>
  <c r="AA316" i="1"/>
  <c r="CM315" i="1"/>
  <c r="DK315" i="1" s="1"/>
  <c r="CI315" i="1"/>
  <c r="AA315" i="1"/>
  <c r="CM314" i="1"/>
  <c r="CL314" i="1"/>
  <c r="CI314" i="1"/>
  <c r="AA314" i="1"/>
  <c r="R314" i="1"/>
  <c r="T314" i="1" s="1"/>
  <c r="CT313" i="1"/>
  <c r="DR313" i="1" s="1"/>
  <c r="CM313" i="1"/>
  <c r="CL313" i="1"/>
  <c r="CI313" i="1"/>
  <c r="CF313" i="1"/>
  <c r="CM312" i="1"/>
  <c r="CI312" i="1"/>
  <c r="CT311" i="1"/>
  <c r="CM311" i="1"/>
  <c r="CL311" i="1"/>
  <c r="CI311" i="1"/>
  <c r="AA311" i="1"/>
  <c r="CM310" i="1"/>
  <c r="CI310" i="1"/>
  <c r="AA310" i="1"/>
  <c r="CT309" i="1"/>
  <c r="DR309" i="1" s="1"/>
  <c r="CM309" i="1"/>
  <c r="DK309" i="1" s="1"/>
  <c r="CI309" i="1"/>
  <c r="AA309" i="1"/>
  <c r="CM308" i="1"/>
  <c r="CL308" i="1"/>
  <c r="CI308" i="1"/>
  <c r="DG308" i="1" s="1"/>
  <c r="CF308" i="1"/>
  <c r="DD308" i="1" s="1"/>
  <c r="AL308" i="1"/>
  <c r="AA308" i="1"/>
  <c r="CT307" i="1"/>
  <c r="DR307" i="1" s="1"/>
  <c r="CM307" i="1"/>
  <c r="CI307" i="1"/>
  <c r="DG307" i="1" s="1"/>
  <c r="CM306" i="1"/>
  <c r="CL306" i="1"/>
  <c r="DJ306" i="1" s="1"/>
  <c r="CI306" i="1"/>
  <c r="DG306" i="1" s="1"/>
  <c r="CM305" i="1"/>
  <c r="DK305" i="1" s="1"/>
  <c r="CI305" i="1"/>
  <c r="AP305" i="1"/>
  <c r="CT304" i="1"/>
  <c r="CM304" i="1"/>
  <c r="CL304" i="1"/>
  <c r="CI304" i="1"/>
  <c r="AA304" i="1"/>
  <c r="CM303" i="1"/>
  <c r="DK303" i="1" s="1"/>
  <c r="CL303" i="1"/>
  <c r="CI303" i="1"/>
  <c r="CM302" i="1"/>
  <c r="CL302" i="1"/>
  <c r="CI302" i="1"/>
  <c r="AA302" i="1"/>
  <c r="CT301" i="1"/>
  <c r="CM301" i="1"/>
  <c r="CL301" i="1"/>
  <c r="CI301" i="1"/>
  <c r="AA301" i="1"/>
  <c r="R301" i="1"/>
  <c r="T301" i="1" s="1"/>
  <c r="DL301" i="1" s="1"/>
  <c r="CT300" i="1"/>
  <c r="CM300" i="1"/>
  <c r="DK300" i="1" s="1"/>
  <c r="CL300" i="1"/>
  <c r="DJ300" i="1" s="1"/>
  <c r="CI300" i="1"/>
  <c r="DG300" i="1" s="1"/>
  <c r="AA300" i="1"/>
  <c r="CM299" i="1"/>
  <c r="DK299" i="1" s="1"/>
  <c r="CL299" i="1"/>
  <c r="DJ299" i="1" s="1"/>
  <c r="CI299" i="1"/>
  <c r="DG299" i="1" s="1"/>
  <c r="AO299" i="1"/>
  <c r="AT299" i="1" s="1"/>
  <c r="CM298" i="1"/>
  <c r="CL298" i="1"/>
  <c r="CI298" i="1"/>
  <c r="CF298" i="1"/>
  <c r="CH298" i="1" s="1"/>
  <c r="R298" i="1"/>
  <c r="T298" i="1" s="1"/>
  <c r="CM297" i="1"/>
  <c r="DK297" i="1" s="1"/>
  <c r="CL297" i="1"/>
  <c r="DJ297" i="1" s="1"/>
  <c r="CI297" i="1"/>
  <c r="CF297" i="1"/>
  <c r="CH297" i="1" s="1"/>
  <c r="EF297" i="1" s="1"/>
  <c r="AA297" i="1"/>
  <c r="CM296" i="1"/>
  <c r="CI296" i="1"/>
  <c r="AP296" i="1"/>
  <c r="CM295" i="1"/>
  <c r="CL295" i="1"/>
  <c r="DJ295" i="1" s="1"/>
  <c r="CI295" i="1"/>
  <c r="CM294" i="1"/>
  <c r="DK294" i="1" s="1"/>
  <c r="CL294" i="1"/>
  <c r="CI294" i="1"/>
  <c r="CM293" i="1"/>
  <c r="DK293" i="1" s="1"/>
  <c r="CL293" i="1"/>
  <c r="DJ293" i="1" s="1"/>
  <c r="CI293" i="1"/>
  <c r="CM292" i="1"/>
  <c r="DK292" i="1" s="1"/>
  <c r="CI292" i="1"/>
  <c r="CM291" i="1"/>
  <c r="CL291" i="1"/>
  <c r="DJ291" i="1" s="1"/>
  <c r="CI291" i="1"/>
  <c r="DG291" i="1" s="1"/>
  <c r="CM289" i="1"/>
  <c r="DK289" i="1" s="1"/>
  <c r="CI289" i="1"/>
  <c r="AP289" i="1"/>
  <c r="AU289" i="1" s="1"/>
  <c r="CM288" i="1"/>
  <c r="DK288" i="1" s="1"/>
  <c r="CI288" i="1"/>
  <c r="DG288" i="1" s="1"/>
  <c r="CM287" i="1"/>
  <c r="DK287" i="1" s="1"/>
  <c r="CL287" i="1"/>
  <c r="CI287" i="1"/>
  <c r="AA287" i="1"/>
  <c r="CM285" i="1"/>
  <c r="DK285" i="1" s="1"/>
  <c r="CI285" i="1"/>
  <c r="CM284" i="1"/>
  <c r="CL284" i="1"/>
  <c r="CI284" i="1"/>
  <c r="AL284" i="1"/>
  <c r="AS284" i="1" s="1"/>
  <c r="AA284" i="1"/>
  <c r="AA283" i="1"/>
  <c r="CT283" i="1"/>
  <c r="DR283" i="1" s="1"/>
  <c r="CM283" i="1"/>
  <c r="DK283" i="1" s="1"/>
  <c r="CL283" i="1"/>
  <c r="DJ283" i="1" s="1"/>
  <c r="CI283" i="1"/>
  <c r="DG283" i="1" s="1"/>
  <c r="CM282" i="1"/>
  <c r="DK282" i="1" s="1"/>
  <c r="CI282" i="1"/>
  <c r="DG282" i="1" s="1"/>
  <c r="CF282" i="1"/>
  <c r="DD282" i="1" s="1"/>
  <c r="AA282" i="1"/>
  <c r="CM281" i="1"/>
  <c r="CI281" i="1"/>
  <c r="AA281" i="1"/>
  <c r="CM280" i="1"/>
  <c r="CI280" i="1"/>
  <c r="AA280" i="1"/>
  <c r="CM279" i="1"/>
  <c r="DK279" i="1" s="1"/>
  <c r="CI279" i="1"/>
  <c r="CT278" i="1"/>
  <c r="DR278" i="1" s="1"/>
  <c r="CM278" i="1"/>
  <c r="CI278" i="1"/>
  <c r="DG278" i="1" s="1"/>
  <c r="AA278" i="1"/>
  <c r="CM277" i="1"/>
  <c r="CI277" i="1"/>
  <c r="CM276" i="1"/>
  <c r="DK276" i="1" s="1"/>
  <c r="CL276" i="1"/>
  <c r="DJ276" i="1" s="1"/>
  <c r="CI276" i="1"/>
  <c r="AL276" i="1"/>
  <c r="AS276" i="1" s="1"/>
  <c r="Z276" i="1"/>
  <c r="AA276" i="1" s="1"/>
  <c r="CT275" i="1"/>
  <c r="CM275" i="1"/>
  <c r="CL275" i="1"/>
  <c r="CI275" i="1"/>
  <c r="DG275" i="1" s="1"/>
  <c r="AA275" i="1"/>
  <c r="CM274" i="1"/>
  <c r="DK274" i="1" s="1"/>
  <c r="CI274" i="1"/>
  <c r="CT273" i="1"/>
  <c r="CM273" i="1"/>
  <c r="CI273" i="1"/>
  <c r="AA273" i="1"/>
  <c r="R273" i="1"/>
  <c r="T273" i="1" s="1"/>
  <c r="CM272" i="1"/>
  <c r="DK272" i="1" s="1"/>
  <c r="CI272" i="1"/>
  <c r="CM271" i="1"/>
  <c r="CI271" i="1"/>
  <c r="DG271" i="1" s="1"/>
  <c r="CF271" i="1"/>
  <c r="BB271" i="1"/>
  <c r="CM270" i="1"/>
  <c r="CI270" i="1"/>
  <c r="CF270" i="1"/>
  <c r="R270" i="1"/>
  <c r="T270" i="1" s="1"/>
  <c r="CM269" i="1"/>
  <c r="CI269" i="1"/>
  <c r="DG269" i="1" s="1"/>
  <c r="AA269" i="1"/>
  <c r="CM268" i="1"/>
  <c r="CI268" i="1"/>
  <c r="CH267" i="1"/>
  <c r="EF267" i="1" s="1"/>
  <c r="CM267" i="1"/>
  <c r="DK267" i="1" s="1"/>
  <c r="CI267" i="1"/>
  <c r="CM266" i="1"/>
  <c r="DK266" i="1" s="1"/>
  <c r="CI266" i="1"/>
  <c r="DG266" i="1" s="1"/>
  <c r="CM265" i="1"/>
  <c r="CL265" i="1"/>
  <c r="CI265" i="1"/>
  <c r="CM264" i="1"/>
  <c r="DK264" i="1" s="1"/>
  <c r="CL264" i="1"/>
  <c r="DJ264" i="1" s="1"/>
  <c r="CI264" i="1"/>
  <c r="CM263" i="1"/>
  <c r="CI263" i="1"/>
  <c r="DG263" i="1" s="1"/>
  <c r="CM262" i="1"/>
  <c r="DK262" i="1" s="1"/>
  <c r="CI262" i="1"/>
  <c r="CM261" i="1"/>
  <c r="CI261" i="1"/>
  <c r="DG261" i="1" s="1"/>
  <c r="CF261" i="1"/>
  <c r="DD261" i="1" s="1"/>
  <c r="CM260" i="1"/>
  <c r="CI260" i="1"/>
  <c r="CT259" i="1"/>
  <c r="DR259" i="1" s="1"/>
  <c r="CM259" i="1"/>
  <c r="CI259" i="1"/>
  <c r="AA259" i="1"/>
  <c r="CT258" i="1"/>
  <c r="DR258" i="1" s="1"/>
  <c r="CM258" i="1"/>
  <c r="DK258" i="1" s="1"/>
  <c r="CI258" i="1"/>
  <c r="DG258" i="1" s="1"/>
  <c r="AA258" i="1"/>
  <c r="CM257" i="1"/>
  <c r="DK257" i="1" s="1"/>
  <c r="CL257" i="1"/>
  <c r="DJ257" i="1" s="1"/>
  <c r="CI257" i="1"/>
  <c r="DG257" i="1" s="1"/>
  <c r="CM256" i="1"/>
  <c r="DK256" i="1" s="1"/>
  <c r="CL256" i="1"/>
  <c r="DJ256" i="1" s="1"/>
  <c r="CI256" i="1"/>
  <c r="DG256" i="1" s="1"/>
  <c r="CF256" i="1"/>
  <c r="DD256" i="1" s="1"/>
  <c r="AA256" i="1"/>
  <c r="CM255" i="1"/>
  <c r="CL255" i="1"/>
  <c r="CI255" i="1"/>
  <c r="CF255" i="1"/>
  <c r="CH255" i="1" s="1"/>
  <c r="CM254" i="1"/>
  <c r="DK254" i="1" s="1"/>
  <c r="CI254" i="1"/>
  <c r="DG254" i="1" s="1"/>
  <c r="Z254" i="1"/>
  <c r="AA254" i="1" s="1"/>
  <c r="CM253" i="1"/>
  <c r="DK253" i="1" s="1"/>
  <c r="CL253" i="1"/>
  <c r="DJ253" i="1" s="1"/>
  <c r="CI253" i="1"/>
  <c r="DG253" i="1" s="1"/>
  <c r="CM252" i="1"/>
  <c r="DK252" i="1" s="1"/>
  <c r="CL252" i="1"/>
  <c r="DJ252" i="1" s="1"/>
  <c r="CI252" i="1"/>
  <c r="AL252" i="1"/>
  <c r="CM251" i="1"/>
  <c r="DK251" i="1" s="1"/>
  <c r="CL251" i="1"/>
  <c r="DJ251" i="1" s="1"/>
  <c r="CI251" i="1"/>
  <c r="DG251" i="1" s="1"/>
  <c r="DD232" i="1"/>
  <c r="DO240" i="1"/>
  <c r="W244" i="1"/>
  <c r="DH247" i="1"/>
  <c r="DI252" i="1"/>
  <c r="DL260" i="1"/>
  <c r="BK263" i="1"/>
  <c r="DE269" i="1"/>
  <c r="DO271" i="1"/>
  <c r="DM277" i="1"/>
  <c r="DO278" i="1"/>
  <c r="DC279" i="1"/>
  <c r="DJ285" i="1"/>
  <c r="DE287" i="1"/>
  <c r="DH295" i="1"/>
  <c r="AV296" i="1"/>
  <c r="DC302" i="1"/>
  <c r="DD303" i="1"/>
  <c r="DO312" i="1"/>
  <c r="AT320" i="1"/>
  <c r="W325" i="1"/>
  <c r="BK327" i="1"/>
  <c r="DG328" i="1"/>
  <c r="DK329" i="1"/>
  <c r="AT330" i="1"/>
  <c r="W331" i="1"/>
  <c r="W332" i="1"/>
  <c r="CH332" i="1"/>
  <c r="DT332" i="1" s="1"/>
  <c r="ED332" i="1"/>
  <c r="DV332" i="1"/>
  <c r="DR332" i="1"/>
  <c r="DO332" i="1"/>
  <c r="DN332" i="1"/>
  <c r="DM332" i="1"/>
  <c r="DL332" i="1"/>
  <c r="DK332" i="1"/>
  <c r="DJ332" i="1"/>
  <c r="DI332" i="1"/>
  <c r="DH332" i="1"/>
  <c r="DG332" i="1"/>
  <c r="DE332" i="1"/>
  <c r="DD332" i="1"/>
  <c r="DC332" i="1"/>
  <c r="AK332" i="1"/>
  <c r="AR332" i="1" s="1"/>
  <c r="DB332" i="1" s="1"/>
  <c r="BJ332" i="1"/>
  <c r="CC332" i="1"/>
  <c r="CB332" i="1"/>
  <c r="CA332" i="1"/>
  <c r="BZ332" i="1"/>
  <c r="BY332" i="1"/>
  <c r="BX332" i="1"/>
  <c r="BW332" i="1"/>
  <c r="BV332" i="1"/>
  <c r="BU332" i="1"/>
  <c r="BS332" i="1"/>
  <c r="BR332" i="1"/>
  <c r="BQ332" i="1"/>
  <c r="BP332" i="1"/>
  <c r="BO332" i="1"/>
  <c r="BN332" i="1"/>
  <c r="BM332" i="1"/>
  <c r="BL332" i="1"/>
  <c r="BK332" i="1"/>
  <c r="AX332" i="1"/>
  <c r="AW332" i="1"/>
  <c r="AV332" i="1"/>
  <c r="AU332" i="1"/>
  <c r="AT332" i="1"/>
  <c r="AS332" i="1"/>
  <c r="CH331" i="1"/>
  <c r="DU331" i="1" s="1"/>
  <c r="ED331" i="1"/>
  <c r="DV331" i="1"/>
  <c r="DR331" i="1"/>
  <c r="DO331" i="1"/>
  <c r="DM331" i="1"/>
  <c r="DL331" i="1"/>
  <c r="DK331" i="1"/>
  <c r="DJ331" i="1"/>
  <c r="DI331" i="1"/>
  <c r="DH331" i="1"/>
  <c r="DG331" i="1"/>
  <c r="DE331" i="1"/>
  <c r="DD331" i="1"/>
  <c r="DC331" i="1"/>
  <c r="AK331" i="1"/>
  <c r="AR331" i="1" s="1"/>
  <c r="DB331" i="1" s="1"/>
  <c r="BJ331" i="1"/>
  <c r="BT331" i="1" s="1"/>
  <c r="CC331" i="1"/>
  <c r="CB331" i="1"/>
  <c r="CA331" i="1"/>
  <c r="BZ331" i="1"/>
  <c r="BY331" i="1"/>
  <c r="BX331" i="1"/>
  <c r="BW331" i="1"/>
  <c r="BV331" i="1"/>
  <c r="BU331" i="1"/>
  <c r="BS331" i="1"/>
  <c r="BR331" i="1"/>
  <c r="BQ331" i="1"/>
  <c r="BP331" i="1"/>
  <c r="BO331" i="1"/>
  <c r="BN331" i="1"/>
  <c r="BM331" i="1"/>
  <c r="BL331" i="1"/>
  <c r="BK331" i="1"/>
  <c r="AX331" i="1"/>
  <c r="AW331" i="1"/>
  <c r="AV331" i="1"/>
  <c r="AU331" i="1"/>
  <c r="AT331" i="1"/>
  <c r="AS331" i="1"/>
  <c r="CH330" i="1"/>
  <c r="DZ330" i="1" s="1"/>
  <c r="ED330" i="1"/>
  <c r="DV330" i="1"/>
  <c r="DM330" i="1"/>
  <c r="DJ330" i="1"/>
  <c r="DI330" i="1"/>
  <c r="AK330" i="1"/>
  <c r="BJ330" i="1"/>
  <c r="CD330" i="1" s="1"/>
  <c r="CC330" i="1"/>
  <c r="CB330" i="1"/>
  <c r="CA330" i="1"/>
  <c r="BZ330" i="1"/>
  <c r="BY330" i="1"/>
  <c r="BX330" i="1"/>
  <c r="BW330" i="1"/>
  <c r="BV330" i="1"/>
  <c r="BU330" i="1"/>
  <c r="BK330" i="1"/>
  <c r="AX330" i="1"/>
  <c r="AU330" i="1"/>
  <c r="CH329" i="1"/>
  <c r="DA329" i="1" s="1"/>
  <c r="DV329" i="1"/>
  <c r="DM329" i="1"/>
  <c r="DL329" i="1"/>
  <c r="AK329" i="1"/>
  <c r="BJ329" i="1"/>
  <c r="CD329" i="1" s="1"/>
  <c r="CC329" i="1"/>
  <c r="CB329" i="1"/>
  <c r="CA329" i="1"/>
  <c r="BZ329" i="1"/>
  <c r="BY329" i="1"/>
  <c r="BX329" i="1"/>
  <c r="BW329" i="1"/>
  <c r="BV329" i="1"/>
  <c r="BU329" i="1"/>
  <c r="AX329" i="1"/>
  <c r="AW329" i="1"/>
  <c r="AV329" i="1"/>
  <c r="AU329" i="1"/>
  <c r="CH328" i="1"/>
  <c r="DU328" i="1" s="1"/>
  <c r="DV328" i="1"/>
  <c r="DR328" i="1"/>
  <c r="DO328" i="1"/>
  <c r="DM328" i="1"/>
  <c r="DH328" i="1"/>
  <c r="AK328" i="1"/>
  <c r="BJ328" i="1"/>
  <c r="CD328" i="1" s="1"/>
  <c r="CC328" i="1"/>
  <c r="CB328" i="1"/>
  <c r="CA328" i="1"/>
  <c r="BZ328" i="1"/>
  <c r="BY328" i="1"/>
  <c r="BX328" i="1"/>
  <c r="BW328" i="1"/>
  <c r="BV328" i="1"/>
  <c r="BU328" i="1"/>
  <c r="BS328" i="1"/>
  <c r="BK328" i="1"/>
  <c r="AX328" i="1"/>
  <c r="AW328" i="1"/>
  <c r="AU328" i="1"/>
  <c r="DW327" i="1"/>
  <c r="EI327" i="1"/>
  <c r="EF327" i="1"/>
  <c r="ED327" i="1"/>
  <c r="EC327" i="1"/>
  <c r="EB327" i="1"/>
  <c r="EA327" i="1"/>
  <c r="DZ327" i="1"/>
  <c r="DY327" i="1"/>
  <c r="DX327" i="1"/>
  <c r="DV327" i="1"/>
  <c r="DM327" i="1"/>
  <c r="DJ327" i="1"/>
  <c r="DI327" i="1"/>
  <c r="DH327" i="1"/>
  <c r="DG327" i="1"/>
  <c r="AK327" i="1"/>
  <c r="DA327" i="1"/>
  <c r="BJ327" i="1"/>
  <c r="CC327" i="1"/>
  <c r="CB327" i="1"/>
  <c r="CA327" i="1"/>
  <c r="BZ327" i="1"/>
  <c r="BY327" i="1"/>
  <c r="BX327" i="1"/>
  <c r="BW327" i="1"/>
  <c r="BV327" i="1"/>
  <c r="BU327" i="1"/>
  <c r="BS327" i="1"/>
  <c r="BN327" i="1"/>
  <c r="BM327" i="1"/>
  <c r="BL327" i="1"/>
  <c r="AX327" i="1"/>
  <c r="CH326" i="1"/>
  <c r="ED326" i="1"/>
  <c r="DV326" i="1"/>
  <c r="DR326" i="1"/>
  <c r="DO326" i="1"/>
  <c r="DM326" i="1"/>
  <c r="DL326" i="1"/>
  <c r="DK326" i="1"/>
  <c r="DJ326" i="1"/>
  <c r="DI326" i="1"/>
  <c r="DH326" i="1"/>
  <c r="DG326" i="1"/>
  <c r="DE326" i="1"/>
  <c r="DD326" i="1"/>
  <c r="DC326" i="1"/>
  <c r="AK326" i="1"/>
  <c r="BJ326" i="1"/>
  <c r="CC326" i="1"/>
  <c r="CB326" i="1"/>
  <c r="CA326" i="1"/>
  <c r="BZ326" i="1"/>
  <c r="BY326" i="1"/>
  <c r="BX326" i="1"/>
  <c r="BW326" i="1"/>
  <c r="BV326" i="1"/>
  <c r="BU326" i="1"/>
  <c r="BS326" i="1"/>
  <c r="BR326" i="1"/>
  <c r="BQ326" i="1"/>
  <c r="BP326" i="1"/>
  <c r="BO326" i="1"/>
  <c r="BN326" i="1"/>
  <c r="BM326" i="1"/>
  <c r="BL326" i="1"/>
  <c r="BK326" i="1"/>
  <c r="AX326" i="1"/>
  <c r="AW326" i="1"/>
  <c r="AV326" i="1"/>
  <c r="AU326" i="1"/>
  <c r="AT326" i="1"/>
  <c r="AS326" i="1"/>
  <c r="CH325" i="1"/>
  <c r="EF325" i="1" s="1"/>
  <c r="ED325" i="1"/>
  <c r="DV325" i="1"/>
  <c r="DR325" i="1"/>
  <c r="DO325" i="1"/>
  <c r="DM325" i="1"/>
  <c r="DL325" i="1"/>
  <c r="DK325" i="1"/>
  <c r="DJ325" i="1"/>
  <c r="DI325" i="1"/>
  <c r="DH325" i="1"/>
  <c r="DG325" i="1"/>
  <c r="DE325" i="1"/>
  <c r="DD325" i="1"/>
  <c r="DC325" i="1"/>
  <c r="AK325" i="1"/>
  <c r="BJ325" i="1"/>
  <c r="CD325" i="1" s="1"/>
  <c r="CC325" i="1"/>
  <c r="CB325" i="1"/>
  <c r="CA325" i="1"/>
  <c r="BZ325" i="1"/>
  <c r="BY325" i="1"/>
  <c r="BX325" i="1"/>
  <c r="BW325" i="1"/>
  <c r="BV325" i="1"/>
  <c r="BU325" i="1"/>
  <c r="BS325" i="1"/>
  <c r="BR325" i="1"/>
  <c r="BQ325" i="1"/>
  <c r="BP325" i="1"/>
  <c r="BO325" i="1"/>
  <c r="BN325" i="1"/>
  <c r="BM325" i="1"/>
  <c r="BL325" i="1"/>
  <c r="BK325" i="1"/>
  <c r="AX325" i="1"/>
  <c r="AW325" i="1"/>
  <c r="AV325" i="1"/>
  <c r="AU325" i="1"/>
  <c r="AT325" i="1"/>
  <c r="AS325" i="1"/>
  <c r="CH324" i="1"/>
  <c r="DT324" i="1" s="1"/>
  <c r="EI324" i="1"/>
  <c r="DV324" i="1"/>
  <c r="DR324" i="1"/>
  <c r="DO324" i="1"/>
  <c r="DM324" i="1"/>
  <c r="DL324" i="1"/>
  <c r="DK324" i="1"/>
  <c r="DJ324" i="1"/>
  <c r="DI324" i="1"/>
  <c r="DH324" i="1"/>
  <c r="DG324" i="1"/>
  <c r="DE324" i="1"/>
  <c r="DD324" i="1"/>
  <c r="DC324" i="1"/>
  <c r="AK324" i="1"/>
  <c r="AR324" i="1" s="1"/>
  <c r="DB324" i="1" s="1"/>
  <c r="DA324" i="1"/>
  <c r="BJ324" i="1"/>
  <c r="CC324" i="1"/>
  <c r="CB324" i="1"/>
  <c r="CA324" i="1"/>
  <c r="BZ324" i="1"/>
  <c r="BY324" i="1"/>
  <c r="BX324" i="1"/>
  <c r="BW324" i="1"/>
  <c r="BV324" i="1"/>
  <c r="BU324" i="1"/>
  <c r="BS324" i="1"/>
  <c r="BR324" i="1"/>
  <c r="BQ324" i="1"/>
  <c r="BP324" i="1"/>
  <c r="BO324" i="1"/>
  <c r="BN324" i="1"/>
  <c r="BM324" i="1"/>
  <c r="BL324" i="1"/>
  <c r="BK324" i="1"/>
  <c r="AX324" i="1"/>
  <c r="AW324" i="1"/>
  <c r="AV324" i="1"/>
  <c r="AU324" i="1"/>
  <c r="AT324" i="1"/>
  <c r="AS324" i="1"/>
  <c r="W324" i="1"/>
  <c r="CH323" i="1"/>
  <c r="DZ323" i="1" s="1"/>
  <c r="DP323" i="1"/>
  <c r="ED323" i="1"/>
  <c r="DV323" i="1"/>
  <c r="DR323" i="1"/>
  <c r="DO323" i="1"/>
  <c r="DN323" i="1"/>
  <c r="DM323" i="1"/>
  <c r="DL323" i="1"/>
  <c r="DK323" i="1"/>
  <c r="DJ323" i="1"/>
  <c r="DI323" i="1"/>
  <c r="DH323" i="1"/>
  <c r="DG323" i="1"/>
  <c r="DE323" i="1"/>
  <c r="DD323" i="1"/>
  <c r="DC323" i="1"/>
  <c r="AK323" i="1"/>
  <c r="AR323" i="1" s="1"/>
  <c r="DB323" i="1" s="1"/>
  <c r="BJ323" i="1"/>
  <c r="BT323" i="1" s="1"/>
  <c r="CC323" i="1"/>
  <c r="CB323" i="1"/>
  <c r="CA323" i="1"/>
  <c r="BZ323" i="1"/>
  <c r="BY323" i="1"/>
  <c r="BX323" i="1"/>
  <c r="BW323" i="1"/>
  <c r="BV323" i="1"/>
  <c r="BU323" i="1"/>
  <c r="BS323" i="1"/>
  <c r="BR323" i="1"/>
  <c r="BQ323" i="1"/>
  <c r="BP323" i="1"/>
  <c r="BO323" i="1"/>
  <c r="BN323" i="1"/>
  <c r="BM323" i="1"/>
  <c r="BL323" i="1"/>
  <c r="BK323" i="1"/>
  <c r="AX323" i="1"/>
  <c r="AV323" i="1"/>
  <c r="AU323" i="1"/>
  <c r="AT323" i="1"/>
  <c r="AS323" i="1"/>
  <c r="W323" i="1"/>
  <c r="CH322" i="1"/>
  <c r="EF322" i="1" s="1"/>
  <c r="ED322" i="1"/>
  <c r="DV322" i="1"/>
  <c r="DO322" i="1"/>
  <c r="DM322" i="1"/>
  <c r="DL322" i="1"/>
  <c r="DJ322" i="1"/>
  <c r="DH322" i="1"/>
  <c r="DE322" i="1"/>
  <c r="DD322" i="1"/>
  <c r="DC322" i="1"/>
  <c r="AK322" i="1"/>
  <c r="BJ322" i="1"/>
  <c r="CD322" i="1" s="1"/>
  <c r="CC322" i="1"/>
  <c r="CB322" i="1"/>
  <c r="CA322" i="1"/>
  <c r="BZ322" i="1"/>
  <c r="BY322" i="1"/>
  <c r="BX322" i="1"/>
  <c r="BW322" i="1"/>
  <c r="BV322" i="1"/>
  <c r="BU322" i="1"/>
  <c r="BR322" i="1"/>
  <c r="BQ322" i="1"/>
  <c r="BP322" i="1"/>
  <c r="BN322" i="1"/>
  <c r="BL322" i="1"/>
  <c r="AX322" i="1"/>
  <c r="AV322" i="1"/>
  <c r="AU322" i="1"/>
  <c r="AS322" i="1"/>
  <c r="CH321" i="1"/>
  <c r="DA321" i="1" s="1"/>
  <c r="ED321" i="1"/>
  <c r="DV321" i="1"/>
  <c r="DM321" i="1"/>
  <c r="DH321" i="1"/>
  <c r="DG321" i="1"/>
  <c r="AK321" i="1"/>
  <c r="BJ321" i="1"/>
  <c r="CD321" i="1" s="1"/>
  <c r="CC321" i="1"/>
  <c r="CB321" i="1"/>
  <c r="CA321" i="1"/>
  <c r="BZ321" i="1"/>
  <c r="BY321" i="1"/>
  <c r="BX321" i="1"/>
  <c r="BW321" i="1"/>
  <c r="BV321" i="1"/>
  <c r="BU321" i="1"/>
  <c r="BS321" i="1"/>
  <c r="BR321" i="1"/>
  <c r="AX321" i="1"/>
  <c r="AU321" i="1"/>
  <c r="CH320" i="1"/>
  <c r="EI320" i="1" s="1"/>
  <c r="ED320" i="1"/>
  <c r="DV320" i="1"/>
  <c r="DM320" i="1"/>
  <c r="AK320" i="1"/>
  <c r="BJ320" i="1"/>
  <c r="CC320" i="1"/>
  <c r="CB320" i="1"/>
  <c r="CA320" i="1"/>
  <c r="BZ320" i="1"/>
  <c r="BY320" i="1"/>
  <c r="BX320" i="1"/>
  <c r="BW320" i="1"/>
  <c r="BV320" i="1"/>
  <c r="BU320" i="1"/>
  <c r="AX320" i="1"/>
  <c r="AS320" i="1"/>
  <c r="CH319" i="1"/>
  <c r="ED319" i="1"/>
  <c r="DV319" i="1"/>
  <c r="DU319" i="1"/>
  <c r="DM319" i="1"/>
  <c r="DJ319" i="1"/>
  <c r="DH319" i="1"/>
  <c r="DD319" i="1"/>
  <c r="AK319" i="1"/>
  <c r="BJ319" i="1"/>
  <c r="CD319" i="1" s="1"/>
  <c r="CC319" i="1"/>
  <c r="CB319" i="1"/>
  <c r="CA319" i="1"/>
  <c r="BZ319" i="1"/>
  <c r="BY319" i="1"/>
  <c r="BX319" i="1"/>
  <c r="BW319" i="1"/>
  <c r="BV319" i="1"/>
  <c r="BU319" i="1"/>
  <c r="BN319" i="1"/>
  <c r="BL319" i="1"/>
  <c r="BK319" i="1"/>
  <c r="AX319" i="1"/>
  <c r="AU319" i="1"/>
  <c r="CH318" i="1"/>
  <c r="ED318" i="1"/>
  <c r="DV318" i="1"/>
  <c r="DM318" i="1"/>
  <c r="AK318" i="1"/>
  <c r="BJ318" i="1"/>
  <c r="CD318" i="1" s="1"/>
  <c r="CC318" i="1"/>
  <c r="CB318" i="1"/>
  <c r="CA318" i="1"/>
  <c r="BZ318" i="1"/>
  <c r="BY318" i="1"/>
  <c r="BX318" i="1"/>
  <c r="BW318" i="1"/>
  <c r="BV318" i="1"/>
  <c r="BU318" i="1"/>
  <c r="AX318" i="1"/>
  <c r="AU318" i="1"/>
  <c r="CH317" i="1"/>
  <c r="ED317" i="1"/>
  <c r="DV317" i="1"/>
  <c r="DR317" i="1"/>
  <c r="DM317" i="1"/>
  <c r="DK317" i="1"/>
  <c r="DJ317" i="1"/>
  <c r="DI317" i="1"/>
  <c r="DG317" i="1"/>
  <c r="DD317" i="1"/>
  <c r="AK317" i="1"/>
  <c r="AR317" i="1" s="1"/>
  <c r="DB317" i="1" s="1"/>
  <c r="BJ317" i="1"/>
  <c r="CD317" i="1" s="1"/>
  <c r="CC317" i="1"/>
  <c r="CB317" i="1"/>
  <c r="CA317" i="1"/>
  <c r="BZ317" i="1"/>
  <c r="BY317" i="1"/>
  <c r="BX317" i="1"/>
  <c r="BW317" i="1"/>
  <c r="BV317" i="1"/>
  <c r="BU317" i="1"/>
  <c r="BR317" i="1"/>
  <c r="BP317" i="1"/>
  <c r="BN317" i="1"/>
  <c r="BM317" i="1"/>
  <c r="BL317" i="1"/>
  <c r="AX317" i="1"/>
  <c r="AV317" i="1"/>
  <c r="AT317" i="1"/>
  <c r="AS317" i="1"/>
  <c r="CH316" i="1"/>
  <c r="ED316" i="1"/>
  <c r="DV316" i="1"/>
  <c r="DR316" i="1"/>
  <c r="DO316" i="1"/>
  <c r="DM316" i="1"/>
  <c r="DL316" i="1"/>
  <c r="DJ316" i="1"/>
  <c r="DH316" i="1"/>
  <c r="DE316" i="1"/>
  <c r="DC316" i="1"/>
  <c r="AK316" i="1"/>
  <c r="BJ316" i="1"/>
  <c r="CD316" i="1" s="1"/>
  <c r="CC316" i="1"/>
  <c r="CB316" i="1"/>
  <c r="CA316" i="1"/>
  <c r="BZ316" i="1"/>
  <c r="BY316" i="1"/>
  <c r="BX316" i="1"/>
  <c r="BW316" i="1"/>
  <c r="BV316" i="1"/>
  <c r="BU316" i="1"/>
  <c r="BS316" i="1"/>
  <c r="BR316" i="1"/>
  <c r="BP316" i="1"/>
  <c r="BN316" i="1"/>
  <c r="BM316" i="1"/>
  <c r="BL316" i="1"/>
  <c r="BK316" i="1"/>
  <c r="AX316" i="1"/>
  <c r="AV316" i="1"/>
  <c r="AT316" i="1"/>
  <c r="AS316" i="1"/>
  <c r="W316" i="1"/>
  <c r="CH315" i="1"/>
  <c r="EF315" i="1" s="1"/>
  <c r="ED315" i="1"/>
  <c r="DV315" i="1"/>
  <c r="DR315" i="1"/>
  <c r="DO315" i="1"/>
  <c r="DM315" i="1"/>
  <c r="DL315" i="1"/>
  <c r="DJ315" i="1"/>
  <c r="DI315" i="1"/>
  <c r="DH315" i="1"/>
  <c r="DE315" i="1"/>
  <c r="DD315" i="1"/>
  <c r="DC315" i="1"/>
  <c r="AK315" i="1"/>
  <c r="AR315" i="1" s="1"/>
  <c r="DB315" i="1" s="1"/>
  <c r="BJ315" i="1"/>
  <c r="BT315" i="1" s="1"/>
  <c r="CC315" i="1"/>
  <c r="CB315" i="1"/>
  <c r="CA315" i="1"/>
  <c r="BZ315" i="1"/>
  <c r="BY315" i="1"/>
  <c r="BX315" i="1"/>
  <c r="BW315" i="1"/>
  <c r="BV315" i="1"/>
  <c r="BU315" i="1"/>
  <c r="BS315" i="1"/>
  <c r="BR315" i="1"/>
  <c r="BQ315" i="1"/>
  <c r="BP315" i="1"/>
  <c r="BO315" i="1"/>
  <c r="BN315" i="1"/>
  <c r="BM315" i="1"/>
  <c r="BL315" i="1"/>
  <c r="BK315" i="1"/>
  <c r="AX315" i="1"/>
  <c r="AW315" i="1"/>
  <c r="AV315" i="1"/>
  <c r="AU315" i="1"/>
  <c r="AT315" i="1"/>
  <c r="AS315" i="1"/>
  <c r="W315" i="1"/>
  <c r="CH314" i="1"/>
  <c r="ED314" i="1"/>
  <c r="DV314" i="1"/>
  <c r="DM314" i="1"/>
  <c r="AK314" i="1"/>
  <c r="BJ314" i="1"/>
  <c r="CD314" i="1" s="1"/>
  <c r="CC314" i="1"/>
  <c r="CB314" i="1"/>
  <c r="CA314" i="1"/>
  <c r="BZ314" i="1"/>
  <c r="BY314" i="1"/>
  <c r="BX314" i="1"/>
  <c r="BW314" i="1"/>
  <c r="BV314" i="1"/>
  <c r="BU314" i="1"/>
  <c r="AX314" i="1"/>
  <c r="AU314" i="1"/>
  <c r="CH313" i="1"/>
  <c r="DV313" i="1"/>
  <c r="DO313" i="1"/>
  <c r="DM313" i="1"/>
  <c r="DL313" i="1"/>
  <c r="DD313" i="1"/>
  <c r="DC313" i="1"/>
  <c r="AK313" i="1"/>
  <c r="BJ313" i="1"/>
  <c r="CC313" i="1"/>
  <c r="CB313" i="1"/>
  <c r="CA313" i="1"/>
  <c r="BZ313" i="1"/>
  <c r="BY313" i="1"/>
  <c r="BX313" i="1"/>
  <c r="BW313" i="1"/>
  <c r="BV313" i="1"/>
  <c r="BU313" i="1"/>
  <c r="BQ313" i="1"/>
  <c r="BP313" i="1"/>
  <c r="BN313" i="1"/>
  <c r="AX313" i="1"/>
  <c r="AW313" i="1"/>
  <c r="AV313" i="1"/>
  <c r="AU313" i="1"/>
  <c r="AT313" i="1"/>
  <c r="AS313" i="1"/>
  <c r="CH312" i="1"/>
  <c r="DY312" i="1" s="1"/>
  <c r="EI312" i="1"/>
  <c r="DV312" i="1"/>
  <c r="DR312" i="1"/>
  <c r="AK312" i="1"/>
  <c r="DA312" i="1"/>
  <c r="BJ312" i="1"/>
  <c r="CD312" i="1" s="1"/>
  <c r="CC312" i="1"/>
  <c r="CB312" i="1"/>
  <c r="CA312" i="1"/>
  <c r="BZ312" i="1"/>
  <c r="BY312" i="1"/>
  <c r="BX312" i="1"/>
  <c r="BW312" i="1"/>
  <c r="BV312" i="1"/>
  <c r="BU312" i="1"/>
  <c r="AX312" i="1"/>
  <c r="AU312" i="1"/>
  <c r="CH311" i="1"/>
  <c r="ED311" i="1"/>
  <c r="DV311" i="1"/>
  <c r="DM311" i="1"/>
  <c r="AK311" i="1"/>
  <c r="AR311" i="1" s="1"/>
  <c r="DB311" i="1" s="1"/>
  <c r="BJ311" i="1"/>
  <c r="BT311" i="1" s="1"/>
  <c r="CC311" i="1"/>
  <c r="CB311" i="1"/>
  <c r="CA311" i="1"/>
  <c r="BZ311" i="1"/>
  <c r="BY311" i="1"/>
  <c r="BX311" i="1"/>
  <c r="BW311" i="1"/>
  <c r="BV311" i="1"/>
  <c r="BU311" i="1"/>
  <c r="BK311" i="1"/>
  <c r="AX311" i="1"/>
  <c r="AU311" i="1"/>
  <c r="AS311" i="1"/>
  <c r="CH310" i="1"/>
  <c r="DA310" i="1" s="1"/>
  <c r="ED310" i="1"/>
  <c r="DV310" i="1"/>
  <c r="DM310" i="1"/>
  <c r="AK310" i="1"/>
  <c r="AR310" i="1" s="1"/>
  <c r="DB310" i="1" s="1"/>
  <c r="BJ310" i="1"/>
  <c r="CD310" i="1" s="1"/>
  <c r="CC310" i="1"/>
  <c r="CB310" i="1"/>
  <c r="CA310" i="1"/>
  <c r="BZ310" i="1"/>
  <c r="BY310" i="1"/>
  <c r="BX310" i="1"/>
  <c r="BW310" i="1"/>
  <c r="BV310" i="1"/>
  <c r="BU310" i="1"/>
  <c r="AX310" i="1"/>
  <c r="AS310" i="1"/>
  <c r="CH309" i="1"/>
  <c r="EF309" i="1" s="1"/>
  <c r="ED309" i="1"/>
  <c r="DV309" i="1"/>
  <c r="DM309" i="1"/>
  <c r="DJ309" i="1"/>
  <c r="DI309" i="1"/>
  <c r="DH309" i="1"/>
  <c r="DD309" i="1"/>
  <c r="AK309" i="1"/>
  <c r="AR309" i="1" s="1"/>
  <c r="DB309" i="1" s="1"/>
  <c r="BJ309" i="1"/>
  <c r="BT309" i="1" s="1"/>
  <c r="CC309" i="1"/>
  <c r="CB309" i="1"/>
  <c r="CA309" i="1"/>
  <c r="BZ309" i="1"/>
  <c r="BY309" i="1"/>
  <c r="BX309" i="1"/>
  <c r="BW309" i="1"/>
  <c r="BV309" i="1"/>
  <c r="BU309" i="1"/>
  <c r="BR309" i="1"/>
  <c r="BP309" i="1"/>
  <c r="BO309" i="1"/>
  <c r="BN309" i="1"/>
  <c r="BM309" i="1"/>
  <c r="BL309" i="1"/>
  <c r="AX309" i="1"/>
  <c r="AV309" i="1"/>
  <c r="AU309" i="1"/>
  <c r="AT309" i="1"/>
  <c r="AS309" i="1"/>
  <c r="W309" i="1"/>
  <c r="DV308" i="1"/>
  <c r="DR308" i="1"/>
  <c r="DO308" i="1"/>
  <c r="DL308" i="1"/>
  <c r="DJ308" i="1"/>
  <c r="DI308" i="1"/>
  <c r="DH308" i="1"/>
  <c r="AK308" i="1"/>
  <c r="AR308" i="1" s="1"/>
  <c r="DB308" i="1" s="1"/>
  <c r="BJ308" i="1"/>
  <c r="BT308" i="1" s="1"/>
  <c r="CC308" i="1"/>
  <c r="CB308" i="1"/>
  <c r="CA308" i="1"/>
  <c r="BZ308" i="1"/>
  <c r="BY308" i="1"/>
  <c r="BX308" i="1"/>
  <c r="BW308" i="1"/>
  <c r="BV308" i="1"/>
  <c r="BU308" i="1"/>
  <c r="BR308" i="1"/>
  <c r="BQ308" i="1"/>
  <c r="BP308" i="1"/>
  <c r="BO308" i="1"/>
  <c r="BN308" i="1"/>
  <c r="BL308" i="1"/>
  <c r="AX308" i="1"/>
  <c r="AW308" i="1"/>
  <c r="AV308" i="1"/>
  <c r="AU308" i="1"/>
  <c r="AT308" i="1"/>
  <c r="W308" i="1"/>
  <c r="CH307" i="1"/>
  <c r="EC307" i="1" s="1"/>
  <c r="ED307" i="1"/>
  <c r="DV307" i="1"/>
  <c r="DO307" i="1"/>
  <c r="DM307" i="1"/>
  <c r="DL307" i="1"/>
  <c r="DJ307" i="1"/>
  <c r="DI307" i="1"/>
  <c r="DH307" i="1"/>
  <c r="DE307" i="1"/>
  <c r="DD307" i="1"/>
  <c r="DC307" i="1"/>
  <c r="AK307" i="1"/>
  <c r="AR307" i="1" s="1"/>
  <c r="DB307" i="1" s="1"/>
  <c r="BJ307" i="1"/>
  <c r="BT307" i="1" s="1"/>
  <c r="CC307" i="1"/>
  <c r="CB307" i="1"/>
  <c r="CA307" i="1"/>
  <c r="BZ307" i="1"/>
  <c r="BY307" i="1"/>
  <c r="BX307" i="1"/>
  <c r="BW307" i="1"/>
  <c r="BV307" i="1"/>
  <c r="BU307" i="1"/>
  <c r="BS307" i="1"/>
  <c r="BR307" i="1"/>
  <c r="BQ307" i="1"/>
  <c r="BP307" i="1"/>
  <c r="BO307" i="1"/>
  <c r="BN307" i="1"/>
  <c r="BM307" i="1"/>
  <c r="BL307" i="1"/>
  <c r="BK307" i="1"/>
  <c r="AX307" i="1"/>
  <c r="AW307" i="1"/>
  <c r="AV307" i="1"/>
  <c r="AU307" i="1"/>
  <c r="AT307" i="1"/>
  <c r="AS307" i="1"/>
  <c r="W307" i="1"/>
  <c r="CH306" i="1"/>
  <c r="ED306" i="1"/>
  <c r="DV306" i="1"/>
  <c r="DO306" i="1"/>
  <c r="DM306" i="1"/>
  <c r="DL306" i="1"/>
  <c r="DH306" i="1"/>
  <c r="DE306" i="1"/>
  <c r="DD306" i="1"/>
  <c r="DC306" i="1"/>
  <c r="AK306" i="1"/>
  <c r="BJ306" i="1"/>
  <c r="CC306" i="1"/>
  <c r="CB306" i="1"/>
  <c r="CA306" i="1"/>
  <c r="BZ306" i="1"/>
  <c r="BY306" i="1"/>
  <c r="BX306" i="1"/>
  <c r="BW306" i="1"/>
  <c r="BV306" i="1"/>
  <c r="BU306" i="1"/>
  <c r="BS306" i="1"/>
  <c r="BR306" i="1"/>
  <c r="BQ306" i="1"/>
  <c r="BP306" i="1"/>
  <c r="BN306" i="1"/>
  <c r="BL306" i="1"/>
  <c r="BK306" i="1"/>
  <c r="AX306" i="1"/>
  <c r="AW306" i="1"/>
  <c r="AV306" i="1"/>
  <c r="AT306" i="1"/>
  <c r="AS306" i="1"/>
  <c r="W306" i="1"/>
  <c r="CH305" i="1"/>
  <c r="EC305" i="1" s="1"/>
  <c r="ED305" i="1"/>
  <c r="DV305" i="1"/>
  <c r="DR305" i="1"/>
  <c r="DM305" i="1"/>
  <c r="DJ305" i="1"/>
  <c r="DI305" i="1"/>
  <c r="DH305" i="1"/>
  <c r="AK305" i="1"/>
  <c r="AR305" i="1" s="1"/>
  <c r="DB305" i="1" s="1"/>
  <c r="BJ305" i="1"/>
  <c r="CC305" i="1"/>
  <c r="CB305" i="1"/>
  <c r="CA305" i="1"/>
  <c r="BZ305" i="1"/>
  <c r="BY305" i="1"/>
  <c r="BX305" i="1"/>
  <c r="BW305" i="1"/>
  <c r="BV305" i="1"/>
  <c r="BU305" i="1"/>
  <c r="BS305" i="1"/>
  <c r="BN305" i="1"/>
  <c r="BM305" i="1"/>
  <c r="BL305" i="1"/>
  <c r="BK305" i="1"/>
  <c r="AX305" i="1"/>
  <c r="AT305" i="1"/>
  <c r="AS305" i="1"/>
  <c r="W305" i="1"/>
  <c r="CH304" i="1"/>
  <c r="DT304" i="1" s="1"/>
  <c r="ED304" i="1"/>
  <c r="DV304" i="1"/>
  <c r="DM304" i="1"/>
  <c r="AK304" i="1"/>
  <c r="BJ304" i="1"/>
  <c r="CD304" i="1" s="1"/>
  <c r="CC304" i="1"/>
  <c r="CB304" i="1"/>
  <c r="CA304" i="1"/>
  <c r="BZ304" i="1"/>
  <c r="BY304" i="1"/>
  <c r="BX304" i="1"/>
  <c r="BW304" i="1"/>
  <c r="BV304" i="1"/>
  <c r="BU304" i="1"/>
  <c r="AX304" i="1"/>
  <c r="AS304" i="1"/>
  <c r="CH303" i="1"/>
  <c r="EI303" i="1" s="1"/>
  <c r="DV303" i="1"/>
  <c r="DM303" i="1"/>
  <c r="DL303" i="1"/>
  <c r="AK303" i="1"/>
  <c r="BJ303" i="1"/>
  <c r="CC303" i="1"/>
  <c r="CB303" i="1"/>
  <c r="CA303" i="1"/>
  <c r="BZ303" i="1"/>
  <c r="BY303" i="1"/>
  <c r="BX303" i="1"/>
  <c r="BW303" i="1"/>
  <c r="BV303" i="1"/>
  <c r="BU303" i="1"/>
  <c r="BO303" i="1"/>
  <c r="BN303" i="1"/>
  <c r="BM303" i="1"/>
  <c r="AX303" i="1"/>
  <c r="AU303" i="1"/>
  <c r="AS303" i="1"/>
  <c r="W303" i="1"/>
  <c r="CH302" i="1"/>
  <c r="ED302" i="1"/>
  <c r="DV302" i="1"/>
  <c r="DM302" i="1"/>
  <c r="AK302" i="1"/>
  <c r="BJ302" i="1"/>
  <c r="CD302" i="1" s="1"/>
  <c r="CC302" i="1"/>
  <c r="CB302" i="1"/>
  <c r="CA302" i="1"/>
  <c r="BZ302" i="1"/>
  <c r="BY302" i="1"/>
  <c r="BX302" i="1"/>
  <c r="BW302" i="1"/>
  <c r="BV302" i="1"/>
  <c r="BU302" i="1"/>
  <c r="AX302" i="1"/>
  <c r="AU302" i="1"/>
  <c r="AS302" i="1"/>
  <c r="CH301" i="1"/>
  <c r="EF301" i="1" s="1"/>
  <c r="ED301" i="1"/>
  <c r="DV301" i="1"/>
  <c r="DM301" i="1"/>
  <c r="AK301" i="1"/>
  <c r="BJ301" i="1"/>
  <c r="CC301" i="1"/>
  <c r="CB301" i="1"/>
  <c r="CA301" i="1"/>
  <c r="BZ301" i="1"/>
  <c r="BY301" i="1"/>
  <c r="BX301" i="1"/>
  <c r="BW301" i="1"/>
  <c r="BV301" i="1"/>
  <c r="BU301" i="1"/>
  <c r="AX301" i="1"/>
  <c r="AU301" i="1"/>
  <c r="CH300" i="1"/>
  <c r="EC300" i="1" s="1"/>
  <c r="ED300" i="1"/>
  <c r="DV300" i="1"/>
  <c r="DR300" i="1"/>
  <c r="DO300" i="1"/>
  <c r="DM300" i="1"/>
  <c r="DI300" i="1"/>
  <c r="DH300" i="1"/>
  <c r="DE300" i="1"/>
  <c r="DC300" i="1"/>
  <c r="AK300" i="1"/>
  <c r="AR300" i="1" s="1"/>
  <c r="DB300" i="1" s="1"/>
  <c r="BJ300" i="1"/>
  <c r="CC300" i="1"/>
  <c r="CB300" i="1"/>
  <c r="CA300" i="1"/>
  <c r="BZ300" i="1"/>
  <c r="BY300" i="1"/>
  <c r="BX300" i="1"/>
  <c r="BW300" i="1"/>
  <c r="BV300" i="1"/>
  <c r="BU300" i="1"/>
  <c r="BR300" i="1"/>
  <c r="BQ300" i="1"/>
  <c r="BP300" i="1"/>
  <c r="BO300" i="1"/>
  <c r="BN300" i="1"/>
  <c r="BL300" i="1"/>
  <c r="AX300" i="1"/>
  <c r="AW300" i="1"/>
  <c r="AV300" i="1"/>
  <c r="AU300" i="1"/>
  <c r="AS300" i="1"/>
  <c r="CH299" i="1"/>
  <c r="EI299" i="1" s="1"/>
  <c r="DV299" i="1"/>
  <c r="DR299" i="1"/>
  <c r="DO299" i="1"/>
  <c r="DM299" i="1"/>
  <c r="DL299" i="1"/>
  <c r="DI299" i="1"/>
  <c r="DH299" i="1"/>
  <c r="DE299" i="1"/>
  <c r="DD299" i="1"/>
  <c r="DC299" i="1"/>
  <c r="AK299" i="1"/>
  <c r="AR299" i="1" s="1"/>
  <c r="DB299" i="1" s="1"/>
  <c r="BJ299" i="1"/>
  <c r="CD299" i="1" s="1"/>
  <c r="CC299" i="1"/>
  <c r="CB299" i="1"/>
  <c r="CA299" i="1"/>
  <c r="BZ299" i="1"/>
  <c r="BY299" i="1"/>
  <c r="BX299" i="1"/>
  <c r="BW299" i="1"/>
  <c r="BV299" i="1"/>
  <c r="BU299" i="1"/>
  <c r="BS299" i="1"/>
  <c r="BR299" i="1"/>
  <c r="BQ299" i="1"/>
  <c r="BP299" i="1"/>
  <c r="BO299" i="1"/>
  <c r="BN299" i="1"/>
  <c r="BM299" i="1"/>
  <c r="BL299" i="1"/>
  <c r="BK299" i="1"/>
  <c r="AX299" i="1"/>
  <c r="AW299" i="1"/>
  <c r="AV299" i="1"/>
  <c r="AU299" i="1"/>
  <c r="AS299" i="1"/>
  <c r="W299" i="1"/>
  <c r="ED298" i="1"/>
  <c r="DV298" i="1"/>
  <c r="DM298" i="1"/>
  <c r="AK298" i="1"/>
  <c r="BJ298" i="1"/>
  <c r="CD298" i="1" s="1"/>
  <c r="CC298" i="1"/>
  <c r="CB298" i="1"/>
  <c r="CA298" i="1"/>
  <c r="BZ298" i="1"/>
  <c r="BY298" i="1"/>
  <c r="BX298" i="1"/>
  <c r="BW298" i="1"/>
  <c r="BV298" i="1"/>
  <c r="BU298" i="1"/>
  <c r="BK298" i="1"/>
  <c r="AX298" i="1"/>
  <c r="ED297" i="1"/>
  <c r="DV297" i="1"/>
  <c r="DR297" i="1"/>
  <c r="DO297" i="1"/>
  <c r="DM297" i="1"/>
  <c r="DI297" i="1"/>
  <c r="DH297" i="1"/>
  <c r="DG297" i="1"/>
  <c r="DE297" i="1"/>
  <c r="DD297" i="1"/>
  <c r="AK297" i="1"/>
  <c r="AR297" i="1" s="1"/>
  <c r="DB297" i="1" s="1"/>
  <c r="BJ297" i="1"/>
  <c r="CC297" i="1"/>
  <c r="CB297" i="1"/>
  <c r="CA297" i="1"/>
  <c r="BZ297" i="1"/>
  <c r="BY297" i="1"/>
  <c r="BX297" i="1"/>
  <c r="BW297" i="1"/>
  <c r="BV297" i="1"/>
  <c r="BU297" i="1"/>
  <c r="BS297" i="1"/>
  <c r="BQ297" i="1"/>
  <c r="BP297" i="1"/>
  <c r="BO297" i="1"/>
  <c r="BN297" i="1"/>
  <c r="BM297" i="1"/>
  <c r="BL297" i="1"/>
  <c r="BK297" i="1"/>
  <c r="AX297" i="1"/>
  <c r="AW297" i="1"/>
  <c r="AV297" i="1"/>
  <c r="AU297" i="1"/>
  <c r="AT297" i="1"/>
  <c r="AS297" i="1"/>
  <c r="W297" i="1"/>
  <c r="CH296" i="1"/>
  <c r="ED296" i="1"/>
  <c r="DV296" i="1"/>
  <c r="DO296" i="1"/>
  <c r="DM296" i="1"/>
  <c r="DD296" i="1"/>
  <c r="DC296" i="1"/>
  <c r="AK296" i="1"/>
  <c r="AR296" i="1" s="1"/>
  <c r="DB296" i="1" s="1"/>
  <c r="BJ296" i="1"/>
  <c r="CC296" i="1"/>
  <c r="CB296" i="1"/>
  <c r="CA296" i="1"/>
  <c r="BZ296" i="1"/>
  <c r="BY296" i="1"/>
  <c r="BX296" i="1"/>
  <c r="BW296" i="1"/>
  <c r="BV296" i="1"/>
  <c r="BU296" i="1"/>
  <c r="BP296" i="1"/>
  <c r="BK296" i="1"/>
  <c r="AX296" i="1"/>
  <c r="AW296" i="1"/>
  <c r="CH295" i="1"/>
  <c r="DA295" i="1" s="1"/>
  <c r="DV295" i="1"/>
  <c r="DR295" i="1"/>
  <c r="AK295" i="1"/>
  <c r="BJ295" i="1"/>
  <c r="CC295" i="1"/>
  <c r="CB295" i="1"/>
  <c r="CA295" i="1"/>
  <c r="BZ295" i="1"/>
  <c r="BY295" i="1"/>
  <c r="BX295" i="1"/>
  <c r="BW295" i="1"/>
  <c r="BV295" i="1"/>
  <c r="BU295" i="1"/>
  <c r="BS295" i="1"/>
  <c r="BR295" i="1"/>
  <c r="AX295" i="1"/>
  <c r="AU295" i="1"/>
  <c r="CH294" i="1"/>
  <c r="EI294" i="1" s="1"/>
  <c r="DV294" i="1"/>
  <c r="DD294" i="1"/>
  <c r="DC294" i="1"/>
  <c r="AK294" i="1"/>
  <c r="AR294" i="1" s="1"/>
  <c r="DB294" i="1" s="1"/>
  <c r="BJ294" i="1"/>
  <c r="CC294" i="1"/>
  <c r="CB294" i="1"/>
  <c r="CA294" i="1"/>
  <c r="BZ294" i="1"/>
  <c r="BY294" i="1"/>
  <c r="BX294" i="1"/>
  <c r="BW294" i="1"/>
  <c r="BV294" i="1"/>
  <c r="BU294" i="1"/>
  <c r="AX294" i="1"/>
  <c r="AU294" i="1"/>
  <c r="CH293" i="1"/>
  <c r="DV293" i="1"/>
  <c r="DR293" i="1"/>
  <c r="DO293" i="1"/>
  <c r="DM293" i="1"/>
  <c r="DL293" i="1"/>
  <c r="DI293" i="1"/>
  <c r="DH293" i="1"/>
  <c r="DE293" i="1"/>
  <c r="DD293" i="1"/>
  <c r="DC293" i="1"/>
  <c r="AK293" i="1"/>
  <c r="AR293" i="1" s="1"/>
  <c r="DB293" i="1" s="1"/>
  <c r="BJ293" i="1"/>
  <c r="BT293" i="1" s="1"/>
  <c r="CC293" i="1"/>
  <c r="CB293" i="1"/>
  <c r="CA293" i="1"/>
  <c r="BZ293" i="1"/>
  <c r="BY293" i="1"/>
  <c r="BX293" i="1"/>
  <c r="BW293" i="1"/>
  <c r="BV293" i="1"/>
  <c r="BU293" i="1"/>
  <c r="BS293" i="1"/>
  <c r="BR293" i="1"/>
  <c r="BQ293" i="1"/>
  <c r="BP293" i="1"/>
  <c r="BO293" i="1"/>
  <c r="BN293" i="1"/>
  <c r="BM293" i="1"/>
  <c r="BL293" i="1"/>
  <c r="BK293" i="1"/>
  <c r="AX293" i="1"/>
  <c r="AW293" i="1"/>
  <c r="AV293" i="1"/>
  <c r="AU293" i="1"/>
  <c r="AT293" i="1"/>
  <c r="AS293" i="1"/>
  <c r="W293" i="1"/>
  <c r="CH292" i="1"/>
  <c r="DV292" i="1"/>
  <c r="DR292" i="1"/>
  <c r="DO292" i="1"/>
  <c r="DM292" i="1"/>
  <c r="DL292" i="1"/>
  <c r="DJ292" i="1"/>
  <c r="DI292" i="1"/>
  <c r="DH292" i="1"/>
  <c r="DG292" i="1"/>
  <c r="DE292" i="1"/>
  <c r="DD292" i="1"/>
  <c r="DC292" i="1"/>
  <c r="AK292" i="1"/>
  <c r="AR292" i="1" s="1"/>
  <c r="DB292" i="1" s="1"/>
  <c r="BJ292" i="1"/>
  <c r="CC292" i="1"/>
  <c r="CB292" i="1"/>
  <c r="CA292" i="1"/>
  <c r="BZ292" i="1"/>
  <c r="BY292" i="1"/>
  <c r="BX292" i="1"/>
  <c r="BW292" i="1"/>
  <c r="BV292" i="1"/>
  <c r="BU292" i="1"/>
  <c r="BS292" i="1"/>
  <c r="BR292" i="1"/>
  <c r="BQ292" i="1"/>
  <c r="BP292" i="1"/>
  <c r="BO292" i="1"/>
  <c r="BN292" i="1"/>
  <c r="BM292" i="1"/>
  <c r="BL292" i="1"/>
  <c r="BK292" i="1"/>
  <c r="AX292" i="1"/>
  <c r="AW292" i="1"/>
  <c r="AV292" i="1"/>
  <c r="AU292" i="1"/>
  <c r="AT292" i="1"/>
  <c r="AS292" i="1"/>
  <c r="W292" i="1"/>
  <c r="CH291" i="1"/>
  <c r="DT291" i="1" s="1"/>
  <c r="ED291" i="1"/>
  <c r="DV291" i="1"/>
  <c r="DR291" i="1"/>
  <c r="DO291" i="1"/>
  <c r="DM291" i="1"/>
  <c r="DL291" i="1"/>
  <c r="DK291" i="1"/>
  <c r="DI291" i="1"/>
  <c r="DH291" i="1"/>
  <c r="DE291" i="1"/>
  <c r="DD291" i="1"/>
  <c r="DC291" i="1"/>
  <c r="AK291" i="1"/>
  <c r="AR291" i="1" s="1"/>
  <c r="DB291" i="1" s="1"/>
  <c r="BJ291" i="1"/>
  <c r="CD291" i="1" s="1"/>
  <c r="CC291" i="1"/>
  <c r="CB291" i="1"/>
  <c r="CA291" i="1"/>
  <c r="BZ291" i="1"/>
  <c r="BY291" i="1"/>
  <c r="BX291" i="1"/>
  <c r="BW291" i="1"/>
  <c r="BV291" i="1"/>
  <c r="BU291" i="1"/>
  <c r="BS291" i="1"/>
  <c r="BR291" i="1"/>
  <c r="BQ291" i="1"/>
  <c r="BP291" i="1"/>
  <c r="BO291" i="1"/>
  <c r="BN291" i="1"/>
  <c r="BM291" i="1"/>
  <c r="BL291" i="1"/>
  <c r="BK291" i="1"/>
  <c r="AX291" i="1"/>
  <c r="AW291" i="1"/>
  <c r="AV291" i="1"/>
  <c r="AU291" i="1"/>
  <c r="AT291" i="1"/>
  <c r="AS291" i="1"/>
  <c r="W291" i="1"/>
  <c r="CH289" i="1"/>
  <c r="ED289" i="1"/>
  <c r="DV289" i="1"/>
  <c r="DR289" i="1"/>
  <c r="DO289" i="1"/>
  <c r="DM289" i="1"/>
  <c r="DL289" i="1"/>
  <c r="DJ289" i="1"/>
  <c r="DI289" i="1"/>
  <c r="DH289" i="1"/>
  <c r="DE289" i="1"/>
  <c r="DD289" i="1"/>
  <c r="DC289" i="1"/>
  <c r="AK289" i="1"/>
  <c r="AR289" i="1" s="1"/>
  <c r="DB289" i="1" s="1"/>
  <c r="BJ289" i="1"/>
  <c r="CC289" i="1"/>
  <c r="CB289" i="1"/>
  <c r="CA289" i="1"/>
  <c r="BZ289" i="1"/>
  <c r="BY289" i="1"/>
  <c r="BX289" i="1"/>
  <c r="BW289" i="1"/>
  <c r="BV289" i="1"/>
  <c r="BU289" i="1"/>
  <c r="BS289" i="1"/>
  <c r="BR289" i="1"/>
  <c r="BQ289" i="1"/>
  <c r="BP289" i="1"/>
  <c r="BO289" i="1"/>
  <c r="BN289" i="1"/>
  <c r="BM289" i="1"/>
  <c r="BL289" i="1"/>
  <c r="BK289" i="1"/>
  <c r="AX289" i="1"/>
  <c r="AW289" i="1"/>
  <c r="AV289" i="1"/>
  <c r="AT289" i="1"/>
  <c r="AS289" i="1"/>
  <c r="W289" i="1"/>
  <c r="CH288" i="1"/>
  <c r="DV288" i="1"/>
  <c r="DR288" i="1"/>
  <c r="DO288" i="1"/>
  <c r="DM288" i="1"/>
  <c r="DL288" i="1"/>
  <c r="DJ288" i="1"/>
  <c r="DI288" i="1"/>
  <c r="DH288" i="1"/>
  <c r="DE288" i="1"/>
  <c r="DD288" i="1"/>
  <c r="DC288" i="1"/>
  <c r="AK288" i="1"/>
  <c r="AR288" i="1" s="1"/>
  <c r="DB288" i="1" s="1"/>
  <c r="BJ288" i="1"/>
  <c r="BT288" i="1" s="1"/>
  <c r="CC288" i="1"/>
  <c r="CB288" i="1"/>
  <c r="CA288" i="1"/>
  <c r="BZ288" i="1"/>
  <c r="BY288" i="1"/>
  <c r="BX288" i="1"/>
  <c r="BW288" i="1"/>
  <c r="BV288" i="1"/>
  <c r="BU288" i="1"/>
  <c r="BS288" i="1"/>
  <c r="BR288" i="1"/>
  <c r="BQ288" i="1"/>
  <c r="BP288" i="1"/>
  <c r="BO288" i="1"/>
  <c r="BN288" i="1"/>
  <c r="BM288" i="1"/>
  <c r="BL288" i="1"/>
  <c r="BK288" i="1"/>
  <c r="AX288" i="1"/>
  <c r="AW288" i="1"/>
  <c r="AV288" i="1"/>
  <c r="AU288" i="1"/>
  <c r="AT288" i="1"/>
  <c r="AS288" i="1"/>
  <c r="W288" i="1"/>
  <c r="CH287" i="1"/>
  <c r="EC287" i="1" s="1"/>
  <c r="ED287" i="1"/>
  <c r="DV287" i="1"/>
  <c r="DM287" i="1"/>
  <c r="DL287" i="1"/>
  <c r="AK287" i="1"/>
  <c r="BJ287" i="1"/>
  <c r="CD287" i="1" s="1"/>
  <c r="CC287" i="1"/>
  <c r="CB287" i="1"/>
  <c r="CA287" i="1"/>
  <c r="BZ287" i="1"/>
  <c r="BY287" i="1"/>
  <c r="BX287" i="1"/>
  <c r="BW287" i="1"/>
  <c r="BV287" i="1"/>
  <c r="BU287" i="1"/>
  <c r="BK287" i="1"/>
  <c r="AX287" i="1"/>
  <c r="AS287" i="1"/>
  <c r="W287" i="1"/>
  <c r="CH286" i="1"/>
  <c r="DP286" i="1"/>
  <c r="EI286" i="1"/>
  <c r="EF286" i="1"/>
  <c r="ED286" i="1"/>
  <c r="EC286" i="1"/>
  <c r="EB286" i="1"/>
  <c r="EA286" i="1"/>
  <c r="DZ286" i="1"/>
  <c r="DY286" i="1"/>
  <c r="DX286" i="1"/>
  <c r="DV286" i="1"/>
  <c r="DU286" i="1"/>
  <c r="DT286" i="1"/>
  <c r="DR286" i="1"/>
  <c r="DO286" i="1"/>
  <c r="DN286" i="1"/>
  <c r="DM286" i="1"/>
  <c r="DL286" i="1"/>
  <c r="DK286" i="1"/>
  <c r="DJ286" i="1"/>
  <c r="DI286" i="1"/>
  <c r="DH286" i="1"/>
  <c r="DG286" i="1"/>
  <c r="DE286" i="1"/>
  <c r="DD286" i="1"/>
  <c r="DC286" i="1"/>
  <c r="AK286" i="1"/>
  <c r="DA286" i="1"/>
  <c r="BJ286" i="1"/>
  <c r="CD286" i="1" s="1"/>
  <c r="CC286" i="1"/>
  <c r="CB286" i="1"/>
  <c r="CA286" i="1"/>
  <c r="BZ286" i="1"/>
  <c r="BY286" i="1"/>
  <c r="BX286" i="1"/>
  <c r="BW286" i="1"/>
  <c r="BV286" i="1"/>
  <c r="BU286" i="1"/>
  <c r="BS286" i="1"/>
  <c r="BR286" i="1"/>
  <c r="BQ286" i="1"/>
  <c r="BP286" i="1"/>
  <c r="BO286" i="1"/>
  <c r="BN286" i="1"/>
  <c r="BM286" i="1"/>
  <c r="BL286" i="1"/>
  <c r="BK286" i="1"/>
  <c r="AX286" i="1"/>
  <c r="AW286" i="1"/>
  <c r="AV286" i="1"/>
  <c r="AU286" i="1"/>
  <c r="AT286" i="1"/>
  <c r="AS286" i="1"/>
  <c r="W286" i="1"/>
  <c r="CH285" i="1"/>
  <c r="EI285" i="1" s="1"/>
  <c r="DV285" i="1"/>
  <c r="DO285" i="1"/>
  <c r="DM285" i="1"/>
  <c r="DL285" i="1"/>
  <c r="AK285" i="1"/>
  <c r="BJ285" i="1"/>
  <c r="CC285" i="1"/>
  <c r="CB285" i="1"/>
  <c r="CA285" i="1"/>
  <c r="BZ285" i="1"/>
  <c r="BY285" i="1"/>
  <c r="BX285" i="1"/>
  <c r="BW285" i="1"/>
  <c r="BV285" i="1"/>
  <c r="BU285" i="1"/>
  <c r="BP285" i="1"/>
  <c r="BO285" i="1"/>
  <c r="BN285" i="1"/>
  <c r="AX285" i="1"/>
  <c r="AU285" i="1"/>
  <c r="AS285" i="1"/>
  <c r="CH284" i="1"/>
  <c r="ED284" i="1"/>
  <c r="DV284" i="1"/>
  <c r="DR284" i="1"/>
  <c r="DO284" i="1"/>
  <c r="DM284" i="1"/>
  <c r="DL284" i="1"/>
  <c r="DK284" i="1"/>
  <c r="DJ284" i="1"/>
  <c r="DI284" i="1"/>
  <c r="DH284" i="1"/>
  <c r="DG284" i="1"/>
  <c r="DE284" i="1"/>
  <c r="DD284" i="1"/>
  <c r="DC284" i="1"/>
  <c r="AK284" i="1"/>
  <c r="AR284" i="1" s="1"/>
  <c r="DB284" i="1" s="1"/>
  <c r="BJ284" i="1"/>
  <c r="CC284" i="1"/>
  <c r="CB284" i="1"/>
  <c r="CA284" i="1"/>
  <c r="BZ284" i="1"/>
  <c r="BY284" i="1"/>
  <c r="BX284" i="1"/>
  <c r="BW284" i="1"/>
  <c r="BV284" i="1"/>
  <c r="BU284" i="1"/>
  <c r="BS284" i="1"/>
  <c r="BR284" i="1"/>
  <c r="BQ284" i="1"/>
  <c r="BP284" i="1"/>
  <c r="BO284" i="1"/>
  <c r="BN284" i="1"/>
  <c r="BM284" i="1"/>
  <c r="BL284" i="1"/>
  <c r="BK284" i="1"/>
  <c r="AX284" i="1"/>
  <c r="AW284" i="1"/>
  <c r="AV284" i="1"/>
  <c r="AU284" i="1"/>
  <c r="AT284" i="1"/>
  <c r="W284" i="1"/>
  <c r="CH283" i="1"/>
  <c r="DZ283" i="1" s="1"/>
  <c r="ED283" i="1"/>
  <c r="DV283" i="1"/>
  <c r="DO283" i="1"/>
  <c r="DM283" i="1"/>
  <c r="DL283" i="1"/>
  <c r="DI283" i="1"/>
  <c r="DH283" i="1"/>
  <c r="DE283" i="1"/>
  <c r="DD283" i="1"/>
  <c r="DC283" i="1"/>
  <c r="AK283" i="1"/>
  <c r="AR283" i="1" s="1"/>
  <c r="DB283" i="1" s="1"/>
  <c r="BJ283" i="1"/>
  <c r="CC283" i="1"/>
  <c r="CB283" i="1"/>
  <c r="CA283" i="1"/>
  <c r="BZ283" i="1"/>
  <c r="BY283" i="1"/>
  <c r="BX283" i="1"/>
  <c r="BW283" i="1"/>
  <c r="BV283" i="1"/>
  <c r="BU283" i="1"/>
  <c r="BS283" i="1"/>
  <c r="BR283" i="1"/>
  <c r="BQ283" i="1"/>
  <c r="BP283" i="1"/>
  <c r="BO283" i="1"/>
  <c r="BN283" i="1"/>
  <c r="BM283" i="1"/>
  <c r="BL283" i="1"/>
  <c r="BK283" i="1"/>
  <c r="AX283" i="1"/>
  <c r="AW283" i="1"/>
  <c r="AV283" i="1"/>
  <c r="AU283" i="1"/>
  <c r="AT283" i="1"/>
  <c r="AS283" i="1"/>
  <c r="W283" i="1"/>
  <c r="DV282" i="1"/>
  <c r="DR282" i="1"/>
  <c r="DO282" i="1"/>
  <c r="DM282" i="1"/>
  <c r="DL282" i="1"/>
  <c r="DJ282" i="1"/>
  <c r="DI282" i="1"/>
  <c r="DH282" i="1"/>
  <c r="DE282" i="1"/>
  <c r="DC282" i="1"/>
  <c r="AK282" i="1"/>
  <c r="AR282" i="1" s="1"/>
  <c r="DB282" i="1" s="1"/>
  <c r="BJ282" i="1"/>
  <c r="BT282" i="1" s="1"/>
  <c r="CC282" i="1"/>
  <c r="CB282" i="1"/>
  <c r="CA282" i="1"/>
  <c r="BZ282" i="1"/>
  <c r="BY282" i="1"/>
  <c r="BX282" i="1"/>
  <c r="BW282" i="1"/>
  <c r="BV282" i="1"/>
  <c r="BU282" i="1"/>
  <c r="BS282" i="1"/>
  <c r="BR282" i="1"/>
  <c r="BQ282" i="1"/>
  <c r="BP282" i="1"/>
  <c r="BO282" i="1"/>
  <c r="BN282" i="1"/>
  <c r="BM282" i="1"/>
  <c r="BL282" i="1"/>
  <c r="BK282" i="1"/>
  <c r="AX282" i="1"/>
  <c r="AW282" i="1"/>
  <c r="AV282" i="1"/>
  <c r="AU282" i="1"/>
  <c r="AT282" i="1"/>
  <c r="AS282" i="1"/>
  <c r="W282" i="1"/>
  <c r="CH281" i="1"/>
  <c r="ED281" i="1"/>
  <c r="DV281" i="1"/>
  <c r="DR281" i="1"/>
  <c r="DO281" i="1"/>
  <c r="DM281" i="1"/>
  <c r="DL281" i="1"/>
  <c r="DJ281" i="1"/>
  <c r="DI281" i="1"/>
  <c r="DH281" i="1"/>
  <c r="DE281" i="1"/>
  <c r="DD281" i="1"/>
  <c r="DC281" i="1"/>
  <c r="AK281" i="1"/>
  <c r="AR281" i="1" s="1"/>
  <c r="DB281" i="1" s="1"/>
  <c r="BJ281" i="1"/>
  <c r="CC281" i="1"/>
  <c r="CB281" i="1"/>
  <c r="CA281" i="1"/>
  <c r="BZ281" i="1"/>
  <c r="BY281" i="1"/>
  <c r="BX281" i="1"/>
  <c r="BW281" i="1"/>
  <c r="BV281" i="1"/>
  <c r="BU281" i="1"/>
  <c r="BS281" i="1"/>
  <c r="BR281" i="1"/>
  <c r="BQ281" i="1"/>
  <c r="BP281" i="1"/>
  <c r="BO281" i="1"/>
  <c r="BN281" i="1"/>
  <c r="BM281" i="1"/>
  <c r="BL281" i="1"/>
  <c r="BK281" i="1"/>
  <c r="AX281" i="1"/>
  <c r="AW281" i="1"/>
  <c r="AV281" i="1"/>
  <c r="AU281" i="1"/>
  <c r="AT281" i="1"/>
  <c r="AS281" i="1"/>
  <c r="W281" i="1"/>
  <c r="CH280" i="1"/>
  <c r="ED280" i="1"/>
  <c r="DV280" i="1"/>
  <c r="DR280" i="1"/>
  <c r="DO280" i="1"/>
  <c r="DM280" i="1"/>
  <c r="DL280" i="1"/>
  <c r="DK280" i="1"/>
  <c r="DJ280" i="1"/>
  <c r="DI280" i="1"/>
  <c r="DH280" i="1"/>
  <c r="DG280" i="1"/>
  <c r="DE280" i="1"/>
  <c r="DD280" i="1"/>
  <c r="DC280" i="1"/>
  <c r="AK280" i="1"/>
  <c r="AR280" i="1" s="1"/>
  <c r="DB280" i="1" s="1"/>
  <c r="BJ280" i="1"/>
  <c r="CD280" i="1" s="1"/>
  <c r="CC280" i="1"/>
  <c r="CB280" i="1"/>
  <c r="CA280" i="1"/>
  <c r="BZ280" i="1"/>
  <c r="BY280" i="1"/>
  <c r="BX280" i="1"/>
  <c r="BW280" i="1"/>
  <c r="BV280" i="1"/>
  <c r="BU280" i="1"/>
  <c r="BS280" i="1"/>
  <c r="BR280" i="1"/>
  <c r="BQ280" i="1"/>
  <c r="BP280" i="1"/>
  <c r="BO280" i="1"/>
  <c r="BN280" i="1"/>
  <c r="BM280" i="1"/>
  <c r="BL280" i="1"/>
  <c r="BK280" i="1"/>
  <c r="AX280" i="1"/>
  <c r="AW280" i="1"/>
  <c r="AV280" i="1"/>
  <c r="AU280" i="1"/>
  <c r="AT280" i="1"/>
  <c r="AS280" i="1"/>
  <c r="W280" i="1"/>
  <c r="CH279" i="1"/>
  <c r="DA279" i="1" s="1"/>
  <c r="DV279" i="1"/>
  <c r="DJ279" i="1"/>
  <c r="DI279" i="1"/>
  <c r="DH279" i="1"/>
  <c r="AK279" i="1"/>
  <c r="BJ279" i="1"/>
  <c r="BT279" i="1" s="1"/>
  <c r="CC279" i="1"/>
  <c r="CB279" i="1"/>
  <c r="CA279" i="1"/>
  <c r="BZ279" i="1"/>
  <c r="BY279" i="1"/>
  <c r="BX279" i="1"/>
  <c r="BW279" i="1"/>
  <c r="BV279" i="1"/>
  <c r="BU279" i="1"/>
  <c r="BK279" i="1"/>
  <c r="AX279" i="1"/>
  <c r="AW279" i="1"/>
  <c r="AU279" i="1"/>
  <c r="AS279" i="1"/>
  <c r="CH278" i="1"/>
  <c r="ED278" i="1"/>
  <c r="DV278" i="1"/>
  <c r="DM278" i="1"/>
  <c r="DE278" i="1"/>
  <c r="DD278" i="1"/>
  <c r="AK278" i="1"/>
  <c r="BJ278" i="1"/>
  <c r="CD278" i="1" s="1"/>
  <c r="CC278" i="1"/>
  <c r="CB278" i="1"/>
  <c r="CA278" i="1"/>
  <c r="BZ278" i="1"/>
  <c r="BY278" i="1"/>
  <c r="BX278" i="1"/>
  <c r="BW278" i="1"/>
  <c r="BV278" i="1"/>
  <c r="BU278" i="1"/>
  <c r="BQ278" i="1"/>
  <c r="BL278" i="1"/>
  <c r="BK278" i="1"/>
  <c r="AX278" i="1"/>
  <c r="AS278" i="1"/>
  <c r="CH277" i="1"/>
  <c r="EF277" i="1" s="1"/>
  <c r="DV277" i="1"/>
  <c r="DO277" i="1"/>
  <c r="DJ277" i="1"/>
  <c r="DI277" i="1"/>
  <c r="AK277" i="1"/>
  <c r="AR277" i="1" s="1"/>
  <c r="DB277" i="1" s="1"/>
  <c r="BJ277" i="1"/>
  <c r="CC277" i="1"/>
  <c r="CB277" i="1"/>
  <c r="CA277" i="1"/>
  <c r="BZ277" i="1"/>
  <c r="BY277" i="1"/>
  <c r="BX277" i="1"/>
  <c r="BW277" i="1"/>
  <c r="BV277" i="1"/>
  <c r="BU277" i="1"/>
  <c r="AX277" i="1"/>
  <c r="AW277" i="1"/>
  <c r="AV277" i="1"/>
  <c r="AU277" i="1"/>
  <c r="CH276" i="1"/>
  <c r="DW276" i="1" s="1"/>
  <c r="ED276" i="1"/>
  <c r="DV276" i="1"/>
  <c r="DR276" i="1"/>
  <c r="DO276" i="1"/>
  <c r="DM276" i="1"/>
  <c r="DL276" i="1"/>
  <c r="DI276" i="1"/>
  <c r="DH276" i="1"/>
  <c r="DE276" i="1"/>
  <c r="DD276" i="1"/>
  <c r="DC276" i="1"/>
  <c r="AK276" i="1"/>
  <c r="AR276" i="1" s="1"/>
  <c r="DB276" i="1" s="1"/>
  <c r="BJ276" i="1"/>
  <c r="CC276" i="1"/>
  <c r="CB276" i="1"/>
  <c r="CA276" i="1"/>
  <c r="BZ276" i="1"/>
  <c r="BY276" i="1"/>
  <c r="BX276" i="1"/>
  <c r="BW276" i="1"/>
  <c r="BV276" i="1"/>
  <c r="BU276" i="1"/>
  <c r="BS276" i="1"/>
  <c r="BR276" i="1"/>
  <c r="BQ276" i="1"/>
  <c r="BP276" i="1"/>
  <c r="BO276" i="1"/>
  <c r="BN276" i="1"/>
  <c r="BM276" i="1"/>
  <c r="BL276" i="1"/>
  <c r="BK276" i="1"/>
  <c r="AX276" i="1"/>
  <c r="AW276" i="1"/>
  <c r="AV276" i="1"/>
  <c r="AU276" i="1"/>
  <c r="AT276" i="1"/>
  <c r="W276" i="1"/>
  <c r="CH275" i="1"/>
  <c r="EI275" i="1" s="1"/>
  <c r="ED275" i="1"/>
  <c r="DV275" i="1"/>
  <c r="DR275" i="1"/>
  <c r="DO275" i="1"/>
  <c r="DM275" i="1"/>
  <c r="DL275" i="1"/>
  <c r="DK275" i="1"/>
  <c r="DJ275" i="1"/>
  <c r="DI275" i="1"/>
  <c r="DH275" i="1"/>
  <c r="DE275" i="1"/>
  <c r="DD275" i="1"/>
  <c r="DC275" i="1"/>
  <c r="AK275" i="1"/>
  <c r="AR275" i="1" s="1"/>
  <c r="DB275" i="1" s="1"/>
  <c r="BJ275" i="1"/>
  <c r="CC275" i="1"/>
  <c r="CB275" i="1"/>
  <c r="CA275" i="1"/>
  <c r="BZ275" i="1"/>
  <c r="BY275" i="1"/>
  <c r="BX275" i="1"/>
  <c r="BW275" i="1"/>
  <c r="BV275" i="1"/>
  <c r="BU275" i="1"/>
  <c r="BS275" i="1"/>
  <c r="BR275" i="1"/>
  <c r="BQ275" i="1"/>
  <c r="BP275" i="1"/>
  <c r="BO275" i="1"/>
  <c r="BN275" i="1"/>
  <c r="BM275" i="1"/>
  <c r="BL275" i="1"/>
  <c r="BK275" i="1"/>
  <c r="AX275" i="1"/>
  <c r="AW275" i="1"/>
  <c r="AV275" i="1"/>
  <c r="AU275" i="1"/>
  <c r="AT275" i="1"/>
  <c r="AS275" i="1"/>
  <c r="W275" i="1"/>
  <c r="CH274" i="1"/>
  <c r="ED274" i="1"/>
  <c r="DV274" i="1"/>
  <c r="DR274" i="1"/>
  <c r="DO274" i="1"/>
  <c r="DM274" i="1"/>
  <c r="DL274" i="1"/>
  <c r="DJ274" i="1"/>
  <c r="DI274" i="1"/>
  <c r="DH274" i="1"/>
  <c r="DE274" i="1"/>
  <c r="DD274" i="1"/>
  <c r="DC274" i="1"/>
  <c r="AK274" i="1"/>
  <c r="AR274" i="1" s="1"/>
  <c r="DB274" i="1" s="1"/>
  <c r="BJ274" i="1"/>
  <c r="CC274" i="1"/>
  <c r="CB274" i="1"/>
  <c r="CA274" i="1"/>
  <c r="BZ274" i="1"/>
  <c r="BY274" i="1"/>
  <c r="BX274" i="1"/>
  <c r="BW274" i="1"/>
  <c r="BV274" i="1"/>
  <c r="BU274" i="1"/>
  <c r="BS274" i="1"/>
  <c r="BR274" i="1"/>
  <c r="BQ274" i="1"/>
  <c r="BP274" i="1"/>
  <c r="BO274" i="1"/>
  <c r="BN274" i="1"/>
  <c r="BM274" i="1"/>
  <c r="BL274" i="1"/>
  <c r="BK274" i="1"/>
  <c r="AX274" i="1"/>
  <c r="AW274" i="1"/>
  <c r="AV274" i="1"/>
  <c r="AU274" i="1"/>
  <c r="AT274" i="1"/>
  <c r="AS274" i="1"/>
  <c r="W274" i="1"/>
  <c r="CH273" i="1"/>
  <c r="ED273" i="1"/>
  <c r="DV273" i="1"/>
  <c r="DM273" i="1"/>
  <c r="AK273" i="1"/>
  <c r="BJ273" i="1"/>
  <c r="CC273" i="1"/>
  <c r="CB273" i="1"/>
  <c r="CA273" i="1"/>
  <c r="BZ273" i="1"/>
  <c r="BY273" i="1"/>
  <c r="BX273" i="1"/>
  <c r="BW273" i="1"/>
  <c r="BV273" i="1"/>
  <c r="BU273" i="1"/>
  <c r="BK273" i="1"/>
  <c r="AX273" i="1"/>
  <c r="CH272" i="1"/>
  <c r="DY272" i="1" s="1"/>
  <c r="DV272" i="1"/>
  <c r="DR272" i="1"/>
  <c r="DO272" i="1"/>
  <c r="DM272" i="1"/>
  <c r="DL272" i="1"/>
  <c r="DJ272" i="1"/>
  <c r="DI272" i="1"/>
  <c r="DH272" i="1"/>
  <c r="DE272" i="1"/>
  <c r="DD272" i="1"/>
  <c r="DC272" i="1"/>
  <c r="AK272" i="1"/>
  <c r="AR272" i="1" s="1"/>
  <c r="DB272" i="1" s="1"/>
  <c r="BJ272" i="1"/>
  <c r="BT272" i="1" s="1"/>
  <c r="CC272" i="1"/>
  <c r="CB272" i="1"/>
  <c r="CA272" i="1"/>
  <c r="BZ272" i="1"/>
  <c r="BY272" i="1"/>
  <c r="BX272" i="1"/>
  <c r="BW272" i="1"/>
  <c r="BV272" i="1"/>
  <c r="BU272" i="1"/>
  <c r="BS272" i="1"/>
  <c r="BR272" i="1"/>
  <c r="BQ272" i="1"/>
  <c r="BP272" i="1"/>
  <c r="BO272" i="1"/>
  <c r="BN272" i="1"/>
  <c r="BM272" i="1"/>
  <c r="BL272" i="1"/>
  <c r="BK272" i="1"/>
  <c r="AX272" i="1"/>
  <c r="AW272" i="1"/>
  <c r="AV272" i="1"/>
  <c r="AU272" i="1"/>
  <c r="AT272" i="1"/>
  <c r="AS272" i="1"/>
  <c r="W272" i="1"/>
  <c r="CH271" i="1"/>
  <c r="DV271" i="1"/>
  <c r="DR271" i="1"/>
  <c r="DH271" i="1"/>
  <c r="DE271" i="1"/>
  <c r="DD271" i="1"/>
  <c r="AK271" i="1"/>
  <c r="BJ271" i="1"/>
  <c r="BT271" i="1" s="1"/>
  <c r="CC271" i="1"/>
  <c r="CB271" i="1"/>
  <c r="CA271" i="1"/>
  <c r="BZ271" i="1"/>
  <c r="BY271" i="1"/>
  <c r="BX271" i="1"/>
  <c r="BW271" i="1"/>
  <c r="BV271" i="1"/>
  <c r="BU271" i="1"/>
  <c r="BS271" i="1"/>
  <c r="BO271" i="1"/>
  <c r="BN271" i="1"/>
  <c r="AX271" i="1"/>
  <c r="AU271" i="1"/>
  <c r="AT271" i="1"/>
  <c r="AS271" i="1"/>
  <c r="W271" i="1"/>
  <c r="DV270" i="1"/>
  <c r="AK270" i="1"/>
  <c r="BJ270" i="1"/>
  <c r="CD270" i="1" s="1"/>
  <c r="CC270" i="1"/>
  <c r="CB270" i="1"/>
  <c r="CA270" i="1"/>
  <c r="BZ270" i="1"/>
  <c r="BY270" i="1"/>
  <c r="BX270" i="1"/>
  <c r="BW270" i="1"/>
  <c r="BV270" i="1"/>
  <c r="BU270" i="1"/>
  <c r="AX270" i="1"/>
  <c r="AU270" i="1"/>
  <c r="CH269" i="1"/>
  <c r="ED269" i="1"/>
  <c r="DV269" i="1"/>
  <c r="DR269" i="1"/>
  <c r="DO269" i="1"/>
  <c r="DM269" i="1"/>
  <c r="DL269" i="1"/>
  <c r="DJ269" i="1"/>
  <c r="DI269" i="1"/>
  <c r="DH269" i="1"/>
  <c r="DD269" i="1"/>
  <c r="AK269" i="1"/>
  <c r="AR269" i="1" s="1"/>
  <c r="DB269" i="1" s="1"/>
  <c r="BJ269" i="1"/>
  <c r="BT269" i="1" s="1"/>
  <c r="CC269" i="1"/>
  <c r="CB269" i="1"/>
  <c r="CA269" i="1"/>
  <c r="BZ269" i="1"/>
  <c r="BY269" i="1"/>
  <c r="BX269" i="1"/>
  <c r="BW269" i="1"/>
  <c r="BV269" i="1"/>
  <c r="BU269" i="1"/>
  <c r="BR269" i="1"/>
  <c r="BP269" i="1"/>
  <c r="BO269" i="1"/>
  <c r="BN269" i="1"/>
  <c r="BM269" i="1"/>
  <c r="AX269" i="1"/>
  <c r="AW269" i="1"/>
  <c r="AV269" i="1"/>
  <c r="AU269" i="1"/>
  <c r="W269" i="1"/>
  <c r="CH268" i="1"/>
  <c r="EI268" i="1" s="1"/>
  <c r="ED268" i="1"/>
  <c r="DV268" i="1"/>
  <c r="DM268" i="1"/>
  <c r="AK268" i="1"/>
  <c r="BJ268" i="1"/>
  <c r="CD268" i="1" s="1"/>
  <c r="CC268" i="1"/>
  <c r="CB268" i="1"/>
  <c r="CA268" i="1"/>
  <c r="BZ268" i="1"/>
  <c r="BY268" i="1"/>
  <c r="BX268" i="1"/>
  <c r="BW268" i="1"/>
  <c r="BV268" i="1"/>
  <c r="BU268" i="1"/>
  <c r="BQ268" i="1"/>
  <c r="AX268" i="1"/>
  <c r="AU268" i="1"/>
  <c r="AT268" i="1"/>
  <c r="ED267" i="1"/>
  <c r="DV267" i="1"/>
  <c r="DR267" i="1"/>
  <c r="DO267" i="1"/>
  <c r="DM267" i="1"/>
  <c r="DL267" i="1"/>
  <c r="DJ267" i="1"/>
  <c r="DI267" i="1"/>
  <c r="DH267" i="1"/>
  <c r="DE267" i="1"/>
  <c r="DD267" i="1"/>
  <c r="DC267" i="1"/>
  <c r="AK267" i="1"/>
  <c r="AR267" i="1" s="1"/>
  <c r="DB267" i="1" s="1"/>
  <c r="BJ267" i="1"/>
  <c r="BT267" i="1" s="1"/>
  <c r="CC267" i="1"/>
  <c r="CB267" i="1"/>
  <c r="CA267" i="1"/>
  <c r="BZ267" i="1"/>
  <c r="BY267" i="1"/>
  <c r="BX267" i="1"/>
  <c r="BW267" i="1"/>
  <c r="BV267" i="1"/>
  <c r="BU267" i="1"/>
  <c r="BS267" i="1"/>
  <c r="BR267" i="1"/>
  <c r="BQ267" i="1"/>
  <c r="BP267" i="1"/>
  <c r="BO267" i="1"/>
  <c r="BN267" i="1"/>
  <c r="BM267" i="1"/>
  <c r="BL267" i="1"/>
  <c r="BK267" i="1"/>
  <c r="AX267" i="1"/>
  <c r="AW267" i="1"/>
  <c r="AV267" i="1"/>
  <c r="AU267" i="1"/>
  <c r="AT267" i="1"/>
  <c r="AS267" i="1"/>
  <c r="W267" i="1"/>
  <c r="CH266" i="1"/>
  <c r="EA266" i="1" s="1"/>
  <c r="ED266" i="1"/>
  <c r="DV266" i="1"/>
  <c r="DR266" i="1"/>
  <c r="DO266" i="1"/>
  <c r="DM266" i="1"/>
  <c r="DL266" i="1"/>
  <c r="DJ266" i="1"/>
  <c r="DI266" i="1"/>
  <c r="DH266" i="1"/>
  <c r="DE266" i="1"/>
  <c r="DD266" i="1"/>
  <c r="DC266" i="1"/>
  <c r="AK266" i="1"/>
  <c r="AR266" i="1" s="1"/>
  <c r="DB266" i="1" s="1"/>
  <c r="BJ266" i="1"/>
  <c r="BT266" i="1" s="1"/>
  <c r="CC266" i="1"/>
  <c r="CB266" i="1"/>
  <c r="CA266" i="1"/>
  <c r="BZ266" i="1"/>
  <c r="BY266" i="1"/>
  <c r="BX266" i="1"/>
  <c r="BW266" i="1"/>
  <c r="BV266" i="1"/>
  <c r="BU266" i="1"/>
  <c r="BS266" i="1"/>
  <c r="BR266" i="1"/>
  <c r="BQ266" i="1"/>
  <c r="BP266" i="1"/>
  <c r="BO266" i="1"/>
  <c r="BN266" i="1"/>
  <c r="BM266" i="1"/>
  <c r="BL266" i="1"/>
  <c r="BK266" i="1"/>
  <c r="AX266" i="1"/>
  <c r="AW266" i="1"/>
  <c r="AV266" i="1"/>
  <c r="AU266" i="1"/>
  <c r="AT266" i="1"/>
  <c r="AS266" i="1"/>
  <c r="W266" i="1"/>
  <c r="CH265" i="1"/>
  <c r="EI265" i="1" s="1"/>
  <c r="DV265" i="1"/>
  <c r="DR265" i="1"/>
  <c r="DO265" i="1"/>
  <c r="DM265" i="1"/>
  <c r="DL265" i="1"/>
  <c r="DK265" i="1"/>
  <c r="DJ265" i="1"/>
  <c r="DI265" i="1"/>
  <c r="DH265" i="1"/>
  <c r="DE265" i="1"/>
  <c r="DD265" i="1"/>
  <c r="DC265" i="1"/>
  <c r="AK265" i="1"/>
  <c r="AR265" i="1" s="1"/>
  <c r="DB265" i="1" s="1"/>
  <c r="BJ265" i="1"/>
  <c r="CC265" i="1"/>
  <c r="CB265" i="1"/>
  <c r="CA265" i="1"/>
  <c r="BZ265" i="1"/>
  <c r="BY265" i="1"/>
  <c r="BX265" i="1"/>
  <c r="BW265" i="1"/>
  <c r="BV265" i="1"/>
  <c r="BU265" i="1"/>
  <c r="BS265" i="1"/>
  <c r="BR265" i="1"/>
  <c r="BQ265" i="1"/>
  <c r="BP265" i="1"/>
  <c r="BO265" i="1"/>
  <c r="BN265" i="1"/>
  <c r="BM265" i="1"/>
  <c r="BL265" i="1"/>
  <c r="BK265" i="1"/>
  <c r="AX265" i="1"/>
  <c r="AW265" i="1"/>
  <c r="AV265" i="1"/>
  <c r="AU265" i="1"/>
  <c r="AT265" i="1"/>
  <c r="AS265" i="1"/>
  <c r="W265" i="1"/>
  <c r="CH264" i="1"/>
  <c r="ED264" i="1"/>
  <c r="DV264" i="1"/>
  <c r="DR264" i="1"/>
  <c r="DO264" i="1"/>
  <c r="DM264" i="1"/>
  <c r="DL264" i="1"/>
  <c r="DI264" i="1"/>
  <c r="DH264" i="1"/>
  <c r="DE264" i="1"/>
  <c r="DD264" i="1"/>
  <c r="DC264" i="1"/>
  <c r="AK264" i="1"/>
  <c r="AR264" i="1" s="1"/>
  <c r="DB264" i="1" s="1"/>
  <c r="BJ264" i="1"/>
  <c r="BT264" i="1" s="1"/>
  <c r="CC264" i="1"/>
  <c r="CB264" i="1"/>
  <c r="CA264" i="1"/>
  <c r="BZ264" i="1"/>
  <c r="BY264" i="1"/>
  <c r="BX264" i="1"/>
  <c r="BW264" i="1"/>
  <c r="BV264" i="1"/>
  <c r="BU264" i="1"/>
  <c r="BS264" i="1"/>
  <c r="BR264" i="1"/>
  <c r="BQ264" i="1"/>
  <c r="BP264" i="1"/>
  <c r="BO264" i="1"/>
  <c r="BN264" i="1"/>
  <c r="BM264" i="1"/>
  <c r="BL264" i="1"/>
  <c r="BK264" i="1"/>
  <c r="AX264" i="1"/>
  <c r="AW264" i="1"/>
  <c r="AV264" i="1"/>
  <c r="AU264" i="1"/>
  <c r="AT264" i="1"/>
  <c r="AS264" i="1"/>
  <c r="W264" i="1"/>
  <c r="CH263" i="1"/>
  <c r="DT263" i="1" s="1"/>
  <c r="DV263" i="1"/>
  <c r="DI263" i="1"/>
  <c r="DH263" i="1"/>
  <c r="DE263" i="1"/>
  <c r="AK263" i="1"/>
  <c r="BJ263" i="1"/>
  <c r="CD263" i="1" s="1"/>
  <c r="CC263" i="1"/>
  <c r="CB263" i="1"/>
  <c r="CA263" i="1"/>
  <c r="BZ263" i="1"/>
  <c r="BY263" i="1"/>
  <c r="BX263" i="1"/>
  <c r="BW263" i="1"/>
  <c r="BV263" i="1"/>
  <c r="BU263" i="1"/>
  <c r="BS263" i="1"/>
  <c r="BM263" i="1"/>
  <c r="BL263" i="1"/>
  <c r="AX263" i="1"/>
  <c r="AU263" i="1"/>
  <c r="AS263" i="1"/>
  <c r="W263" i="1"/>
  <c r="CH262" i="1"/>
  <c r="DV262" i="1"/>
  <c r="DR262" i="1"/>
  <c r="DO262" i="1"/>
  <c r="DM262" i="1"/>
  <c r="DL262" i="1"/>
  <c r="DJ262" i="1"/>
  <c r="DI262" i="1"/>
  <c r="DH262" i="1"/>
  <c r="DG262" i="1"/>
  <c r="DE262" i="1"/>
  <c r="DD262" i="1"/>
  <c r="DC262" i="1"/>
  <c r="AK262" i="1"/>
  <c r="AR262" i="1" s="1"/>
  <c r="DB262" i="1" s="1"/>
  <c r="BJ262" i="1"/>
  <c r="CC262" i="1"/>
  <c r="CB262" i="1"/>
  <c r="CA262" i="1"/>
  <c r="BZ262" i="1"/>
  <c r="BY262" i="1"/>
  <c r="BX262" i="1"/>
  <c r="BW262" i="1"/>
  <c r="BV262" i="1"/>
  <c r="BU262" i="1"/>
  <c r="BS262" i="1"/>
  <c r="BR262" i="1"/>
  <c r="BQ262" i="1"/>
  <c r="BP262" i="1"/>
  <c r="BO262" i="1"/>
  <c r="BN262" i="1"/>
  <c r="BM262" i="1"/>
  <c r="BL262" i="1"/>
  <c r="BK262" i="1"/>
  <c r="AX262" i="1"/>
  <c r="AW262" i="1"/>
  <c r="AV262" i="1"/>
  <c r="AU262" i="1"/>
  <c r="AT262" i="1"/>
  <c r="AS262" i="1"/>
  <c r="W262" i="1"/>
  <c r="DV261" i="1"/>
  <c r="DR261" i="1"/>
  <c r="DO261" i="1"/>
  <c r="DM261" i="1"/>
  <c r="DL261" i="1"/>
  <c r="DJ261" i="1"/>
  <c r="DI261" i="1"/>
  <c r="DH261" i="1"/>
  <c r="DE261" i="1"/>
  <c r="AK261" i="1"/>
  <c r="AR261" i="1" s="1"/>
  <c r="DB261" i="1" s="1"/>
  <c r="BJ261" i="1"/>
  <c r="CC261" i="1"/>
  <c r="CB261" i="1"/>
  <c r="CA261" i="1"/>
  <c r="BZ261" i="1"/>
  <c r="BY261" i="1"/>
  <c r="BX261" i="1"/>
  <c r="BW261" i="1"/>
  <c r="BV261" i="1"/>
  <c r="BU261" i="1"/>
  <c r="BS261" i="1"/>
  <c r="BR261" i="1"/>
  <c r="BP261" i="1"/>
  <c r="BO261" i="1"/>
  <c r="BN261" i="1"/>
  <c r="BM261" i="1"/>
  <c r="BL261" i="1"/>
  <c r="BK261" i="1"/>
  <c r="AX261" i="1"/>
  <c r="AW261" i="1"/>
  <c r="AV261" i="1"/>
  <c r="AU261" i="1"/>
  <c r="AT261" i="1"/>
  <c r="AS261" i="1"/>
  <c r="W261" i="1"/>
  <c r="CH260" i="1"/>
  <c r="EC260" i="1" s="1"/>
  <c r="ED260" i="1"/>
  <c r="DV260" i="1"/>
  <c r="DO260" i="1"/>
  <c r="DM260" i="1"/>
  <c r="AK260" i="1"/>
  <c r="BJ260" i="1"/>
  <c r="CC260" i="1"/>
  <c r="CB260" i="1"/>
  <c r="CA260" i="1"/>
  <c r="BZ260" i="1"/>
  <c r="BY260" i="1"/>
  <c r="BX260" i="1"/>
  <c r="BW260" i="1"/>
  <c r="BV260" i="1"/>
  <c r="BU260" i="1"/>
  <c r="BS260" i="1"/>
  <c r="AX260" i="1"/>
  <c r="AS260" i="1"/>
  <c r="CH259" i="1"/>
  <c r="DF259" i="1" s="1"/>
  <c r="ED259" i="1"/>
  <c r="DV259" i="1"/>
  <c r="DO259" i="1"/>
  <c r="DM259" i="1"/>
  <c r="DL259" i="1"/>
  <c r="DK259" i="1"/>
  <c r="DJ259" i="1"/>
  <c r="DI259" i="1"/>
  <c r="DH259" i="1"/>
  <c r="DG259" i="1"/>
  <c r="DE259" i="1"/>
  <c r="DD259" i="1"/>
  <c r="DC259" i="1"/>
  <c r="AK259" i="1"/>
  <c r="AR259" i="1" s="1"/>
  <c r="DB259" i="1" s="1"/>
  <c r="BJ259" i="1"/>
  <c r="CC259" i="1"/>
  <c r="CB259" i="1"/>
  <c r="CA259" i="1"/>
  <c r="BZ259" i="1"/>
  <c r="BY259" i="1"/>
  <c r="BX259" i="1"/>
  <c r="BW259" i="1"/>
  <c r="BV259" i="1"/>
  <c r="BU259" i="1"/>
  <c r="BS259" i="1"/>
  <c r="BR259" i="1"/>
  <c r="BQ259" i="1"/>
  <c r="BP259" i="1"/>
  <c r="BO259" i="1"/>
  <c r="BN259" i="1"/>
  <c r="BM259" i="1"/>
  <c r="BL259" i="1"/>
  <c r="BK259" i="1"/>
  <c r="AX259" i="1"/>
  <c r="AW259" i="1"/>
  <c r="AV259" i="1"/>
  <c r="AU259" i="1"/>
  <c r="AT259" i="1"/>
  <c r="AS259" i="1"/>
  <c r="W259" i="1"/>
  <c r="CH258" i="1"/>
  <c r="DF258" i="1" s="1"/>
  <c r="ED258" i="1"/>
  <c r="DV258" i="1"/>
  <c r="DO258" i="1"/>
  <c r="DM258" i="1"/>
  <c r="DL258" i="1"/>
  <c r="DJ258" i="1"/>
  <c r="DI258" i="1"/>
  <c r="DH258" i="1"/>
  <c r="DE258" i="1"/>
  <c r="DD258" i="1"/>
  <c r="DC258" i="1"/>
  <c r="AK258" i="1"/>
  <c r="AR258" i="1" s="1"/>
  <c r="DB258" i="1" s="1"/>
  <c r="BJ258" i="1"/>
  <c r="CD258" i="1" s="1"/>
  <c r="CC258" i="1"/>
  <c r="CB258" i="1"/>
  <c r="CA258" i="1"/>
  <c r="BZ258" i="1"/>
  <c r="BY258" i="1"/>
  <c r="BX258" i="1"/>
  <c r="BW258" i="1"/>
  <c r="BV258" i="1"/>
  <c r="BU258" i="1"/>
  <c r="BS258" i="1"/>
  <c r="BR258" i="1"/>
  <c r="BQ258" i="1"/>
  <c r="BP258" i="1"/>
  <c r="BO258" i="1"/>
  <c r="BN258" i="1"/>
  <c r="BM258" i="1"/>
  <c r="BL258" i="1"/>
  <c r="BK258" i="1"/>
  <c r="AX258" i="1"/>
  <c r="AW258" i="1"/>
  <c r="AV258" i="1"/>
  <c r="AU258" i="1"/>
  <c r="AT258" i="1"/>
  <c r="AS258" i="1"/>
  <c r="W258" i="1"/>
  <c r="CH257" i="1"/>
  <c r="DV257" i="1"/>
  <c r="DR257" i="1"/>
  <c r="DO257" i="1"/>
  <c r="DM257" i="1"/>
  <c r="DL257" i="1"/>
  <c r="DI257" i="1"/>
  <c r="DH257" i="1"/>
  <c r="DE257" i="1"/>
  <c r="DD257" i="1"/>
  <c r="DC257" i="1"/>
  <c r="AK257" i="1"/>
  <c r="AR257" i="1" s="1"/>
  <c r="DB257" i="1" s="1"/>
  <c r="BJ257" i="1"/>
  <c r="BT257" i="1" s="1"/>
  <c r="CC257" i="1"/>
  <c r="CB257" i="1"/>
  <c r="CA257" i="1"/>
  <c r="BZ257" i="1"/>
  <c r="BY257" i="1"/>
  <c r="BX257" i="1"/>
  <c r="BW257" i="1"/>
  <c r="BV257" i="1"/>
  <c r="BU257" i="1"/>
  <c r="BS257" i="1"/>
  <c r="BR257" i="1"/>
  <c r="BQ257" i="1"/>
  <c r="BP257" i="1"/>
  <c r="BO257" i="1"/>
  <c r="BN257" i="1"/>
  <c r="BM257" i="1"/>
  <c r="BL257" i="1"/>
  <c r="BK257" i="1"/>
  <c r="AX257" i="1"/>
  <c r="AW257" i="1"/>
  <c r="AV257" i="1"/>
  <c r="AU257" i="1"/>
  <c r="AT257" i="1"/>
  <c r="AS257" i="1"/>
  <c r="W257" i="1"/>
  <c r="ED256" i="1"/>
  <c r="DV256" i="1"/>
  <c r="DR256" i="1"/>
  <c r="DO256" i="1"/>
  <c r="DM256" i="1"/>
  <c r="DL256" i="1"/>
  <c r="DI256" i="1"/>
  <c r="DH256" i="1"/>
  <c r="DE256" i="1"/>
  <c r="DC256" i="1"/>
  <c r="AK256" i="1"/>
  <c r="AR256" i="1" s="1"/>
  <c r="DB256" i="1" s="1"/>
  <c r="BJ256" i="1"/>
  <c r="CD256" i="1" s="1"/>
  <c r="CC256" i="1"/>
  <c r="CB256" i="1"/>
  <c r="CA256" i="1"/>
  <c r="BZ256" i="1"/>
  <c r="BY256" i="1"/>
  <c r="BX256" i="1"/>
  <c r="BW256" i="1"/>
  <c r="BV256" i="1"/>
  <c r="BU256" i="1"/>
  <c r="BS256" i="1"/>
  <c r="BR256" i="1"/>
  <c r="BQ256" i="1"/>
  <c r="BP256" i="1"/>
  <c r="BO256" i="1"/>
  <c r="BN256" i="1"/>
  <c r="BM256" i="1"/>
  <c r="BL256" i="1"/>
  <c r="BK256" i="1"/>
  <c r="AX256" i="1"/>
  <c r="AW256" i="1"/>
  <c r="AV256" i="1"/>
  <c r="AU256" i="1"/>
  <c r="AT256" i="1"/>
  <c r="AS256" i="1"/>
  <c r="W256" i="1"/>
  <c r="ED255" i="1"/>
  <c r="DV255" i="1"/>
  <c r="DR255" i="1"/>
  <c r="DO255" i="1"/>
  <c r="DM255" i="1"/>
  <c r="DE255" i="1"/>
  <c r="DD255" i="1"/>
  <c r="AK255" i="1"/>
  <c r="BJ255" i="1"/>
  <c r="CD255" i="1" s="1"/>
  <c r="CC255" i="1"/>
  <c r="CB255" i="1"/>
  <c r="CA255" i="1"/>
  <c r="BZ255" i="1"/>
  <c r="BY255" i="1"/>
  <c r="BX255" i="1"/>
  <c r="BW255" i="1"/>
  <c r="BV255" i="1"/>
  <c r="BU255" i="1"/>
  <c r="BM255" i="1"/>
  <c r="BL255" i="1"/>
  <c r="BK255" i="1"/>
  <c r="AX255" i="1"/>
  <c r="AS255" i="1"/>
  <c r="CH254" i="1"/>
  <c r="DA254" i="1" s="1"/>
  <c r="DV254" i="1"/>
  <c r="DR254" i="1"/>
  <c r="DO254" i="1"/>
  <c r="DM254" i="1"/>
  <c r="DL254" i="1"/>
  <c r="DJ254" i="1"/>
  <c r="DI254" i="1"/>
  <c r="DH254" i="1"/>
  <c r="DE254" i="1"/>
  <c r="DD254" i="1"/>
  <c r="DC254" i="1"/>
  <c r="AK254" i="1"/>
  <c r="AR254" i="1" s="1"/>
  <c r="DB254" i="1" s="1"/>
  <c r="BJ254" i="1"/>
  <c r="BT254" i="1" s="1"/>
  <c r="CC254" i="1"/>
  <c r="CB254" i="1"/>
  <c r="CA254" i="1"/>
  <c r="BZ254" i="1"/>
  <c r="BY254" i="1"/>
  <c r="BX254" i="1"/>
  <c r="BW254" i="1"/>
  <c r="BV254" i="1"/>
  <c r="BU254" i="1"/>
  <c r="BS254" i="1"/>
  <c r="BR254" i="1"/>
  <c r="BQ254" i="1"/>
  <c r="BP254" i="1"/>
  <c r="BO254" i="1"/>
  <c r="BN254" i="1"/>
  <c r="BM254" i="1"/>
  <c r="BL254" i="1"/>
  <c r="BK254" i="1"/>
  <c r="AX254" i="1"/>
  <c r="AW254" i="1"/>
  <c r="AV254" i="1"/>
  <c r="AU254" i="1"/>
  <c r="AT254" i="1"/>
  <c r="AS254" i="1"/>
  <c r="W254" i="1"/>
  <c r="CH253" i="1"/>
  <c r="DY253" i="1" s="1"/>
  <c r="EI253" i="1"/>
  <c r="DV253" i="1"/>
  <c r="DR253" i="1"/>
  <c r="DO253" i="1"/>
  <c r="DM253" i="1"/>
  <c r="DL253" i="1"/>
  <c r="DI253" i="1"/>
  <c r="DH253" i="1"/>
  <c r="DE253" i="1"/>
  <c r="DD253" i="1"/>
  <c r="DC253" i="1"/>
  <c r="AK253" i="1"/>
  <c r="AR253" i="1" s="1"/>
  <c r="DB253" i="1" s="1"/>
  <c r="DA253" i="1"/>
  <c r="BJ253" i="1"/>
  <c r="CC253" i="1"/>
  <c r="CB253" i="1"/>
  <c r="CA253" i="1"/>
  <c r="BZ253" i="1"/>
  <c r="BY253" i="1"/>
  <c r="BX253" i="1"/>
  <c r="BW253" i="1"/>
  <c r="BV253" i="1"/>
  <c r="BU253" i="1"/>
  <c r="BS253" i="1"/>
  <c r="BR253" i="1"/>
  <c r="BQ253" i="1"/>
  <c r="BP253" i="1"/>
  <c r="BO253" i="1"/>
  <c r="BN253" i="1"/>
  <c r="BM253" i="1"/>
  <c r="BL253" i="1"/>
  <c r="BK253" i="1"/>
  <c r="AX253" i="1"/>
  <c r="AW253" i="1"/>
  <c r="AV253" i="1"/>
  <c r="AU253" i="1"/>
  <c r="AT253" i="1"/>
  <c r="AS253" i="1"/>
  <c r="W253" i="1"/>
  <c r="CH252" i="1"/>
  <c r="EI252" i="1" s="1"/>
  <c r="ED252" i="1"/>
  <c r="DV252" i="1"/>
  <c r="DM252" i="1"/>
  <c r="AK252" i="1"/>
  <c r="BJ252" i="1"/>
  <c r="CD252" i="1" s="1"/>
  <c r="CC252" i="1"/>
  <c r="CB252" i="1"/>
  <c r="CA252" i="1"/>
  <c r="BZ252" i="1"/>
  <c r="BY252" i="1"/>
  <c r="BX252" i="1"/>
  <c r="BW252" i="1"/>
  <c r="BV252" i="1"/>
  <c r="BU252" i="1"/>
  <c r="BQ252" i="1"/>
  <c r="BP252" i="1"/>
  <c r="BK252" i="1"/>
  <c r="AX252" i="1"/>
  <c r="AV252" i="1"/>
  <c r="AU252" i="1"/>
  <c r="AT252" i="1"/>
  <c r="CH251" i="1"/>
  <c r="EF251" i="1" s="1"/>
  <c r="ED251" i="1"/>
  <c r="DV251" i="1"/>
  <c r="DR251" i="1"/>
  <c r="DO251" i="1"/>
  <c r="DM251" i="1"/>
  <c r="DL251" i="1"/>
  <c r="DI251" i="1"/>
  <c r="DH251" i="1"/>
  <c r="DE251" i="1"/>
  <c r="DD251" i="1"/>
  <c r="DC251" i="1"/>
  <c r="AK251" i="1"/>
  <c r="AR251" i="1" s="1"/>
  <c r="DB251" i="1" s="1"/>
  <c r="BJ251" i="1"/>
  <c r="CD251" i="1" s="1"/>
  <c r="CC251" i="1"/>
  <c r="CB251" i="1"/>
  <c r="CA251" i="1"/>
  <c r="BZ251" i="1"/>
  <c r="BY251" i="1"/>
  <c r="BX251" i="1"/>
  <c r="BW251" i="1"/>
  <c r="BV251" i="1"/>
  <c r="BU251" i="1"/>
  <c r="BS251" i="1"/>
  <c r="BR251" i="1"/>
  <c r="BQ251" i="1"/>
  <c r="BP251" i="1"/>
  <c r="BO251" i="1"/>
  <c r="BN251" i="1"/>
  <c r="BM251" i="1"/>
  <c r="BL251" i="1"/>
  <c r="BK251" i="1"/>
  <c r="AX251" i="1"/>
  <c r="AW251" i="1"/>
  <c r="AV251" i="1"/>
  <c r="AU251" i="1"/>
  <c r="AT251" i="1"/>
  <c r="AS251" i="1"/>
  <c r="W251" i="1"/>
  <c r="W200" i="1"/>
  <c r="AK200" i="1"/>
  <c r="AR200" i="1" s="1"/>
  <c r="DB200" i="1" s="1"/>
  <c r="AS200" i="1"/>
  <c r="AT200" i="1"/>
  <c r="AU200" i="1"/>
  <c r="AV200" i="1"/>
  <c r="AW200" i="1"/>
  <c r="AX200" i="1"/>
  <c r="BL200" i="1"/>
  <c r="BM200" i="1"/>
  <c r="BN200" i="1"/>
  <c r="BO200" i="1"/>
  <c r="BV200" i="1"/>
  <c r="BW200" i="1"/>
  <c r="BX200" i="1"/>
  <c r="BY200" i="1"/>
  <c r="BJ200" i="1"/>
  <c r="BK200" i="1"/>
  <c r="BP200" i="1"/>
  <c r="BQ200" i="1"/>
  <c r="BR200" i="1"/>
  <c r="BS200" i="1"/>
  <c r="BU200" i="1"/>
  <c r="BZ200" i="1"/>
  <c r="CA200" i="1"/>
  <c r="CB200" i="1"/>
  <c r="CC200" i="1"/>
  <c r="CH200" i="1"/>
  <c r="DP200" i="1"/>
  <c r="DA200" i="1"/>
  <c r="DC200" i="1"/>
  <c r="DD200" i="1"/>
  <c r="DE200" i="1"/>
  <c r="DG200" i="1"/>
  <c r="DH200" i="1"/>
  <c r="DI200" i="1"/>
  <c r="DJ200" i="1"/>
  <c r="DK200" i="1"/>
  <c r="DL200" i="1"/>
  <c r="DM200" i="1"/>
  <c r="DN200" i="1"/>
  <c r="DO200" i="1"/>
  <c r="DR200" i="1"/>
  <c r="DT200" i="1"/>
  <c r="DU200" i="1"/>
  <c r="DV200" i="1"/>
  <c r="DX200" i="1"/>
  <c r="DY200" i="1"/>
  <c r="DZ200" i="1"/>
  <c r="EA200" i="1"/>
  <c r="EB200" i="1"/>
  <c r="EC200" i="1"/>
  <c r="ED200" i="1"/>
  <c r="EF200" i="1"/>
  <c r="EI200" i="1"/>
  <c r="W66" i="1"/>
  <c r="AK66" i="1"/>
  <c r="AR66" i="1" s="1"/>
  <c r="DB66" i="1" s="1"/>
  <c r="AS66" i="1"/>
  <c r="AT66" i="1"/>
  <c r="AU66" i="1"/>
  <c r="AV66" i="1"/>
  <c r="AW66" i="1"/>
  <c r="AX66" i="1"/>
  <c r="BL66" i="1"/>
  <c r="BM66" i="1"/>
  <c r="BN66" i="1"/>
  <c r="BO66" i="1"/>
  <c r="BV66" i="1"/>
  <c r="BW66" i="1"/>
  <c r="BX66" i="1"/>
  <c r="BY66" i="1"/>
  <c r="BJ66" i="1"/>
  <c r="BK66" i="1"/>
  <c r="BP66" i="1"/>
  <c r="BQ66" i="1"/>
  <c r="BR66" i="1"/>
  <c r="BS66" i="1"/>
  <c r="BU66" i="1"/>
  <c r="BZ66" i="1"/>
  <c r="CA66" i="1"/>
  <c r="CB66" i="1"/>
  <c r="CC66" i="1"/>
  <c r="CH66" i="1"/>
  <c r="DP66" i="1"/>
  <c r="DA66" i="1"/>
  <c r="DC66" i="1"/>
  <c r="DD66" i="1"/>
  <c r="DE66" i="1"/>
  <c r="DG66" i="1"/>
  <c r="DH66" i="1"/>
  <c r="DI66" i="1"/>
  <c r="DJ66" i="1"/>
  <c r="DK66" i="1"/>
  <c r="DL66" i="1"/>
  <c r="DM66" i="1"/>
  <c r="DN66" i="1"/>
  <c r="DO66" i="1"/>
  <c r="DR66" i="1"/>
  <c r="DT66" i="1"/>
  <c r="DU66" i="1"/>
  <c r="DV66" i="1"/>
  <c r="DX66" i="1"/>
  <c r="DY66" i="1"/>
  <c r="DZ66" i="1"/>
  <c r="EA66" i="1"/>
  <c r="EB66" i="1"/>
  <c r="EC66" i="1"/>
  <c r="ED66" i="1"/>
  <c r="EF66" i="1"/>
  <c r="EI66" i="1"/>
  <c r="W4" i="1"/>
  <c r="AK4" i="1"/>
  <c r="AR4" i="1" s="1"/>
  <c r="DB4" i="1" s="1"/>
  <c r="AS4" i="1"/>
  <c r="AT4" i="1"/>
  <c r="AU4" i="1"/>
  <c r="AV4" i="1"/>
  <c r="AW4" i="1"/>
  <c r="AX4" i="1"/>
  <c r="BL4" i="1"/>
  <c r="BM4" i="1"/>
  <c r="BN4" i="1"/>
  <c r="BO4" i="1"/>
  <c r="BV4" i="1"/>
  <c r="BW4" i="1"/>
  <c r="BX4" i="1"/>
  <c r="BY4" i="1"/>
  <c r="BJ4" i="1"/>
  <c r="BK4" i="1"/>
  <c r="BP4" i="1"/>
  <c r="BQ4" i="1"/>
  <c r="BR4" i="1"/>
  <c r="BS4" i="1"/>
  <c r="BU4" i="1"/>
  <c r="BZ4" i="1"/>
  <c r="CA4" i="1"/>
  <c r="CB4" i="1"/>
  <c r="CC4" i="1"/>
  <c r="CH4" i="1"/>
  <c r="DF4" i="1" s="1"/>
  <c r="DA4" i="1"/>
  <c r="DC4" i="1"/>
  <c r="DD4" i="1"/>
  <c r="DE4" i="1"/>
  <c r="DG4" i="1"/>
  <c r="DH4" i="1"/>
  <c r="DI4" i="1"/>
  <c r="DJ4" i="1"/>
  <c r="DK4" i="1"/>
  <c r="DL4" i="1"/>
  <c r="DM4" i="1"/>
  <c r="DN4" i="1"/>
  <c r="DO4" i="1"/>
  <c r="DR4" i="1"/>
  <c r="DT4" i="1"/>
  <c r="DU4" i="1"/>
  <c r="DV4" i="1"/>
  <c r="DX4" i="1"/>
  <c r="DY4" i="1"/>
  <c r="DZ4" i="1"/>
  <c r="EA4" i="1"/>
  <c r="EB4" i="1"/>
  <c r="EC4" i="1"/>
  <c r="ED4" i="1"/>
  <c r="EF4" i="1"/>
  <c r="EI4" i="1"/>
  <c r="CM250" i="1"/>
  <c r="DK250" i="1" s="1"/>
  <c r="CL250" i="1"/>
  <c r="DJ250" i="1" s="1"/>
  <c r="CI250" i="1"/>
  <c r="AA250" i="1"/>
  <c r="CM249" i="1"/>
  <c r="DK249" i="1" s="1"/>
  <c r="CI249" i="1"/>
  <c r="DG249" i="1" s="1"/>
  <c r="CF249" i="1"/>
  <c r="DD249" i="1" s="1"/>
  <c r="AO249" i="1"/>
  <c r="AT249" i="1" s="1"/>
  <c r="AL249" i="1"/>
  <c r="AS249" i="1" s="1"/>
  <c r="Z249" i="1"/>
  <c r="AA249" i="1" s="1"/>
  <c r="CM248" i="1"/>
  <c r="DK248" i="1" s="1"/>
  <c r="CI248" i="1"/>
  <c r="AA248" i="1"/>
  <c r="CM247" i="1"/>
  <c r="DK247" i="1" s="1"/>
  <c r="CI247" i="1"/>
  <c r="AA247" i="1"/>
  <c r="CT246" i="1"/>
  <c r="DR246" i="1" s="1"/>
  <c r="CM246" i="1"/>
  <c r="DK246" i="1" s="1"/>
  <c r="CI246" i="1"/>
  <c r="CF246" i="1"/>
  <c r="CH246" i="1" s="1"/>
  <c r="DY246" i="1" s="1"/>
  <c r="AA246" i="1"/>
  <c r="CM245" i="1"/>
  <c r="DK245" i="1" s="1"/>
  <c r="CI245" i="1"/>
  <c r="DG245" i="1" s="1"/>
  <c r="AA245" i="1"/>
  <c r="CM244" i="1"/>
  <c r="CI244" i="1"/>
  <c r="AA244" i="1"/>
  <c r="CM243" i="1"/>
  <c r="DK243" i="1" s="1"/>
  <c r="CI243" i="1"/>
  <c r="AA243" i="1"/>
  <c r="CM242" i="1"/>
  <c r="DK242" i="1" s="1"/>
  <c r="CI242" i="1"/>
  <c r="CT241" i="1"/>
  <c r="DR241" i="1" s="1"/>
  <c r="CI241" i="1"/>
  <c r="CL241" i="1"/>
  <c r="CM241" i="1"/>
  <c r="CF241" i="1"/>
  <c r="AA241" i="1"/>
  <c r="CM240" i="1"/>
  <c r="DK240" i="1" s="1"/>
  <c r="CI240" i="1"/>
  <c r="AA240" i="1"/>
  <c r="CM239" i="1"/>
  <c r="CL239" i="1"/>
  <c r="DJ239" i="1" s="1"/>
  <c r="CI239" i="1"/>
  <c r="DG239" i="1" s="1"/>
  <c r="AA239" i="1"/>
  <c r="CM238" i="1"/>
  <c r="DK238" i="1" s="1"/>
  <c r="CL238" i="1"/>
  <c r="CI238" i="1"/>
  <c r="AA238" i="1"/>
  <c r="CM237" i="1"/>
  <c r="CL237" i="1"/>
  <c r="DJ237" i="1" s="1"/>
  <c r="CI237" i="1"/>
  <c r="CM236" i="1"/>
  <c r="DK236" i="1" s="1"/>
  <c r="CL236" i="1"/>
  <c r="DJ236" i="1" s="1"/>
  <c r="CI236" i="1"/>
  <c r="AO236" i="1"/>
  <c r="AT236" i="1" s="1"/>
  <c r="CM235" i="1"/>
  <c r="DK235" i="1" s="1"/>
  <c r="CI235" i="1"/>
  <c r="DG235" i="1" s="1"/>
  <c r="Z235" i="1"/>
  <c r="AA235" i="1" s="1"/>
  <c r="CM234" i="1"/>
  <c r="DK234" i="1" s="1"/>
  <c r="CI234" i="1"/>
  <c r="AA234" i="1"/>
  <c r="CM233" i="1"/>
  <c r="CI233" i="1"/>
  <c r="AA233" i="1"/>
  <c r="CM232" i="1"/>
  <c r="DK232" i="1" s="1"/>
  <c r="CI232" i="1"/>
  <c r="DG232" i="1" s="1"/>
  <c r="CM231" i="1"/>
  <c r="DK231" i="1" s="1"/>
  <c r="CI231" i="1"/>
  <c r="DG231" i="1" s="1"/>
  <c r="R17" i="1"/>
  <c r="T17" i="1" s="1"/>
  <c r="BM17" i="1" s="1"/>
  <c r="R28" i="1"/>
  <c r="T28" i="1" s="1"/>
  <c r="BO28" i="1" s="1"/>
  <c r="R30" i="1"/>
  <c r="T30" i="1" s="1"/>
  <c r="AV30" i="1" s="1"/>
  <c r="R32" i="1"/>
  <c r="T32" i="1" s="1"/>
  <c r="DD32" i="1" s="1"/>
  <c r="R41" i="1"/>
  <c r="T41" i="1" s="1"/>
  <c r="DC41" i="1" s="1"/>
  <c r="R49" i="1"/>
  <c r="T49" i="1" s="1"/>
  <c r="BN49" i="1" s="1"/>
  <c r="R59" i="1"/>
  <c r="T59" i="1" s="1"/>
  <c r="DH59" i="1" s="1"/>
  <c r="R76" i="1"/>
  <c r="T76" i="1" s="1"/>
  <c r="BL76" i="1" s="1"/>
  <c r="R77" i="1"/>
  <c r="T77" i="1" s="1"/>
  <c r="AW77" i="1" s="1"/>
  <c r="R78" i="1"/>
  <c r="T78" i="1" s="1"/>
  <c r="BQ78" i="1" s="1"/>
  <c r="R82" i="1"/>
  <c r="T82" i="1" s="1"/>
  <c r="DR82" i="1" s="1"/>
  <c r="R84" i="1"/>
  <c r="T84" i="1" s="1"/>
  <c r="BK84" i="1" s="1"/>
  <c r="R86" i="1"/>
  <c r="T86" i="1" s="1"/>
  <c r="BK86" i="1" s="1"/>
  <c r="R89" i="1"/>
  <c r="T89" i="1" s="1"/>
  <c r="DC89" i="1" s="1"/>
  <c r="R91" i="1"/>
  <c r="T91" i="1" s="1"/>
  <c r="BN91" i="1" s="1"/>
  <c r="R92" i="1"/>
  <c r="T92" i="1" s="1"/>
  <c r="AV92" i="1" s="1"/>
  <c r="R99" i="1"/>
  <c r="T99" i="1" s="1"/>
  <c r="BQ99" i="1" s="1"/>
  <c r="R100" i="1"/>
  <c r="T100" i="1" s="1"/>
  <c r="AV100" i="1" s="1"/>
  <c r="R102" i="1"/>
  <c r="T102" i="1" s="1"/>
  <c r="DD102" i="1" s="1"/>
  <c r="R104" i="1"/>
  <c r="T104" i="1" s="1"/>
  <c r="AW104" i="1" s="1"/>
  <c r="R109" i="1"/>
  <c r="T109" i="1" s="1"/>
  <c r="BM109" i="1" s="1"/>
  <c r="R112" i="1"/>
  <c r="T112" i="1" s="1"/>
  <c r="AV112" i="1" s="1"/>
  <c r="R113" i="1"/>
  <c r="T113" i="1" s="1"/>
  <c r="AV113" i="1" s="1"/>
  <c r="R119" i="1"/>
  <c r="T119" i="1" s="1"/>
  <c r="DC119" i="1" s="1"/>
  <c r="R141" i="1"/>
  <c r="T141" i="1" s="1"/>
  <c r="AV141" i="1" s="1"/>
  <c r="R143" i="1"/>
  <c r="R181" i="1"/>
  <c r="T181" i="1" s="1"/>
  <c r="DK181" i="1" s="1"/>
  <c r="R182" i="1"/>
  <c r="T182" i="1" s="1"/>
  <c r="BS182" i="1" s="1"/>
  <c r="R186" i="1"/>
  <c r="T186" i="1" s="1"/>
  <c r="AV186" i="1" s="1"/>
  <c r="R191" i="1"/>
  <c r="T191" i="1" s="1"/>
  <c r="DM191" i="1" s="1"/>
  <c r="R204" i="1"/>
  <c r="T204" i="1" s="1"/>
  <c r="AT204" i="1" s="1"/>
  <c r="AK236" i="1"/>
  <c r="AR236" i="1" s="1"/>
  <c r="DB236" i="1" s="1"/>
  <c r="W239" i="1"/>
  <c r="W242" i="1"/>
  <c r="W243" i="1"/>
  <c r="W246" i="1"/>
  <c r="W250" i="1"/>
  <c r="CI5" i="1"/>
  <c r="DG5" i="1" s="1"/>
  <c r="CM5" i="1"/>
  <c r="DK5" i="1" s="1"/>
  <c r="CI6" i="1"/>
  <c r="DG6" i="1" s="1"/>
  <c r="CM6" i="1"/>
  <c r="DK6" i="1" s="1"/>
  <c r="CI7" i="1"/>
  <c r="CM7" i="1"/>
  <c r="DK7" i="1" s="1"/>
  <c r="CI8" i="1"/>
  <c r="DG8" i="1" s="1"/>
  <c r="CL8" i="1"/>
  <c r="DJ8" i="1" s="1"/>
  <c r="CM8" i="1"/>
  <c r="DK8" i="1" s="1"/>
  <c r="CI9" i="1"/>
  <c r="DG9" i="1" s="1"/>
  <c r="CM9" i="1"/>
  <c r="DK9" i="1" s="1"/>
  <c r="CI10" i="1"/>
  <c r="DG10" i="1" s="1"/>
  <c r="CM10" i="1"/>
  <c r="DK10" i="1" s="1"/>
  <c r="CI11" i="1"/>
  <c r="DG11" i="1" s="1"/>
  <c r="CM11" i="1"/>
  <c r="DK11" i="1" s="1"/>
  <c r="CI12" i="1"/>
  <c r="DG12" i="1" s="1"/>
  <c r="CM12" i="1"/>
  <c r="DK12" i="1" s="1"/>
  <c r="CI13" i="1"/>
  <c r="DG13" i="1" s="1"/>
  <c r="CM13" i="1"/>
  <c r="DK13" i="1" s="1"/>
  <c r="CI14" i="1"/>
  <c r="DG14" i="1" s="1"/>
  <c r="CL14" i="1"/>
  <c r="CM14" i="1"/>
  <c r="DK14" i="1" s="1"/>
  <c r="CI15" i="1"/>
  <c r="DG15" i="1" s="1"/>
  <c r="CL15" i="1"/>
  <c r="DJ15" i="1" s="1"/>
  <c r="CM15" i="1"/>
  <c r="DK15" i="1" s="1"/>
  <c r="CI16" i="1"/>
  <c r="DG16" i="1" s="1"/>
  <c r="CM16" i="1"/>
  <c r="DK16" i="1" s="1"/>
  <c r="CI17" i="1"/>
  <c r="CM17" i="1"/>
  <c r="CI18" i="1"/>
  <c r="DG18" i="1" s="1"/>
  <c r="CM18" i="1"/>
  <c r="DK18" i="1" s="1"/>
  <c r="CI19" i="1"/>
  <c r="DG19" i="1" s="1"/>
  <c r="CL19" i="1"/>
  <c r="DJ19" i="1" s="1"/>
  <c r="CM19" i="1"/>
  <c r="DK19" i="1" s="1"/>
  <c r="CI20" i="1"/>
  <c r="DG20" i="1" s="1"/>
  <c r="CM20" i="1"/>
  <c r="DK20" i="1" s="1"/>
  <c r="CI21" i="1"/>
  <c r="DG21" i="1" s="1"/>
  <c r="CL21" i="1"/>
  <c r="DJ21" i="1" s="1"/>
  <c r="CM21" i="1"/>
  <c r="DK21" i="1" s="1"/>
  <c r="CI22" i="1"/>
  <c r="DG22" i="1" s="1"/>
  <c r="CL22" i="1"/>
  <c r="DJ22" i="1" s="1"/>
  <c r="CM22" i="1"/>
  <c r="DK22" i="1" s="1"/>
  <c r="CI23" i="1"/>
  <c r="DG23" i="1" s="1"/>
  <c r="CM23" i="1"/>
  <c r="DK23" i="1" s="1"/>
  <c r="CI24" i="1"/>
  <c r="DG24" i="1" s="1"/>
  <c r="CL24" i="1"/>
  <c r="DJ24" i="1" s="1"/>
  <c r="CM24" i="1"/>
  <c r="DK24" i="1" s="1"/>
  <c r="CI25" i="1"/>
  <c r="DG25" i="1" s="1"/>
  <c r="CL25" i="1"/>
  <c r="DJ25" i="1" s="1"/>
  <c r="CM25" i="1"/>
  <c r="DK25" i="1" s="1"/>
  <c r="CI26" i="1"/>
  <c r="DG26" i="1" s="1"/>
  <c r="CL26" i="1"/>
  <c r="DJ26" i="1" s="1"/>
  <c r="CM26" i="1"/>
  <c r="DK26" i="1" s="1"/>
  <c r="CI27" i="1"/>
  <c r="DG27" i="1" s="1"/>
  <c r="CL27" i="1"/>
  <c r="DJ27" i="1" s="1"/>
  <c r="CM27" i="1"/>
  <c r="DK27" i="1" s="1"/>
  <c r="CI28" i="1"/>
  <c r="CL28" i="1"/>
  <c r="CM28" i="1"/>
  <c r="CI29" i="1"/>
  <c r="DG29" i="1" s="1"/>
  <c r="CL29" i="1"/>
  <c r="DJ29" i="1" s="1"/>
  <c r="CM29" i="1"/>
  <c r="DK29" i="1" s="1"/>
  <c r="CI30" i="1"/>
  <c r="CL30" i="1"/>
  <c r="CM30" i="1"/>
  <c r="CI31" i="1"/>
  <c r="DG31" i="1" s="1"/>
  <c r="CM31" i="1"/>
  <c r="DK31" i="1" s="1"/>
  <c r="CI32" i="1"/>
  <c r="CL32" i="1"/>
  <c r="CM32" i="1"/>
  <c r="CI33" i="1"/>
  <c r="DG33" i="1" s="1"/>
  <c r="CL33" i="1"/>
  <c r="DJ33" i="1" s="1"/>
  <c r="CM33" i="1"/>
  <c r="DK33" i="1" s="1"/>
  <c r="CI34" i="1"/>
  <c r="DG34" i="1" s="1"/>
  <c r="CL34" i="1"/>
  <c r="DJ34" i="1" s="1"/>
  <c r="CM34" i="1"/>
  <c r="DK34" i="1" s="1"/>
  <c r="CI35" i="1"/>
  <c r="DG35" i="1" s="1"/>
  <c r="CL35" i="1"/>
  <c r="DJ35" i="1" s="1"/>
  <c r="CM35" i="1"/>
  <c r="DK35" i="1" s="1"/>
  <c r="CI36" i="1"/>
  <c r="DG36" i="1" s="1"/>
  <c r="CL36" i="1"/>
  <c r="DJ36" i="1" s="1"/>
  <c r="CM36" i="1"/>
  <c r="DK36" i="1" s="1"/>
  <c r="CI37" i="1"/>
  <c r="DG37" i="1" s="1"/>
  <c r="CL37" i="1"/>
  <c r="DJ37" i="1" s="1"/>
  <c r="CM37" i="1"/>
  <c r="DK37" i="1" s="1"/>
  <c r="CI38" i="1"/>
  <c r="DG38" i="1" s="1"/>
  <c r="CL38" i="1"/>
  <c r="DJ38" i="1" s="1"/>
  <c r="CM38" i="1"/>
  <c r="DK38" i="1" s="1"/>
  <c r="CI39" i="1"/>
  <c r="DG39" i="1" s="1"/>
  <c r="CL39" i="1"/>
  <c r="DJ39" i="1" s="1"/>
  <c r="CM39" i="1"/>
  <c r="DK39" i="1" s="1"/>
  <c r="CI40" i="1"/>
  <c r="DG40" i="1" s="1"/>
  <c r="CL40" i="1"/>
  <c r="DJ40" i="1" s="1"/>
  <c r="CM40" i="1"/>
  <c r="DK40" i="1" s="1"/>
  <c r="CI41" i="1"/>
  <c r="CL41" i="1"/>
  <c r="DJ41" i="1" s="1"/>
  <c r="CM41" i="1"/>
  <c r="CI42" i="1"/>
  <c r="DG42" i="1" s="1"/>
  <c r="CL42" i="1"/>
  <c r="DJ42" i="1" s="1"/>
  <c r="CM42" i="1"/>
  <c r="DK42" i="1" s="1"/>
  <c r="CI43" i="1"/>
  <c r="CL43" i="1"/>
  <c r="CM43" i="1"/>
  <c r="CI44" i="1"/>
  <c r="DG44" i="1" s="1"/>
  <c r="CL44" i="1"/>
  <c r="DJ44" i="1" s="1"/>
  <c r="CM44" i="1"/>
  <c r="DK44" i="1" s="1"/>
  <c r="CI45" i="1"/>
  <c r="DG45" i="1" s="1"/>
  <c r="CL45" i="1"/>
  <c r="DJ45" i="1" s="1"/>
  <c r="CM45" i="1"/>
  <c r="DK45" i="1" s="1"/>
  <c r="CI46" i="1"/>
  <c r="DG46" i="1" s="1"/>
  <c r="CL46" i="1"/>
  <c r="DJ46" i="1" s="1"/>
  <c r="CM46" i="1"/>
  <c r="DK46" i="1" s="1"/>
  <c r="CI47" i="1"/>
  <c r="DG47" i="1" s="1"/>
  <c r="CL47" i="1"/>
  <c r="DJ47" i="1" s="1"/>
  <c r="CM47" i="1"/>
  <c r="DK47" i="1" s="1"/>
  <c r="CI48" i="1"/>
  <c r="DG48" i="1" s="1"/>
  <c r="CL48" i="1"/>
  <c r="DJ48" i="1" s="1"/>
  <c r="CM48" i="1"/>
  <c r="DK48" i="1" s="1"/>
  <c r="CI49" i="1"/>
  <c r="CL49" i="1"/>
  <c r="CM49" i="1"/>
  <c r="CI50" i="1"/>
  <c r="DG50" i="1" s="1"/>
  <c r="CL50" i="1"/>
  <c r="DJ50" i="1" s="1"/>
  <c r="CM50" i="1"/>
  <c r="DK50" i="1" s="1"/>
  <c r="CI51" i="1"/>
  <c r="DG51" i="1" s="1"/>
  <c r="CL51" i="1"/>
  <c r="DJ51" i="1" s="1"/>
  <c r="CM51" i="1"/>
  <c r="DK51" i="1" s="1"/>
  <c r="CI52" i="1"/>
  <c r="DG52" i="1" s="1"/>
  <c r="CJ52" i="1"/>
  <c r="DH52" i="1" s="1"/>
  <c r="CK52" i="1"/>
  <c r="DI52" i="1" s="1"/>
  <c r="CL52" i="1"/>
  <c r="DJ52" i="1" s="1"/>
  <c r="CM52" i="1"/>
  <c r="DK52" i="1" s="1"/>
  <c r="CI53" i="1"/>
  <c r="DG53" i="1" s="1"/>
  <c r="CL53" i="1"/>
  <c r="DJ53" i="1" s="1"/>
  <c r="CM53" i="1"/>
  <c r="DK53" i="1" s="1"/>
  <c r="CI54" i="1"/>
  <c r="DG54" i="1" s="1"/>
  <c r="CL54" i="1"/>
  <c r="DJ54" i="1" s="1"/>
  <c r="CM54" i="1"/>
  <c r="DK54" i="1" s="1"/>
  <c r="CI55" i="1"/>
  <c r="DG55" i="1" s="1"/>
  <c r="CL55" i="1"/>
  <c r="DJ55" i="1" s="1"/>
  <c r="CM55" i="1"/>
  <c r="DK55" i="1" s="1"/>
  <c r="CI56" i="1"/>
  <c r="DG56" i="1" s="1"/>
  <c r="CL56" i="1"/>
  <c r="DJ56" i="1" s="1"/>
  <c r="CM56" i="1"/>
  <c r="DK56" i="1" s="1"/>
  <c r="CI57" i="1"/>
  <c r="DG57" i="1" s="1"/>
  <c r="CL57" i="1"/>
  <c r="DJ57" i="1" s="1"/>
  <c r="CM57" i="1"/>
  <c r="DK57" i="1" s="1"/>
  <c r="CI58" i="1"/>
  <c r="DG58" i="1" s="1"/>
  <c r="CL58" i="1"/>
  <c r="DJ58" i="1" s="1"/>
  <c r="CM58" i="1"/>
  <c r="DK58" i="1" s="1"/>
  <c r="CI59" i="1"/>
  <c r="CL59" i="1"/>
  <c r="CM59" i="1"/>
  <c r="CI60" i="1"/>
  <c r="DG60" i="1" s="1"/>
  <c r="CL60" i="1"/>
  <c r="DJ60" i="1" s="1"/>
  <c r="CM60" i="1"/>
  <c r="DK60" i="1" s="1"/>
  <c r="CI61" i="1"/>
  <c r="DG61" i="1" s="1"/>
  <c r="CL61" i="1"/>
  <c r="DJ61" i="1" s="1"/>
  <c r="CM61" i="1"/>
  <c r="DK61" i="1" s="1"/>
  <c r="CI62" i="1"/>
  <c r="DG62" i="1" s="1"/>
  <c r="CL62" i="1"/>
  <c r="DJ62" i="1" s="1"/>
  <c r="CM62" i="1"/>
  <c r="DK62" i="1" s="1"/>
  <c r="CI63" i="1"/>
  <c r="DG63" i="1" s="1"/>
  <c r="CL63" i="1"/>
  <c r="DJ63" i="1" s="1"/>
  <c r="CM63" i="1"/>
  <c r="DK63" i="1" s="1"/>
  <c r="CI64" i="1"/>
  <c r="DG64" i="1" s="1"/>
  <c r="CL64" i="1"/>
  <c r="DJ64" i="1" s="1"/>
  <c r="CM64" i="1"/>
  <c r="DK64" i="1" s="1"/>
  <c r="CN64" i="1"/>
  <c r="DL64" i="1" s="1"/>
  <c r="CI65" i="1"/>
  <c r="DG65" i="1" s="1"/>
  <c r="CL65" i="1"/>
  <c r="DJ65" i="1" s="1"/>
  <c r="CM65" i="1"/>
  <c r="DK65" i="1" s="1"/>
  <c r="CI67" i="1"/>
  <c r="DG67" i="1" s="1"/>
  <c r="CL67" i="1"/>
  <c r="DJ67" i="1" s="1"/>
  <c r="CM67" i="1"/>
  <c r="DK67" i="1" s="1"/>
  <c r="CI68" i="1"/>
  <c r="DG68" i="1" s="1"/>
  <c r="CM68" i="1"/>
  <c r="DK68" i="1" s="1"/>
  <c r="CI69" i="1"/>
  <c r="DG69" i="1" s="1"/>
  <c r="CJ69" i="1"/>
  <c r="DH69" i="1" s="1"/>
  <c r="CL69" i="1"/>
  <c r="DJ69" i="1" s="1"/>
  <c r="CM69" i="1"/>
  <c r="DK69" i="1" s="1"/>
  <c r="CI70" i="1"/>
  <c r="DG70" i="1" s="1"/>
  <c r="CL70" i="1"/>
  <c r="DJ70" i="1" s="1"/>
  <c r="CM70" i="1"/>
  <c r="DK70" i="1" s="1"/>
  <c r="CI71" i="1"/>
  <c r="DG71" i="1" s="1"/>
  <c r="CL71" i="1"/>
  <c r="DJ71" i="1" s="1"/>
  <c r="CM71" i="1"/>
  <c r="DK71" i="1" s="1"/>
  <c r="CI72" i="1"/>
  <c r="DG72" i="1" s="1"/>
  <c r="CM72" i="1"/>
  <c r="DK72" i="1" s="1"/>
  <c r="CI73" i="1"/>
  <c r="DG73" i="1" s="1"/>
  <c r="CM73" i="1"/>
  <c r="DK73" i="1" s="1"/>
  <c r="CI74" i="1"/>
  <c r="DG74" i="1" s="1"/>
  <c r="CM74" i="1"/>
  <c r="DK74" i="1" s="1"/>
  <c r="CN74" i="1"/>
  <c r="DL74" i="1" s="1"/>
  <c r="CI75" i="1"/>
  <c r="DG75" i="1" s="1"/>
  <c r="CL75" i="1"/>
  <c r="DJ75" i="1" s="1"/>
  <c r="CM75" i="1"/>
  <c r="DK75" i="1" s="1"/>
  <c r="CI76" i="1"/>
  <c r="CM76" i="1"/>
  <c r="CI77" i="1"/>
  <c r="CM77" i="1"/>
  <c r="CI78" i="1"/>
  <c r="CM78" i="1"/>
  <c r="CI79" i="1"/>
  <c r="DG79" i="1" s="1"/>
  <c r="CM79" i="1"/>
  <c r="DK79" i="1" s="1"/>
  <c r="CI80" i="1"/>
  <c r="DG80" i="1" s="1"/>
  <c r="CL80" i="1"/>
  <c r="DJ80" i="1" s="1"/>
  <c r="CM80" i="1"/>
  <c r="DK80" i="1" s="1"/>
  <c r="CI81" i="1"/>
  <c r="DG81" i="1" s="1"/>
  <c r="CM81" i="1"/>
  <c r="DK81" i="1" s="1"/>
  <c r="CI82" i="1"/>
  <c r="CM82" i="1"/>
  <c r="CI83" i="1"/>
  <c r="DG83" i="1" s="1"/>
  <c r="CM83" i="1"/>
  <c r="DK83" i="1" s="1"/>
  <c r="CI84" i="1"/>
  <c r="CM84" i="1"/>
  <c r="CI85" i="1"/>
  <c r="DG85" i="1" s="1"/>
  <c r="CM85" i="1"/>
  <c r="DK85" i="1" s="1"/>
  <c r="CI86" i="1"/>
  <c r="CK86" i="1"/>
  <c r="CL86" i="1"/>
  <c r="CM86" i="1"/>
  <c r="CI87" i="1"/>
  <c r="DG87" i="1" s="1"/>
  <c r="CM87" i="1"/>
  <c r="DK87" i="1" s="1"/>
  <c r="CI88" i="1"/>
  <c r="DG88" i="1" s="1"/>
  <c r="CL88" i="1"/>
  <c r="DJ88" i="1" s="1"/>
  <c r="CM88" i="1"/>
  <c r="DK88" i="1" s="1"/>
  <c r="CI89" i="1"/>
  <c r="CM89" i="1"/>
  <c r="CI90" i="1"/>
  <c r="DG90" i="1" s="1"/>
  <c r="CM90" i="1"/>
  <c r="DK90" i="1" s="1"/>
  <c r="CI91" i="1"/>
  <c r="CM91" i="1"/>
  <c r="CI92" i="1"/>
  <c r="CM92" i="1"/>
  <c r="CI93" i="1"/>
  <c r="DG93" i="1" s="1"/>
  <c r="CL93" i="1"/>
  <c r="DJ93" i="1" s="1"/>
  <c r="CM93" i="1"/>
  <c r="DK93" i="1" s="1"/>
  <c r="CI94" i="1"/>
  <c r="DG94" i="1" s="1"/>
  <c r="CL94" i="1"/>
  <c r="DJ94" i="1" s="1"/>
  <c r="CM94" i="1"/>
  <c r="DK94" i="1" s="1"/>
  <c r="CI95" i="1"/>
  <c r="DG95" i="1" s="1"/>
  <c r="CM95" i="1"/>
  <c r="DK95" i="1" s="1"/>
  <c r="CI96" i="1"/>
  <c r="DG96" i="1" s="1"/>
  <c r="CM96" i="1"/>
  <c r="DK96" i="1" s="1"/>
  <c r="CI97" i="1"/>
  <c r="DG97" i="1" s="1"/>
  <c r="CM97" i="1"/>
  <c r="DK97" i="1" s="1"/>
  <c r="CI98" i="1"/>
  <c r="DG98" i="1" s="1"/>
  <c r="CM98" i="1"/>
  <c r="DK98" i="1" s="1"/>
  <c r="CI99" i="1"/>
  <c r="CM99" i="1"/>
  <c r="CI100" i="1"/>
  <c r="CM100" i="1"/>
  <c r="CI101" i="1"/>
  <c r="DG101" i="1" s="1"/>
  <c r="CM101" i="1"/>
  <c r="DK101" i="1" s="1"/>
  <c r="CI102" i="1"/>
  <c r="CM102" i="1"/>
  <c r="CI103" i="1"/>
  <c r="DG103" i="1" s="1"/>
  <c r="CM103" i="1"/>
  <c r="DK103" i="1" s="1"/>
  <c r="CI104" i="1"/>
  <c r="CM104" i="1"/>
  <c r="CI105" i="1"/>
  <c r="DG105" i="1" s="1"/>
  <c r="CL105" i="1"/>
  <c r="DJ105" i="1" s="1"/>
  <c r="CM105" i="1"/>
  <c r="DK105" i="1" s="1"/>
  <c r="CI106" i="1"/>
  <c r="DG106" i="1" s="1"/>
  <c r="CM106" i="1"/>
  <c r="DK106" i="1" s="1"/>
  <c r="CI107" i="1"/>
  <c r="CM107" i="1"/>
  <c r="DK107" i="1" s="1"/>
  <c r="CI108" i="1"/>
  <c r="DG108" i="1" s="1"/>
  <c r="CM108" i="1"/>
  <c r="DK108" i="1" s="1"/>
  <c r="CI109" i="1"/>
  <c r="CL109" i="1"/>
  <c r="CM109" i="1"/>
  <c r="CI110" i="1"/>
  <c r="DG110" i="1" s="1"/>
  <c r="CL110" i="1"/>
  <c r="DJ110" i="1" s="1"/>
  <c r="CM110" i="1"/>
  <c r="DK110" i="1" s="1"/>
  <c r="CI111" i="1"/>
  <c r="DG111" i="1" s="1"/>
  <c r="CL111" i="1"/>
  <c r="DJ111" i="1" s="1"/>
  <c r="CM111" i="1"/>
  <c r="DK111" i="1" s="1"/>
  <c r="CI112" i="1"/>
  <c r="CL112" i="1"/>
  <c r="CM112" i="1"/>
  <c r="CI113" i="1"/>
  <c r="CM113" i="1"/>
  <c r="CI114" i="1"/>
  <c r="DG114" i="1" s="1"/>
  <c r="CL114" i="1"/>
  <c r="DJ114" i="1" s="1"/>
  <c r="CM114" i="1"/>
  <c r="DK114" i="1" s="1"/>
  <c r="CI115" i="1"/>
  <c r="DG115" i="1" s="1"/>
  <c r="CM115" i="1"/>
  <c r="DK115" i="1" s="1"/>
  <c r="CI116" i="1"/>
  <c r="DG116" i="1" s="1"/>
  <c r="CM116" i="1"/>
  <c r="DK116" i="1" s="1"/>
  <c r="CI117" i="1"/>
  <c r="DG117" i="1" s="1"/>
  <c r="CL117" i="1"/>
  <c r="DJ117" i="1" s="1"/>
  <c r="CI118" i="1"/>
  <c r="DG118" i="1" s="1"/>
  <c r="CM118" i="1"/>
  <c r="DK118" i="1" s="1"/>
  <c r="CI119" i="1"/>
  <c r="CM119" i="1"/>
  <c r="CI120" i="1"/>
  <c r="DG120" i="1" s="1"/>
  <c r="CM120" i="1"/>
  <c r="DK120" i="1" s="1"/>
  <c r="CI121" i="1"/>
  <c r="DG121" i="1" s="1"/>
  <c r="CM121" i="1"/>
  <c r="DK121" i="1" s="1"/>
  <c r="CI122" i="1"/>
  <c r="DG122" i="1" s="1"/>
  <c r="CI123" i="1"/>
  <c r="DG123" i="1" s="1"/>
  <c r="CI124" i="1"/>
  <c r="DG124" i="1" s="1"/>
  <c r="CM124" i="1"/>
  <c r="DK124" i="1" s="1"/>
  <c r="CI125" i="1"/>
  <c r="DG125" i="1" s="1"/>
  <c r="CM125" i="1"/>
  <c r="DK125" i="1" s="1"/>
  <c r="CI126" i="1"/>
  <c r="DG126" i="1" s="1"/>
  <c r="CM126" i="1"/>
  <c r="DK126" i="1" s="1"/>
  <c r="CI127" i="1"/>
  <c r="DG127" i="1" s="1"/>
  <c r="CM127" i="1"/>
  <c r="DK127" i="1" s="1"/>
  <c r="CI128" i="1"/>
  <c r="DG128" i="1" s="1"/>
  <c r="CL128" i="1"/>
  <c r="DJ128" i="1" s="1"/>
  <c r="CM128" i="1"/>
  <c r="DK128" i="1" s="1"/>
  <c r="CI129" i="1"/>
  <c r="DG129" i="1" s="1"/>
  <c r="CM129" i="1"/>
  <c r="DK129" i="1" s="1"/>
  <c r="CI130" i="1"/>
  <c r="DG130" i="1" s="1"/>
  <c r="CL130" i="1"/>
  <c r="DJ130" i="1" s="1"/>
  <c r="CM130" i="1"/>
  <c r="DK130" i="1" s="1"/>
  <c r="CI131" i="1"/>
  <c r="DG131" i="1" s="1"/>
  <c r="CM131" i="1"/>
  <c r="DK131" i="1" s="1"/>
  <c r="CI132" i="1"/>
  <c r="DG132" i="1" s="1"/>
  <c r="CM132" i="1"/>
  <c r="DK132" i="1" s="1"/>
  <c r="CI133" i="1"/>
  <c r="DG133" i="1" s="1"/>
  <c r="CM133" i="1"/>
  <c r="DK133" i="1" s="1"/>
  <c r="CI135" i="1"/>
  <c r="DG135" i="1" s="1"/>
  <c r="CM135" i="1"/>
  <c r="DK135" i="1" s="1"/>
  <c r="CI136" i="1"/>
  <c r="CM136" i="1"/>
  <c r="DK136" i="1" s="1"/>
  <c r="CI137" i="1"/>
  <c r="DG137" i="1" s="1"/>
  <c r="CL137" i="1"/>
  <c r="DJ137" i="1" s="1"/>
  <c r="CM137" i="1"/>
  <c r="DK137" i="1" s="1"/>
  <c r="CI138" i="1"/>
  <c r="DG138" i="1" s="1"/>
  <c r="CM138" i="1"/>
  <c r="DK138" i="1" s="1"/>
  <c r="CI139" i="1"/>
  <c r="DG139" i="1" s="1"/>
  <c r="CM139" i="1"/>
  <c r="DK139" i="1" s="1"/>
  <c r="CI140" i="1"/>
  <c r="CK140" i="1"/>
  <c r="DI140" i="1" s="1"/>
  <c r="CL140" i="1"/>
  <c r="DJ140" i="1" s="1"/>
  <c r="CM140" i="1"/>
  <c r="DK140" i="1" s="1"/>
  <c r="CI141" i="1"/>
  <c r="CM141" i="1"/>
  <c r="CI142" i="1"/>
  <c r="DG142" i="1" s="1"/>
  <c r="CM142" i="1"/>
  <c r="DK142" i="1" s="1"/>
  <c r="CI143" i="1"/>
  <c r="CL143" i="1"/>
  <c r="CM143" i="1"/>
  <c r="CN143" i="1"/>
  <c r="CN422" i="1" s="1"/>
  <c r="CI144" i="1"/>
  <c r="DG144" i="1" s="1"/>
  <c r="CJ144" i="1"/>
  <c r="DH144" i="1" s="1"/>
  <c r="CL144" i="1"/>
  <c r="DJ144" i="1" s="1"/>
  <c r="CM144" i="1"/>
  <c r="DK144" i="1" s="1"/>
  <c r="CI165" i="1"/>
  <c r="DG165" i="1" s="1"/>
  <c r="CL165" i="1"/>
  <c r="DJ165" i="1" s="1"/>
  <c r="CM165" i="1"/>
  <c r="DK165" i="1" s="1"/>
  <c r="CI166" i="1"/>
  <c r="DG166" i="1" s="1"/>
  <c r="CM166" i="1"/>
  <c r="DK166" i="1" s="1"/>
  <c r="CI167" i="1"/>
  <c r="DG167" i="1" s="1"/>
  <c r="CL167" i="1"/>
  <c r="DJ167" i="1" s="1"/>
  <c r="CM167" i="1"/>
  <c r="DK167" i="1" s="1"/>
  <c r="CI168" i="1"/>
  <c r="CL168" i="1"/>
  <c r="DJ168" i="1" s="1"/>
  <c r="CM168" i="1"/>
  <c r="DK168" i="1" s="1"/>
  <c r="CI169" i="1"/>
  <c r="DG169" i="1" s="1"/>
  <c r="CM169" i="1"/>
  <c r="DK169" i="1" s="1"/>
  <c r="CI170" i="1"/>
  <c r="DG170" i="1" s="1"/>
  <c r="CM170" i="1"/>
  <c r="DK170" i="1" s="1"/>
  <c r="CI171" i="1"/>
  <c r="DG171" i="1" s="1"/>
  <c r="CL171" i="1"/>
  <c r="DJ171" i="1" s="1"/>
  <c r="CM171" i="1"/>
  <c r="DK171" i="1" s="1"/>
  <c r="CI172" i="1"/>
  <c r="DG172" i="1" s="1"/>
  <c r="CM172" i="1"/>
  <c r="DK172" i="1" s="1"/>
  <c r="CI173" i="1"/>
  <c r="DG173" i="1" s="1"/>
  <c r="CM173" i="1"/>
  <c r="DK173" i="1" s="1"/>
  <c r="CI174" i="1"/>
  <c r="CK174" i="1"/>
  <c r="DI174" i="1" s="1"/>
  <c r="CM174" i="1"/>
  <c r="DK174" i="1" s="1"/>
  <c r="CI175" i="1"/>
  <c r="DG175" i="1" s="1"/>
  <c r="CM175" i="1"/>
  <c r="DK175" i="1" s="1"/>
  <c r="CI176" i="1"/>
  <c r="DG176" i="1" s="1"/>
  <c r="CM176" i="1"/>
  <c r="DK176" i="1" s="1"/>
  <c r="CI177" i="1"/>
  <c r="DG177" i="1" s="1"/>
  <c r="CM177" i="1"/>
  <c r="DK177" i="1" s="1"/>
  <c r="CI178" i="1"/>
  <c r="CM178" i="1"/>
  <c r="DK178" i="1" s="1"/>
  <c r="CI179" i="1"/>
  <c r="DG179" i="1" s="1"/>
  <c r="CM179" i="1"/>
  <c r="DK179" i="1" s="1"/>
  <c r="CI180" i="1"/>
  <c r="DG180" i="1" s="1"/>
  <c r="CM180" i="1"/>
  <c r="DK180" i="1" s="1"/>
  <c r="CI181" i="1"/>
  <c r="CI182" i="1"/>
  <c r="CM182" i="1"/>
  <c r="CI183" i="1"/>
  <c r="DG183" i="1" s="1"/>
  <c r="CL183" i="1"/>
  <c r="DJ183" i="1" s="1"/>
  <c r="CM183" i="1"/>
  <c r="DK183" i="1" s="1"/>
  <c r="CI184" i="1"/>
  <c r="DG184" i="1" s="1"/>
  <c r="CM184" i="1"/>
  <c r="DK184" i="1" s="1"/>
  <c r="CI185" i="1"/>
  <c r="CL185" i="1"/>
  <c r="DJ185" i="1" s="1"/>
  <c r="CM185" i="1"/>
  <c r="DK185" i="1" s="1"/>
  <c r="CI186" i="1"/>
  <c r="CL186" i="1"/>
  <c r="CM186" i="1"/>
  <c r="CI187" i="1"/>
  <c r="DG187" i="1" s="1"/>
  <c r="CM187" i="1"/>
  <c r="DK187" i="1" s="1"/>
  <c r="CI188" i="1"/>
  <c r="CL188" i="1"/>
  <c r="DJ188" i="1" s="1"/>
  <c r="CM188" i="1"/>
  <c r="DK188" i="1" s="1"/>
  <c r="CI189" i="1"/>
  <c r="DG189" i="1" s="1"/>
  <c r="CM189" i="1"/>
  <c r="DK189" i="1" s="1"/>
  <c r="CI190" i="1"/>
  <c r="DG190" i="1" s="1"/>
  <c r="CL190" i="1"/>
  <c r="DJ190" i="1" s="1"/>
  <c r="CM190" i="1"/>
  <c r="DK190" i="1" s="1"/>
  <c r="CI191" i="1"/>
  <c r="CM191" i="1"/>
  <c r="CI192" i="1"/>
  <c r="DG192" i="1" s="1"/>
  <c r="CL192" i="1"/>
  <c r="DJ192" i="1" s="1"/>
  <c r="CM192" i="1"/>
  <c r="DK192" i="1" s="1"/>
  <c r="CI194" i="1"/>
  <c r="DG194" i="1" s="1"/>
  <c r="CM194" i="1"/>
  <c r="DK194" i="1" s="1"/>
  <c r="CI195" i="1"/>
  <c r="DG195" i="1" s="1"/>
  <c r="CM195" i="1"/>
  <c r="DK195" i="1" s="1"/>
  <c r="CI198" i="1"/>
  <c r="DG198" i="1" s="1"/>
  <c r="CM198" i="1"/>
  <c r="DK198" i="1" s="1"/>
  <c r="CI199" i="1"/>
  <c r="CL199" i="1"/>
  <c r="DJ199" i="1" s="1"/>
  <c r="CM199" i="1"/>
  <c r="DK199" i="1" s="1"/>
  <c r="CI201" i="1"/>
  <c r="DG201" i="1" s="1"/>
  <c r="CI202" i="1"/>
  <c r="DG202" i="1" s="1"/>
  <c r="CL202" i="1"/>
  <c r="DJ202" i="1" s="1"/>
  <c r="CM202" i="1"/>
  <c r="DK202" i="1" s="1"/>
  <c r="CI203" i="1"/>
  <c r="CM203" i="1"/>
  <c r="DK203" i="1" s="1"/>
  <c r="CI204" i="1"/>
  <c r="CM204" i="1"/>
  <c r="CI205" i="1"/>
  <c r="CL205" i="1"/>
  <c r="DJ205" i="1" s="1"/>
  <c r="CM205" i="1"/>
  <c r="CI206" i="1"/>
  <c r="CM206" i="1"/>
  <c r="DK206" i="1" s="1"/>
  <c r="CI207" i="1"/>
  <c r="DG207" i="1" s="1"/>
  <c r="CM207" i="1"/>
  <c r="DK207" i="1" s="1"/>
  <c r="CI208" i="1"/>
  <c r="CL208" i="1"/>
  <c r="CM208" i="1"/>
  <c r="DK208" i="1" s="1"/>
  <c r="CI209" i="1"/>
  <c r="DG209" i="1" s="1"/>
  <c r="CL209" i="1"/>
  <c r="CM209" i="1"/>
  <c r="DK209" i="1" s="1"/>
  <c r="CI210" i="1"/>
  <c r="CM210" i="1"/>
  <c r="CI211" i="1"/>
  <c r="DG211" i="1" s="1"/>
  <c r="CL211" i="1"/>
  <c r="DJ211" i="1" s="1"/>
  <c r="CM211" i="1"/>
  <c r="CI212" i="1"/>
  <c r="CM212" i="1"/>
  <c r="CI213" i="1"/>
  <c r="DG213" i="1" s="1"/>
  <c r="CL213" i="1"/>
  <c r="DJ213" i="1" s="1"/>
  <c r="CM213" i="1"/>
  <c r="DK213" i="1" s="1"/>
  <c r="CI214" i="1"/>
  <c r="CL214" i="1"/>
  <c r="DJ214" i="1" s="1"/>
  <c r="CM214" i="1"/>
  <c r="DK214" i="1" s="1"/>
  <c r="CI215" i="1"/>
  <c r="CM215" i="1"/>
  <c r="DK215" i="1" s="1"/>
  <c r="CI216" i="1"/>
  <c r="CL216" i="1"/>
  <c r="CM216" i="1"/>
  <c r="CI217" i="1"/>
  <c r="CM217" i="1"/>
  <c r="DK217" i="1" s="1"/>
  <c r="CI218" i="1"/>
  <c r="CM218" i="1"/>
  <c r="DK218" i="1" s="1"/>
  <c r="CI219" i="1"/>
  <c r="CM219" i="1"/>
  <c r="DK219" i="1" s="1"/>
  <c r="CI220" i="1"/>
  <c r="DG220" i="1" s="1"/>
  <c r="CL220" i="1"/>
  <c r="CM220" i="1"/>
  <c r="CI221" i="1"/>
  <c r="CM221" i="1"/>
  <c r="DK221" i="1" s="1"/>
  <c r="CI222" i="1"/>
  <c r="DG222" i="1" s="1"/>
  <c r="CK222" i="1"/>
  <c r="CL222" i="1"/>
  <c r="CM222" i="1"/>
  <c r="DK222" i="1" s="1"/>
  <c r="CI223" i="1"/>
  <c r="CM223" i="1"/>
  <c r="CI224" i="1"/>
  <c r="DG224" i="1" s="1"/>
  <c r="CL224" i="1"/>
  <c r="DJ224" i="1" s="1"/>
  <c r="CM224" i="1"/>
  <c r="DK224" i="1" s="1"/>
  <c r="CI225" i="1"/>
  <c r="CM225" i="1"/>
  <c r="DK225" i="1" s="1"/>
  <c r="CI226" i="1"/>
  <c r="CK226" i="1"/>
  <c r="DI226" i="1" s="1"/>
  <c r="CL226" i="1"/>
  <c r="DJ226" i="1" s="1"/>
  <c r="CM226" i="1"/>
  <c r="DK226" i="1" s="1"/>
  <c r="CI227" i="1"/>
  <c r="DG227" i="1" s="1"/>
  <c r="CM227" i="1"/>
  <c r="DK227" i="1" s="1"/>
  <c r="CI228" i="1"/>
  <c r="CL228" i="1"/>
  <c r="CM228" i="1"/>
  <c r="CI229" i="1"/>
  <c r="CM229" i="1"/>
  <c r="DK229" i="1" s="1"/>
  <c r="CI230" i="1"/>
  <c r="CM230" i="1"/>
  <c r="DK230" i="1" s="1"/>
  <c r="CH250" i="1"/>
  <c r="DZ250" i="1" s="1"/>
  <c r="ED250" i="1"/>
  <c r="DV250" i="1"/>
  <c r="DR250" i="1"/>
  <c r="DO250" i="1"/>
  <c r="DM250" i="1"/>
  <c r="DL250" i="1"/>
  <c r="DI250" i="1"/>
  <c r="DH250" i="1"/>
  <c r="DE250" i="1"/>
  <c r="DD250" i="1"/>
  <c r="DC250" i="1"/>
  <c r="CC250" i="1"/>
  <c r="CB250" i="1"/>
  <c r="CA250" i="1"/>
  <c r="BZ250" i="1"/>
  <c r="BY250" i="1"/>
  <c r="BX250" i="1"/>
  <c r="BW250" i="1"/>
  <c r="BV250" i="1"/>
  <c r="BU250" i="1"/>
  <c r="BS250" i="1"/>
  <c r="BR250" i="1"/>
  <c r="BQ250" i="1"/>
  <c r="BP250" i="1"/>
  <c r="BO250" i="1"/>
  <c r="BN250" i="1"/>
  <c r="BM250" i="1"/>
  <c r="BL250" i="1"/>
  <c r="BK250" i="1"/>
  <c r="BJ250" i="1"/>
  <c r="CD250" i="1" s="1"/>
  <c r="AX250" i="1"/>
  <c r="AW250" i="1"/>
  <c r="AV250" i="1"/>
  <c r="AU250" i="1"/>
  <c r="AT250" i="1"/>
  <c r="AS250" i="1"/>
  <c r="AK250" i="1"/>
  <c r="AR250" i="1" s="1"/>
  <c r="DB250" i="1" s="1"/>
  <c r="ED249" i="1"/>
  <c r="DV249" i="1"/>
  <c r="DR249" i="1"/>
  <c r="DO249" i="1"/>
  <c r="DM249" i="1"/>
  <c r="DL249" i="1"/>
  <c r="DJ249" i="1"/>
  <c r="DI249" i="1"/>
  <c r="DH249" i="1"/>
  <c r="DE249" i="1"/>
  <c r="DC249" i="1"/>
  <c r="CC249" i="1"/>
  <c r="CB249" i="1"/>
  <c r="CA249" i="1"/>
  <c r="BZ249" i="1"/>
  <c r="BY249" i="1"/>
  <c r="BX249" i="1"/>
  <c r="BW249" i="1"/>
  <c r="BV249" i="1"/>
  <c r="BU249" i="1"/>
  <c r="BS249" i="1"/>
  <c r="BR249" i="1"/>
  <c r="BQ249" i="1"/>
  <c r="BP249" i="1"/>
  <c r="BO249" i="1"/>
  <c r="BN249" i="1"/>
  <c r="BM249" i="1"/>
  <c r="BL249" i="1"/>
  <c r="BK249" i="1"/>
  <c r="BJ249" i="1"/>
  <c r="AX249" i="1"/>
  <c r="AW249" i="1"/>
  <c r="AV249" i="1"/>
  <c r="AU249" i="1"/>
  <c r="AK249" i="1"/>
  <c r="AR249" i="1" s="1"/>
  <c r="DB249" i="1" s="1"/>
  <c r="CH248" i="1"/>
  <c r="EI248" i="1" s="1"/>
  <c r="ED248" i="1"/>
  <c r="DV248" i="1"/>
  <c r="DR248" i="1"/>
  <c r="DO248" i="1"/>
  <c r="DM248" i="1"/>
  <c r="DL248" i="1"/>
  <c r="DJ248" i="1"/>
  <c r="DI248" i="1"/>
  <c r="DH248" i="1"/>
  <c r="DE248" i="1"/>
  <c r="DD248" i="1"/>
  <c r="DC248" i="1"/>
  <c r="CC248" i="1"/>
  <c r="CB248" i="1"/>
  <c r="CA248" i="1"/>
  <c r="BZ248" i="1"/>
  <c r="BY248" i="1"/>
  <c r="BX248" i="1"/>
  <c r="BW248" i="1"/>
  <c r="BV248" i="1"/>
  <c r="BU248" i="1"/>
  <c r="BS248" i="1"/>
  <c r="BR248" i="1"/>
  <c r="BQ248" i="1"/>
  <c r="BP248" i="1"/>
  <c r="BO248" i="1"/>
  <c r="BN248" i="1"/>
  <c r="BM248" i="1"/>
  <c r="BL248" i="1"/>
  <c r="BK248" i="1"/>
  <c r="BJ248" i="1"/>
  <c r="AX248" i="1"/>
  <c r="AW248" i="1"/>
  <c r="AV248" i="1"/>
  <c r="AU248" i="1"/>
  <c r="AT248" i="1"/>
  <c r="AS248" i="1"/>
  <c r="AK248" i="1"/>
  <c r="AR248" i="1" s="1"/>
  <c r="DB248" i="1" s="1"/>
  <c r="W248" i="1"/>
  <c r="CH247" i="1"/>
  <c r="DV247" i="1"/>
  <c r="DM247" i="1"/>
  <c r="DL247" i="1"/>
  <c r="DJ247" i="1"/>
  <c r="DD247" i="1"/>
  <c r="DC247" i="1"/>
  <c r="CC247" i="1"/>
  <c r="CB247" i="1"/>
  <c r="CA247" i="1"/>
  <c r="BZ247" i="1"/>
  <c r="BY247" i="1"/>
  <c r="BX247" i="1"/>
  <c r="BW247" i="1"/>
  <c r="BV247" i="1"/>
  <c r="BU247" i="1"/>
  <c r="BP247" i="1"/>
  <c r="BO247" i="1"/>
  <c r="BN247" i="1"/>
  <c r="BM247" i="1"/>
  <c r="BJ247" i="1"/>
  <c r="CD247" i="1" s="1"/>
  <c r="AX247" i="1"/>
  <c r="AW247" i="1"/>
  <c r="AV247" i="1"/>
  <c r="AU247" i="1"/>
  <c r="AT247" i="1"/>
  <c r="AS247" i="1"/>
  <c r="AK247" i="1"/>
  <c r="ED246" i="1"/>
  <c r="DV246" i="1"/>
  <c r="DO246" i="1"/>
  <c r="DM246" i="1"/>
  <c r="DL246" i="1"/>
  <c r="DJ246" i="1"/>
  <c r="DI246" i="1"/>
  <c r="DH246" i="1"/>
  <c r="DE246" i="1"/>
  <c r="DC246" i="1"/>
  <c r="CC246" i="1"/>
  <c r="CB246" i="1"/>
  <c r="CA246" i="1"/>
  <c r="BZ246" i="1"/>
  <c r="BY246" i="1"/>
  <c r="BX246" i="1"/>
  <c r="BW246" i="1"/>
  <c r="BV246" i="1"/>
  <c r="BU246" i="1"/>
  <c r="BS246" i="1"/>
  <c r="BR246" i="1"/>
  <c r="BQ246" i="1"/>
  <c r="BP246" i="1"/>
  <c r="BO246" i="1"/>
  <c r="BN246" i="1"/>
  <c r="BM246" i="1"/>
  <c r="BL246" i="1"/>
  <c r="BK246" i="1"/>
  <c r="BJ246" i="1"/>
  <c r="BT246" i="1" s="1"/>
  <c r="AX246" i="1"/>
  <c r="AW246" i="1"/>
  <c r="AV246" i="1"/>
  <c r="AU246" i="1"/>
  <c r="AT246" i="1"/>
  <c r="AS246" i="1"/>
  <c r="AK246" i="1"/>
  <c r="AR246" i="1" s="1"/>
  <c r="DB246" i="1" s="1"/>
  <c r="CH245" i="1"/>
  <c r="ED245" i="1"/>
  <c r="DV245" i="1"/>
  <c r="DR245" i="1"/>
  <c r="DO245" i="1"/>
  <c r="DM245" i="1"/>
  <c r="DL245" i="1"/>
  <c r="DJ245" i="1"/>
  <c r="DI245" i="1"/>
  <c r="DH245" i="1"/>
  <c r="DE245" i="1"/>
  <c r="DD245" i="1"/>
  <c r="DC245" i="1"/>
  <c r="CC245" i="1"/>
  <c r="CB245" i="1"/>
  <c r="CA245" i="1"/>
  <c r="BZ245" i="1"/>
  <c r="BY245" i="1"/>
  <c r="BX245" i="1"/>
  <c r="BW245" i="1"/>
  <c r="BV245" i="1"/>
  <c r="BU245" i="1"/>
  <c r="BS245" i="1"/>
  <c r="BR245" i="1"/>
  <c r="BQ245" i="1"/>
  <c r="BP245" i="1"/>
  <c r="BO245" i="1"/>
  <c r="BN245" i="1"/>
  <c r="BM245" i="1"/>
  <c r="BL245" i="1"/>
  <c r="BK245" i="1"/>
  <c r="BJ245" i="1"/>
  <c r="BT245" i="1" s="1"/>
  <c r="AX245" i="1"/>
  <c r="AW245" i="1"/>
  <c r="AV245" i="1"/>
  <c r="AU245" i="1"/>
  <c r="AT245" i="1"/>
  <c r="AS245" i="1"/>
  <c r="AK245" i="1"/>
  <c r="AR245" i="1" s="1"/>
  <c r="DB245" i="1" s="1"/>
  <c r="W245" i="1"/>
  <c r="CH244" i="1"/>
  <c r="EF244" i="1" s="1"/>
  <c r="ED244" i="1"/>
  <c r="DV244" i="1"/>
  <c r="DR244" i="1"/>
  <c r="DO244" i="1"/>
  <c r="DM244" i="1"/>
  <c r="DL244" i="1"/>
  <c r="DJ244" i="1"/>
  <c r="DI244" i="1"/>
  <c r="DH244" i="1"/>
  <c r="DE244" i="1"/>
  <c r="DD244" i="1"/>
  <c r="DC244" i="1"/>
  <c r="CC244" i="1"/>
  <c r="CB244" i="1"/>
  <c r="CA244" i="1"/>
  <c r="BZ244" i="1"/>
  <c r="BY244" i="1"/>
  <c r="BX244" i="1"/>
  <c r="BW244" i="1"/>
  <c r="BV244" i="1"/>
  <c r="BU244" i="1"/>
  <c r="BS244" i="1"/>
  <c r="BR244" i="1"/>
  <c r="BQ244" i="1"/>
  <c r="BP244" i="1"/>
  <c r="BO244" i="1"/>
  <c r="BN244" i="1"/>
  <c r="BM244" i="1"/>
  <c r="BL244" i="1"/>
  <c r="BK244" i="1"/>
  <c r="BJ244" i="1"/>
  <c r="AX244" i="1"/>
  <c r="AW244" i="1"/>
  <c r="AV244" i="1"/>
  <c r="AU244" i="1"/>
  <c r="AT244" i="1"/>
  <c r="AS244" i="1"/>
  <c r="AK244" i="1"/>
  <c r="AR244" i="1" s="1"/>
  <c r="DB244" i="1" s="1"/>
  <c r="CH243" i="1"/>
  <c r="DF243" i="1" s="1"/>
  <c r="ED243" i="1"/>
  <c r="DV243" i="1"/>
  <c r="DR243" i="1"/>
  <c r="DO243" i="1"/>
  <c r="DM243" i="1"/>
  <c r="DL243" i="1"/>
  <c r="DJ243" i="1"/>
  <c r="DI243" i="1"/>
  <c r="DH243" i="1"/>
  <c r="DE243" i="1"/>
  <c r="DD243" i="1"/>
  <c r="DC243" i="1"/>
  <c r="CC243" i="1"/>
  <c r="CB243" i="1"/>
  <c r="CA243" i="1"/>
  <c r="BZ243" i="1"/>
  <c r="BY243" i="1"/>
  <c r="BX243" i="1"/>
  <c r="BW243" i="1"/>
  <c r="BV243" i="1"/>
  <c r="BU243" i="1"/>
  <c r="BS243" i="1"/>
  <c r="BR243" i="1"/>
  <c r="BQ243" i="1"/>
  <c r="BP243" i="1"/>
  <c r="BO243" i="1"/>
  <c r="BN243" i="1"/>
  <c r="BM243" i="1"/>
  <c r="BL243" i="1"/>
  <c r="BK243" i="1"/>
  <c r="BJ243" i="1"/>
  <c r="BT243" i="1" s="1"/>
  <c r="AX243" i="1"/>
  <c r="AW243" i="1"/>
  <c r="AV243" i="1"/>
  <c r="AU243" i="1"/>
  <c r="AT243" i="1"/>
  <c r="AS243" i="1"/>
  <c r="AK243" i="1"/>
  <c r="AR243" i="1" s="1"/>
  <c r="DB243" i="1" s="1"/>
  <c r="EI242" i="1"/>
  <c r="CH242" i="1"/>
  <c r="DF242" i="1" s="1"/>
  <c r="ED242" i="1"/>
  <c r="DV242" i="1"/>
  <c r="DR242" i="1"/>
  <c r="DO242" i="1"/>
  <c r="DM242" i="1"/>
  <c r="DL242" i="1"/>
  <c r="DJ242" i="1"/>
  <c r="DI242" i="1"/>
  <c r="DH242" i="1"/>
  <c r="DE242" i="1"/>
  <c r="DD242" i="1"/>
  <c r="DC242" i="1"/>
  <c r="DA242" i="1"/>
  <c r="CC242" i="1"/>
  <c r="CB242" i="1"/>
  <c r="CA242" i="1"/>
  <c r="BZ242" i="1"/>
  <c r="BY242" i="1"/>
  <c r="BX242" i="1"/>
  <c r="BW242" i="1"/>
  <c r="BV242" i="1"/>
  <c r="BU242" i="1"/>
  <c r="BS242" i="1"/>
  <c r="BR242" i="1"/>
  <c r="BQ242" i="1"/>
  <c r="BP242" i="1"/>
  <c r="BO242" i="1"/>
  <c r="BN242" i="1"/>
  <c r="BM242" i="1"/>
  <c r="BL242" i="1"/>
  <c r="BK242" i="1"/>
  <c r="BJ242" i="1"/>
  <c r="AX242" i="1"/>
  <c r="AW242" i="1"/>
  <c r="AV242" i="1"/>
  <c r="AU242" i="1"/>
  <c r="AT242" i="1"/>
  <c r="AS242" i="1"/>
  <c r="AK242" i="1"/>
  <c r="AR242" i="1" s="1"/>
  <c r="DB242" i="1" s="1"/>
  <c r="ED241" i="1"/>
  <c r="DV241" i="1"/>
  <c r="DO241" i="1"/>
  <c r="DM241" i="1"/>
  <c r="DL241" i="1"/>
  <c r="DI241" i="1"/>
  <c r="DH241" i="1"/>
  <c r="DE241" i="1"/>
  <c r="DC241" i="1"/>
  <c r="BJ241" i="1"/>
  <c r="CD241" i="1" s="1"/>
  <c r="CC241" i="1"/>
  <c r="CB241" i="1"/>
  <c r="CA241" i="1"/>
  <c r="BZ241" i="1"/>
  <c r="BY241" i="1"/>
  <c r="BX241" i="1"/>
  <c r="BW241" i="1"/>
  <c r="BV241" i="1"/>
  <c r="BU241" i="1"/>
  <c r="BS241" i="1"/>
  <c r="BR241" i="1"/>
  <c r="BQ241" i="1"/>
  <c r="BP241" i="1"/>
  <c r="BO241" i="1"/>
  <c r="BN241" i="1"/>
  <c r="BM241" i="1"/>
  <c r="BL241" i="1"/>
  <c r="BK241" i="1"/>
  <c r="AX241" i="1"/>
  <c r="AW241" i="1"/>
  <c r="AV241" i="1"/>
  <c r="AU241" i="1"/>
  <c r="AT241" i="1"/>
  <c r="AS241" i="1"/>
  <c r="AK241" i="1"/>
  <c r="AR241" i="1" s="1"/>
  <c r="DB241" i="1" s="1"/>
  <c r="CH240" i="1"/>
  <c r="DZ240" i="1" s="1"/>
  <c r="ED240" i="1"/>
  <c r="DV240" i="1"/>
  <c r="DM240" i="1"/>
  <c r="DJ240" i="1"/>
  <c r="DI240" i="1"/>
  <c r="DH240" i="1"/>
  <c r="CC240" i="1"/>
  <c r="CB240" i="1"/>
  <c r="CA240" i="1"/>
  <c r="BZ240" i="1"/>
  <c r="BY240" i="1"/>
  <c r="BX240" i="1"/>
  <c r="BW240" i="1"/>
  <c r="BV240" i="1"/>
  <c r="BU240" i="1"/>
  <c r="BS240" i="1"/>
  <c r="BR240" i="1"/>
  <c r="BQ240" i="1"/>
  <c r="BL240" i="1"/>
  <c r="BK240" i="1"/>
  <c r="BJ240" i="1"/>
  <c r="BT240" i="1" s="1"/>
  <c r="AX240" i="1"/>
  <c r="AS240" i="1"/>
  <c r="AK240" i="1"/>
  <c r="AR240" i="1" s="1"/>
  <c r="DB240" i="1" s="1"/>
  <c r="W240" i="1"/>
  <c r="CH239" i="1"/>
  <c r="ED239" i="1"/>
  <c r="DV239" i="1"/>
  <c r="DR239" i="1"/>
  <c r="DO239" i="1"/>
  <c r="DM239" i="1"/>
  <c r="DL239" i="1"/>
  <c r="DI239" i="1"/>
  <c r="DH239" i="1"/>
  <c r="DE239" i="1"/>
  <c r="DD239" i="1"/>
  <c r="DC239" i="1"/>
  <c r="CC239" i="1"/>
  <c r="CB239" i="1"/>
  <c r="CA239" i="1"/>
  <c r="BZ239" i="1"/>
  <c r="BY239" i="1"/>
  <c r="BX239" i="1"/>
  <c r="BW239" i="1"/>
  <c r="BV239" i="1"/>
  <c r="BU239" i="1"/>
  <c r="BS239" i="1"/>
  <c r="BR239" i="1"/>
  <c r="BQ239" i="1"/>
  <c r="BP239" i="1"/>
  <c r="BO239" i="1"/>
  <c r="BN239" i="1"/>
  <c r="BM239" i="1"/>
  <c r="BL239" i="1"/>
  <c r="BK239" i="1"/>
  <c r="BJ239" i="1"/>
  <c r="CD239" i="1" s="1"/>
  <c r="AX239" i="1"/>
  <c r="AW239" i="1"/>
  <c r="AV239" i="1"/>
  <c r="AU239" i="1"/>
  <c r="AT239" i="1"/>
  <c r="AS239" i="1"/>
  <c r="AK239" i="1"/>
  <c r="AR239" i="1" s="1"/>
  <c r="DB239" i="1" s="1"/>
  <c r="CH238" i="1"/>
  <c r="DY238" i="1" s="1"/>
  <c r="ED238" i="1"/>
  <c r="DV238" i="1"/>
  <c r="DR238" i="1"/>
  <c r="DO238" i="1"/>
  <c r="DM238" i="1"/>
  <c r="DL238" i="1"/>
  <c r="DI238" i="1"/>
  <c r="DH238" i="1"/>
  <c r="DE238" i="1"/>
  <c r="DD238" i="1"/>
  <c r="DC238" i="1"/>
  <c r="CC238" i="1"/>
  <c r="CB238" i="1"/>
  <c r="CA238" i="1"/>
  <c r="BZ238" i="1"/>
  <c r="BY238" i="1"/>
  <c r="BX238" i="1"/>
  <c r="BW238" i="1"/>
  <c r="BV238" i="1"/>
  <c r="BU238" i="1"/>
  <c r="BS238" i="1"/>
  <c r="BR238" i="1"/>
  <c r="BQ238" i="1"/>
  <c r="BP238" i="1"/>
  <c r="BO238" i="1"/>
  <c r="BN238" i="1"/>
  <c r="BM238" i="1"/>
  <c r="BL238" i="1"/>
  <c r="BK238" i="1"/>
  <c r="BJ238" i="1"/>
  <c r="AX238" i="1"/>
  <c r="AW238" i="1"/>
  <c r="AV238" i="1"/>
  <c r="AU238" i="1"/>
  <c r="AT238" i="1"/>
  <c r="AS238" i="1"/>
  <c r="AK238" i="1"/>
  <c r="AR238" i="1" s="1"/>
  <c r="DB238" i="1" s="1"/>
  <c r="W238" i="1"/>
  <c r="CH237" i="1"/>
  <c r="DV237" i="1"/>
  <c r="DR237" i="1"/>
  <c r="DO237" i="1"/>
  <c r="DM237" i="1"/>
  <c r="DL237" i="1"/>
  <c r="DI237" i="1"/>
  <c r="DH237" i="1"/>
  <c r="DE237" i="1"/>
  <c r="DD237" i="1"/>
  <c r="DC237" i="1"/>
  <c r="CC237" i="1"/>
  <c r="CB237" i="1"/>
  <c r="CA237" i="1"/>
  <c r="BZ237" i="1"/>
  <c r="BY237" i="1"/>
  <c r="BX237" i="1"/>
  <c r="BW237" i="1"/>
  <c r="BV237" i="1"/>
  <c r="BU237" i="1"/>
  <c r="BS237" i="1"/>
  <c r="BR237" i="1"/>
  <c r="BQ237" i="1"/>
  <c r="BP237" i="1"/>
  <c r="BO237" i="1"/>
  <c r="BN237" i="1"/>
  <c r="BM237" i="1"/>
  <c r="BL237" i="1"/>
  <c r="BK237" i="1"/>
  <c r="BJ237" i="1"/>
  <c r="BT237" i="1" s="1"/>
  <c r="AX237" i="1"/>
  <c r="AW237" i="1"/>
  <c r="AV237" i="1"/>
  <c r="AU237" i="1"/>
  <c r="AT237" i="1"/>
  <c r="AS237" i="1"/>
  <c r="AK237" i="1"/>
  <c r="AR237" i="1" s="1"/>
  <c r="DB237" i="1" s="1"/>
  <c r="W237" i="1"/>
  <c r="CH236" i="1"/>
  <c r="DV236" i="1"/>
  <c r="DR236" i="1"/>
  <c r="DO236" i="1"/>
  <c r="DM236" i="1"/>
  <c r="DL236" i="1"/>
  <c r="DI236" i="1"/>
  <c r="DH236" i="1"/>
  <c r="DE236" i="1"/>
  <c r="DD236" i="1"/>
  <c r="DC236" i="1"/>
  <c r="CC236" i="1"/>
  <c r="CB236" i="1"/>
  <c r="CA236" i="1"/>
  <c r="BZ236" i="1"/>
  <c r="BY236" i="1"/>
  <c r="BX236" i="1"/>
  <c r="BW236" i="1"/>
  <c r="BV236" i="1"/>
  <c r="BU236" i="1"/>
  <c r="BS236" i="1"/>
  <c r="BR236" i="1"/>
  <c r="BQ236" i="1"/>
  <c r="BP236" i="1"/>
  <c r="BO236" i="1"/>
  <c r="BN236" i="1"/>
  <c r="BM236" i="1"/>
  <c r="BL236" i="1"/>
  <c r="BK236" i="1"/>
  <c r="BJ236" i="1"/>
  <c r="CD236" i="1" s="1"/>
  <c r="AX236" i="1"/>
  <c r="AW236" i="1"/>
  <c r="AV236" i="1"/>
  <c r="AU236" i="1"/>
  <c r="AS236" i="1"/>
  <c r="CT226" i="1"/>
  <c r="DR226" i="1" s="1"/>
  <c r="CF226" i="1"/>
  <c r="DD226" i="1" s="1"/>
  <c r="AE226" i="1"/>
  <c r="AK226" i="1" s="1"/>
  <c r="AR226" i="1" s="1"/>
  <c r="DB226" i="1" s="1"/>
  <c r="AA226" i="1"/>
  <c r="AA225" i="1"/>
  <c r="CT224" i="1"/>
  <c r="DR224" i="1" s="1"/>
  <c r="AE224" i="1"/>
  <c r="AK224" i="1" s="1"/>
  <c r="AR224" i="1" s="1"/>
  <c r="DB224" i="1" s="1"/>
  <c r="AA223" i="1"/>
  <c r="AA222" i="1"/>
  <c r="AA221" i="1"/>
  <c r="AA220" i="1"/>
  <c r="CT218" i="1"/>
  <c r="AA218" i="1"/>
  <c r="W249" i="1"/>
  <c r="W241" i="1"/>
  <c r="W236" i="1"/>
  <c r="AA217" i="1"/>
  <c r="AA216" i="1"/>
  <c r="AA215" i="1"/>
  <c r="AA213" i="1"/>
  <c r="CT211" i="1"/>
  <c r="DR211" i="1" s="1"/>
  <c r="DH209" i="1"/>
  <c r="W212" i="1"/>
  <c r="W218" i="1"/>
  <c r="W220" i="1"/>
  <c r="W221" i="1"/>
  <c r="W225" i="1"/>
  <c r="W234" i="1"/>
  <c r="CH235" i="1"/>
  <c r="DW235" i="1" s="1"/>
  <c r="DV235" i="1"/>
  <c r="DR235" i="1"/>
  <c r="DO235" i="1"/>
  <c r="DM235" i="1"/>
  <c r="DL235" i="1"/>
  <c r="DJ235" i="1"/>
  <c r="DI235" i="1"/>
  <c r="DH235" i="1"/>
  <c r="DE235" i="1"/>
  <c r="DD235" i="1"/>
  <c r="DC235" i="1"/>
  <c r="CC235" i="1"/>
  <c r="CB235" i="1"/>
  <c r="CA235" i="1"/>
  <c r="BZ235" i="1"/>
  <c r="BY235" i="1"/>
  <c r="BX235" i="1"/>
  <c r="BW235" i="1"/>
  <c r="BV235" i="1"/>
  <c r="BU235" i="1"/>
  <c r="BS235" i="1"/>
  <c r="BR235" i="1"/>
  <c r="BQ235" i="1"/>
  <c r="BP235" i="1"/>
  <c r="BO235" i="1"/>
  <c r="BN235" i="1"/>
  <c r="BM235" i="1"/>
  <c r="BL235" i="1"/>
  <c r="BK235" i="1"/>
  <c r="BJ235" i="1"/>
  <c r="CD235" i="1" s="1"/>
  <c r="AX235" i="1"/>
  <c r="AW235" i="1"/>
  <c r="AV235" i="1"/>
  <c r="AU235" i="1"/>
  <c r="AT235" i="1"/>
  <c r="AS235" i="1"/>
  <c r="AK235" i="1"/>
  <c r="AR235" i="1" s="1"/>
  <c r="DB235" i="1" s="1"/>
  <c r="CH234" i="1"/>
  <c r="EI234" i="1" s="1"/>
  <c r="ED234" i="1"/>
  <c r="DV234" i="1"/>
  <c r="DR234" i="1"/>
  <c r="DO234" i="1"/>
  <c r="DM234" i="1"/>
  <c r="DL234" i="1"/>
  <c r="DJ234" i="1"/>
  <c r="DI234" i="1"/>
  <c r="DH234" i="1"/>
  <c r="DE234" i="1"/>
  <c r="DD234" i="1"/>
  <c r="DC234" i="1"/>
  <c r="CC234" i="1"/>
  <c r="CB234" i="1"/>
  <c r="CA234" i="1"/>
  <c r="BZ234" i="1"/>
  <c r="BY234" i="1"/>
  <c r="BX234" i="1"/>
  <c r="BW234" i="1"/>
  <c r="BV234" i="1"/>
  <c r="BU234" i="1"/>
  <c r="BS234" i="1"/>
  <c r="BR234" i="1"/>
  <c r="BQ234" i="1"/>
  <c r="BP234" i="1"/>
  <c r="BO234" i="1"/>
  <c r="BN234" i="1"/>
  <c r="BM234" i="1"/>
  <c r="BL234" i="1"/>
  <c r="BK234" i="1"/>
  <c r="BJ234" i="1"/>
  <c r="BT234" i="1" s="1"/>
  <c r="AX234" i="1"/>
  <c r="AW234" i="1"/>
  <c r="AV234" i="1"/>
  <c r="AU234" i="1"/>
  <c r="AT234" i="1"/>
  <c r="AS234" i="1"/>
  <c r="AK234" i="1"/>
  <c r="AR234" i="1" s="1"/>
  <c r="DB234" i="1" s="1"/>
  <c r="CH233" i="1"/>
  <c r="DY233" i="1" s="1"/>
  <c r="ED233" i="1"/>
  <c r="DV233" i="1"/>
  <c r="DR233" i="1"/>
  <c r="DO233" i="1"/>
  <c r="DM233" i="1"/>
  <c r="DL233" i="1"/>
  <c r="DJ233" i="1"/>
  <c r="DI233" i="1"/>
  <c r="DH233" i="1"/>
  <c r="DE233" i="1"/>
  <c r="DD233" i="1"/>
  <c r="DC233" i="1"/>
  <c r="CC233" i="1"/>
  <c r="CB233" i="1"/>
  <c r="CA233" i="1"/>
  <c r="BZ233" i="1"/>
  <c r="BY233" i="1"/>
  <c r="BX233" i="1"/>
  <c r="BW233" i="1"/>
  <c r="BV233" i="1"/>
  <c r="BU233" i="1"/>
  <c r="BS233" i="1"/>
  <c r="BR233" i="1"/>
  <c r="BQ233" i="1"/>
  <c r="BP233" i="1"/>
  <c r="BO233" i="1"/>
  <c r="BN233" i="1"/>
  <c r="BM233" i="1"/>
  <c r="BL233" i="1"/>
  <c r="BK233" i="1"/>
  <c r="BJ233" i="1"/>
  <c r="AX233" i="1"/>
  <c r="AW233" i="1"/>
  <c r="AV233" i="1"/>
  <c r="AU233" i="1"/>
  <c r="AT233" i="1"/>
  <c r="AS233" i="1"/>
  <c r="AK233" i="1"/>
  <c r="AR233" i="1" s="1"/>
  <c r="DB233" i="1" s="1"/>
  <c r="CH232" i="1"/>
  <c r="EI232" i="1" s="1"/>
  <c r="ED232" i="1"/>
  <c r="DV232" i="1"/>
  <c r="DR232" i="1"/>
  <c r="DO232" i="1"/>
  <c r="DM232" i="1"/>
  <c r="DL232" i="1"/>
  <c r="DJ232" i="1"/>
  <c r="DI232" i="1"/>
  <c r="DH232" i="1"/>
  <c r="DE232" i="1"/>
  <c r="DC232" i="1"/>
  <c r="CC232" i="1"/>
  <c r="CB232" i="1"/>
  <c r="CA232" i="1"/>
  <c r="BZ232" i="1"/>
  <c r="BY232" i="1"/>
  <c r="BX232" i="1"/>
  <c r="BW232" i="1"/>
  <c r="BV232" i="1"/>
  <c r="BU232" i="1"/>
  <c r="BS232" i="1"/>
  <c r="BR232" i="1"/>
  <c r="BQ232" i="1"/>
  <c r="BP232" i="1"/>
  <c r="BO232" i="1"/>
  <c r="BM232" i="1"/>
  <c r="BL232" i="1"/>
  <c r="BK232" i="1"/>
  <c r="BJ232" i="1"/>
  <c r="CD232" i="1" s="1"/>
  <c r="AX232" i="1"/>
  <c r="AW232" i="1"/>
  <c r="AV232" i="1"/>
  <c r="AU232" i="1"/>
  <c r="AT232" i="1"/>
  <c r="AS232" i="1"/>
  <c r="AK232" i="1"/>
  <c r="AR232" i="1" s="1"/>
  <c r="DB232" i="1" s="1"/>
  <c r="W232" i="1"/>
  <c r="CH231" i="1"/>
  <c r="DU231" i="1" s="1"/>
  <c r="ED231" i="1"/>
  <c r="DV231" i="1"/>
  <c r="DR231" i="1"/>
  <c r="DO231" i="1"/>
  <c r="DM231" i="1"/>
  <c r="DL231" i="1"/>
  <c r="DJ231" i="1"/>
  <c r="DI231" i="1"/>
  <c r="DH231" i="1"/>
  <c r="DE231" i="1"/>
  <c r="DD231" i="1"/>
  <c r="DC231" i="1"/>
  <c r="CC231" i="1"/>
  <c r="CB231" i="1"/>
  <c r="CA231" i="1"/>
  <c r="BZ231" i="1"/>
  <c r="BY231" i="1"/>
  <c r="BX231" i="1"/>
  <c r="BW231" i="1"/>
  <c r="BV231" i="1"/>
  <c r="BU231" i="1"/>
  <c r="BS231" i="1"/>
  <c r="BR231" i="1"/>
  <c r="BQ231" i="1"/>
  <c r="BP231" i="1"/>
  <c r="BO231" i="1"/>
  <c r="BN231" i="1"/>
  <c r="BM231" i="1"/>
  <c r="BL231" i="1"/>
  <c r="BK231" i="1"/>
  <c r="BJ231" i="1"/>
  <c r="BT231" i="1" s="1"/>
  <c r="AX231" i="1"/>
  <c r="AW231" i="1"/>
  <c r="AV231" i="1"/>
  <c r="AU231" i="1"/>
  <c r="AT231" i="1"/>
  <c r="AS231" i="1"/>
  <c r="AK231" i="1"/>
  <c r="AR231" i="1" s="1"/>
  <c r="DB231" i="1" s="1"/>
  <c r="W231" i="1"/>
  <c r="CH230" i="1"/>
  <c r="EC230" i="1" s="1"/>
  <c r="ED230" i="1"/>
  <c r="DV230" i="1"/>
  <c r="DR230" i="1"/>
  <c r="DO230" i="1"/>
  <c r="DM230" i="1"/>
  <c r="DL230" i="1"/>
  <c r="DJ230" i="1"/>
  <c r="DI230" i="1"/>
  <c r="DH230" i="1"/>
  <c r="DE230" i="1"/>
  <c r="DD230" i="1"/>
  <c r="DC230" i="1"/>
  <c r="CC230" i="1"/>
  <c r="CB230" i="1"/>
  <c r="CA230" i="1"/>
  <c r="BZ230" i="1"/>
  <c r="BY230" i="1"/>
  <c r="BX230" i="1"/>
  <c r="BW230" i="1"/>
  <c r="BV230" i="1"/>
  <c r="BU230" i="1"/>
  <c r="BS230" i="1"/>
  <c r="BR230" i="1"/>
  <c r="BQ230" i="1"/>
  <c r="BP230" i="1"/>
  <c r="BO230" i="1"/>
  <c r="BN230" i="1"/>
  <c r="BM230" i="1"/>
  <c r="BL230" i="1"/>
  <c r="BK230" i="1"/>
  <c r="BJ230" i="1"/>
  <c r="AX230" i="1"/>
  <c r="AW230" i="1"/>
  <c r="AV230" i="1"/>
  <c r="AU230" i="1"/>
  <c r="AT230" i="1"/>
  <c r="AS230" i="1"/>
  <c r="AK230" i="1"/>
  <c r="AR230" i="1" s="1"/>
  <c r="DB230" i="1" s="1"/>
  <c r="W230" i="1"/>
  <c r="ED229" i="1"/>
  <c r="CH229" i="1"/>
  <c r="DA229" i="1" s="1"/>
  <c r="DV229" i="1"/>
  <c r="DR229" i="1"/>
  <c r="DO229" i="1"/>
  <c r="DM229" i="1"/>
  <c r="DL229" i="1"/>
  <c r="DJ229" i="1"/>
  <c r="DI229" i="1"/>
  <c r="DH229" i="1"/>
  <c r="DE229" i="1"/>
  <c r="DD229" i="1"/>
  <c r="DC229" i="1"/>
  <c r="CC229" i="1"/>
  <c r="CB229" i="1"/>
  <c r="CA229" i="1"/>
  <c r="BZ229" i="1"/>
  <c r="BY229" i="1"/>
  <c r="BX229" i="1"/>
  <c r="BW229" i="1"/>
  <c r="BV229" i="1"/>
  <c r="BU229" i="1"/>
  <c r="BS229" i="1"/>
  <c r="BR229" i="1"/>
  <c r="BQ229" i="1"/>
  <c r="BP229" i="1"/>
  <c r="BO229" i="1"/>
  <c r="BN229" i="1"/>
  <c r="BM229" i="1"/>
  <c r="BL229" i="1"/>
  <c r="BK229" i="1"/>
  <c r="BJ229" i="1"/>
  <c r="CD229" i="1" s="1"/>
  <c r="AX229" i="1"/>
  <c r="AW229" i="1"/>
  <c r="AV229" i="1"/>
  <c r="AU229" i="1"/>
  <c r="AT229" i="1"/>
  <c r="AS229" i="1"/>
  <c r="AK229" i="1"/>
  <c r="AR229" i="1" s="1"/>
  <c r="DB229" i="1" s="1"/>
  <c r="W229" i="1"/>
  <c r="CH228" i="1"/>
  <c r="DA228" i="1" s="1"/>
  <c r="DV228" i="1"/>
  <c r="DR228" i="1"/>
  <c r="DO228" i="1"/>
  <c r="DM228" i="1"/>
  <c r="DL228" i="1"/>
  <c r="DI228" i="1"/>
  <c r="DH228" i="1"/>
  <c r="DE228" i="1"/>
  <c r="DD228" i="1"/>
  <c r="DC228" i="1"/>
  <c r="CC228" i="1"/>
  <c r="CB228" i="1"/>
  <c r="CA228" i="1"/>
  <c r="BZ228" i="1"/>
  <c r="BY228" i="1"/>
  <c r="BX228" i="1"/>
  <c r="BW228" i="1"/>
  <c r="BV228" i="1"/>
  <c r="BU228" i="1"/>
  <c r="BS228" i="1"/>
  <c r="BR228" i="1"/>
  <c r="BQ228" i="1"/>
  <c r="BP228" i="1"/>
  <c r="BO228" i="1"/>
  <c r="BN228" i="1"/>
  <c r="BM228" i="1"/>
  <c r="BL228" i="1"/>
  <c r="BK228" i="1"/>
  <c r="BJ228" i="1"/>
  <c r="AX228" i="1"/>
  <c r="AW228" i="1"/>
  <c r="AV228" i="1"/>
  <c r="AU228" i="1"/>
  <c r="AT228" i="1"/>
  <c r="AS228" i="1"/>
  <c r="AK228" i="1"/>
  <c r="AR228" i="1" s="1"/>
  <c r="DB228" i="1" s="1"/>
  <c r="CH227" i="1"/>
  <c r="EC227" i="1" s="1"/>
  <c r="DV227" i="1"/>
  <c r="DR227" i="1"/>
  <c r="DO227" i="1"/>
  <c r="DM227" i="1"/>
  <c r="DL227" i="1"/>
  <c r="DJ227" i="1"/>
  <c r="DI227" i="1"/>
  <c r="DH227" i="1"/>
  <c r="DE227" i="1"/>
  <c r="DD227" i="1"/>
  <c r="DC227" i="1"/>
  <c r="CC227" i="1"/>
  <c r="CB227" i="1"/>
  <c r="CA227" i="1"/>
  <c r="BZ227" i="1"/>
  <c r="BY227" i="1"/>
  <c r="BX227" i="1"/>
  <c r="BW227" i="1"/>
  <c r="BV227" i="1"/>
  <c r="BU227" i="1"/>
  <c r="BS227" i="1"/>
  <c r="BR227" i="1"/>
  <c r="BQ227" i="1"/>
  <c r="BP227" i="1"/>
  <c r="BO227" i="1"/>
  <c r="BN227" i="1"/>
  <c r="BM227" i="1"/>
  <c r="BL227" i="1"/>
  <c r="BK227" i="1"/>
  <c r="BJ227" i="1"/>
  <c r="BT227" i="1" s="1"/>
  <c r="AX227" i="1"/>
  <c r="AW227" i="1"/>
  <c r="AV227" i="1"/>
  <c r="AU227" i="1"/>
  <c r="AT227" i="1"/>
  <c r="AS227" i="1"/>
  <c r="AK227" i="1"/>
  <c r="AR227" i="1" s="1"/>
  <c r="DB227" i="1" s="1"/>
  <c r="ED226" i="1"/>
  <c r="DV226" i="1"/>
  <c r="DO226" i="1"/>
  <c r="DM226" i="1"/>
  <c r="DL226" i="1"/>
  <c r="DH226" i="1"/>
  <c r="DE226" i="1"/>
  <c r="DC226" i="1"/>
  <c r="CC226" i="1"/>
  <c r="CB226" i="1"/>
  <c r="CA226" i="1"/>
  <c r="BZ226" i="1"/>
  <c r="BY226" i="1"/>
  <c r="BX226" i="1"/>
  <c r="BW226" i="1"/>
  <c r="BV226" i="1"/>
  <c r="BU226" i="1"/>
  <c r="BS226" i="1"/>
  <c r="BR226" i="1"/>
  <c r="BQ226" i="1"/>
  <c r="BP226" i="1"/>
  <c r="BO226" i="1"/>
  <c r="BN226" i="1"/>
  <c r="BM226" i="1"/>
  <c r="BL226" i="1"/>
  <c r="BK226" i="1"/>
  <c r="BJ226" i="1"/>
  <c r="CD226" i="1" s="1"/>
  <c r="AX226" i="1"/>
  <c r="AW226" i="1"/>
  <c r="AV226" i="1"/>
  <c r="AU226" i="1"/>
  <c r="AT226" i="1"/>
  <c r="AS226" i="1"/>
  <c r="W226" i="1"/>
  <c r="CH225" i="1"/>
  <c r="ED225" i="1"/>
  <c r="DV225" i="1"/>
  <c r="DR225" i="1"/>
  <c r="DO225" i="1"/>
  <c r="DM225" i="1"/>
  <c r="DL225" i="1"/>
  <c r="DJ225" i="1"/>
  <c r="DI225" i="1"/>
  <c r="DH225" i="1"/>
  <c r="DE225" i="1"/>
  <c r="DD225" i="1"/>
  <c r="DC225" i="1"/>
  <c r="CC225" i="1"/>
  <c r="CB225" i="1"/>
  <c r="CA225" i="1"/>
  <c r="BZ225" i="1"/>
  <c r="BY225" i="1"/>
  <c r="BX225" i="1"/>
  <c r="BW225" i="1"/>
  <c r="BV225" i="1"/>
  <c r="BU225" i="1"/>
  <c r="BS225" i="1"/>
  <c r="BR225" i="1"/>
  <c r="BQ225" i="1"/>
  <c r="BP225" i="1"/>
  <c r="BO225" i="1"/>
  <c r="BN225" i="1"/>
  <c r="BM225" i="1"/>
  <c r="BL225" i="1"/>
  <c r="BK225" i="1"/>
  <c r="BJ225" i="1"/>
  <c r="CD225" i="1" s="1"/>
  <c r="AX225" i="1"/>
  <c r="AW225" i="1"/>
  <c r="AV225" i="1"/>
  <c r="AU225" i="1"/>
  <c r="AT225" i="1"/>
  <c r="AS225" i="1"/>
  <c r="AK225" i="1"/>
  <c r="AR225" i="1" s="1"/>
  <c r="DB225" i="1" s="1"/>
  <c r="CH224" i="1"/>
  <c r="DW224" i="1" s="1"/>
  <c r="ED224" i="1"/>
  <c r="DV224" i="1"/>
  <c r="DO224" i="1"/>
  <c r="DM224" i="1"/>
  <c r="DL224" i="1"/>
  <c r="DI224" i="1"/>
  <c r="DH224" i="1"/>
  <c r="DE224" i="1"/>
  <c r="DD224" i="1"/>
  <c r="DC224" i="1"/>
  <c r="CC224" i="1"/>
  <c r="CB224" i="1"/>
  <c r="CA224" i="1"/>
  <c r="BZ224" i="1"/>
  <c r="BY224" i="1"/>
  <c r="BX224" i="1"/>
  <c r="BW224" i="1"/>
  <c r="BV224" i="1"/>
  <c r="BU224" i="1"/>
  <c r="BS224" i="1"/>
  <c r="BR224" i="1"/>
  <c r="BQ224" i="1"/>
  <c r="BP224" i="1"/>
  <c r="BO224" i="1"/>
  <c r="BN224" i="1"/>
  <c r="BM224" i="1"/>
  <c r="BL224" i="1"/>
  <c r="BK224" i="1"/>
  <c r="BJ224" i="1"/>
  <c r="BT224" i="1" s="1"/>
  <c r="AX224" i="1"/>
  <c r="AW224" i="1"/>
  <c r="AV224" i="1"/>
  <c r="AU224" i="1"/>
  <c r="AT224" i="1"/>
  <c r="AS224" i="1"/>
  <c r="W224" i="1"/>
  <c r="CH223" i="1"/>
  <c r="EC223" i="1" s="1"/>
  <c r="ED223" i="1"/>
  <c r="DV223" i="1"/>
  <c r="DR223" i="1"/>
  <c r="DO223" i="1"/>
  <c r="DM223" i="1"/>
  <c r="DL223" i="1"/>
  <c r="DJ223" i="1"/>
  <c r="DI223" i="1"/>
  <c r="DH223" i="1"/>
  <c r="DE223" i="1"/>
  <c r="DD223" i="1"/>
  <c r="DC223" i="1"/>
  <c r="CC223" i="1"/>
  <c r="CB223" i="1"/>
  <c r="CA223" i="1"/>
  <c r="BZ223" i="1"/>
  <c r="BY223" i="1"/>
  <c r="BX223" i="1"/>
  <c r="BW223" i="1"/>
  <c r="BV223" i="1"/>
  <c r="BU223" i="1"/>
  <c r="BS223" i="1"/>
  <c r="BR223" i="1"/>
  <c r="BQ223" i="1"/>
  <c r="BP223" i="1"/>
  <c r="BO223" i="1"/>
  <c r="BN223" i="1"/>
  <c r="BM223" i="1"/>
  <c r="BL223" i="1"/>
  <c r="BK223" i="1"/>
  <c r="BJ223" i="1"/>
  <c r="CD223" i="1" s="1"/>
  <c r="AX223" i="1"/>
  <c r="AW223" i="1"/>
  <c r="AV223" i="1"/>
  <c r="AU223" i="1"/>
  <c r="AT223" i="1"/>
  <c r="AS223" i="1"/>
  <c r="AK223" i="1"/>
  <c r="AR223" i="1" s="1"/>
  <c r="DB223" i="1" s="1"/>
  <c r="W223" i="1"/>
  <c r="ED222" i="1"/>
  <c r="CH222" i="1"/>
  <c r="DV222" i="1"/>
  <c r="DR222" i="1"/>
  <c r="DO222" i="1"/>
  <c r="DM222" i="1"/>
  <c r="DL222" i="1"/>
  <c r="DH222" i="1"/>
  <c r="DE222" i="1"/>
  <c r="DD222" i="1"/>
  <c r="DC222" i="1"/>
  <c r="CC222" i="1"/>
  <c r="CB222" i="1"/>
  <c r="CA222" i="1"/>
  <c r="BZ222" i="1"/>
  <c r="BY222" i="1"/>
  <c r="BX222" i="1"/>
  <c r="BW222" i="1"/>
  <c r="BV222" i="1"/>
  <c r="BU222" i="1"/>
  <c r="BS222" i="1"/>
  <c r="BR222" i="1"/>
  <c r="BQ222" i="1"/>
  <c r="BP222" i="1"/>
  <c r="BO222" i="1"/>
  <c r="BN222" i="1"/>
  <c r="BM222" i="1"/>
  <c r="BL222" i="1"/>
  <c r="BK222" i="1"/>
  <c r="BJ222" i="1"/>
  <c r="CD222" i="1" s="1"/>
  <c r="AX222" i="1"/>
  <c r="AW222" i="1"/>
  <c r="AV222" i="1"/>
  <c r="AU222" i="1"/>
  <c r="AT222" i="1"/>
  <c r="AS222" i="1"/>
  <c r="AK222" i="1"/>
  <c r="AR222" i="1" s="1"/>
  <c r="DB222" i="1" s="1"/>
  <c r="W222" i="1"/>
  <c r="CH221" i="1"/>
  <c r="DA221" i="1" s="1"/>
  <c r="DV221" i="1"/>
  <c r="DR221" i="1"/>
  <c r="DO221" i="1"/>
  <c r="DM221" i="1"/>
  <c r="DL221" i="1"/>
  <c r="DJ221" i="1"/>
  <c r="DI221" i="1"/>
  <c r="DH221" i="1"/>
  <c r="DE221" i="1"/>
  <c r="DD221" i="1"/>
  <c r="DC221" i="1"/>
  <c r="CC221" i="1"/>
  <c r="CB221" i="1"/>
  <c r="CA221" i="1"/>
  <c r="BZ221" i="1"/>
  <c r="BY221" i="1"/>
  <c r="BX221" i="1"/>
  <c r="BW221" i="1"/>
  <c r="BV221" i="1"/>
  <c r="BU221" i="1"/>
  <c r="BS221" i="1"/>
  <c r="BR221" i="1"/>
  <c r="BQ221" i="1"/>
  <c r="BP221" i="1"/>
  <c r="BO221" i="1"/>
  <c r="BN221" i="1"/>
  <c r="BM221" i="1"/>
  <c r="BL221" i="1"/>
  <c r="BK221" i="1"/>
  <c r="BJ221" i="1"/>
  <c r="CD221" i="1" s="1"/>
  <c r="AX221" i="1"/>
  <c r="AW221" i="1"/>
  <c r="AV221" i="1"/>
  <c r="AU221" i="1"/>
  <c r="AT221" i="1"/>
  <c r="AS221" i="1"/>
  <c r="AK221" i="1"/>
  <c r="AR221" i="1" s="1"/>
  <c r="DB221" i="1" s="1"/>
  <c r="DV220" i="1"/>
  <c r="DR220" i="1"/>
  <c r="DO220" i="1"/>
  <c r="DM220" i="1"/>
  <c r="DL220" i="1"/>
  <c r="DI220" i="1"/>
  <c r="DH220" i="1"/>
  <c r="DE220" i="1"/>
  <c r="DD220" i="1"/>
  <c r="DC220" i="1"/>
  <c r="CH220" i="1"/>
  <c r="DW220" i="1" s="1"/>
  <c r="CC220" i="1"/>
  <c r="CB220" i="1"/>
  <c r="CA220" i="1"/>
  <c r="BZ220" i="1"/>
  <c r="BY220" i="1"/>
  <c r="BX220" i="1"/>
  <c r="BW220" i="1"/>
  <c r="BV220" i="1"/>
  <c r="BU220" i="1"/>
  <c r="BS220" i="1"/>
  <c r="BR220" i="1"/>
  <c r="BQ220" i="1"/>
  <c r="BP220" i="1"/>
  <c r="BO220" i="1"/>
  <c r="BN220" i="1"/>
  <c r="BM220" i="1"/>
  <c r="BL220" i="1"/>
  <c r="BK220" i="1"/>
  <c r="BJ220" i="1"/>
  <c r="AX220" i="1"/>
  <c r="AW220" i="1"/>
  <c r="AV220" i="1"/>
  <c r="AU220" i="1"/>
  <c r="AT220" i="1"/>
  <c r="AS220" i="1"/>
  <c r="AK220" i="1"/>
  <c r="AR220" i="1" s="1"/>
  <c r="DB220" i="1" s="1"/>
  <c r="CH219" i="1"/>
  <c r="DU219" i="1" s="1"/>
  <c r="DV219" i="1"/>
  <c r="DR219" i="1"/>
  <c r="DO219" i="1"/>
  <c r="DM219" i="1"/>
  <c r="DL219" i="1"/>
  <c r="DJ219" i="1"/>
  <c r="DI219" i="1"/>
  <c r="DH219" i="1"/>
  <c r="DE219" i="1"/>
  <c r="DD219" i="1"/>
  <c r="DC219" i="1"/>
  <c r="CC219" i="1"/>
  <c r="CB219" i="1"/>
  <c r="CA219" i="1"/>
  <c r="BZ219" i="1"/>
  <c r="BY219" i="1"/>
  <c r="BX219" i="1"/>
  <c r="BW219" i="1"/>
  <c r="BV219" i="1"/>
  <c r="BU219" i="1"/>
  <c r="BS219" i="1"/>
  <c r="BR219" i="1"/>
  <c r="BQ219" i="1"/>
  <c r="BP219" i="1"/>
  <c r="BO219" i="1"/>
  <c r="BN219" i="1"/>
  <c r="BM219" i="1"/>
  <c r="BL219" i="1"/>
  <c r="BK219" i="1"/>
  <c r="BJ219" i="1"/>
  <c r="AX219" i="1"/>
  <c r="AW219" i="1"/>
  <c r="AV219" i="1"/>
  <c r="AU219" i="1"/>
  <c r="AT219" i="1"/>
  <c r="AS219" i="1"/>
  <c r="AK219" i="1"/>
  <c r="AR219" i="1" s="1"/>
  <c r="DB219" i="1" s="1"/>
  <c r="CH218" i="1"/>
  <c r="DW218" i="1" s="1"/>
  <c r="ED218" i="1"/>
  <c r="DV218" i="1"/>
  <c r="DO218" i="1"/>
  <c r="DM218" i="1"/>
  <c r="DL218" i="1"/>
  <c r="DJ218" i="1"/>
  <c r="DI218" i="1"/>
  <c r="DH218" i="1"/>
  <c r="DE218" i="1"/>
  <c r="DD218" i="1"/>
  <c r="DC218" i="1"/>
  <c r="CC218" i="1"/>
  <c r="CB218" i="1"/>
  <c r="CA218" i="1"/>
  <c r="BZ218" i="1"/>
  <c r="BY218" i="1"/>
  <c r="BX218" i="1"/>
  <c r="BW218" i="1"/>
  <c r="BV218" i="1"/>
  <c r="BU218" i="1"/>
  <c r="BS218" i="1"/>
  <c r="BR218" i="1"/>
  <c r="BQ218" i="1"/>
  <c r="BP218" i="1"/>
  <c r="BO218" i="1"/>
  <c r="BN218" i="1"/>
  <c r="BM218" i="1"/>
  <c r="BL218" i="1"/>
  <c r="BK218" i="1"/>
  <c r="BJ218" i="1"/>
  <c r="BT218" i="1" s="1"/>
  <c r="AX218" i="1"/>
  <c r="AW218" i="1"/>
  <c r="AV218" i="1"/>
  <c r="AU218" i="1"/>
  <c r="AT218" i="1"/>
  <c r="AS218" i="1"/>
  <c r="AK218" i="1"/>
  <c r="AR218" i="1" s="1"/>
  <c r="DB218" i="1" s="1"/>
  <c r="ED217" i="1"/>
  <c r="DV217" i="1"/>
  <c r="DR217" i="1"/>
  <c r="DO217" i="1"/>
  <c r="DM217" i="1"/>
  <c r="DL217" i="1"/>
  <c r="DJ217" i="1"/>
  <c r="DI217" i="1"/>
  <c r="DH217" i="1"/>
  <c r="DE217" i="1"/>
  <c r="DD217" i="1"/>
  <c r="DC217" i="1"/>
  <c r="CH217" i="1"/>
  <c r="CC217" i="1"/>
  <c r="CB217" i="1"/>
  <c r="CA217" i="1"/>
  <c r="BZ217" i="1"/>
  <c r="BY217" i="1"/>
  <c r="BX217" i="1"/>
  <c r="BW217" i="1"/>
  <c r="BV217" i="1"/>
  <c r="BU217" i="1"/>
  <c r="BS217" i="1"/>
  <c r="BR217" i="1"/>
  <c r="BQ217" i="1"/>
  <c r="BP217" i="1"/>
  <c r="BO217" i="1"/>
  <c r="BN217" i="1"/>
  <c r="BM217" i="1"/>
  <c r="BL217" i="1"/>
  <c r="BK217" i="1"/>
  <c r="BJ217" i="1"/>
  <c r="BT217" i="1" s="1"/>
  <c r="AX217" i="1"/>
  <c r="AW217" i="1"/>
  <c r="AV217" i="1"/>
  <c r="AU217" i="1"/>
  <c r="AT217" i="1"/>
  <c r="AS217" i="1"/>
  <c r="AK217" i="1"/>
  <c r="AR217" i="1" s="1"/>
  <c r="DB217" i="1" s="1"/>
  <c r="CH216" i="1"/>
  <c r="EF216" i="1" s="1"/>
  <c r="DV216" i="1"/>
  <c r="DU216" i="1"/>
  <c r="DR216" i="1"/>
  <c r="DO216" i="1"/>
  <c r="DM216" i="1"/>
  <c r="DL216" i="1"/>
  <c r="DI216" i="1"/>
  <c r="DH216" i="1"/>
  <c r="DE216" i="1"/>
  <c r="DD216" i="1"/>
  <c r="DC216" i="1"/>
  <c r="CC216" i="1"/>
  <c r="CB216" i="1"/>
  <c r="CA216" i="1"/>
  <c r="BZ216" i="1"/>
  <c r="BY216" i="1"/>
  <c r="BX216" i="1"/>
  <c r="BW216" i="1"/>
  <c r="BV216" i="1"/>
  <c r="BU216" i="1"/>
  <c r="BS216" i="1"/>
  <c r="BR216" i="1"/>
  <c r="BQ216" i="1"/>
  <c r="BP216" i="1"/>
  <c r="BO216" i="1"/>
  <c r="BN216" i="1"/>
  <c r="BM216" i="1"/>
  <c r="BL216" i="1"/>
  <c r="BK216" i="1"/>
  <c r="BJ216" i="1"/>
  <c r="AX216" i="1"/>
  <c r="AW216" i="1"/>
  <c r="AV216" i="1"/>
  <c r="AU216" i="1"/>
  <c r="AT216" i="1"/>
  <c r="AS216" i="1"/>
  <c r="AK216" i="1"/>
  <c r="AR216" i="1" s="1"/>
  <c r="DB216" i="1" s="1"/>
  <c r="W216" i="1"/>
  <c r="ED215" i="1"/>
  <c r="CH215" i="1"/>
  <c r="EF215" i="1" s="1"/>
  <c r="DV215" i="1"/>
  <c r="DR215" i="1"/>
  <c r="DO215" i="1"/>
  <c r="DM215" i="1"/>
  <c r="DL215" i="1"/>
  <c r="DJ215" i="1"/>
  <c r="DI215" i="1"/>
  <c r="DH215" i="1"/>
  <c r="DE215" i="1"/>
  <c r="DD215" i="1"/>
  <c r="DC215" i="1"/>
  <c r="CC215" i="1"/>
  <c r="CB215" i="1"/>
  <c r="CA215" i="1"/>
  <c r="BZ215" i="1"/>
  <c r="BY215" i="1"/>
  <c r="BX215" i="1"/>
  <c r="BW215" i="1"/>
  <c r="BV215" i="1"/>
  <c r="BU215" i="1"/>
  <c r="BS215" i="1"/>
  <c r="BR215" i="1"/>
  <c r="BQ215" i="1"/>
  <c r="BP215" i="1"/>
  <c r="BO215" i="1"/>
  <c r="BN215" i="1"/>
  <c r="BM215" i="1"/>
  <c r="BL215" i="1"/>
  <c r="BK215" i="1"/>
  <c r="BJ215" i="1"/>
  <c r="CD215" i="1" s="1"/>
  <c r="AX215" i="1"/>
  <c r="AW215" i="1"/>
  <c r="AV215" i="1"/>
  <c r="AU215" i="1"/>
  <c r="AT215" i="1"/>
  <c r="AS215" i="1"/>
  <c r="AK215" i="1"/>
  <c r="AR215" i="1" s="1"/>
  <c r="DB215" i="1" s="1"/>
  <c r="W215" i="1"/>
  <c r="CH214" i="1"/>
  <c r="DA214" i="1" s="1"/>
  <c r="ED214" i="1"/>
  <c r="DV214" i="1"/>
  <c r="DR214" i="1"/>
  <c r="DO214" i="1"/>
  <c r="DM214" i="1"/>
  <c r="DL214" i="1"/>
  <c r="DI214" i="1"/>
  <c r="DH214" i="1"/>
  <c r="DE214" i="1"/>
  <c r="DD214" i="1"/>
  <c r="DC214" i="1"/>
  <c r="CC214" i="1"/>
  <c r="CB214" i="1"/>
  <c r="CA214" i="1"/>
  <c r="BZ214" i="1"/>
  <c r="BY214" i="1"/>
  <c r="BX214" i="1"/>
  <c r="BW214" i="1"/>
  <c r="BV214" i="1"/>
  <c r="BU214" i="1"/>
  <c r="BS214" i="1"/>
  <c r="BR214" i="1"/>
  <c r="BQ214" i="1"/>
  <c r="BP214" i="1"/>
  <c r="BO214" i="1"/>
  <c r="BN214" i="1"/>
  <c r="BM214" i="1"/>
  <c r="BL214" i="1"/>
  <c r="BK214" i="1"/>
  <c r="BJ214" i="1"/>
  <c r="CD214" i="1" s="1"/>
  <c r="AX214" i="1"/>
  <c r="AW214" i="1"/>
  <c r="AV214" i="1"/>
  <c r="AU214" i="1"/>
  <c r="AT214" i="1"/>
  <c r="AS214" i="1"/>
  <c r="AK214" i="1"/>
  <c r="AR214" i="1" s="1"/>
  <c r="DB214" i="1" s="1"/>
  <c r="W214" i="1"/>
  <c r="ED213" i="1"/>
  <c r="CH213" i="1"/>
  <c r="DA213" i="1" s="1"/>
  <c r="DV213" i="1"/>
  <c r="DR213" i="1"/>
  <c r="DO213" i="1"/>
  <c r="DM213" i="1"/>
  <c r="DL213" i="1"/>
  <c r="DI213" i="1"/>
  <c r="DH213" i="1"/>
  <c r="DE213" i="1"/>
  <c r="DD213" i="1"/>
  <c r="DC213" i="1"/>
  <c r="CC213" i="1"/>
  <c r="CB213" i="1"/>
  <c r="CA213" i="1"/>
  <c r="BZ213" i="1"/>
  <c r="BY213" i="1"/>
  <c r="BX213" i="1"/>
  <c r="BW213" i="1"/>
  <c r="BV213" i="1"/>
  <c r="BU213" i="1"/>
  <c r="BS213" i="1"/>
  <c r="BR213" i="1"/>
  <c r="BQ213" i="1"/>
  <c r="BP213" i="1"/>
  <c r="BO213" i="1"/>
  <c r="BN213" i="1"/>
  <c r="BM213" i="1"/>
  <c r="BL213" i="1"/>
  <c r="BK213" i="1"/>
  <c r="BJ213" i="1"/>
  <c r="AX213" i="1"/>
  <c r="AW213" i="1"/>
  <c r="AV213" i="1"/>
  <c r="AU213" i="1"/>
  <c r="AT213" i="1"/>
  <c r="AS213" i="1"/>
  <c r="AK213" i="1"/>
  <c r="AR213" i="1" s="1"/>
  <c r="DB213" i="1" s="1"/>
  <c r="CH212" i="1"/>
  <c r="EF212" i="1" s="1"/>
  <c r="DV212" i="1"/>
  <c r="DR212" i="1"/>
  <c r="DO212" i="1"/>
  <c r="DM212" i="1"/>
  <c r="DL212" i="1"/>
  <c r="DJ212" i="1"/>
  <c r="DI212" i="1"/>
  <c r="DH212" i="1"/>
  <c r="DE212" i="1"/>
  <c r="DD212" i="1"/>
  <c r="DC212" i="1"/>
  <c r="CC212" i="1"/>
  <c r="CB212" i="1"/>
  <c r="CA212" i="1"/>
  <c r="BZ212" i="1"/>
  <c r="BY212" i="1"/>
  <c r="BX212" i="1"/>
  <c r="BW212" i="1"/>
  <c r="BV212" i="1"/>
  <c r="BU212" i="1"/>
  <c r="BS212" i="1"/>
  <c r="BR212" i="1"/>
  <c r="BQ212" i="1"/>
  <c r="BP212" i="1"/>
  <c r="BO212" i="1"/>
  <c r="BN212" i="1"/>
  <c r="BM212" i="1"/>
  <c r="BL212" i="1"/>
  <c r="BK212" i="1"/>
  <c r="BJ212" i="1"/>
  <c r="BT212" i="1" s="1"/>
  <c r="AX212" i="1"/>
  <c r="AW212" i="1"/>
  <c r="AV212" i="1"/>
  <c r="AU212" i="1"/>
  <c r="AT212" i="1"/>
  <c r="AS212" i="1"/>
  <c r="AK212" i="1"/>
  <c r="AR212" i="1" s="1"/>
  <c r="DB212" i="1" s="1"/>
  <c r="CF208" i="1"/>
  <c r="CH208" i="1" s="1"/>
  <c r="DY208" i="1" s="1"/>
  <c r="AL207" i="1"/>
  <c r="AS207" i="1" s="1"/>
  <c r="AA206" i="1"/>
  <c r="CF204" i="1"/>
  <c r="AL204" i="1"/>
  <c r="CT203" i="1"/>
  <c r="DR203" i="1" s="1"/>
  <c r="AA203" i="1"/>
  <c r="EI210" i="1"/>
  <c r="DV210" i="1"/>
  <c r="DR210" i="1"/>
  <c r="DO210" i="1"/>
  <c r="DI210" i="1"/>
  <c r="DH210" i="1"/>
  <c r="DA210" i="1"/>
  <c r="CH210" i="1"/>
  <c r="DT210" i="1" s="1"/>
  <c r="CC210" i="1"/>
  <c r="CB210" i="1"/>
  <c r="CA210" i="1"/>
  <c r="BZ210" i="1"/>
  <c r="BY210" i="1"/>
  <c r="BX210" i="1"/>
  <c r="BW210" i="1"/>
  <c r="BV210" i="1"/>
  <c r="BU210" i="1"/>
  <c r="BS210" i="1"/>
  <c r="BP210" i="1"/>
  <c r="BO210" i="1"/>
  <c r="BK210" i="1"/>
  <c r="BJ210" i="1"/>
  <c r="CD210" i="1" s="1"/>
  <c r="AX210" i="1"/>
  <c r="AS210" i="1"/>
  <c r="AK210" i="1"/>
  <c r="AR210" i="1" s="1"/>
  <c r="DB210" i="1" s="1"/>
  <c r="W210" i="1"/>
  <c r="DL210" i="1"/>
  <c r="AT38" i="1"/>
  <c r="AT46" i="1"/>
  <c r="AT161" i="1"/>
  <c r="AT170" i="1"/>
  <c r="AT171" i="1"/>
  <c r="AT211" i="1"/>
  <c r="AV27" i="1"/>
  <c r="AV38" i="1"/>
  <c r="AV45" i="1"/>
  <c r="AV46" i="1"/>
  <c r="AV71" i="1"/>
  <c r="AV110" i="1"/>
  <c r="AV124" i="1"/>
  <c r="AV161" i="1"/>
  <c r="AV172" i="1"/>
  <c r="AV183" i="1"/>
  <c r="AV207" i="1"/>
  <c r="AV211" i="1"/>
  <c r="AW97" i="1"/>
  <c r="AW199" i="1"/>
  <c r="AW201" i="1"/>
  <c r="AW211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7" i="1"/>
  <c r="AX69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1" i="1"/>
  <c r="AX202" i="1"/>
  <c r="AX203" i="1"/>
  <c r="AX204" i="1"/>
  <c r="AX205" i="1"/>
  <c r="AX206" i="1"/>
  <c r="AX207" i="1"/>
  <c r="AX208" i="1"/>
  <c r="AX209" i="1"/>
  <c r="AX211" i="1"/>
  <c r="BK12" i="1"/>
  <c r="BK19" i="1"/>
  <c r="BK53" i="1"/>
  <c r="BK73" i="1"/>
  <c r="BK97" i="1"/>
  <c r="BK98" i="1"/>
  <c r="BK103" i="1"/>
  <c r="BK108" i="1"/>
  <c r="BK126" i="1"/>
  <c r="BK146" i="1"/>
  <c r="BK162" i="1"/>
  <c r="BK163" i="1"/>
  <c r="BK164" i="1"/>
  <c r="BK170" i="1"/>
  <c r="BK171" i="1"/>
  <c r="BK180" i="1"/>
  <c r="BK183" i="1"/>
  <c r="BK197" i="1"/>
  <c r="BK199" i="1"/>
  <c r="BK211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7" i="1"/>
  <c r="BU68" i="1"/>
  <c r="BU69" i="1"/>
  <c r="BU70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176" i="1"/>
  <c r="BU177" i="1"/>
  <c r="BU178" i="1"/>
  <c r="BU179" i="1"/>
  <c r="BU180" i="1"/>
  <c r="BU181" i="1"/>
  <c r="BU182" i="1"/>
  <c r="BU183" i="1"/>
  <c r="BU184" i="1"/>
  <c r="BU185" i="1"/>
  <c r="BU186" i="1"/>
  <c r="BU187" i="1"/>
  <c r="BU188" i="1"/>
  <c r="BU189" i="1"/>
  <c r="BU190" i="1"/>
  <c r="BU191" i="1"/>
  <c r="BU192" i="1"/>
  <c r="BU193" i="1"/>
  <c r="BU194" i="1"/>
  <c r="BU195" i="1"/>
  <c r="BU196" i="1"/>
  <c r="BU197" i="1"/>
  <c r="BU198" i="1"/>
  <c r="BU199" i="1"/>
  <c r="BU201" i="1"/>
  <c r="BU202" i="1"/>
  <c r="BU203" i="1"/>
  <c r="BU204" i="1"/>
  <c r="BU205" i="1"/>
  <c r="BU206" i="1"/>
  <c r="BU207" i="1"/>
  <c r="BU208" i="1"/>
  <c r="BU209" i="1"/>
  <c r="BU211" i="1"/>
  <c r="DA27" i="1"/>
  <c r="DA62" i="1"/>
  <c r="DA103" i="1"/>
  <c r="DA161" i="1"/>
  <c r="DA183" i="1"/>
  <c r="DA207" i="1"/>
  <c r="DC7" i="1"/>
  <c r="DC15" i="1"/>
  <c r="DC22" i="1"/>
  <c r="DC23" i="1"/>
  <c r="DC36" i="1"/>
  <c r="DC37" i="1"/>
  <c r="DC45" i="1"/>
  <c r="DC46" i="1"/>
  <c r="DC47" i="1"/>
  <c r="DC53" i="1"/>
  <c r="DC54" i="1"/>
  <c r="DC62" i="1"/>
  <c r="DC71" i="1"/>
  <c r="DC85" i="1"/>
  <c r="DC87" i="1"/>
  <c r="DC94" i="1"/>
  <c r="DC108" i="1"/>
  <c r="DC110" i="1"/>
  <c r="DC111" i="1"/>
  <c r="DC124" i="1"/>
  <c r="DC126" i="1"/>
  <c r="DC134" i="1"/>
  <c r="DC148" i="1"/>
  <c r="DC156" i="1"/>
  <c r="DC164" i="1"/>
  <c r="DC172" i="1"/>
  <c r="DC180" i="1"/>
  <c r="DC183" i="1"/>
  <c r="DC188" i="1"/>
  <c r="DC189" i="1"/>
  <c r="DC190" i="1"/>
  <c r="DC196" i="1"/>
  <c r="DC199" i="1"/>
  <c r="DC205" i="1"/>
  <c r="DC206" i="1"/>
  <c r="DC208" i="1"/>
  <c r="DC211" i="1"/>
  <c r="ED205" i="1"/>
  <c r="DV205" i="1"/>
  <c r="DM205" i="1"/>
  <c r="DE205" i="1"/>
  <c r="CT205" i="1"/>
  <c r="CH205" i="1"/>
  <c r="EF205" i="1" s="1"/>
  <c r="CC205" i="1"/>
  <c r="CB205" i="1"/>
  <c r="CA205" i="1"/>
  <c r="BZ205" i="1"/>
  <c r="BY205" i="1"/>
  <c r="BX205" i="1"/>
  <c r="BW205" i="1"/>
  <c r="BV205" i="1"/>
  <c r="BS205" i="1"/>
  <c r="BR205" i="1"/>
  <c r="BJ205" i="1"/>
  <c r="CD205" i="1" s="1"/>
  <c r="AS205" i="1"/>
  <c r="AK205" i="1"/>
  <c r="AR205" i="1" s="1"/>
  <c r="DB205" i="1" s="1"/>
  <c r="AT205" i="1"/>
  <c r="DV201" i="1"/>
  <c r="CH201" i="1"/>
  <c r="EA201" i="1" s="1"/>
  <c r="CC201" i="1"/>
  <c r="CB201" i="1"/>
  <c r="CA201" i="1"/>
  <c r="BZ201" i="1"/>
  <c r="BY201" i="1"/>
  <c r="BX201" i="1"/>
  <c r="BW201" i="1"/>
  <c r="BV201" i="1"/>
  <c r="BJ201" i="1"/>
  <c r="BT201" i="1" s="1"/>
  <c r="AU201" i="1"/>
  <c r="AS201" i="1"/>
  <c r="AK201" i="1"/>
  <c r="AR201" i="1" s="1"/>
  <c r="DB201" i="1" s="1"/>
  <c r="DV199" i="1"/>
  <c r="CH199" i="1"/>
  <c r="DF199" i="1" s="1"/>
  <c r="CC199" i="1"/>
  <c r="CB199" i="1"/>
  <c r="CA199" i="1"/>
  <c r="BZ199" i="1"/>
  <c r="BY199" i="1"/>
  <c r="BX199" i="1"/>
  <c r="BW199" i="1"/>
  <c r="BV199" i="1"/>
  <c r="BJ199" i="1"/>
  <c r="BT199" i="1" s="1"/>
  <c r="AS199" i="1"/>
  <c r="AK199" i="1"/>
  <c r="AR199" i="1" s="1"/>
  <c r="DB199" i="1" s="1"/>
  <c r="AA198" i="1"/>
  <c r="DV197" i="1"/>
  <c r="CH197" i="1"/>
  <c r="EB197" i="1" s="1"/>
  <c r="CC197" i="1"/>
  <c r="CB197" i="1"/>
  <c r="CA197" i="1"/>
  <c r="BZ197" i="1"/>
  <c r="BY197" i="1"/>
  <c r="BX197" i="1"/>
  <c r="BW197" i="1"/>
  <c r="BV197" i="1"/>
  <c r="BJ197" i="1"/>
  <c r="AU197" i="1"/>
  <c r="AS197" i="1"/>
  <c r="AK197" i="1"/>
  <c r="AR197" i="1" s="1"/>
  <c r="DB197" i="1" s="1"/>
  <c r="ED196" i="1"/>
  <c r="DV196" i="1"/>
  <c r="DU196" i="1"/>
  <c r="DM196" i="1"/>
  <c r="DD196" i="1"/>
  <c r="CH196" i="1"/>
  <c r="DF196" i="1" s="1"/>
  <c r="CC196" i="1"/>
  <c r="CB196" i="1"/>
  <c r="CA196" i="1"/>
  <c r="BZ196" i="1"/>
  <c r="BY196" i="1"/>
  <c r="BX196" i="1"/>
  <c r="BW196" i="1"/>
  <c r="BV196" i="1"/>
  <c r="BJ196" i="1"/>
  <c r="CD196" i="1" s="1"/>
  <c r="AU196" i="1"/>
  <c r="AS196" i="1"/>
  <c r="AK196" i="1"/>
  <c r="AR196" i="1" s="1"/>
  <c r="DB196" i="1" s="1"/>
  <c r="DV193" i="1"/>
  <c r="CH193" i="1"/>
  <c r="EC193" i="1" s="1"/>
  <c r="CC193" i="1"/>
  <c r="CB193" i="1"/>
  <c r="CA193" i="1"/>
  <c r="BZ193" i="1"/>
  <c r="BY193" i="1"/>
  <c r="BX193" i="1"/>
  <c r="BW193" i="1"/>
  <c r="BV193" i="1"/>
  <c r="BJ193" i="1"/>
  <c r="BT193" i="1" s="1"/>
  <c r="AU193" i="1"/>
  <c r="AK193" i="1"/>
  <c r="AR193" i="1" s="1"/>
  <c r="DB193" i="1" s="1"/>
  <c r="DV192" i="1"/>
  <c r="CH192" i="1"/>
  <c r="DT192" i="1" s="1"/>
  <c r="CC192" i="1"/>
  <c r="CB192" i="1"/>
  <c r="CA192" i="1"/>
  <c r="BZ192" i="1"/>
  <c r="BY192" i="1"/>
  <c r="BX192" i="1"/>
  <c r="BW192" i="1"/>
  <c r="BV192" i="1"/>
  <c r="BJ192" i="1"/>
  <c r="AU192" i="1"/>
  <c r="AS192" i="1"/>
  <c r="AK192" i="1"/>
  <c r="AR192" i="1" s="1"/>
  <c r="DB192" i="1" s="1"/>
  <c r="BJ191" i="1"/>
  <c r="CD191" i="1" s="1"/>
  <c r="AW7" i="1"/>
  <c r="AW8" i="1"/>
  <c r="BK9" i="1"/>
  <c r="DC14" i="1"/>
  <c r="DC35" i="1"/>
  <c r="DC39" i="1"/>
  <c r="DC44" i="1"/>
  <c r="AW48" i="1"/>
  <c r="DC61" i="1"/>
  <c r="BK62" i="1"/>
  <c r="AT71" i="1"/>
  <c r="AW72" i="1"/>
  <c r="DC83" i="1"/>
  <c r="AV108" i="1"/>
  <c r="AW121" i="1"/>
  <c r="BK133" i="1"/>
  <c r="DC135" i="1"/>
  <c r="BK137" i="1"/>
  <c r="DC142" i="1"/>
  <c r="DC146" i="1"/>
  <c r="DC147" i="1"/>
  <c r="DC149" i="1"/>
  <c r="BK154" i="1"/>
  <c r="BK155" i="1"/>
  <c r="DC157" i="1"/>
  <c r="DC162" i="1"/>
  <c r="DC163" i="1"/>
  <c r="DC165" i="1"/>
  <c r="AV166" i="1"/>
  <c r="DC167" i="1"/>
  <c r="DC170" i="1"/>
  <c r="DC171" i="1"/>
  <c r="DC173" i="1"/>
  <c r="DC174" i="1"/>
  <c r="DC178" i="1"/>
  <c r="BK179" i="1"/>
  <c r="AW189" i="1"/>
  <c r="DR202" i="1"/>
  <c r="DL203" i="1"/>
  <c r="BK208" i="1"/>
  <c r="ED190" i="1"/>
  <c r="DV190" i="1"/>
  <c r="DM190" i="1"/>
  <c r="CH190" i="1"/>
  <c r="DW190" i="1" s="1"/>
  <c r="CC190" i="1"/>
  <c r="CB190" i="1"/>
  <c r="CA190" i="1"/>
  <c r="BZ190" i="1"/>
  <c r="BY190" i="1"/>
  <c r="BX190" i="1"/>
  <c r="BW190" i="1"/>
  <c r="BV190" i="1"/>
  <c r="BJ190" i="1"/>
  <c r="BT190" i="1" s="1"/>
  <c r="AS190" i="1"/>
  <c r="AK190" i="1"/>
  <c r="AR190" i="1" s="1"/>
  <c r="DB190" i="1" s="1"/>
  <c r="ED209" i="1"/>
  <c r="DV209" i="1"/>
  <c r="DM209" i="1"/>
  <c r="DL209" i="1"/>
  <c r="CH209" i="1"/>
  <c r="DU209" i="1" s="1"/>
  <c r="CC209" i="1"/>
  <c r="CB209" i="1"/>
  <c r="CA209" i="1"/>
  <c r="BZ209" i="1"/>
  <c r="BY209" i="1"/>
  <c r="BX209" i="1"/>
  <c r="BW209" i="1"/>
  <c r="BV209" i="1"/>
  <c r="BS209" i="1"/>
  <c r="BR209" i="1"/>
  <c r="BQ209" i="1"/>
  <c r="BL209" i="1"/>
  <c r="BJ209" i="1"/>
  <c r="AU209" i="1"/>
  <c r="AS209" i="1"/>
  <c r="AK209" i="1"/>
  <c r="AR209" i="1" s="1"/>
  <c r="DB209" i="1" s="1"/>
  <c r="ED208" i="1"/>
  <c r="DV208" i="1"/>
  <c r="DR208" i="1"/>
  <c r="DO208" i="1"/>
  <c r="DM208" i="1"/>
  <c r="DL208" i="1"/>
  <c r="DI208" i="1"/>
  <c r="DH208" i="1"/>
  <c r="DE208" i="1"/>
  <c r="CC208" i="1"/>
  <c r="CB208" i="1"/>
  <c r="CA208" i="1"/>
  <c r="BZ208" i="1"/>
  <c r="BY208" i="1"/>
  <c r="BX208" i="1"/>
  <c r="BW208" i="1"/>
  <c r="BV208" i="1"/>
  <c r="BS208" i="1"/>
  <c r="BR208" i="1"/>
  <c r="BQ208" i="1"/>
  <c r="BP208" i="1"/>
  <c r="BO208" i="1"/>
  <c r="BN208" i="1"/>
  <c r="BM208" i="1"/>
  <c r="BL208" i="1"/>
  <c r="BJ208" i="1"/>
  <c r="CD208" i="1" s="1"/>
  <c r="AU208" i="1"/>
  <c r="AS208" i="1"/>
  <c r="AK208" i="1"/>
  <c r="AR208" i="1" s="1"/>
  <c r="DB208" i="1" s="1"/>
  <c r="EI207" i="1"/>
  <c r="DV207" i="1"/>
  <c r="DR207" i="1"/>
  <c r="DO207" i="1"/>
  <c r="DH207" i="1"/>
  <c r="DD207" i="1"/>
  <c r="CH207" i="1"/>
  <c r="ED207" i="1" s="1"/>
  <c r="CC207" i="1"/>
  <c r="CB207" i="1"/>
  <c r="CA207" i="1"/>
  <c r="BZ207" i="1"/>
  <c r="BY207" i="1"/>
  <c r="BX207" i="1"/>
  <c r="BW207" i="1"/>
  <c r="BV207" i="1"/>
  <c r="BP207" i="1"/>
  <c r="BO207" i="1"/>
  <c r="BM207" i="1"/>
  <c r="BJ207" i="1"/>
  <c r="AU207" i="1"/>
  <c r="AK207" i="1"/>
  <c r="AR207" i="1" s="1"/>
  <c r="DB207" i="1" s="1"/>
  <c r="ED206" i="1"/>
  <c r="DV206" i="1"/>
  <c r="DR206" i="1"/>
  <c r="DO206" i="1"/>
  <c r="DM206" i="1"/>
  <c r="DI206" i="1"/>
  <c r="DH206" i="1"/>
  <c r="DE206" i="1"/>
  <c r="DD206" i="1"/>
  <c r="CH206" i="1"/>
  <c r="EI206" i="1" s="1"/>
  <c r="CC206" i="1"/>
  <c r="CB206" i="1"/>
  <c r="CA206" i="1"/>
  <c r="BZ206" i="1"/>
  <c r="BY206" i="1"/>
  <c r="BX206" i="1"/>
  <c r="BW206" i="1"/>
  <c r="BV206" i="1"/>
  <c r="BQ206" i="1"/>
  <c r="BP206" i="1"/>
  <c r="BO206" i="1"/>
  <c r="BN206" i="1"/>
  <c r="BM206" i="1"/>
  <c r="BJ206" i="1"/>
  <c r="CD206" i="1" s="1"/>
  <c r="AS206" i="1"/>
  <c r="AK206" i="1"/>
  <c r="AR206" i="1" s="1"/>
  <c r="DB206" i="1" s="1"/>
  <c r="DV204" i="1"/>
  <c r="CC204" i="1"/>
  <c r="CB204" i="1"/>
  <c r="CA204" i="1"/>
  <c r="BZ204" i="1"/>
  <c r="BY204" i="1"/>
  <c r="BX204" i="1"/>
  <c r="BW204" i="1"/>
  <c r="BV204" i="1"/>
  <c r="BJ204" i="1"/>
  <c r="AU204" i="1"/>
  <c r="AK204" i="1"/>
  <c r="DV203" i="1"/>
  <c r="DI203" i="1"/>
  <c r="CH203" i="1"/>
  <c r="CC203" i="1"/>
  <c r="CB203" i="1"/>
  <c r="CA203" i="1"/>
  <c r="BZ203" i="1"/>
  <c r="BY203" i="1"/>
  <c r="BX203" i="1"/>
  <c r="BW203" i="1"/>
  <c r="BV203" i="1"/>
  <c r="BL203" i="1"/>
  <c r="BJ203" i="1"/>
  <c r="CD203" i="1" s="1"/>
  <c r="AU203" i="1"/>
  <c r="AS203" i="1"/>
  <c r="AK203" i="1"/>
  <c r="AR203" i="1" s="1"/>
  <c r="DB203" i="1" s="1"/>
  <c r="ED202" i="1"/>
  <c r="DV202" i="1"/>
  <c r="DM202" i="1"/>
  <c r="DL202" i="1"/>
  <c r="DH202" i="1"/>
  <c r="CH202" i="1"/>
  <c r="DY202" i="1" s="1"/>
  <c r="CC202" i="1"/>
  <c r="CB202" i="1"/>
  <c r="CA202" i="1"/>
  <c r="BZ202" i="1"/>
  <c r="BY202" i="1"/>
  <c r="BX202" i="1"/>
  <c r="BW202" i="1"/>
  <c r="BV202" i="1"/>
  <c r="BN202" i="1"/>
  <c r="BM202" i="1"/>
  <c r="BL202" i="1"/>
  <c r="BJ202" i="1"/>
  <c r="AU202" i="1"/>
  <c r="AK202" i="1"/>
  <c r="AR202" i="1" s="1"/>
  <c r="DB202" i="1" s="1"/>
  <c r="ED198" i="1"/>
  <c r="DV198" i="1"/>
  <c r="DM198" i="1"/>
  <c r="DL198" i="1"/>
  <c r="CH198" i="1"/>
  <c r="DY198" i="1" s="1"/>
  <c r="CC198" i="1"/>
  <c r="CB198" i="1"/>
  <c r="CA198" i="1"/>
  <c r="BZ198" i="1"/>
  <c r="BY198" i="1"/>
  <c r="BX198" i="1"/>
  <c r="BW198" i="1"/>
  <c r="BV198" i="1"/>
  <c r="BM198" i="1"/>
  <c r="BL198" i="1"/>
  <c r="BJ198" i="1"/>
  <c r="CD198" i="1" s="1"/>
  <c r="AU198" i="1"/>
  <c r="AS198" i="1"/>
  <c r="AK198" i="1"/>
  <c r="AR198" i="1" s="1"/>
  <c r="DB198" i="1" s="1"/>
  <c r="CT188" i="1"/>
  <c r="DR188" i="1" s="1"/>
  <c r="AA188" i="1"/>
  <c r="CT184" i="1"/>
  <c r="DR184" i="1" s="1"/>
  <c r="AA184" i="1"/>
  <c r="AL183" i="1"/>
  <c r="AS183" i="1" s="1"/>
  <c r="W219" i="1"/>
  <c r="W213" i="1"/>
  <c r="DD209" i="1"/>
  <c r="BP209" i="1"/>
  <c r="DI209" i="1"/>
  <c r="W217" i="1"/>
  <c r="W235" i="1"/>
  <c r="W227" i="1"/>
  <c r="W233" i="1"/>
  <c r="BM209" i="1"/>
  <c r="DO209" i="1"/>
  <c r="DE209" i="1"/>
  <c r="BN209" i="1"/>
  <c r="W228" i="1"/>
  <c r="AW39" i="1"/>
  <c r="AT175" i="1"/>
  <c r="AV175" i="1"/>
  <c r="AW175" i="1"/>
  <c r="BK175" i="1"/>
  <c r="DC175" i="1"/>
  <c r="AT159" i="1"/>
  <c r="AW159" i="1"/>
  <c r="AV159" i="1"/>
  <c r="BK159" i="1"/>
  <c r="DC159" i="1"/>
  <c r="AW125" i="1"/>
  <c r="AV125" i="1"/>
  <c r="AT125" i="1"/>
  <c r="BK125" i="1"/>
  <c r="DC125" i="1"/>
  <c r="AW93" i="1"/>
  <c r="BK93" i="1"/>
  <c r="AV93" i="1"/>
  <c r="AT93" i="1"/>
  <c r="DC93" i="1"/>
  <c r="AW50" i="1"/>
  <c r="AV50" i="1"/>
  <c r="BK50" i="1"/>
  <c r="DC50" i="1"/>
  <c r="AT50" i="1"/>
  <c r="AT12" i="1"/>
  <c r="AW12" i="1"/>
  <c r="AV12" i="1"/>
  <c r="AT184" i="1"/>
  <c r="AV184" i="1"/>
  <c r="BK184" i="1"/>
  <c r="AW184" i="1"/>
  <c r="DC184" i="1"/>
  <c r="AT140" i="1"/>
  <c r="AW140" i="1"/>
  <c r="BK140" i="1"/>
  <c r="AV140" i="1"/>
  <c r="AT103" i="1"/>
  <c r="AW103" i="1"/>
  <c r="AV103" i="1"/>
  <c r="AT57" i="1"/>
  <c r="AV57" i="1"/>
  <c r="AW57" i="1"/>
  <c r="BK57" i="1"/>
  <c r="DC57" i="1"/>
  <c r="BO202" i="1"/>
  <c r="BQ203" i="1"/>
  <c r="DM203" i="1"/>
  <c r="BP202" i="1"/>
  <c r="DO202" i="1"/>
  <c r="BR203" i="1"/>
  <c r="DC140" i="1"/>
  <c r="AV185" i="1"/>
  <c r="AT185" i="1"/>
  <c r="BK185" i="1"/>
  <c r="AW185" i="1"/>
  <c r="DC185" i="1"/>
  <c r="AT151" i="1"/>
  <c r="AV151" i="1"/>
  <c r="BK151" i="1"/>
  <c r="AT116" i="1"/>
  <c r="AW116" i="1"/>
  <c r="AV116" i="1"/>
  <c r="BK116" i="1"/>
  <c r="DC116" i="1"/>
  <c r="AT68" i="1"/>
  <c r="AV68" i="1"/>
  <c r="BK68" i="1"/>
  <c r="DC68" i="1"/>
  <c r="AT40" i="1"/>
  <c r="AV40" i="1"/>
  <c r="BK40" i="1"/>
  <c r="DC40" i="1"/>
  <c r="AW40" i="1"/>
  <c r="DC151" i="1"/>
  <c r="BM203" i="1"/>
  <c r="AT166" i="1"/>
  <c r="BK166" i="1"/>
  <c r="AW166" i="1"/>
  <c r="DC166" i="1"/>
  <c r="AT132" i="1"/>
  <c r="AW132" i="1"/>
  <c r="AV132" i="1"/>
  <c r="BK132" i="1"/>
  <c r="DC132" i="1"/>
  <c r="AT90" i="1"/>
  <c r="AV90" i="1"/>
  <c r="AW90" i="1"/>
  <c r="DC90" i="1"/>
  <c r="BK90" i="1"/>
  <c r="AV48" i="1"/>
  <c r="BK48" i="1"/>
  <c r="DC48" i="1"/>
  <c r="AT48" i="1"/>
  <c r="AW11" i="1"/>
  <c r="AT11" i="1"/>
  <c r="AV11" i="1"/>
  <c r="DC11" i="1"/>
  <c r="BK11" i="1"/>
  <c r="BS203" i="1"/>
  <c r="DC103" i="1"/>
  <c r="AT167" i="1"/>
  <c r="BK167" i="1"/>
  <c r="AW167" i="1"/>
  <c r="AV167" i="1"/>
  <c r="AW133" i="1"/>
  <c r="AT133" i="1"/>
  <c r="AV133" i="1"/>
  <c r="DC133" i="1"/>
  <c r="AT79" i="1"/>
  <c r="AW79" i="1"/>
  <c r="AV79" i="1"/>
  <c r="DC79" i="1"/>
  <c r="BK79" i="1"/>
  <c r="AT31" i="1"/>
  <c r="AW31" i="1"/>
  <c r="AV31" i="1"/>
  <c r="DC31" i="1"/>
  <c r="W202" i="1"/>
  <c r="AV202" i="1"/>
  <c r="AT202" i="1"/>
  <c r="AW202" i="1"/>
  <c r="DC202" i="1"/>
  <c r="BK202" i="1"/>
  <c r="BS202" i="1"/>
  <c r="BR202" i="1"/>
  <c r="DI202" i="1"/>
  <c r="BQ202" i="1"/>
  <c r="AS202" i="1"/>
  <c r="AW158" i="1"/>
  <c r="AT158" i="1"/>
  <c r="BK158" i="1"/>
  <c r="AV158" i="1"/>
  <c r="AT124" i="1"/>
  <c r="AW124" i="1"/>
  <c r="BK124" i="1"/>
  <c r="AW67" i="1"/>
  <c r="AV67" i="1"/>
  <c r="AT67" i="1"/>
  <c r="BK67" i="1"/>
  <c r="DC67" i="1"/>
  <c r="AW29" i="1"/>
  <c r="AV29" i="1"/>
  <c r="AT29" i="1"/>
  <c r="BK29" i="1"/>
  <c r="DC29" i="1"/>
  <c r="DD202" i="1"/>
  <c r="BK31" i="1"/>
  <c r="AW151" i="1"/>
  <c r="W203" i="1"/>
  <c r="AV203" i="1"/>
  <c r="AW203" i="1"/>
  <c r="AT203" i="1"/>
  <c r="BK203" i="1"/>
  <c r="DC203" i="1"/>
  <c r="DH203" i="1"/>
  <c r="BP203" i="1"/>
  <c r="BO203" i="1"/>
  <c r="DO203" i="1"/>
  <c r="DE203" i="1"/>
  <c r="BN203" i="1"/>
  <c r="DJ203" i="1"/>
  <c r="AW142" i="1"/>
  <c r="AT142" i="1"/>
  <c r="AV142" i="1"/>
  <c r="BK142" i="1"/>
  <c r="AV105" i="1"/>
  <c r="AT105" i="1"/>
  <c r="AW105" i="1"/>
  <c r="BK105" i="1"/>
  <c r="DC105" i="1"/>
  <c r="AW58" i="1"/>
  <c r="AT58" i="1"/>
  <c r="AV58" i="1"/>
  <c r="BK58" i="1"/>
  <c r="DC58" i="1"/>
  <c r="AW21" i="1"/>
  <c r="AT21" i="1"/>
  <c r="AV21" i="1"/>
  <c r="BK21" i="1"/>
  <c r="DC21" i="1"/>
  <c r="AT174" i="1"/>
  <c r="AW174" i="1"/>
  <c r="AV174" i="1"/>
  <c r="BK174" i="1"/>
  <c r="AT150" i="1"/>
  <c r="AV150" i="1"/>
  <c r="BK150" i="1"/>
  <c r="DC150" i="1"/>
  <c r="AW150" i="1"/>
  <c r="AW115" i="1"/>
  <c r="AV115" i="1"/>
  <c r="AT115" i="1"/>
  <c r="DC115" i="1"/>
  <c r="BK115" i="1"/>
  <c r="AW75" i="1"/>
  <c r="AT75" i="1"/>
  <c r="AV75" i="1"/>
  <c r="BK75" i="1"/>
  <c r="DC75" i="1"/>
  <c r="AT39" i="1"/>
  <c r="AV39" i="1"/>
  <c r="BK39" i="1"/>
  <c r="AT20" i="1"/>
  <c r="AW20" i="1"/>
  <c r="AV20" i="1"/>
  <c r="DC20" i="1"/>
  <c r="BK20" i="1"/>
  <c r="DE202" i="1"/>
  <c r="DD203" i="1"/>
  <c r="W207" i="1"/>
  <c r="AT207" i="1"/>
  <c r="AW207" i="1"/>
  <c r="DL207" i="1"/>
  <c r="BL207" i="1"/>
  <c r="BK207" i="1"/>
  <c r="DC207" i="1"/>
  <c r="DM207" i="1"/>
  <c r="BS207" i="1"/>
  <c r="BQ207" i="1"/>
  <c r="DJ207" i="1"/>
  <c r="BR207" i="1"/>
  <c r="DI207" i="1"/>
  <c r="DE207" i="1"/>
  <c r="BN207" i="1"/>
  <c r="AW188" i="1"/>
  <c r="AT188" i="1"/>
  <c r="AV188" i="1"/>
  <c r="BK188" i="1"/>
  <c r="AV177" i="1"/>
  <c r="AT177" i="1"/>
  <c r="BK177" i="1"/>
  <c r="DC177" i="1"/>
  <c r="AW177" i="1"/>
  <c r="AV169" i="1"/>
  <c r="AT169" i="1"/>
  <c r="BK169" i="1"/>
  <c r="DC169" i="1"/>
  <c r="AW169" i="1"/>
  <c r="AW161" i="1"/>
  <c r="DC161" i="1"/>
  <c r="BK161" i="1"/>
  <c r="AV153" i="1"/>
  <c r="AT153" i="1"/>
  <c r="AW153" i="1"/>
  <c r="BK153" i="1"/>
  <c r="DC153" i="1"/>
  <c r="AV145" i="1"/>
  <c r="AT145" i="1"/>
  <c r="DC145" i="1"/>
  <c r="BK145" i="1"/>
  <c r="AW145" i="1"/>
  <c r="AT135" i="1"/>
  <c r="AW135" i="1"/>
  <c r="AV135" i="1"/>
  <c r="BK135" i="1"/>
  <c r="AT127" i="1"/>
  <c r="AW127" i="1"/>
  <c r="AV127" i="1"/>
  <c r="DC127" i="1"/>
  <c r="BK127" i="1"/>
  <c r="AT118" i="1"/>
  <c r="AV118" i="1"/>
  <c r="AW118" i="1"/>
  <c r="BK118" i="1"/>
  <c r="DC118" i="1"/>
  <c r="AW107" i="1"/>
  <c r="AT107" i="1"/>
  <c r="AV107" i="1"/>
  <c r="DC107" i="1"/>
  <c r="BK107" i="1"/>
  <c r="AT95" i="1"/>
  <c r="AW95" i="1"/>
  <c r="AV95" i="1"/>
  <c r="BK95" i="1"/>
  <c r="DC95" i="1"/>
  <c r="AV81" i="1"/>
  <c r="AW81" i="1"/>
  <c r="AT81" i="1"/>
  <c r="BK81" i="1"/>
  <c r="DC81" i="1"/>
  <c r="AT70" i="1"/>
  <c r="AV70" i="1"/>
  <c r="BK70" i="1"/>
  <c r="DC70" i="1"/>
  <c r="AW61" i="1"/>
  <c r="AT61" i="1"/>
  <c r="AV61" i="1"/>
  <c r="BK61" i="1"/>
  <c r="AW52" i="1"/>
  <c r="AT52" i="1"/>
  <c r="AV52" i="1"/>
  <c r="BK52" i="1"/>
  <c r="DC52" i="1"/>
  <c r="AT44" i="1"/>
  <c r="AW44" i="1"/>
  <c r="BK44" i="1"/>
  <c r="AV44" i="1"/>
  <c r="AT34" i="1"/>
  <c r="AV34" i="1"/>
  <c r="AW34" i="1"/>
  <c r="BK34" i="1"/>
  <c r="DC34" i="1"/>
  <c r="AT23" i="1"/>
  <c r="AV23" i="1"/>
  <c r="AW23" i="1"/>
  <c r="BK23" i="1"/>
  <c r="AW14" i="1"/>
  <c r="AT14" i="1"/>
  <c r="BK14" i="1"/>
  <c r="AV14" i="1"/>
  <c r="AT6" i="1"/>
  <c r="AV6" i="1"/>
  <c r="BK6" i="1"/>
  <c r="AW6" i="1"/>
  <c r="DC6" i="1"/>
  <c r="DL197" i="1"/>
  <c r="AW197" i="1"/>
  <c r="AT197" i="1"/>
  <c r="AV197" i="1"/>
  <c r="DC197" i="1"/>
  <c r="AT198" i="1"/>
  <c r="AV198" i="1"/>
  <c r="DJ198" i="1"/>
  <c r="DC198" i="1"/>
  <c r="AW198" i="1"/>
  <c r="BK198" i="1"/>
  <c r="DC158" i="1"/>
  <c r="DC12" i="1"/>
  <c r="W206" i="1"/>
  <c r="AW206" i="1"/>
  <c r="AV206" i="1"/>
  <c r="BK206" i="1"/>
  <c r="AT206" i="1"/>
  <c r="AW187" i="1"/>
  <c r="AV187" i="1"/>
  <c r="AT187" i="1"/>
  <c r="BK187" i="1"/>
  <c r="DC187" i="1"/>
  <c r="AT176" i="1"/>
  <c r="AV176" i="1"/>
  <c r="BK176" i="1"/>
  <c r="AW176" i="1"/>
  <c r="DC176" i="1"/>
  <c r="AT168" i="1"/>
  <c r="AV168" i="1"/>
  <c r="BK168" i="1"/>
  <c r="DC168" i="1"/>
  <c r="AW168" i="1"/>
  <c r="AT160" i="1"/>
  <c r="AV160" i="1"/>
  <c r="BK160" i="1"/>
  <c r="AW160" i="1"/>
  <c r="DC160" i="1"/>
  <c r="AT152" i="1"/>
  <c r="AV152" i="1"/>
  <c r="BK152" i="1"/>
  <c r="AW152" i="1"/>
  <c r="DC152" i="1"/>
  <c r="AT144" i="1"/>
  <c r="AV144" i="1"/>
  <c r="BK144" i="1"/>
  <c r="AW144" i="1"/>
  <c r="DC144" i="1"/>
  <c r="AT134" i="1"/>
  <c r="AV134" i="1"/>
  <c r="AW134" i="1"/>
  <c r="BK134" i="1"/>
  <c r="AW126" i="1"/>
  <c r="AT126" i="1"/>
  <c r="AV126" i="1"/>
  <c r="AW117" i="1"/>
  <c r="AT117" i="1"/>
  <c r="AV117" i="1"/>
  <c r="BK117" i="1"/>
  <c r="AT106" i="1"/>
  <c r="AV106" i="1"/>
  <c r="AW106" i="1"/>
  <c r="DC106" i="1"/>
  <c r="BK106" i="1"/>
  <c r="AW94" i="1"/>
  <c r="AT94" i="1"/>
  <c r="BK94" i="1"/>
  <c r="AV94" i="1"/>
  <c r="AT80" i="1"/>
  <c r="AV80" i="1"/>
  <c r="BK80" i="1"/>
  <c r="AW80" i="1"/>
  <c r="DC80" i="1"/>
  <c r="AW69" i="1"/>
  <c r="AT69" i="1"/>
  <c r="AV69" i="1"/>
  <c r="BK69" i="1"/>
  <c r="AW60" i="1"/>
  <c r="AV60" i="1"/>
  <c r="AT60" i="1"/>
  <c r="AT51" i="1"/>
  <c r="AW51" i="1"/>
  <c r="AV51" i="1"/>
  <c r="BK51" i="1"/>
  <c r="AT42" i="1"/>
  <c r="AV42" i="1"/>
  <c r="AW42" i="1"/>
  <c r="BK42" i="1"/>
  <c r="DC42" i="1"/>
  <c r="AV33" i="1"/>
  <c r="AT33" i="1"/>
  <c r="AW33" i="1"/>
  <c r="DC33" i="1"/>
  <c r="AT22" i="1"/>
  <c r="AV22" i="1"/>
  <c r="AW22" i="1"/>
  <c r="BK22" i="1"/>
  <c r="AW13" i="1"/>
  <c r="AT13" i="1"/>
  <c r="BK13" i="1"/>
  <c r="AW5" i="1"/>
  <c r="AT5" i="1"/>
  <c r="AV5" i="1"/>
  <c r="BK5" i="1"/>
  <c r="DL193" i="1"/>
  <c r="AV193" i="1"/>
  <c r="AT193" i="1"/>
  <c r="BK193" i="1"/>
  <c r="DC193" i="1"/>
  <c r="AW193" i="1"/>
  <c r="DC60" i="1"/>
  <c r="DC13" i="1"/>
  <c r="BK60" i="1"/>
  <c r="AT183" i="1"/>
  <c r="AW183" i="1"/>
  <c r="AW157" i="1"/>
  <c r="BK157" i="1"/>
  <c r="AV157" i="1"/>
  <c r="AT157" i="1"/>
  <c r="AW131" i="1"/>
  <c r="AV131" i="1"/>
  <c r="AT131" i="1"/>
  <c r="BK131" i="1"/>
  <c r="DC131" i="1"/>
  <c r="AW101" i="1"/>
  <c r="AT101" i="1"/>
  <c r="AV101" i="1"/>
  <c r="BK101" i="1"/>
  <c r="AT65" i="1"/>
  <c r="AV65" i="1"/>
  <c r="AW65" i="1"/>
  <c r="BK65" i="1"/>
  <c r="DC65" i="1"/>
  <c r="BK38" i="1"/>
  <c r="AW38" i="1"/>
  <c r="AT10" i="1"/>
  <c r="AV10" i="1"/>
  <c r="AW10" i="1"/>
  <c r="BK10" i="1"/>
  <c r="DC10" i="1"/>
  <c r="AU206" i="1"/>
  <c r="BR206" i="1"/>
  <c r="DJ206" i="1"/>
  <c r="AV194" i="1"/>
  <c r="AW194" i="1"/>
  <c r="BK194" i="1"/>
  <c r="AT194" i="1"/>
  <c r="DC194" i="1"/>
  <c r="DC117" i="1"/>
  <c r="DC101" i="1"/>
  <c r="DC69" i="1"/>
  <c r="DC5" i="1"/>
  <c r="AV13" i="1"/>
  <c r="AW173" i="1"/>
  <c r="AT173" i="1"/>
  <c r="AV173" i="1"/>
  <c r="BK173" i="1"/>
  <c r="AW149" i="1"/>
  <c r="AT149" i="1"/>
  <c r="AV149" i="1"/>
  <c r="BK149" i="1"/>
  <c r="AW123" i="1"/>
  <c r="AT123" i="1"/>
  <c r="AV123" i="1"/>
  <c r="BK123" i="1"/>
  <c r="DC123" i="1"/>
  <c r="AT88" i="1"/>
  <c r="AV88" i="1"/>
  <c r="BK88" i="1"/>
  <c r="DC88" i="1"/>
  <c r="AV56" i="1"/>
  <c r="AT56" i="1"/>
  <c r="BK56" i="1"/>
  <c r="AW56" i="1"/>
  <c r="DC56" i="1"/>
  <c r="AW27" i="1"/>
  <c r="AT27" i="1"/>
  <c r="BK27" i="1"/>
  <c r="DC27" i="1"/>
  <c r="W209" i="1"/>
  <c r="AT209" i="1"/>
  <c r="AV209" i="1"/>
  <c r="BK209" i="1"/>
  <c r="AW209" i="1"/>
  <c r="DC209" i="1"/>
  <c r="DR209" i="1"/>
  <c r="BO209" i="1"/>
  <c r="DI190" i="1"/>
  <c r="AT190" i="1"/>
  <c r="AW190" i="1"/>
  <c r="AV190" i="1"/>
  <c r="BK190" i="1"/>
  <c r="DC51" i="1"/>
  <c r="AW195" i="1"/>
  <c r="AV195" i="1"/>
  <c r="AT195" i="1"/>
  <c r="BK195" i="1"/>
  <c r="DC195" i="1"/>
  <c r="AW165" i="1"/>
  <c r="AT165" i="1"/>
  <c r="AV165" i="1"/>
  <c r="BK165" i="1"/>
  <c r="AW139" i="1"/>
  <c r="AT139" i="1"/>
  <c r="AV139" i="1"/>
  <c r="BK139" i="1"/>
  <c r="DC139" i="1"/>
  <c r="AT114" i="1"/>
  <c r="AV114" i="1"/>
  <c r="AW114" i="1"/>
  <c r="BK114" i="1"/>
  <c r="DC114" i="1"/>
  <c r="AT74" i="1"/>
  <c r="AV74" i="1"/>
  <c r="AW74" i="1"/>
  <c r="BK74" i="1"/>
  <c r="DC74" i="1"/>
  <c r="AW19" i="1"/>
  <c r="AV19" i="1"/>
  <c r="AT19" i="1"/>
  <c r="DC19" i="1"/>
  <c r="DC38" i="1"/>
  <c r="BS206" i="1"/>
  <c r="BL206" i="1"/>
  <c r="DL206" i="1"/>
  <c r="BK33" i="1"/>
  <c r="AW137" i="1"/>
  <c r="DL196" i="1"/>
  <c r="AW196" i="1"/>
  <c r="AT196" i="1"/>
  <c r="AV196" i="1"/>
  <c r="BK196" i="1"/>
  <c r="DL199" i="1"/>
  <c r="AT199" i="1"/>
  <c r="DC179" i="1"/>
  <c r="DC155" i="1"/>
  <c r="AV199" i="1"/>
  <c r="AW180" i="1"/>
  <c r="AT180" i="1"/>
  <c r="AV180" i="1"/>
  <c r="AT172" i="1"/>
  <c r="AW172" i="1"/>
  <c r="AT164" i="1"/>
  <c r="AW164" i="1"/>
  <c r="AV164" i="1"/>
  <c r="AT156" i="1"/>
  <c r="AW156" i="1"/>
  <c r="AV156" i="1"/>
  <c r="BK156" i="1"/>
  <c r="AT148" i="1"/>
  <c r="AW148" i="1"/>
  <c r="AV148" i="1"/>
  <c r="BK148" i="1"/>
  <c r="AT138" i="1"/>
  <c r="AV138" i="1"/>
  <c r="AW138" i="1"/>
  <c r="BK138" i="1"/>
  <c r="AT130" i="1"/>
  <c r="AV130" i="1"/>
  <c r="AW130" i="1"/>
  <c r="BK130" i="1"/>
  <c r="AT122" i="1"/>
  <c r="AV122" i="1"/>
  <c r="AW122" i="1"/>
  <c r="BK122" i="1"/>
  <c r="AT111" i="1"/>
  <c r="AW111" i="1"/>
  <c r="AV111" i="1"/>
  <c r="BK111" i="1"/>
  <c r="AT98" i="1"/>
  <c r="AV98" i="1"/>
  <c r="AW98" i="1"/>
  <c r="AT87" i="1"/>
  <c r="AV87" i="1"/>
  <c r="AV73" i="1"/>
  <c r="AT73" i="1"/>
  <c r="AW73" i="1"/>
  <c r="AV64" i="1"/>
  <c r="AT64" i="1"/>
  <c r="BK64" i="1"/>
  <c r="AT55" i="1"/>
  <c r="AV55" i="1"/>
  <c r="BK55" i="1"/>
  <c r="AW55" i="1"/>
  <c r="AT47" i="1"/>
  <c r="AW47" i="1"/>
  <c r="AV47" i="1"/>
  <c r="BK47" i="1"/>
  <c r="AW37" i="1"/>
  <c r="AT37" i="1"/>
  <c r="AV37" i="1"/>
  <c r="BK37" i="1"/>
  <c r="AT26" i="1"/>
  <c r="AV26" i="1"/>
  <c r="AW26" i="1"/>
  <c r="BK26" i="1"/>
  <c r="AT18" i="1"/>
  <c r="AV18" i="1"/>
  <c r="AW18" i="1"/>
  <c r="BK18" i="1"/>
  <c r="AV9" i="1"/>
  <c r="AT9" i="1"/>
  <c r="AW9" i="1"/>
  <c r="DL201" i="1"/>
  <c r="AT201" i="1"/>
  <c r="AV201" i="1"/>
  <c r="BK201" i="1"/>
  <c r="DL205" i="1"/>
  <c r="AW205" i="1"/>
  <c r="BK205" i="1"/>
  <c r="AV205" i="1"/>
  <c r="DC154" i="1"/>
  <c r="DC138" i="1"/>
  <c r="DC130" i="1"/>
  <c r="DC122" i="1"/>
  <c r="DC98" i="1"/>
  <c r="DC26" i="1"/>
  <c r="DC18" i="1"/>
  <c r="BK87" i="1"/>
  <c r="BK7" i="1"/>
  <c r="AW179" i="1"/>
  <c r="AV179" i="1"/>
  <c r="AT179" i="1"/>
  <c r="AW171" i="1"/>
  <c r="AV171" i="1"/>
  <c r="AW163" i="1"/>
  <c r="AV163" i="1"/>
  <c r="AT163" i="1"/>
  <c r="AW155" i="1"/>
  <c r="AT155" i="1"/>
  <c r="AV155" i="1"/>
  <c r="AW147" i="1"/>
  <c r="AV147" i="1"/>
  <c r="AT147" i="1"/>
  <c r="BK147" i="1"/>
  <c r="AV137" i="1"/>
  <c r="AT137" i="1"/>
  <c r="AV129" i="1"/>
  <c r="AT129" i="1"/>
  <c r="AW129" i="1"/>
  <c r="BK129" i="1"/>
  <c r="AV121" i="1"/>
  <c r="AT121" i="1"/>
  <c r="BK121" i="1"/>
  <c r="AW110" i="1"/>
  <c r="BK110" i="1"/>
  <c r="AV97" i="1"/>
  <c r="AT97" i="1"/>
  <c r="AW85" i="1"/>
  <c r="AT85" i="1"/>
  <c r="AV85" i="1"/>
  <c r="BK85" i="1"/>
  <c r="AT72" i="1"/>
  <c r="AV72" i="1"/>
  <c r="BK72" i="1"/>
  <c r="AT63" i="1"/>
  <c r="AV63" i="1"/>
  <c r="BK63" i="1"/>
  <c r="AW63" i="1"/>
  <c r="AT54" i="1"/>
  <c r="AW54" i="1"/>
  <c r="AV54" i="1"/>
  <c r="BK54" i="1"/>
  <c r="AW46" i="1"/>
  <c r="BK46" i="1"/>
  <c r="AT36" i="1"/>
  <c r="AW36" i="1"/>
  <c r="AV36" i="1"/>
  <c r="BK36" i="1"/>
  <c r="AV25" i="1"/>
  <c r="AT25" i="1"/>
  <c r="AW25" i="1"/>
  <c r="BK25" i="1"/>
  <c r="AT16" i="1"/>
  <c r="AV16" i="1"/>
  <c r="BK16" i="1"/>
  <c r="AW16" i="1"/>
  <c r="AT8" i="1"/>
  <c r="AV8" i="1"/>
  <c r="BK8" i="1"/>
  <c r="DC137" i="1"/>
  <c r="DC129" i="1"/>
  <c r="DC121" i="1"/>
  <c r="DC97" i="1"/>
  <c r="DC73" i="1"/>
  <c r="DC64" i="1"/>
  <c r="DC25" i="1"/>
  <c r="DC9" i="1"/>
  <c r="BK189" i="1"/>
  <c r="BK172" i="1"/>
  <c r="AV189" i="1"/>
  <c r="AT110" i="1"/>
  <c r="W208" i="1"/>
  <c r="AT208" i="1"/>
  <c r="AV208" i="1"/>
  <c r="AW208" i="1"/>
  <c r="AV178" i="1"/>
  <c r="AW178" i="1"/>
  <c r="AT178" i="1"/>
  <c r="BK178" i="1"/>
  <c r="AV170" i="1"/>
  <c r="AW170" i="1"/>
  <c r="AT162" i="1"/>
  <c r="AV162" i="1"/>
  <c r="AW162" i="1"/>
  <c r="AT154" i="1"/>
  <c r="AV154" i="1"/>
  <c r="AW154" i="1"/>
  <c r="AT146" i="1"/>
  <c r="AV146" i="1"/>
  <c r="AW146" i="1"/>
  <c r="AT136" i="1"/>
  <c r="AV136" i="1"/>
  <c r="BK136" i="1"/>
  <c r="AW136" i="1"/>
  <c r="AT128" i="1"/>
  <c r="AV128" i="1"/>
  <c r="BK128" i="1"/>
  <c r="AW128" i="1"/>
  <c r="AT120" i="1"/>
  <c r="AV120" i="1"/>
  <c r="BK120" i="1"/>
  <c r="AT108" i="1"/>
  <c r="AW108" i="1"/>
  <c r="AT96" i="1"/>
  <c r="AV96" i="1"/>
  <c r="BK96" i="1"/>
  <c r="AW96" i="1"/>
  <c r="AW83" i="1"/>
  <c r="AV83" i="1"/>
  <c r="AT83" i="1"/>
  <c r="BK83" i="1"/>
  <c r="AT62" i="1"/>
  <c r="AW62" i="1"/>
  <c r="AV62" i="1"/>
  <c r="AT53" i="1"/>
  <c r="AV53" i="1"/>
  <c r="AW53" i="1"/>
  <c r="AW45" i="1"/>
  <c r="AT45" i="1"/>
  <c r="BK45" i="1"/>
  <c r="AW35" i="1"/>
  <c r="AV35" i="1"/>
  <c r="AT35" i="1"/>
  <c r="BK35" i="1"/>
  <c r="AT24" i="1"/>
  <c r="AV24" i="1"/>
  <c r="BK24" i="1"/>
  <c r="AW24" i="1"/>
  <c r="AT15" i="1"/>
  <c r="AW15" i="1"/>
  <c r="BK15" i="1"/>
  <c r="AT7" i="1"/>
  <c r="AV7" i="1"/>
  <c r="AT192" i="1"/>
  <c r="AV192" i="1"/>
  <c r="BK192" i="1"/>
  <c r="AW192" i="1"/>
  <c r="DC201" i="1"/>
  <c r="DC192" i="1"/>
  <c r="DC136" i="1"/>
  <c r="DC128" i="1"/>
  <c r="DC120" i="1"/>
  <c r="DC96" i="1"/>
  <c r="DC72" i="1"/>
  <c r="DC63" i="1"/>
  <c r="DC55" i="1"/>
  <c r="DC24" i="1"/>
  <c r="DC16" i="1"/>
  <c r="DC8" i="1"/>
  <c r="AW64" i="1"/>
  <c r="AV15" i="1"/>
  <c r="AT189" i="1"/>
  <c r="DM210" i="1"/>
  <c r="BQ210" i="1"/>
  <c r="DE210" i="1"/>
  <c r="AT210" i="1"/>
  <c r="BR210" i="1"/>
  <c r="AU210" i="1"/>
  <c r="BL210" i="1"/>
  <c r="DJ210" i="1"/>
  <c r="AV210" i="1"/>
  <c r="BM210" i="1"/>
  <c r="DC210" i="1"/>
  <c r="AW210" i="1"/>
  <c r="BN210" i="1"/>
  <c r="DD210" i="1"/>
  <c r="DR198" i="1"/>
  <c r="DD198" i="1"/>
  <c r="BP198" i="1"/>
  <c r="BO198" i="1"/>
  <c r="BN198" i="1"/>
  <c r="DI198" i="1"/>
  <c r="BR199" i="1"/>
  <c r="AU205" i="1"/>
  <c r="BQ205" i="1"/>
  <c r="DO205" i="1"/>
  <c r="DH205" i="1"/>
  <c r="BL205" i="1"/>
  <c r="DI205" i="1"/>
  <c r="BM205" i="1"/>
  <c r="BN205" i="1"/>
  <c r="W205" i="1"/>
  <c r="BO205" i="1"/>
  <c r="BP205" i="1"/>
  <c r="DD205" i="1"/>
  <c r="BS199" i="1"/>
  <c r="BP199" i="1"/>
  <c r="DE199" i="1"/>
  <c r="DO199" i="1"/>
  <c r="AU199" i="1"/>
  <c r="DI201" i="1"/>
  <c r="DH199" i="1"/>
  <c r="DH201" i="1"/>
  <c r="BN201" i="1"/>
  <c r="DM201" i="1"/>
  <c r="BP201" i="1"/>
  <c r="DO201" i="1"/>
  <c r="BQ201" i="1"/>
  <c r="BR201" i="1"/>
  <c r="BS201" i="1"/>
  <c r="DJ201" i="1"/>
  <c r="DR201" i="1"/>
  <c r="BO201" i="1"/>
  <c r="BL201" i="1"/>
  <c r="DK201" i="1"/>
  <c r="DE201" i="1"/>
  <c r="W201" i="1"/>
  <c r="BM201" i="1"/>
  <c r="DD201" i="1"/>
  <c r="BS198" i="1"/>
  <c r="DH198" i="1"/>
  <c r="BL199" i="1"/>
  <c r="W198" i="1"/>
  <c r="DI199" i="1"/>
  <c r="DO198" i="1"/>
  <c r="BQ198" i="1"/>
  <c r="DE198" i="1"/>
  <c r="BR198" i="1"/>
  <c r="DM199" i="1"/>
  <c r="BQ199" i="1"/>
  <c r="BM199" i="1"/>
  <c r="DR199" i="1"/>
  <c r="BN199" i="1"/>
  <c r="W199" i="1"/>
  <c r="BO199" i="1"/>
  <c r="DD199" i="1"/>
  <c r="BQ192" i="1"/>
  <c r="W192" i="1"/>
  <c r="DL192" i="1"/>
  <c r="DP197" i="1"/>
  <c r="BM197" i="1"/>
  <c r="DE197" i="1"/>
  <c r="DM197" i="1"/>
  <c r="BN197" i="1"/>
  <c r="BP197" i="1"/>
  <c r="DH197" i="1"/>
  <c r="BR197" i="1"/>
  <c r="DJ197" i="1"/>
  <c r="DR197" i="1"/>
  <c r="DN197" i="1"/>
  <c r="W197" i="1"/>
  <c r="BO197" i="1"/>
  <c r="DG197" i="1"/>
  <c r="BS197" i="1"/>
  <c r="DK197" i="1"/>
  <c r="DO197" i="1"/>
  <c r="BQ197" i="1"/>
  <c r="DI197" i="1"/>
  <c r="BL197" i="1"/>
  <c r="DD197" i="1"/>
  <c r="DG193" i="1"/>
  <c r="AU190" i="1"/>
  <c r="BM193" i="1"/>
  <c r="DE193" i="1"/>
  <c r="BL192" i="1"/>
  <c r="DO192" i="1"/>
  <c r="DP196" i="1"/>
  <c r="BP196" i="1"/>
  <c r="BQ196" i="1"/>
  <c r="BM196" i="1"/>
  <c r="DE196" i="1"/>
  <c r="BN196" i="1"/>
  <c r="DN196" i="1"/>
  <c r="W196" i="1"/>
  <c r="DG196" i="1"/>
  <c r="DO196" i="1"/>
  <c r="DH196" i="1"/>
  <c r="DI196" i="1"/>
  <c r="BR196" i="1"/>
  <c r="DJ196" i="1"/>
  <c r="DR196" i="1"/>
  <c r="BO196" i="1"/>
  <c r="BS196" i="1"/>
  <c r="DK196" i="1"/>
  <c r="BL196" i="1"/>
  <c r="DH190" i="1"/>
  <c r="DH193" i="1"/>
  <c r="DI193" i="1"/>
  <c r="BO193" i="1"/>
  <c r="BP193" i="1"/>
  <c r="BS190" i="1"/>
  <c r="BQ193" i="1"/>
  <c r="DM193" i="1"/>
  <c r="DO193" i="1"/>
  <c r="BN190" i="1"/>
  <c r="W193" i="1"/>
  <c r="DD192" i="1"/>
  <c r="DP193" i="1"/>
  <c r="BN193" i="1"/>
  <c r="DN193" i="1"/>
  <c r="AS193" i="1"/>
  <c r="BR193" i="1"/>
  <c r="DJ193" i="1"/>
  <c r="DR193" i="1"/>
  <c r="BS193" i="1"/>
  <c r="DK193" i="1"/>
  <c r="BL193" i="1"/>
  <c r="DD193" i="1"/>
  <c r="BL190" i="1"/>
  <c r="DD190" i="1"/>
  <c r="BS192" i="1"/>
  <c r="DH192" i="1"/>
  <c r="BM190" i="1"/>
  <c r="DE190" i="1"/>
  <c r="DI192" i="1"/>
  <c r="BO192" i="1"/>
  <c r="BR192" i="1"/>
  <c r="BP192" i="1"/>
  <c r="DE192" i="1"/>
  <c r="DM192" i="1"/>
  <c r="BM192" i="1"/>
  <c r="DR192" i="1"/>
  <c r="BN192" i="1"/>
  <c r="DL190" i="1"/>
  <c r="BQ190" i="1"/>
  <c r="W190" i="1"/>
  <c r="BP190" i="1"/>
  <c r="BR190" i="1"/>
  <c r="DO190" i="1"/>
  <c r="BO190" i="1"/>
  <c r="DR190" i="1"/>
  <c r="CH211" i="1"/>
  <c r="DW211" i="1" s="1"/>
  <c r="ED211" i="1"/>
  <c r="DV211" i="1"/>
  <c r="DO211" i="1"/>
  <c r="DM211" i="1"/>
  <c r="DL211" i="1"/>
  <c r="DI211" i="1"/>
  <c r="DH211" i="1"/>
  <c r="DE211" i="1"/>
  <c r="DD211" i="1"/>
  <c r="CC211" i="1"/>
  <c r="CB211" i="1"/>
  <c r="CA211" i="1"/>
  <c r="BZ211" i="1"/>
  <c r="BY211" i="1"/>
  <c r="BX211" i="1"/>
  <c r="BW211" i="1"/>
  <c r="BV211" i="1"/>
  <c r="BS211" i="1"/>
  <c r="BR211" i="1"/>
  <c r="BQ211" i="1"/>
  <c r="BP211" i="1"/>
  <c r="BO211" i="1"/>
  <c r="BN211" i="1"/>
  <c r="BM211" i="1"/>
  <c r="BL211" i="1"/>
  <c r="BJ211" i="1"/>
  <c r="AU211" i="1"/>
  <c r="AS211" i="1"/>
  <c r="AK211" i="1"/>
  <c r="AR211" i="1" s="1"/>
  <c r="DB211" i="1" s="1"/>
  <c r="W211" i="1"/>
  <c r="DV195" i="1"/>
  <c r="DR195" i="1"/>
  <c r="DO195" i="1"/>
  <c r="DM195" i="1"/>
  <c r="DL195" i="1"/>
  <c r="DJ195" i="1"/>
  <c r="DI195" i="1"/>
  <c r="DH195" i="1"/>
  <c r="DE195" i="1"/>
  <c r="DD195" i="1"/>
  <c r="CH195" i="1"/>
  <c r="EC195" i="1" s="1"/>
  <c r="CC195" i="1"/>
  <c r="CB195" i="1"/>
  <c r="CA195" i="1"/>
  <c r="BZ195" i="1"/>
  <c r="BY195" i="1"/>
  <c r="BX195" i="1"/>
  <c r="BW195" i="1"/>
  <c r="BV195" i="1"/>
  <c r="BS195" i="1"/>
  <c r="BR195" i="1"/>
  <c r="BQ195" i="1"/>
  <c r="BP195" i="1"/>
  <c r="BO195" i="1"/>
  <c r="BN195" i="1"/>
  <c r="BM195" i="1"/>
  <c r="BL195" i="1"/>
  <c r="BJ195" i="1"/>
  <c r="AU195" i="1"/>
  <c r="AS195" i="1"/>
  <c r="AK195" i="1"/>
  <c r="AR195" i="1" s="1"/>
  <c r="DB195" i="1" s="1"/>
  <c r="ED194" i="1"/>
  <c r="DV194" i="1"/>
  <c r="DR194" i="1"/>
  <c r="DO194" i="1"/>
  <c r="DM194" i="1"/>
  <c r="DL194" i="1"/>
  <c r="DJ194" i="1"/>
  <c r="DI194" i="1"/>
  <c r="DH194" i="1"/>
  <c r="DE194" i="1"/>
  <c r="DD194" i="1"/>
  <c r="CH194" i="1"/>
  <c r="DZ194" i="1" s="1"/>
  <c r="CC194" i="1"/>
  <c r="CB194" i="1"/>
  <c r="CA194" i="1"/>
  <c r="BZ194" i="1"/>
  <c r="BY194" i="1"/>
  <c r="BX194" i="1"/>
  <c r="BW194" i="1"/>
  <c r="BV194" i="1"/>
  <c r="BS194" i="1"/>
  <c r="BR194" i="1"/>
  <c r="BQ194" i="1"/>
  <c r="BP194" i="1"/>
  <c r="BO194" i="1"/>
  <c r="BN194" i="1"/>
  <c r="BM194" i="1"/>
  <c r="BL194" i="1"/>
  <c r="BJ194" i="1"/>
  <c r="AU194" i="1"/>
  <c r="AS194" i="1"/>
  <c r="AK194" i="1"/>
  <c r="AR194" i="1" s="1"/>
  <c r="DB194" i="1" s="1"/>
  <c r="W194" i="1"/>
  <c r="DV191" i="1"/>
  <c r="CH191" i="1"/>
  <c r="CC191" i="1"/>
  <c r="CB191" i="1"/>
  <c r="CA191" i="1"/>
  <c r="BZ191" i="1"/>
  <c r="BY191" i="1"/>
  <c r="BX191" i="1"/>
  <c r="BW191" i="1"/>
  <c r="BV191" i="1"/>
  <c r="AU191" i="1"/>
  <c r="AK191" i="1"/>
  <c r="DV189" i="1"/>
  <c r="DR189" i="1"/>
  <c r="DO189" i="1"/>
  <c r="DM189" i="1"/>
  <c r="DL189" i="1"/>
  <c r="DJ189" i="1"/>
  <c r="DI189" i="1"/>
  <c r="DH189" i="1"/>
  <c r="DE189" i="1"/>
  <c r="DD189" i="1"/>
  <c r="CH189" i="1"/>
  <c r="DZ189" i="1" s="1"/>
  <c r="CC189" i="1"/>
  <c r="CB189" i="1"/>
  <c r="CA189" i="1"/>
  <c r="BZ189" i="1"/>
  <c r="BY189" i="1"/>
  <c r="BX189" i="1"/>
  <c r="BW189" i="1"/>
  <c r="BV189" i="1"/>
  <c r="BS189" i="1"/>
  <c r="BR189" i="1"/>
  <c r="BQ189" i="1"/>
  <c r="BP189" i="1"/>
  <c r="BO189" i="1"/>
  <c r="BN189" i="1"/>
  <c r="BM189" i="1"/>
  <c r="BL189" i="1"/>
  <c r="BJ189" i="1"/>
  <c r="CD189" i="1" s="1"/>
  <c r="AU189" i="1"/>
  <c r="AS189" i="1"/>
  <c r="AK189" i="1"/>
  <c r="AR189" i="1" s="1"/>
  <c r="DB189" i="1" s="1"/>
  <c r="W189" i="1"/>
  <c r="ED188" i="1"/>
  <c r="DV188" i="1"/>
  <c r="DM188" i="1"/>
  <c r="DI188" i="1"/>
  <c r="CH188" i="1"/>
  <c r="DF188" i="1" s="1"/>
  <c r="CC188" i="1"/>
  <c r="CB188" i="1"/>
  <c r="CA188" i="1"/>
  <c r="BZ188" i="1"/>
  <c r="BY188" i="1"/>
  <c r="BX188" i="1"/>
  <c r="BW188" i="1"/>
  <c r="BV188" i="1"/>
  <c r="BJ188" i="1"/>
  <c r="CD188" i="1" s="1"/>
  <c r="AU188" i="1"/>
  <c r="AS188" i="1"/>
  <c r="AK188" i="1"/>
  <c r="AR188" i="1" s="1"/>
  <c r="DB188" i="1" s="1"/>
  <c r="W188" i="1"/>
  <c r="ED187" i="1"/>
  <c r="DV187" i="1"/>
  <c r="DM187" i="1"/>
  <c r="DE187" i="1"/>
  <c r="CH187" i="1"/>
  <c r="CC187" i="1"/>
  <c r="CB187" i="1"/>
  <c r="CA187" i="1"/>
  <c r="BZ187" i="1"/>
  <c r="BY187" i="1"/>
  <c r="BX187" i="1"/>
  <c r="BW187" i="1"/>
  <c r="BV187" i="1"/>
  <c r="BP187" i="1"/>
  <c r="BJ187" i="1"/>
  <c r="AU187" i="1"/>
  <c r="AK187" i="1"/>
  <c r="AR187" i="1" s="1"/>
  <c r="DB187" i="1" s="1"/>
  <c r="DL187" i="1"/>
  <c r="DV186" i="1"/>
  <c r="CH186" i="1"/>
  <c r="DW186" i="1" s="1"/>
  <c r="CC186" i="1"/>
  <c r="CB186" i="1"/>
  <c r="CA186" i="1"/>
  <c r="BZ186" i="1"/>
  <c r="BY186" i="1"/>
  <c r="BX186" i="1"/>
  <c r="BW186" i="1"/>
  <c r="BV186" i="1"/>
  <c r="BJ186" i="1"/>
  <c r="CD186" i="1" s="1"/>
  <c r="AU186" i="1"/>
  <c r="AK186" i="1"/>
  <c r="DV185" i="1"/>
  <c r="DO185" i="1"/>
  <c r="DM185" i="1"/>
  <c r="DE185" i="1"/>
  <c r="DD185" i="1"/>
  <c r="CH185" i="1"/>
  <c r="ED185" i="1" s="1"/>
  <c r="CC185" i="1"/>
  <c r="CB185" i="1"/>
  <c r="CA185" i="1"/>
  <c r="BZ185" i="1"/>
  <c r="BY185" i="1"/>
  <c r="BX185" i="1"/>
  <c r="BW185" i="1"/>
  <c r="BV185" i="1"/>
  <c r="BP185" i="1"/>
  <c r="BJ185" i="1"/>
  <c r="BT185" i="1" s="1"/>
  <c r="AU185" i="1"/>
  <c r="AS185" i="1"/>
  <c r="AK185" i="1"/>
  <c r="AR185" i="1" s="1"/>
  <c r="DB185" i="1" s="1"/>
  <c r="W185" i="1"/>
  <c r="ED184" i="1"/>
  <c r="DV184" i="1"/>
  <c r="DM184" i="1"/>
  <c r="DJ184" i="1"/>
  <c r="DI184" i="1"/>
  <c r="DH184" i="1"/>
  <c r="CH184" i="1"/>
  <c r="DZ184" i="1" s="1"/>
  <c r="CC184" i="1"/>
  <c r="CB184" i="1"/>
  <c r="CA184" i="1"/>
  <c r="BZ184" i="1"/>
  <c r="BY184" i="1"/>
  <c r="BX184" i="1"/>
  <c r="BW184" i="1"/>
  <c r="BV184" i="1"/>
  <c r="BJ184" i="1"/>
  <c r="CD184" i="1" s="1"/>
  <c r="AU184" i="1"/>
  <c r="AS184" i="1"/>
  <c r="AK184" i="1"/>
  <c r="AR184" i="1" s="1"/>
  <c r="DB184" i="1" s="1"/>
  <c r="W184" i="1"/>
  <c r="CT180" i="1"/>
  <c r="CF180" i="1"/>
  <c r="AE180" i="1"/>
  <c r="AK180" i="1" s="1"/>
  <c r="AR180" i="1" s="1"/>
  <c r="DB180" i="1" s="1"/>
  <c r="AA179" i="1"/>
  <c r="CF178" i="1"/>
  <c r="BM188" i="1"/>
  <c r="BM184" i="1"/>
  <c r="BQ185" i="1"/>
  <c r="BN188" i="1"/>
  <c r="DL188" i="1"/>
  <c r="BN184" i="1"/>
  <c r="BO188" i="1"/>
  <c r="BL188" i="1"/>
  <c r="BL184" i="1"/>
  <c r="BS184" i="1"/>
  <c r="DD187" i="1"/>
  <c r="W195" i="1"/>
  <c r="DH187" i="1"/>
  <c r="BO184" i="1"/>
  <c r="DL184" i="1"/>
  <c r="BL185" i="1"/>
  <c r="DI185" i="1"/>
  <c r="AS187" i="1"/>
  <c r="BL187" i="1"/>
  <c r="DI187" i="1"/>
  <c r="BP188" i="1"/>
  <c r="DD188" i="1"/>
  <c r="DR185" i="1"/>
  <c r="BS187" i="1"/>
  <c r="BP184" i="1"/>
  <c r="DD184" i="1"/>
  <c r="BM185" i="1"/>
  <c r="BM187" i="1"/>
  <c r="DJ187" i="1"/>
  <c r="BQ188" i="1"/>
  <c r="DE188" i="1"/>
  <c r="BQ187" i="1"/>
  <c r="BR185" i="1"/>
  <c r="W187" i="1"/>
  <c r="DO187" i="1"/>
  <c r="DH185" i="1"/>
  <c r="DR187" i="1"/>
  <c r="BQ184" i="1"/>
  <c r="DE184" i="1"/>
  <c r="DO184" i="1"/>
  <c r="BN185" i="1"/>
  <c r="BN187" i="1"/>
  <c r="BR188" i="1"/>
  <c r="DO188" i="1"/>
  <c r="BR187" i="1"/>
  <c r="BS185" i="1"/>
  <c r="BR184" i="1"/>
  <c r="BO185" i="1"/>
  <c r="DL185" i="1"/>
  <c r="BO187" i="1"/>
  <c r="BS188" i="1"/>
  <c r="DH188" i="1"/>
  <c r="Z177" i="1"/>
  <c r="CT175" i="1"/>
  <c r="AA175" i="1"/>
  <c r="AA174" i="1"/>
  <c r="W174" i="1"/>
  <c r="W175" i="1"/>
  <c r="W176" i="1"/>
  <c r="W177" i="1"/>
  <c r="W178" i="1"/>
  <c r="W179" i="1"/>
  <c r="W180" i="1"/>
  <c r="AK174" i="1"/>
  <c r="AR174" i="1" s="1"/>
  <c r="DB174" i="1" s="1"/>
  <c r="AK175" i="1"/>
  <c r="AR175" i="1" s="1"/>
  <c r="DB175" i="1" s="1"/>
  <c r="AK176" i="1"/>
  <c r="AR176" i="1" s="1"/>
  <c r="DB176" i="1" s="1"/>
  <c r="AK177" i="1"/>
  <c r="AR177" i="1" s="1"/>
  <c r="DB177" i="1" s="1"/>
  <c r="AK178" i="1"/>
  <c r="AR178" i="1" s="1"/>
  <c r="DB178" i="1" s="1"/>
  <c r="AK179" i="1"/>
  <c r="AR179" i="1" s="1"/>
  <c r="DB179" i="1" s="1"/>
  <c r="AK181" i="1"/>
  <c r="AS174" i="1"/>
  <c r="AS175" i="1"/>
  <c r="AS176" i="1"/>
  <c r="AS177" i="1"/>
  <c r="AS178" i="1"/>
  <c r="AS179" i="1"/>
  <c r="AS180" i="1"/>
  <c r="AU174" i="1"/>
  <c r="AU175" i="1"/>
  <c r="AU176" i="1"/>
  <c r="AU177" i="1"/>
  <c r="AU178" i="1"/>
  <c r="AU179" i="1"/>
  <c r="AU180" i="1"/>
  <c r="AU181" i="1"/>
  <c r="BJ174" i="1"/>
  <c r="BT174" i="1" s="1"/>
  <c r="BJ175" i="1"/>
  <c r="BJ176" i="1"/>
  <c r="BJ177" i="1"/>
  <c r="BT177" i="1" s="1"/>
  <c r="BJ178" i="1"/>
  <c r="BJ179" i="1"/>
  <c r="CD179" i="1" s="1"/>
  <c r="BJ180" i="1"/>
  <c r="BT180" i="1" s="1"/>
  <c r="BJ181" i="1"/>
  <c r="BL174" i="1"/>
  <c r="BL175" i="1"/>
  <c r="BL176" i="1"/>
  <c r="BL177" i="1"/>
  <c r="BL178" i="1"/>
  <c r="BL179" i="1"/>
  <c r="BL180" i="1"/>
  <c r="BM174" i="1"/>
  <c r="BM175" i="1"/>
  <c r="BM176" i="1"/>
  <c r="BM177" i="1"/>
  <c r="BM178" i="1"/>
  <c r="BM179" i="1"/>
  <c r="BM180" i="1"/>
  <c r="BN174" i="1"/>
  <c r="BN175" i="1"/>
  <c r="BN176" i="1"/>
  <c r="BN177" i="1"/>
  <c r="BN178" i="1"/>
  <c r="BN179" i="1"/>
  <c r="BN180" i="1"/>
  <c r="BO174" i="1"/>
  <c r="BO175" i="1"/>
  <c r="BO176" i="1"/>
  <c r="BO177" i="1"/>
  <c r="BO178" i="1"/>
  <c r="BO179" i="1"/>
  <c r="BO180" i="1"/>
  <c r="BP174" i="1"/>
  <c r="BP175" i="1"/>
  <c r="BP176" i="1"/>
  <c r="BP177" i="1"/>
  <c r="BP178" i="1"/>
  <c r="BP179" i="1"/>
  <c r="BP180" i="1"/>
  <c r="BQ174" i="1"/>
  <c r="BQ175" i="1"/>
  <c r="BQ176" i="1"/>
  <c r="BQ177" i="1"/>
  <c r="BQ178" i="1"/>
  <c r="BQ179" i="1"/>
  <c r="BQ180" i="1"/>
  <c r="BR174" i="1"/>
  <c r="BR175" i="1"/>
  <c r="BR176" i="1"/>
  <c r="BR177" i="1"/>
  <c r="BR178" i="1"/>
  <c r="BR179" i="1"/>
  <c r="BR180" i="1"/>
  <c r="BS174" i="1"/>
  <c r="BS175" i="1"/>
  <c r="BS176" i="1"/>
  <c r="BS177" i="1"/>
  <c r="BS178" i="1"/>
  <c r="BS179" i="1"/>
  <c r="BS180" i="1"/>
  <c r="BV174" i="1"/>
  <c r="BV175" i="1"/>
  <c r="BV176" i="1"/>
  <c r="BV177" i="1"/>
  <c r="BV178" i="1"/>
  <c r="BV179" i="1"/>
  <c r="BV180" i="1"/>
  <c r="BV181" i="1"/>
  <c r="BW174" i="1"/>
  <c r="BW175" i="1"/>
  <c r="BW176" i="1"/>
  <c r="BW177" i="1"/>
  <c r="BW178" i="1"/>
  <c r="BW179" i="1"/>
  <c r="BW180" i="1"/>
  <c r="BW181" i="1"/>
  <c r="BX174" i="1"/>
  <c r="BX175" i="1"/>
  <c r="BX176" i="1"/>
  <c r="BX177" i="1"/>
  <c r="BX178" i="1"/>
  <c r="BX179" i="1"/>
  <c r="BX180" i="1"/>
  <c r="BX181" i="1"/>
  <c r="BY174" i="1"/>
  <c r="BY175" i="1"/>
  <c r="BY176" i="1"/>
  <c r="BY177" i="1"/>
  <c r="BY178" i="1"/>
  <c r="BY179" i="1"/>
  <c r="BY180" i="1"/>
  <c r="BY181" i="1"/>
  <c r="BZ174" i="1"/>
  <c r="BZ175" i="1"/>
  <c r="BZ176" i="1"/>
  <c r="BZ177" i="1"/>
  <c r="BZ178" i="1"/>
  <c r="BZ179" i="1"/>
  <c r="BZ180" i="1"/>
  <c r="BZ181" i="1"/>
  <c r="CA174" i="1"/>
  <c r="CA175" i="1"/>
  <c r="CA176" i="1"/>
  <c r="CA177" i="1"/>
  <c r="CA178" i="1"/>
  <c r="CA179" i="1"/>
  <c r="CA180" i="1"/>
  <c r="CA181" i="1"/>
  <c r="CB174" i="1"/>
  <c r="CB175" i="1"/>
  <c r="CB176" i="1"/>
  <c r="CB177" i="1"/>
  <c r="CB178" i="1"/>
  <c r="CB179" i="1"/>
  <c r="CB180" i="1"/>
  <c r="CB181" i="1"/>
  <c r="CC174" i="1"/>
  <c r="CC175" i="1"/>
  <c r="CC176" i="1"/>
  <c r="CC177" i="1"/>
  <c r="CC178" i="1"/>
  <c r="CC179" i="1"/>
  <c r="CC180" i="1"/>
  <c r="CC181" i="1"/>
  <c r="CH174" i="1"/>
  <c r="DY174" i="1" s="1"/>
  <c r="CH175" i="1"/>
  <c r="DF175" i="1" s="1"/>
  <c r="CH176" i="1"/>
  <c r="CH177" i="1"/>
  <c r="EI177" i="1" s="1"/>
  <c r="CH179" i="1"/>
  <c r="DA179" i="1" s="1"/>
  <c r="CH181" i="1"/>
  <c r="DT181" i="1" s="1"/>
  <c r="DD174" i="1"/>
  <c r="DD175" i="1"/>
  <c r="DD176" i="1"/>
  <c r="DD177" i="1"/>
  <c r="DD179" i="1"/>
  <c r="DE174" i="1"/>
  <c r="DE175" i="1"/>
  <c r="DE176" i="1"/>
  <c r="DE177" i="1"/>
  <c r="DE178" i="1"/>
  <c r="DE179" i="1"/>
  <c r="DE180" i="1"/>
  <c r="DH174" i="1"/>
  <c r="DH175" i="1"/>
  <c r="DH176" i="1"/>
  <c r="DH177" i="1"/>
  <c r="DH178" i="1"/>
  <c r="DH179" i="1"/>
  <c r="DH180" i="1"/>
  <c r="DI175" i="1"/>
  <c r="DI176" i="1"/>
  <c r="DI177" i="1"/>
  <c r="DI178" i="1"/>
  <c r="DI179" i="1"/>
  <c r="DI180" i="1"/>
  <c r="DJ174" i="1"/>
  <c r="DJ175" i="1"/>
  <c r="DJ176" i="1"/>
  <c r="DJ177" i="1"/>
  <c r="DJ178" i="1"/>
  <c r="DJ179" i="1"/>
  <c r="DJ180" i="1"/>
  <c r="DL174" i="1"/>
  <c r="DL175" i="1"/>
  <c r="DL176" i="1"/>
  <c r="DL177" i="1"/>
  <c r="DL178" i="1"/>
  <c r="DL179" i="1"/>
  <c r="DL180" i="1"/>
  <c r="DM174" i="1"/>
  <c r="DM175" i="1"/>
  <c r="DM176" i="1"/>
  <c r="DM177" i="1"/>
  <c r="DM178" i="1"/>
  <c r="DM179" i="1"/>
  <c r="DM180" i="1"/>
  <c r="DO174" i="1"/>
  <c r="DO175" i="1"/>
  <c r="DO176" i="1"/>
  <c r="DO177" i="1"/>
  <c r="DO178" i="1"/>
  <c r="DO179" i="1"/>
  <c r="DO180" i="1"/>
  <c r="DR174" i="1"/>
  <c r="DR176" i="1"/>
  <c r="DR177" i="1"/>
  <c r="DR178" i="1"/>
  <c r="DR179" i="1"/>
  <c r="DV174" i="1"/>
  <c r="DV175" i="1"/>
  <c r="DV176" i="1"/>
  <c r="DV177" i="1"/>
  <c r="DV178" i="1"/>
  <c r="DV179" i="1"/>
  <c r="DV180" i="1"/>
  <c r="DV181" i="1"/>
  <c r="ED174" i="1"/>
  <c r="ED175" i="1"/>
  <c r="ED178" i="1"/>
  <c r="W173" i="1"/>
  <c r="W183" i="1"/>
  <c r="AK173" i="1"/>
  <c r="AR173" i="1" s="1"/>
  <c r="DB173" i="1" s="1"/>
  <c r="AK182" i="1"/>
  <c r="AK183" i="1"/>
  <c r="AR183" i="1" s="1"/>
  <c r="DB183" i="1" s="1"/>
  <c r="AS173" i="1"/>
  <c r="AU173" i="1"/>
  <c r="AU182" i="1"/>
  <c r="AU183" i="1"/>
  <c r="BJ173" i="1"/>
  <c r="CD173" i="1" s="1"/>
  <c r="BJ182" i="1"/>
  <c r="BJ183" i="1"/>
  <c r="BL173" i="1"/>
  <c r="BL183" i="1"/>
  <c r="BM173" i="1"/>
  <c r="BM183" i="1"/>
  <c r="BN173" i="1"/>
  <c r="BN183" i="1"/>
  <c r="BO173" i="1"/>
  <c r="BO183" i="1"/>
  <c r="BP173" i="1"/>
  <c r="BP183" i="1"/>
  <c r="BQ173" i="1"/>
  <c r="BQ183" i="1"/>
  <c r="BR173" i="1"/>
  <c r="BR183" i="1"/>
  <c r="BS173" i="1"/>
  <c r="BS183" i="1"/>
  <c r="BV173" i="1"/>
  <c r="BV182" i="1"/>
  <c r="BV183" i="1"/>
  <c r="BW173" i="1"/>
  <c r="BW182" i="1"/>
  <c r="BW183" i="1"/>
  <c r="BX173" i="1"/>
  <c r="BX182" i="1"/>
  <c r="BX183" i="1"/>
  <c r="BY173" i="1"/>
  <c r="BY182" i="1"/>
  <c r="BY183" i="1"/>
  <c r="BZ173" i="1"/>
  <c r="BZ182" i="1"/>
  <c r="BZ183" i="1"/>
  <c r="CA173" i="1"/>
  <c r="CA182" i="1"/>
  <c r="CA183" i="1"/>
  <c r="CB173" i="1"/>
  <c r="CB182" i="1"/>
  <c r="CB183" i="1"/>
  <c r="CC173" i="1"/>
  <c r="CC182" i="1"/>
  <c r="CC183" i="1"/>
  <c r="CH173" i="1"/>
  <c r="CH182" i="1"/>
  <c r="EI182" i="1" s="1"/>
  <c r="CH183" i="1"/>
  <c r="DD173" i="1"/>
  <c r="DD183" i="1"/>
  <c r="DE173" i="1"/>
  <c r="DE183" i="1"/>
  <c r="DH173" i="1"/>
  <c r="DH183" i="1"/>
  <c r="DI173" i="1"/>
  <c r="DI183" i="1"/>
  <c r="DJ173" i="1"/>
  <c r="DL173" i="1"/>
  <c r="DL183" i="1"/>
  <c r="DM173" i="1"/>
  <c r="DM183" i="1"/>
  <c r="DO173" i="1"/>
  <c r="DO183" i="1"/>
  <c r="DR173" i="1"/>
  <c r="DR183" i="1"/>
  <c r="DV173" i="1"/>
  <c r="DV182" i="1"/>
  <c r="DV183" i="1"/>
  <c r="ED173" i="1"/>
  <c r="ED183" i="1"/>
  <c r="EI183" i="1"/>
  <c r="W171" i="1"/>
  <c r="AK171" i="1"/>
  <c r="AR171" i="1" s="1"/>
  <c r="DB171" i="1" s="1"/>
  <c r="AS171" i="1"/>
  <c r="AU171" i="1"/>
  <c r="BJ171" i="1"/>
  <c r="CD171" i="1" s="1"/>
  <c r="BP171" i="1"/>
  <c r="BQ171" i="1"/>
  <c r="BV171" i="1"/>
  <c r="BW171" i="1"/>
  <c r="BX171" i="1"/>
  <c r="BY171" i="1"/>
  <c r="BZ171" i="1"/>
  <c r="CA171" i="1"/>
  <c r="CB171" i="1"/>
  <c r="CC171" i="1"/>
  <c r="CH171" i="1"/>
  <c r="DY171" i="1" s="1"/>
  <c r="DH171" i="1"/>
  <c r="DM171" i="1"/>
  <c r="DO171" i="1"/>
  <c r="DV171" i="1"/>
  <c r="ED171" i="1"/>
  <c r="CT170" i="1"/>
  <c r="DD171" i="1"/>
  <c r="DR171" i="1"/>
  <c r="BM171" i="1"/>
  <c r="DE171" i="1"/>
  <c r="DL171" i="1"/>
  <c r="BL171" i="1"/>
  <c r="BS171" i="1"/>
  <c r="DI171" i="1"/>
  <c r="BR171" i="1"/>
  <c r="BO171" i="1"/>
  <c r="BN171" i="1"/>
  <c r="CT169" i="1"/>
  <c r="DR169" i="1" s="1"/>
  <c r="AA169" i="1"/>
  <c r="CT168" i="1"/>
  <c r="DR168" i="1" s="1"/>
  <c r="AA168" i="1"/>
  <c r="CT167" i="1"/>
  <c r="DR167" i="1" s="1"/>
  <c r="CT166" i="1"/>
  <c r="DR166" i="1" s="1"/>
  <c r="CG166" i="1"/>
  <c r="DV166" i="1" s="1"/>
  <c r="CF166" i="1"/>
  <c r="DD166" i="1" s="1"/>
  <c r="AA166" i="1"/>
  <c r="AA144" i="1"/>
  <c r="CT165" i="1"/>
  <c r="W134" i="1"/>
  <c r="AK134" i="1"/>
  <c r="AR134" i="1" s="1"/>
  <c r="DB134" i="1" s="1"/>
  <c r="AS134" i="1"/>
  <c r="AU134" i="1"/>
  <c r="BJ134" i="1"/>
  <c r="BT134" i="1" s="1"/>
  <c r="BL134" i="1"/>
  <c r="BM134" i="1"/>
  <c r="BS134" i="1"/>
  <c r="BV134" i="1"/>
  <c r="BW134" i="1"/>
  <c r="BX134" i="1"/>
  <c r="BY134" i="1"/>
  <c r="BZ134" i="1"/>
  <c r="CA134" i="1"/>
  <c r="CB134" i="1"/>
  <c r="CC134" i="1"/>
  <c r="CH134" i="1"/>
  <c r="EG134" i="1" s="1"/>
  <c r="DH134" i="1"/>
  <c r="DI134" i="1"/>
  <c r="DM134" i="1"/>
  <c r="DR134" i="1"/>
  <c r="DV134" i="1"/>
  <c r="ED134" i="1"/>
  <c r="W146" i="1"/>
  <c r="AK146" i="1"/>
  <c r="AR146" i="1" s="1"/>
  <c r="DB146" i="1" s="1"/>
  <c r="AS146" i="1"/>
  <c r="AU146" i="1"/>
  <c r="BJ146" i="1"/>
  <c r="BV146" i="1"/>
  <c r="BW146" i="1"/>
  <c r="BX146" i="1"/>
  <c r="BY146" i="1"/>
  <c r="BZ146" i="1"/>
  <c r="CA146" i="1"/>
  <c r="CB146" i="1"/>
  <c r="CC146" i="1"/>
  <c r="CH146" i="1"/>
  <c r="EG146" i="1" s="1"/>
  <c r="DM146" i="1"/>
  <c r="DV146" i="1"/>
  <c r="ED146" i="1"/>
  <c r="BZ144" i="1"/>
  <c r="BZ145" i="1"/>
  <c r="W152" i="1"/>
  <c r="AK152" i="1"/>
  <c r="AR152" i="1" s="1"/>
  <c r="DB152" i="1" s="1"/>
  <c r="AU152" i="1"/>
  <c r="BJ152" i="1"/>
  <c r="BV152" i="1"/>
  <c r="BW152" i="1"/>
  <c r="BX152" i="1"/>
  <c r="BY152" i="1"/>
  <c r="BZ152" i="1"/>
  <c r="CA152" i="1"/>
  <c r="CB152" i="1"/>
  <c r="CC152" i="1"/>
  <c r="CH152" i="1"/>
  <c r="DZ152" i="1" s="1"/>
  <c r="DM152" i="1"/>
  <c r="DV152" i="1"/>
  <c r="ED152" i="1"/>
  <c r="W153" i="1"/>
  <c r="AK153" i="1"/>
  <c r="AR153" i="1" s="1"/>
  <c r="DB153" i="1" s="1"/>
  <c r="AU153" i="1"/>
  <c r="BJ153" i="1"/>
  <c r="BV153" i="1"/>
  <c r="BW153" i="1"/>
  <c r="BX153" i="1"/>
  <c r="BY153" i="1"/>
  <c r="BZ153" i="1"/>
  <c r="CA153" i="1"/>
  <c r="CB153" i="1"/>
  <c r="CC153" i="1"/>
  <c r="CH153" i="1"/>
  <c r="EE153" i="1" s="1"/>
  <c r="DE153" i="1"/>
  <c r="DV153" i="1"/>
  <c r="W161" i="1"/>
  <c r="AK161" i="1"/>
  <c r="AR161" i="1" s="1"/>
  <c r="DB161" i="1" s="1"/>
  <c r="AS161" i="1"/>
  <c r="AU161" i="1"/>
  <c r="BJ161" i="1"/>
  <c r="BV161" i="1"/>
  <c r="BW161" i="1"/>
  <c r="BX161" i="1"/>
  <c r="BY161" i="1"/>
  <c r="BZ161" i="1"/>
  <c r="CA161" i="1"/>
  <c r="CB161" i="1"/>
  <c r="CC161" i="1"/>
  <c r="CH161" i="1"/>
  <c r="DX161" i="1" s="1"/>
  <c r="DM161" i="1"/>
  <c r="DR161" i="1"/>
  <c r="DV161" i="1"/>
  <c r="ED161" i="1"/>
  <c r="EI161" i="1"/>
  <c r="DV160" i="1"/>
  <c r="CH160" i="1"/>
  <c r="BJ160" i="1"/>
  <c r="CD160" i="1" s="1"/>
  <c r="BV160" i="1"/>
  <c r="BW160" i="1"/>
  <c r="BX160" i="1"/>
  <c r="BY160" i="1"/>
  <c r="BZ160" i="1"/>
  <c r="CA160" i="1"/>
  <c r="CB160" i="1"/>
  <c r="CC160" i="1"/>
  <c r="AS160" i="1"/>
  <c r="AU160" i="1"/>
  <c r="AK160" i="1"/>
  <c r="AR160" i="1" s="1"/>
  <c r="DB160" i="1" s="1"/>
  <c r="AK162" i="1"/>
  <c r="AR162" i="1" s="1"/>
  <c r="DB162" i="1" s="1"/>
  <c r="W160" i="1"/>
  <c r="BN162" i="1"/>
  <c r="BQ163" i="1"/>
  <c r="BM164" i="1"/>
  <c r="AU162" i="1"/>
  <c r="BJ162" i="1"/>
  <c r="CD162" i="1" s="1"/>
  <c r="BV162" i="1"/>
  <c r="BW162" i="1"/>
  <c r="BX162" i="1"/>
  <c r="BY162" i="1"/>
  <c r="BZ162" i="1"/>
  <c r="CA162" i="1"/>
  <c r="CB162" i="1"/>
  <c r="CC162" i="1"/>
  <c r="CH162" i="1"/>
  <c r="DV162" i="1"/>
  <c r="AK163" i="1"/>
  <c r="AR163" i="1" s="1"/>
  <c r="DB163" i="1" s="1"/>
  <c r="AU163" i="1"/>
  <c r="BJ163" i="1"/>
  <c r="BV163" i="1"/>
  <c r="BW163" i="1"/>
  <c r="BX163" i="1"/>
  <c r="BY163" i="1"/>
  <c r="BZ163" i="1"/>
  <c r="CA163" i="1"/>
  <c r="CB163" i="1"/>
  <c r="CC163" i="1"/>
  <c r="CH163" i="1"/>
  <c r="EA163" i="1" s="1"/>
  <c r="DM163" i="1"/>
  <c r="DV163" i="1"/>
  <c r="ED163" i="1"/>
  <c r="AK164" i="1"/>
  <c r="AR164" i="1" s="1"/>
  <c r="DB164" i="1" s="1"/>
  <c r="AU164" i="1"/>
  <c r="BJ164" i="1"/>
  <c r="BT164" i="1" s="1"/>
  <c r="BV164" i="1"/>
  <c r="BW164" i="1"/>
  <c r="BX164" i="1"/>
  <c r="BY164" i="1"/>
  <c r="BZ164" i="1"/>
  <c r="CA164" i="1"/>
  <c r="CB164" i="1"/>
  <c r="CC164" i="1"/>
  <c r="CH164" i="1"/>
  <c r="DA164" i="1" s="1"/>
  <c r="DM164" i="1"/>
  <c r="DV164" i="1"/>
  <c r="ED164" i="1"/>
  <c r="DG134" i="1"/>
  <c r="DJ134" i="1"/>
  <c r="DN134" i="1"/>
  <c r="BN134" i="1"/>
  <c r="BO134" i="1"/>
  <c r="DO134" i="1"/>
  <c r="BR134" i="1"/>
  <c r="DD134" i="1"/>
  <c r="BQ134" i="1"/>
  <c r="DL134" i="1"/>
  <c r="BP134" i="1"/>
  <c r="DE134" i="1"/>
  <c r="DK134" i="1"/>
  <c r="BN161" i="1"/>
  <c r="BR152" i="1"/>
  <c r="DR152" i="1"/>
  <c r="DO152" i="1"/>
  <c r="DG152" i="1"/>
  <c r="BL146" i="1"/>
  <c r="DE152" i="1"/>
  <c r="BS146" i="1"/>
  <c r="DR146" i="1"/>
  <c r="DH146" i="1"/>
  <c r="DG146" i="1"/>
  <c r="DD146" i="1"/>
  <c r="DJ161" i="1"/>
  <c r="DL146" i="1"/>
  <c r="BP146" i="1"/>
  <c r="BQ146" i="1"/>
  <c r="DG161" i="1"/>
  <c r="BS152" i="1"/>
  <c r="DK146" i="1"/>
  <c r="BO146" i="1"/>
  <c r="DJ146" i="1"/>
  <c r="DN146" i="1"/>
  <c r="BN146" i="1"/>
  <c r="DI146" i="1"/>
  <c r="BM146" i="1"/>
  <c r="BS161" i="1"/>
  <c r="DO146" i="1"/>
  <c r="DE146" i="1"/>
  <c r="BR146" i="1"/>
  <c r="DE161" i="1"/>
  <c r="BM161" i="1"/>
  <c r="DO153" i="1"/>
  <c r="DK152" i="1"/>
  <c r="BO152" i="1"/>
  <c r="DJ152" i="1"/>
  <c r="DN152" i="1"/>
  <c r="BN152" i="1"/>
  <c r="DN161" i="1"/>
  <c r="DI152" i="1"/>
  <c r="BM152" i="1"/>
  <c r="DL152" i="1"/>
  <c r="BP152" i="1"/>
  <c r="DO161" i="1"/>
  <c r="DH152" i="1"/>
  <c r="BL152" i="1"/>
  <c r="AS152" i="1"/>
  <c r="DI161" i="1"/>
  <c r="BR161" i="1"/>
  <c r="DD152" i="1"/>
  <c r="BQ152" i="1"/>
  <c r="DM153" i="1"/>
  <c r="DD153" i="1"/>
  <c r="BQ153" i="1"/>
  <c r="BS160" i="1"/>
  <c r="DL153" i="1"/>
  <c r="BP153" i="1"/>
  <c r="DK153" i="1"/>
  <c r="BO153" i="1"/>
  <c r="DJ153" i="1"/>
  <c r="DP153" i="1"/>
  <c r="BN153" i="1"/>
  <c r="BR153" i="1"/>
  <c r="DI153" i="1"/>
  <c r="BM153" i="1"/>
  <c r="DH153" i="1"/>
  <c r="BL153" i="1"/>
  <c r="AS153" i="1"/>
  <c r="DR153" i="1"/>
  <c r="DG153" i="1"/>
  <c r="BS153" i="1"/>
  <c r="DN153" i="1"/>
  <c r="DD161" i="1"/>
  <c r="BQ161" i="1"/>
  <c r="DI160" i="1"/>
  <c r="DL161" i="1"/>
  <c r="BP161" i="1"/>
  <c r="DK161" i="1"/>
  <c r="BO161" i="1"/>
  <c r="DG162" i="1"/>
  <c r="DH161" i="1"/>
  <c r="BL161" i="1"/>
  <c r="DP161" i="1"/>
  <c r="BQ160" i="1"/>
  <c r="DR160" i="1"/>
  <c r="DG160" i="1"/>
  <c r="BP160" i="1"/>
  <c r="DO160" i="1"/>
  <c r="DE160" i="1"/>
  <c r="BR160" i="1"/>
  <c r="DH160" i="1"/>
  <c r="DD160" i="1"/>
  <c r="BN160" i="1"/>
  <c r="DL160" i="1"/>
  <c r="BO160" i="1"/>
  <c r="BM160" i="1"/>
  <c r="DK160" i="1"/>
  <c r="DM160" i="1"/>
  <c r="BL160" i="1"/>
  <c r="DN160" i="1"/>
  <c r="DJ160" i="1"/>
  <c r="BM162" i="1"/>
  <c r="DP162" i="1"/>
  <c r="DL163" i="1"/>
  <c r="BP163" i="1"/>
  <c r="DK163" i="1"/>
  <c r="BO163" i="1"/>
  <c r="DP163" i="1"/>
  <c r="DJ163" i="1"/>
  <c r="BN163" i="1"/>
  <c r="DI163" i="1"/>
  <c r="BM163" i="1"/>
  <c r="DI162" i="1"/>
  <c r="DH163" i="1"/>
  <c r="AS163" i="1"/>
  <c r="DR163" i="1"/>
  <c r="DG163" i="1"/>
  <c r="BS163" i="1"/>
  <c r="BL163" i="1"/>
  <c r="DO163" i="1"/>
  <c r="DE163" i="1"/>
  <c r="BR163" i="1"/>
  <c r="W163" i="1"/>
  <c r="W162" i="1"/>
  <c r="DD163" i="1"/>
  <c r="BS162" i="1"/>
  <c r="DE164" i="1"/>
  <c r="DN163" i="1"/>
  <c r="DR162" i="1"/>
  <c r="DH162" i="1"/>
  <c r="BL162" i="1"/>
  <c r="AS162" i="1"/>
  <c r="DO162" i="1"/>
  <c r="DE162" i="1"/>
  <c r="BR162" i="1"/>
  <c r="DN162" i="1"/>
  <c r="DM162" i="1"/>
  <c r="DD162" i="1"/>
  <c r="BQ162" i="1"/>
  <c r="DL162" i="1"/>
  <c r="BP162" i="1"/>
  <c r="BL164" i="1"/>
  <c r="DK162" i="1"/>
  <c r="BO162" i="1"/>
  <c r="DN164" i="1"/>
  <c r="DJ162" i="1"/>
  <c r="DD164" i="1"/>
  <c r="BS164" i="1"/>
  <c r="AS164" i="1"/>
  <c r="DP164" i="1"/>
  <c r="DL164" i="1"/>
  <c r="BR164" i="1"/>
  <c r="DJ164" i="1"/>
  <c r="BP164" i="1"/>
  <c r="W164" i="1"/>
  <c r="DK164" i="1"/>
  <c r="BQ164" i="1"/>
  <c r="DI164" i="1"/>
  <c r="BO164" i="1"/>
  <c r="DR164" i="1"/>
  <c r="DH164" i="1"/>
  <c r="BN164" i="1"/>
  <c r="DO164" i="1"/>
  <c r="DG164" i="1"/>
  <c r="CT144" i="1"/>
  <c r="DR144" i="1" s="1"/>
  <c r="BP159" i="1"/>
  <c r="BP158" i="1"/>
  <c r="BP157" i="1"/>
  <c r="BP156" i="1"/>
  <c r="BP155" i="1"/>
  <c r="BP154" i="1"/>
  <c r="BP151" i="1"/>
  <c r="BP150" i="1"/>
  <c r="BP149" i="1"/>
  <c r="CT143" i="1"/>
  <c r="CF143" i="1"/>
  <c r="CH143" i="1" s="1"/>
  <c r="CT142" i="1"/>
  <c r="DR142" i="1" s="1"/>
  <c r="AA141" i="1"/>
  <c r="CT140" i="1"/>
  <c r="DR140" i="1" s="1"/>
  <c r="CT139" i="1"/>
  <c r="DR139" i="1" s="1"/>
  <c r="AA139" i="1"/>
  <c r="CT138" i="1"/>
  <c r="DR138" i="1" s="1"/>
  <c r="AA138" i="1"/>
  <c r="CT137" i="1"/>
  <c r="DR137" i="1" s="1"/>
  <c r="AA137" i="1"/>
  <c r="CT136" i="1"/>
  <c r="CT135" i="1"/>
  <c r="DR135" i="1" s="1"/>
  <c r="AA135" i="1"/>
  <c r="CT133" i="1"/>
  <c r="DR133" i="1" s="1"/>
  <c r="AA133" i="1"/>
  <c r="ED172" i="1"/>
  <c r="DV172" i="1"/>
  <c r="DM172" i="1"/>
  <c r="DE172" i="1"/>
  <c r="DD172" i="1"/>
  <c r="CH172" i="1"/>
  <c r="EC172" i="1" s="1"/>
  <c r="CC172" i="1"/>
  <c r="CB172" i="1"/>
  <c r="CA172" i="1"/>
  <c r="BZ172" i="1"/>
  <c r="BY172" i="1"/>
  <c r="BX172" i="1"/>
  <c r="BW172" i="1"/>
  <c r="BV172" i="1"/>
  <c r="BQ172" i="1"/>
  <c r="BJ172" i="1"/>
  <c r="CD172" i="1" s="1"/>
  <c r="AU172" i="1"/>
  <c r="AK172" i="1"/>
  <c r="AR172" i="1" s="1"/>
  <c r="DB172" i="1" s="1"/>
  <c r="DR172" i="1"/>
  <c r="DV170" i="1"/>
  <c r="DO170" i="1"/>
  <c r="DM170" i="1"/>
  <c r="DD170" i="1"/>
  <c r="CH170" i="1"/>
  <c r="EC170" i="1" s="1"/>
  <c r="CC170" i="1"/>
  <c r="CB170" i="1"/>
  <c r="CA170" i="1"/>
  <c r="BZ170" i="1"/>
  <c r="BY170" i="1"/>
  <c r="BX170" i="1"/>
  <c r="BW170" i="1"/>
  <c r="BV170" i="1"/>
  <c r="BS170" i="1"/>
  <c r="BJ170" i="1"/>
  <c r="BT170" i="1" s="1"/>
  <c r="AU170" i="1"/>
  <c r="AS170" i="1"/>
  <c r="AK170" i="1"/>
  <c r="AR170" i="1" s="1"/>
  <c r="DB170" i="1" s="1"/>
  <c r="ED169" i="1"/>
  <c r="DV169" i="1"/>
  <c r="DM169" i="1"/>
  <c r="DD169" i="1"/>
  <c r="CH169" i="1"/>
  <c r="EA169" i="1" s="1"/>
  <c r="CC169" i="1"/>
  <c r="CB169" i="1"/>
  <c r="CA169" i="1"/>
  <c r="BZ169" i="1"/>
  <c r="BY169" i="1"/>
  <c r="BX169" i="1"/>
  <c r="BW169" i="1"/>
  <c r="BV169" i="1"/>
  <c r="BQ169" i="1"/>
  <c r="BJ169" i="1"/>
  <c r="AU169" i="1"/>
  <c r="AK169" i="1"/>
  <c r="AR169" i="1" s="1"/>
  <c r="DB169" i="1" s="1"/>
  <c r="ED168" i="1"/>
  <c r="DV168" i="1"/>
  <c r="DO168" i="1"/>
  <c r="DM168" i="1"/>
  <c r="DI168" i="1"/>
  <c r="DH168" i="1"/>
  <c r="DD168" i="1"/>
  <c r="CH168" i="1"/>
  <c r="EC168" i="1" s="1"/>
  <c r="CC168" i="1"/>
  <c r="CB168" i="1"/>
  <c r="CA168" i="1"/>
  <c r="BZ168" i="1"/>
  <c r="BY168" i="1"/>
  <c r="BX168" i="1"/>
  <c r="BW168" i="1"/>
  <c r="BV168" i="1"/>
  <c r="BQ168" i="1"/>
  <c r="BP168" i="1"/>
  <c r="BO168" i="1"/>
  <c r="BM168" i="1"/>
  <c r="BL168" i="1"/>
  <c r="BJ168" i="1"/>
  <c r="CD168" i="1" s="1"/>
  <c r="AU168" i="1"/>
  <c r="AS168" i="1"/>
  <c r="AK168" i="1"/>
  <c r="AR168" i="1" s="1"/>
  <c r="DB168" i="1" s="1"/>
  <c r="DL168" i="1"/>
  <c r="ED167" i="1"/>
  <c r="DV167" i="1"/>
  <c r="DM167" i="1"/>
  <c r="DD167" i="1"/>
  <c r="CH167" i="1"/>
  <c r="DT167" i="1" s="1"/>
  <c r="CC167" i="1"/>
  <c r="CB167" i="1"/>
  <c r="CA167" i="1"/>
  <c r="BZ167" i="1"/>
  <c r="BY167" i="1"/>
  <c r="BX167" i="1"/>
  <c r="BW167" i="1"/>
  <c r="BV167" i="1"/>
  <c r="BJ167" i="1"/>
  <c r="CD167" i="1" s="1"/>
  <c r="AU167" i="1"/>
  <c r="AK167" i="1"/>
  <c r="AR167" i="1" s="1"/>
  <c r="DB167" i="1" s="1"/>
  <c r="ED166" i="1"/>
  <c r="DM166" i="1"/>
  <c r="CC166" i="1"/>
  <c r="CB166" i="1"/>
  <c r="CA166" i="1"/>
  <c r="BZ166" i="1"/>
  <c r="BY166" i="1"/>
  <c r="BX166" i="1"/>
  <c r="BW166" i="1"/>
  <c r="BV166" i="1"/>
  <c r="BJ166" i="1"/>
  <c r="CD166" i="1" s="1"/>
  <c r="AU166" i="1"/>
  <c r="AK166" i="1"/>
  <c r="AR166" i="1" s="1"/>
  <c r="DB166" i="1" s="1"/>
  <c r="ED165" i="1"/>
  <c r="DV165" i="1"/>
  <c r="DM165" i="1"/>
  <c r="DD165" i="1"/>
  <c r="CH165" i="1"/>
  <c r="CC165" i="1"/>
  <c r="CB165" i="1"/>
  <c r="CA165" i="1"/>
  <c r="BZ165" i="1"/>
  <c r="BY165" i="1"/>
  <c r="BX165" i="1"/>
  <c r="BW165" i="1"/>
  <c r="BV165" i="1"/>
  <c r="BJ165" i="1"/>
  <c r="CD165" i="1" s="1"/>
  <c r="AU165" i="1"/>
  <c r="AK165" i="1"/>
  <c r="AR165" i="1" s="1"/>
  <c r="DB165" i="1" s="1"/>
  <c r="DL165" i="1"/>
  <c r="DV159" i="1"/>
  <c r="DM159" i="1"/>
  <c r="DD159" i="1"/>
  <c r="CH159" i="1"/>
  <c r="CC159" i="1"/>
  <c r="CB159" i="1"/>
  <c r="CA159" i="1"/>
  <c r="BZ159" i="1"/>
  <c r="BY159" i="1"/>
  <c r="BX159" i="1"/>
  <c r="BW159" i="1"/>
  <c r="BV159" i="1"/>
  <c r="BJ159" i="1"/>
  <c r="BT159" i="1" s="1"/>
  <c r="AU159" i="1"/>
  <c r="AK159" i="1"/>
  <c r="AR159" i="1" s="1"/>
  <c r="DB159" i="1" s="1"/>
  <c r="BN159" i="1"/>
  <c r="DV158" i="1"/>
  <c r="DM158" i="1"/>
  <c r="DD158" i="1"/>
  <c r="CH158" i="1"/>
  <c r="EE158" i="1" s="1"/>
  <c r="CC158" i="1"/>
  <c r="CB158" i="1"/>
  <c r="CA158" i="1"/>
  <c r="BZ158" i="1"/>
  <c r="BY158" i="1"/>
  <c r="BX158" i="1"/>
  <c r="BW158" i="1"/>
  <c r="BV158" i="1"/>
  <c r="BO158" i="1"/>
  <c r="BJ158" i="1"/>
  <c r="CD158" i="1" s="1"/>
  <c r="AU158" i="1"/>
  <c r="AK158" i="1"/>
  <c r="AR158" i="1" s="1"/>
  <c r="DB158" i="1" s="1"/>
  <c r="ED157" i="1"/>
  <c r="DV157" i="1"/>
  <c r="DM157" i="1"/>
  <c r="DL157" i="1"/>
  <c r="DD157" i="1"/>
  <c r="CH157" i="1"/>
  <c r="DT157" i="1" s="1"/>
  <c r="CC157" i="1"/>
  <c r="CB157" i="1"/>
  <c r="CA157" i="1"/>
  <c r="BZ157" i="1"/>
  <c r="BY157" i="1"/>
  <c r="BX157" i="1"/>
  <c r="BW157" i="1"/>
  <c r="BV157" i="1"/>
  <c r="BJ157" i="1"/>
  <c r="BT157" i="1" s="1"/>
  <c r="AU157" i="1"/>
  <c r="AK157" i="1"/>
  <c r="AR157" i="1" s="1"/>
  <c r="DB157" i="1" s="1"/>
  <c r="DK157" i="1"/>
  <c r="ED156" i="1"/>
  <c r="DV156" i="1"/>
  <c r="DR156" i="1"/>
  <c r="DM156" i="1"/>
  <c r="DD156" i="1"/>
  <c r="CH156" i="1"/>
  <c r="DF156" i="1" s="1"/>
  <c r="CC156" i="1"/>
  <c r="CB156" i="1"/>
  <c r="CA156" i="1"/>
  <c r="BZ156" i="1"/>
  <c r="BY156" i="1"/>
  <c r="BX156" i="1"/>
  <c r="BW156" i="1"/>
  <c r="BV156" i="1"/>
  <c r="BJ156" i="1"/>
  <c r="BT156" i="1" s="1"/>
  <c r="AU156" i="1"/>
  <c r="AK156" i="1"/>
  <c r="AR156" i="1" s="1"/>
  <c r="DB156" i="1" s="1"/>
  <c r="DJ156" i="1"/>
  <c r="DV155" i="1"/>
  <c r="DM155" i="1"/>
  <c r="DD155" i="1"/>
  <c r="CH155" i="1"/>
  <c r="DT155" i="1" s="1"/>
  <c r="CC155" i="1"/>
  <c r="CB155" i="1"/>
  <c r="CA155" i="1"/>
  <c r="BZ155" i="1"/>
  <c r="BY155" i="1"/>
  <c r="BX155" i="1"/>
  <c r="BW155" i="1"/>
  <c r="BV155" i="1"/>
  <c r="BJ155" i="1"/>
  <c r="CD155" i="1" s="1"/>
  <c r="AU155" i="1"/>
  <c r="AK155" i="1"/>
  <c r="AR155" i="1" s="1"/>
  <c r="DB155" i="1" s="1"/>
  <c r="DR155" i="1"/>
  <c r="DV154" i="1"/>
  <c r="DM154" i="1"/>
  <c r="DG154" i="1"/>
  <c r="DD154" i="1"/>
  <c r="DK154" i="1"/>
  <c r="CH154" i="1"/>
  <c r="CC154" i="1"/>
  <c r="CB154" i="1"/>
  <c r="CA154" i="1"/>
  <c r="BZ154" i="1"/>
  <c r="BY154" i="1"/>
  <c r="BX154" i="1"/>
  <c r="BW154" i="1"/>
  <c r="BV154" i="1"/>
  <c r="BN154" i="1"/>
  <c r="BJ154" i="1"/>
  <c r="CD154" i="1" s="1"/>
  <c r="AU154" i="1"/>
  <c r="AS154" i="1"/>
  <c r="AK154" i="1"/>
  <c r="AR154" i="1" s="1"/>
  <c r="DB154" i="1" s="1"/>
  <c r="DV151" i="1"/>
  <c r="DO151" i="1"/>
  <c r="DM151" i="1"/>
  <c r="DI151" i="1"/>
  <c r="DH151" i="1"/>
  <c r="DG151" i="1"/>
  <c r="DE151" i="1"/>
  <c r="DD151" i="1"/>
  <c r="CH151" i="1"/>
  <c r="EB151" i="1" s="1"/>
  <c r="CC151" i="1"/>
  <c r="CB151" i="1"/>
  <c r="CA151" i="1"/>
  <c r="BZ151" i="1"/>
  <c r="BY151" i="1"/>
  <c r="BX151" i="1"/>
  <c r="BW151" i="1"/>
  <c r="BV151" i="1"/>
  <c r="BS151" i="1"/>
  <c r="BR151" i="1"/>
  <c r="BQ151" i="1"/>
  <c r="BO151" i="1"/>
  <c r="BJ151" i="1"/>
  <c r="CD151" i="1" s="1"/>
  <c r="AU151" i="1"/>
  <c r="AS151" i="1"/>
  <c r="AK151" i="1"/>
  <c r="AR151" i="1" s="1"/>
  <c r="DB151" i="1" s="1"/>
  <c r="DL151" i="1"/>
  <c r="ED150" i="1"/>
  <c r="DV150" i="1"/>
  <c r="DM150" i="1"/>
  <c r="DI150" i="1"/>
  <c r="DH150" i="1"/>
  <c r="DD150" i="1"/>
  <c r="CH150" i="1"/>
  <c r="CC150" i="1"/>
  <c r="CB150" i="1"/>
  <c r="CA150" i="1"/>
  <c r="BZ150" i="1"/>
  <c r="BY150" i="1"/>
  <c r="BX150" i="1"/>
  <c r="BW150" i="1"/>
  <c r="BV150" i="1"/>
  <c r="BS150" i="1"/>
  <c r="BR150" i="1"/>
  <c r="BJ150" i="1"/>
  <c r="BT150" i="1" s="1"/>
  <c r="AU150" i="1"/>
  <c r="AS150" i="1"/>
  <c r="AK150" i="1"/>
  <c r="AR150" i="1" s="1"/>
  <c r="DB150" i="1" s="1"/>
  <c r="DJ150" i="1"/>
  <c r="ED149" i="1"/>
  <c r="DV149" i="1"/>
  <c r="DM149" i="1"/>
  <c r="DJ149" i="1"/>
  <c r="DD149" i="1"/>
  <c r="CH149" i="1"/>
  <c r="EI149" i="1" s="1"/>
  <c r="CC149" i="1"/>
  <c r="CB149" i="1"/>
  <c r="CA149" i="1"/>
  <c r="BZ149" i="1"/>
  <c r="BY149" i="1"/>
  <c r="BX149" i="1"/>
  <c r="BW149" i="1"/>
  <c r="BV149" i="1"/>
  <c r="BJ149" i="1"/>
  <c r="BT149" i="1" s="1"/>
  <c r="AU149" i="1"/>
  <c r="AK149" i="1"/>
  <c r="AR149" i="1" s="1"/>
  <c r="DB149" i="1" s="1"/>
  <c r="DL149" i="1"/>
  <c r="ED148" i="1"/>
  <c r="DV148" i="1"/>
  <c r="DU148" i="1"/>
  <c r="DM148" i="1"/>
  <c r="DD148" i="1"/>
  <c r="CH148" i="1"/>
  <c r="CS148" i="1" s="1"/>
  <c r="EH148" i="1" s="1"/>
  <c r="CC148" i="1"/>
  <c r="CB148" i="1"/>
  <c r="CA148" i="1"/>
  <c r="BZ148" i="1"/>
  <c r="BY148" i="1"/>
  <c r="BX148" i="1"/>
  <c r="BW148" i="1"/>
  <c r="BV148" i="1"/>
  <c r="BJ148" i="1"/>
  <c r="CD148" i="1" s="1"/>
  <c r="AU148" i="1"/>
  <c r="AK148" i="1"/>
  <c r="AR148" i="1" s="1"/>
  <c r="DB148" i="1" s="1"/>
  <c r="BP148" i="1"/>
  <c r="ED147" i="1"/>
  <c r="DV147" i="1"/>
  <c r="DM147" i="1"/>
  <c r="CH147" i="1"/>
  <c r="CS147" i="1" s="1"/>
  <c r="CU147" i="1" s="1"/>
  <c r="CC147" i="1"/>
  <c r="CB147" i="1"/>
  <c r="CA147" i="1"/>
  <c r="BZ147" i="1"/>
  <c r="BY147" i="1"/>
  <c r="BX147" i="1"/>
  <c r="BW147" i="1"/>
  <c r="BV147" i="1"/>
  <c r="BJ147" i="1"/>
  <c r="CD147" i="1" s="1"/>
  <c r="AU147" i="1"/>
  <c r="AK147" i="1"/>
  <c r="AR147" i="1" s="1"/>
  <c r="DB147" i="1" s="1"/>
  <c r="ED145" i="1"/>
  <c r="DM145" i="1"/>
  <c r="CH145" i="1"/>
  <c r="DZ145" i="1" s="1"/>
  <c r="CC145" i="1"/>
  <c r="CB145" i="1"/>
  <c r="CA145" i="1"/>
  <c r="BY145" i="1"/>
  <c r="BX145" i="1"/>
  <c r="BW145" i="1"/>
  <c r="BV145" i="1"/>
  <c r="BJ145" i="1"/>
  <c r="CD145" i="1" s="1"/>
  <c r="AU145" i="1"/>
  <c r="AK145" i="1"/>
  <c r="AR145" i="1" s="1"/>
  <c r="DB145" i="1" s="1"/>
  <c r="DE145" i="1"/>
  <c r="CH144" i="1"/>
  <c r="CC144" i="1"/>
  <c r="CB144" i="1"/>
  <c r="CA144" i="1"/>
  <c r="BY144" i="1"/>
  <c r="BX144" i="1"/>
  <c r="BW144" i="1"/>
  <c r="BV144" i="1"/>
  <c r="BJ144" i="1"/>
  <c r="BT144" i="1" s="1"/>
  <c r="AU144" i="1"/>
  <c r="AK144" i="1"/>
  <c r="AR144" i="1" s="1"/>
  <c r="DB144" i="1" s="1"/>
  <c r="DE144" i="1"/>
  <c r="DV143" i="1"/>
  <c r="CC143" i="1"/>
  <c r="CB143" i="1"/>
  <c r="CA143" i="1"/>
  <c r="BZ143" i="1"/>
  <c r="BY143" i="1"/>
  <c r="BX143" i="1"/>
  <c r="BW143" i="1"/>
  <c r="BV143" i="1"/>
  <c r="BJ143" i="1"/>
  <c r="CD143" i="1" s="1"/>
  <c r="AU143" i="1"/>
  <c r="AK143" i="1"/>
  <c r="ED142" i="1"/>
  <c r="DV142" i="1"/>
  <c r="DM142" i="1"/>
  <c r="CH142" i="1"/>
  <c r="EA142" i="1" s="1"/>
  <c r="CC142" i="1"/>
  <c r="CB142" i="1"/>
  <c r="CA142" i="1"/>
  <c r="BZ142" i="1"/>
  <c r="BY142" i="1"/>
  <c r="BX142" i="1"/>
  <c r="BW142" i="1"/>
  <c r="BV142" i="1"/>
  <c r="BJ142" i="1"/>
  <c r="CD142" i="1" s="1"/>
  <c r="AU142" i="1"/>
  <c r="AK142" i="1"/>
  <c r="AR142" i="1" s="1"/>
  <c r="DB142" i="1" s="1"/>
  <c r="DV141" i="1"/>
  <c r="CH141" i="1"/>
  <c r="CC141" i="1"/>
  <c r="CB141" i="1"/>
  <c r="CA141" i="1"/>
  <c r="BZ141" i="1"/>
  <c r="BY141" i="1"/>
  <c r="BX141" i="1"/>
  <c r="BW141" i="1"/>
  <c r="BV141" i="1"/>
  <c r="BJ141" i="1"/>
  <c r="CD141" i="1" s="1"/>
  <c r="AU141" i="1"/>
  <c r="AK141" i="1"/>
  <c r="ED140" i="1"/>
  <c r="DV140" i="1"/>
  <c r="DM140" i="1"/>
  <c r="CH140" i="1"/>
  <c r="CC140" i="1"/>
  <c r="CB140" i="1"/>
  <c r="CA140" i="1"/>
  <c r="BZ140" i="1"/>
  <c r="BY140" i="1"/>
  <c r="BX140" i="1"/>
  <c r="BW140" i="1"/>
  <c r="BV140" i="1"/>
  <c r="BJ140" i="1"/>
  <c r="AU140" i="1"/>
  <c r="AK140" i="1"/>
  <c r="AR140" i="1" s="1"/>
  <c r="DB140" i="1" s="1"/>
  <c r="ED139" i="1"/>
  <c r="DV139" i="1"/>
  <c r="DM139" i="1"/>
  <c r="CH139" i="1"/>
  <c r="EF139" i="1" s="1"/>
  <c r="CC139" i="1"/>
  <c r="CB139" i="1"/>
  <c r="CA139" i="1"/>
  <c r="BZ139" i="1"/>
  <c r="BY139" i="1"/>
  <c r="BX139" i="1"/>
  <c r="BW139" i="1"/>
  <c r="BV139" i="1"/>
  <c r="BJ139" i="1"/>
  <c r="AU139" i="1"/>
  <c r="AK139" i="1"/>
  <c r="AR139" i="1" s="1"/>
  <c r="DB139" i="1" s="1"/>
  <c r="DD139" i="1"/>
  <c r="ED138" i="1"/>
  <c r="DV138" i="1"/>
  <c r="DM138" i="1"/>
  <c r="CH138" i="1"/>
  <c r="DW138" i="1" s="1"/>
  <c r="CC138" i="1"/>
  <c r="CB138" i="1"/>
  <c r="CA138" i="1"/>
  <c r="BZ138" i="1"/>
  <c r="BY138" i="1"/>
  <c r="BX138" i="1"/>
  <c r="BW138" i="1"/>
  <c r="BV138" i="1"/>
  <c r="BJ138" i="1"/>
  <c r="AU138" i="1"/>
  <c r="AK138" i="1"/>
  <c r="AR138" i="1" s="1"/>
  <c r="DB138" i="1" s="1"/>
  <c r="DL138" i="1"/>
  <c r="DV137" i="1"/>
  <c r="CH137" i="1"/>
  <c r="CC137" i="1"/>
  <c r="CB137" i="1"/>
  <c r="CA137" i="1"/>
  <c r="BZ137" i="1"/>
  <c r="BY137" i="1"/>
  <c r="BX137" i="1"/>
  <c r="BW137" i="1"/>
  <c r="BV137" i="1"/>
  <c r="BJ137" i="1"/>
  <c r="BT137" i="1" s="1"/>
  <c r="AU137" i="1"/>
  <c r="AK137" i="1"/>
  <c r="AR137" i="1" s="1"/>
  <c r="DB137" i="1" s="1"/>
  <c r="DE137" i="1"/>
  <c r="ED136" i="1"/>
  <c r="DV136" i="1"/>
  <c r="DM136" i="1"/>
  <c r="CH136" i="1"/>
  <c r="DU136" i="1" s="1"/>
  <c r="CC136" i="1"/>
  <c r="CB136" i="1"/>
  <c r="CA136" i="1"/>
  <c r="BZ136" i="1"/>
  <c r="BY136" i="1"/>
  <c r="BX136" i="1"/>
  <c r="BW136" i="1"/>
  <c r="BV136" i="1"/>
  <c r="BJ136" i="1"/>
  <c r="BT136" i="1" s="1"/>
  <c r="AU136" i="1"/>
  <c r="AK136" i="1"/>
  <c r="AR136" i="1" s="1"/>
  <c r="DB136" i="1" s="1"/>
  <c r="BP136" i="1"/>
  <c r="ED135" i="1"/>
  <c r="DV135" i="1"/>
  <c r="DM135" i="1"/>
  <c r="CH135" i="1"/>
  <c r="DU135" i="1" s="1"/>
  <c r="CC135" i="1"/>
  <c r="CB135" i="1"/>
  <c r="CA135" i="1"/>
  <c r="BZ135" i="1"/>
  <c r="BY135" i="1"/>
  <c r="BX135" i="1"/>
  <c r="BW135" i="1"/>
  <c r="BV135" i="1"/>
  <c r="BJ135" i="1"/>
  <c r="BT135" i="1" s="1"/>
  <c r="AU135" i="1"/>
  <c r="AK135" i="1"/>
  <c r="AR135" i="1" s="1"/>
  <c r="DB135" i="1" s="1"/>
  <c r="DJ135" i="1"/>
  <c r="ED133" i="1"/>
  <c r="DV133" i="1"/>
  <c r="DM133" i="1"/>
  <c r="CH133" i="1"/>
  <c r="DY133" i="1" s="1"/>
  <c r="CC133" i="1"/>
  <c r="CB133" i="1"/>
  <c r="CA133" i="1"/>
  <c r="BZ133" i="1"/>
  <c r="BY133" i="1"/>
  <c r="BX133" i="1"/>
  <c r="BW133" i="1"/>
  <c r="BV133" i="1"/>
  <c r="BJ133" i="1"/>
  <c r="CD133" i="1" s="1"/>
  <c r="AU133" i="1"/>
  <c r="AK133" i="1"/>
  <c r="AR133" i="1" s="1"/>
  <c r="DB133" i="1" s="1"/>
  <c r="DP134" i="1"/>
  <c r="DP146" i="1"/>
  <c r="DP152" i="1"/>
  <c r="DP160" i="1"/>
  <c r="DE138" i="1"/>
  <c r="DD138" i="1"/>
  <c r="BS138" i="1"/>
  <c r="BS142" i="1"/>
  <c r="W151" i="1"/>
  <c r="DL142" i="1"/>
  <c r="DJ136" i="1"/>
  <c r="DH145" i="1"/>
  <c r="DG147" i="1"/>
  <c r="DD140" i="1"/>
  <c r="DD145" i="1"/>
  <c r="DO140" i="1"/>
  <c r="DR145" i="1"/>
  <c r="BS136" i="1"/>
  <c r="BP140" i="1"/>
  <c r="BO145" i="1"/>
  <c r="BS147" i="1"/>
  <c r="AS145" i="1"/>
  <c r="DD147" i="1"/>
  <c r="BQ140" i="1"/>
  <c r="DO136" i="1"/>
  <c r="DD137" i="1"/>
  <c r="W167" i="1"/>
  <c r="DD135" i="1"/>
  <c r="DD133" i="1"/>
  <c r="DH137" i="1"/>
  <c r="DD142" i="1"/>
  <c r="DD144" i="1"/>
  <c r="BP144" i="1"/>
  <c r="DM137" i="1"/>
  <c r="BM136" i="1"/>
  <c r="DH138" i="1"/>
  <c r="DE140" i="1"/>
  <c r="BM144" i="1"/>
  <c r="BP145" i="1"/>
  <c r="DM144" i="1"/>
  <c r="BL136" i="1"/>
  <c r="BQ136" i="1"/>
  <c r="DD136" i="1"/>
  <c r="BM140" i="1"/>
  <c r="BM145" i="1"/>
  <c r="DO145" i="1"/>
  <c r="BP147" i="1"/>
  <c r="W147" i="1"/>
  <c r="DV145" i="1"/>
  <c r="DV144" i="1"/>
  <c r="W140" i="1"/>
  <c r="DE133" i="1"/>
  <c r="BN133" i="1"/>
  <c r="BO133" i="1"/>
  <c r="DI133" i="1"/>
  <c r="BS133" i="1"/>
  <c r="BM133" i="1"/>
  <c r="DO159" i="1"/>
  <c r="BO159" i="1"/>
  <c r="BR165" i="1"/>
  <c r="DI137" i="1"/>
  <c r="DE147" i="1"/>
  <c r="W148" i="1"/>
  <c r="DR148" i="1"/>
  <c r="BQ149" i="1"/>
  <c r="DK149" i="1"/>
  <c r="DO155" i="1"/>
  <c r="BS159" i="1"/>
  <c r="W165" i="1"/>
  <c r="BS165" i="1"/>
  <c r="BR149" i="1"/>
  <c r="AS159" i="1"/>
  <c r="BO169" i="1"/>
  <c r="DE169" i="1"/>
  <c r="BN170" i="1"/>
  <c r="BL148" i="1"/>
  <c r="DG148" i="1"/>
  <c r="W149" i="1"/>
  <c r="BS149" i="1"/>
  <c r="DO149" i="1"/>
  <c r="AS165" i="1"/>
  <c r="BL165" i="1"/>
  <c r="DE165" i="1"/>
  <c r="BP169" i="1"/>
  <c r="BO170" i="1"/>
  <c r="DO172" i="1"/>
  <c r="BM165" i="1"/>
  <c r="DO165" i="1"/>
  <c r="DL147" i="1"/>
  <c r="BN148" i="1"/>
  <c r="W155" i="1"/>
  <c r="DL133" i="1"/>
  <c r="BP137" i="1"/>
  <c r="BO138" i="1"/>
  <c r="DO138" i="1"/>
  <c r="BS144" i="1"/>
  <c r="DK145" i="1"/>
  <c r="BL147" i="1"/>
  <c r="BQ148" i="1"/>
  <c r="DJ148" i="1"/>
  <c r="BL149" i="1"/>
  <c r="DE149" i="1"/>
  <c r="DG150" i="1"/>
  <c r="BO155" i="1"/>
  <c r="DP157" i="1"/>
  <c r="BO165" i="1"/>
  <c r="BR168" i="1"/>
  <c r="W172" i="1"/>
  <c r="BM172" i="1"/>
  <c r="AS148" i="1"/>
  <c r="BR137" i="1"/>
  <c r="AS144" i="1"/>
  <c r="BM147" i="1"/>
  <c r="DK147" i="1"/>
  <c r="DO147" i="1"/>
  <c r="BR148" i="1"/>
  <c r="DK148" i="1"/>
  <c r="AS149" i="1"/>
  <c r="BM149" i="1"/>
  <c r="DH149" i="1"/>
  <c r="DR150" i="1"/>
  <c r="BO157" i="1"/>
  <c r="BP165" i="1"/>
  <c r="DH165" i="1"/>
  <c r="BS168" i="1"/>
  <c r="DE168" i="1"/>
  <c r="BO172" i="1"/>
  <c r="DI138" i="1"/>
  <c r="BL137" i="1"/>
  <c r="W138" i="1"/>
  <c r="BN144" i="1"/>
  <c r="DI148" i="1"/>
  <c r="DR149" i="1"/>
  <c r="BM155" i="1"/>
  <c r="AS137" i="1"/>
  <c r="BQ138" i="1"/>
  <c r="W133" i="1"/>
  <c r="W136" i="1"/>
  <c r="DI136" i="1"/>
  <c r="BS137" i="1"/>
  <c r="AS138" i="1"/>
  <c r="BR138" i="1"/>
  <c r="BO140" i="1"/>
  <c r="DO144" i="1"/>
  <c r="BN145" i="1"/>
  <c r="DG145" i="1"/>
  <c r="BN147" i="1"/>
  <c r="BS148" i="1"/>
  <c r="DL148" i="1"/>
  <c r="BO149" i="1"/>
  <c r="DG149" i="1"/>
  <c r="DI149" i="1"/>
  <c r="BL150" i="1"/>
  <c r="BQ155" i="1"/>
  <c r="DE155" i="1"/>
  <c r="DI157" i="1"/>
  <c r="BQ165" i="1"/>
  <c r="DI165" i="1"/>
  <c r="W168" i="1"/>
  <c r="BP172" i="1"/>
  <c r="BM139" i="1"/>
  <c r="DJ139" i="1"/>
  <c r="BL139" i="1"/>
  <c r="DI139" i="1"/>
  <c r="BS139" i="1"/>
  <c r="DE139" i="1"/>
  <c r="BO139" i="1"/>
  <c r="W139" i="1"/>
  <c r="BL135" i="1"/>
  <c r="BN139" i="1"/>
  <c r="DH139" i="1"/>
  <c r="DL135" i="1"/>
  <c r="DO139" i="1"/>
  <c r="BO142" i="1"/>
  <c r="DN145" i="1"/>
  <c r="DP148" i="1"/>
  <c r="AS139" i="1"/>
  <c r="BP139" i="1"/>
  <c r="DH142" i="1"/>
  <c r="BR142" i="1"/>
  <c r="AS142" i="1"/>
  <c r="DO142" i="1"/>
  <c r="BQ142" i="1"/>
  <c r="BP142" i="1"/>
  <c r="DJ142" i="1"/>
  <c r="BL142" i="1"/>
  <c r="AS135" i="1"/>
  <c r="DH135" i="1"/>
  <c r="BQ139" i="1"/>
  <c r="DL139" i="1"/>
  <c r="W142" i="1"/>
  <c r="DN149" i="1"/>
  <c r="DN150" i="1"/>
  <c r="BM135" i="1"/>
  <c r="BN135" i="1"/>
  <c r="BR135" i="1"/>
  <c r="BR139" i="1"/>
  <c r="BM142" i="1"/>
  <c r="DE142" i="1"/>
  <c r="DO135" i="1"/>
  <c r="BQ135" i="1"/>
  <c r="BP135" i="1"/>
  <c r="DE135" i="1"/>
  <c r="BO135" i="1"/>
  <c r="W135" i="1"/>
  <c r="DI135" i="1"/>
  <c r="BS135" i="1"/>
  <c r="DH133" i="1"/>
  <c r="BR133" i="1"/>
  <c r="AS133" i="1"/>
  <c r="DO133" i="1"/>
  <c r="BQ133" i="1"/>
  <c r="BP133" i="1"/>
  <c r="DJ133" i="1"/>
  <c r="BL133" i="1"/>
  <c r="BN142" i="1"/>
  <c r="DI142" i="1"/>
  <c r="DN148" i="1"/>
  <c r="BM158" i="1"/>
  <c r="AS158" i="1"/>
  <c r="DL158" i="1"/>
  <c r="BS158" i="1"/>
  <c r="DJ158" i="1"/>
  <c r="BR158" i="1"/>
  <c r="DO158" i="1"/>
  <c r="BN158" i="1"/>
  <c r="DH158" i="1"/>
  <c r="DN159" i="1"/>
  <c r="DG159" i="1"/>
  <c r="DI166" i="1"/>
  <c r="BS166" i="1"/>
  <c r="DH166" i="1"/>
  <c r="BR166" i="1"/>
  <c r="AS166" i="1"/>
  <c r="DO166" i="1"/>
  <c r="BQ166" i="1"/>
  <c r="BM166" i="1"/>
  <c r="DL166" i="1"/>
  <c r="BP166" i="1"/>
  <c r="DJ166" i="1"/>
  <c r="BO166" i="1"/>
  <c r="W166" i="1"/>
  <c r="BM154" i="1"/>
  <c r="DR154" i="1"/>
  <c r="DJ154" i="1"/>
  <c r="BL154" i="1"/>
  <c r="DI154" i="1"/>
  <c r="BS154" i="1"/>
  <c r="DE154" i="1"/>
  <c r="BO154" i="1"/>
  <c r="W154" i="1"/>
  <c r="DK158" i="1"/>
  <c r="AS136" i="1"/>
  <c r="BR136" i="1"/>
  <c r="DH136" i="1"/>
  <c r="BQ137" i="1"/>
  <c r="DO137" i="1"/>
  <c r="BP138" i="1"/>
  <c r="BN140" i="1"/>
  <c r="DL140" i="1"/>
  <c r="BL145" i="1"/>
  <c r="BS157" i="1"/>
  <c r="W158" i="1"/>
  <c r="BL158" i="1"/>
  <c r="DI158" i="1"/>
  <c r="DR159" i="1"/>
  <c r="DJ159" i="1"/>
  <c r="BL159" i="1"/>
  <c r="DL159" i="1"/>
  <c r="BR159" i="1"/>
  <c r="DK159" i="1"/>
  <c r="BQ159" i="1"/>
  <c r="DI159" i="1"/>
  <c r="W159" i="1"/>
  <c r="DE159" i="1"/>
  <c r="BM159" i="1"/>
  <c r="DH159" i="1"/>
  <c r="DH154" i="1"/>
  <c r="BL144" i="1"/>
  <c r="BQ154" i="1"/>
  <c r="DG156" i="1"/>
  <c r="DH157" i="1"/>
  <c r="BR157" i="1"/>
  <c r="AS157" i="1"/>
  <c r="DO157" i="1"/>
  <c r="DG157" i="1"/>
  <c r="BQ157" i="1"/>
  <c r="DR157" i="1"/>
  <c r="DJ157" i="1"/>
  <c r="BL157" i="1"/>
  <c r="BN136" i="1"/>
  <c r="DL136" i="1"/>
  <c r="BM137" i="1"/>
  <c r="BL138" i="1"/>
  <c r="DJ138" i="1"/>
  <c r="AS140" i="1"/>
  <c r="BR140" i="1"/>
  <c r="DH140" i="1"/>
  <c r="W144" i="1"/>
  <c r="DI144" i="1"/>
  <c r="DI145" i="1"/>
  <c r="BS145" i="1"/>
  <c r="DJ145" i="1"/>
  <c r="DH147" i="1"/>
  <c r="BR147" i="1"/>
  <c r="AS147" i="1"/>
  <c r="BO147" i="1"/>
  <c r="DI147" i="1"/>
  <c r="DR147" i="1"/>
  <c r="BM148" i="1"/>
  <c r="DE148" i="1"/>
  <c r="DO148" i="1"/>
  <c r="BR154" i="1"/>
  <c r="W156" i="1"/>
  <c r="BN156" i="1"/>
  <c r="W157" i="1"/>
  <c r="BL166" i="1"/>
  <c r="BO144" i="1"/>
  <c r="BL156" i="1"/>
  <c r="BQ158" i="1"/>
  <c r="BO136" i="1"/>
  <c r="DE136" i="1"/>
  <c r="BN137" i="1"/>
  <c r="DL137" i="1"/>
  <c r="BM138" i="1"/>
  <c r="BS140" i="1"/>
  <c r="BQ144" i="1"/>
  <c r="W145" i="1"/>
  <c r="BQ145" i="1"/>
  <c r="DJ147" i="1"/>
  <c r="DK151" i="1"/>
  <c r="DG155" i="1"/>
  <c r="BO156" i="1"/>
  <c r="BM157" i="1"/>
  <c r="DE158" i="1"/>
  <c r="DR158" i="1"/>
  <c r="BN166" i="1"/>
  <c r="DL154" i="1"/>
  <c r="DI156" i="1"/>
  <c r="BS156" i="1"/>
  <c r="DH156" i="1"/>
  <c r="BR156" i="1"/>
  <c r="AS156" i="1"/>
  <c r="DO156" i="1"/>
  <c r="BQ156" i="1"/>
  <c r="DK156" i="1"/>
  <c r="BM156" i="1"/>
  <c r="DE156" i="1"/>
  <c r="W137" i="1"/>
  <c r="BO137" i="1"/>
  <c r="BN138" i="1"/>
  <c r="BL140" i="1"/>
  <c r="BR144" i="1"/>
  <c r="DL144" i="1"/>
  <c r="BR145" i="1"/>
  <c r="DL145" i="1"/>
  <c r="BQ147" i="1"/>
  <c r="BO148" i="1"/>
  <c r="DH148" i="1"/>
  <c r="DE150" i="1"/>
  <c r="BO150" i="1"/>
  <c r="W150" i="1"/>
  <c r="DL150" i="1"/>
  <c r="BN150" i="1"/>
  <c r="BM150" i="1"/>
  <c r="DO150" i="1"/>
  <c r="BQ150" i="1"/>
  <c r="DO154" i="1"/>
  <c r="DK155" i="1"/>
  <c r="DL156" i="1"/>
  <c r="BN157" i="1"/>
  <c r="DE157" i="1"/>
  <c r="DG158" i="1"/>
  <c r="BN155" i="1"/>
  <c r="DL155" i="1"/>
  <c r="BN149" i="1"/>
  <c r="DK150" i="1"/>
  <c r="BL151" i="1"/>
  <c r="DJ151" i="1"/>
  <c r="DR151" i="1"/>
  <c r="AS155" i="1"/>
  <c r="BR155" i="1"/>
  <c r="DH155" i="1"/>
  <c r="DN157" i="1"/>
  <c r="BM151" i="1"/>
  <c r="BS155" i="1"/>
  <c r="DI155" i="1"/>
  <c r="DE167" i="1"/>
  <c r="DI167" i="1"/>
  <c r="BR167" i="1"/>
  <c r="AS167" i="1"/>
  <c r="DH167" i="1"/>
  <c r="BQ167" i="1"/>
  <c r="DO167" i="1"/>
  <c r="BP167" i="1"/>
  <c r="BL167" i="1"/>
  <c r="BO167" i="1"/>
  <c r="BN167" i="1"/>
  <c r="BM167" i="1"/>
  <c r="DL167" i="1"/>
  <c r="BS167" i="1"/>
  <c r="BN151" i="1"/>
  <c r="BL155" i="1"/>
  <c r="DJ155" i="1"/>
  <c r="BM169" i="1"/>
  <c r="AS169" i="1"/>
  <c r="DL169" i="1"/>
  <c r="BS169" i="1"/>
  <c r="DJ169" i="1"/>
  <c r="BR169" i="1"/>
  <c r="DO169" i="1"/>
  <c r="BN169" i="1"/>
  <c r="DH169" i="1"/>
  <c r="W169" i="1"/>
  <c r="BL169" i="1"/>
  <c r="DI169" i="1"/>
  <c r="DJ170" i="1"/>
  <c r="BL170" i="1"/>
  <c r="DL170" i="1"/>
  <c r="BR170" i="1"/>
  <c r="BQ170" i="1"/>
  <c r="DI170" i="1"/>
  <c r="BP170" i="1"/>
  <c r="W170" i="1"/>
  <c r="DE170" i="1"/>
  <c r="BM170" i="1"/>
  <c r="DH170" i="1"/>
  <c r="BN165" i="1"/>
  <c r="BN172" i="1"/>
  <c r="DL172" i="1"/>
  <c r="BN168" i="1"/>
  <c r="AS172" i="1"/>
  <c r="BR172" i="1"/>
  <c r="DH172" i="1"/>
  <c r="BS172" i="1"/>
  <c r="DI172" i="1"/>
  <c r="BL172" i="1"/>
  <c r="DJ172" i="1"/>
  <c r="CT131" i="1"/>
  <c r="AA131" i="1"/>
  <c r="CT130" i="1"/>
  <c r="DR130" i="1" s="1"/>
  <c r="CF130" i="1"/>
  <c r="CH130" i="1" s="1"/>
  <c r="AA130" i="1"/>
  <c r="CT129" i="1"/>
  <c r="DR129" i="1" s="1"/>
  <c r="CF129" i="1"/>
  <c r="DD129" i="1" s="1"/>
  <c r="AA129" i="1"/>
  <c r="DN151" i="1"/>
  <c r="DN155" i="1"/>
  <c r="DN154" i="1"/>
  <c r="DN156" i="1"/>
  <c r="DP149" i="1"/>
  <c r="DP159" i="1"/>
  <c r="DP145" i="1"/>
  <c r="DN158" i="1"/>
  <c r="DN147" i="1"/>
  <c r="DP150" i="1"/>
  <c r="CT128" i="1"/>
  <c r="DP154" i="1"/>
  <c r="DP158" i="1"/>
  <c r="DP156" i="1"/>
  <c r="DP151" i="1"/>
  <c r="DP147" i="1"/>
  <c r="DP155" i="1"/>
  <c r="CF126" i="1"/>
  <c r="CH126" i="1" s="1"/>
  <c r="CF124" i="1"/>
  <c r="AA124" i="1"/>
  <c r="AA123" i="1"/>
  <c r="CF122" i="1"/>
  <c r="DD122" i="1" s="1"/>
  <c r="BC120" i="1"/>
  <c r="AW120" i="1" s="1"/>
  <c r="U120" i="1"/>
  <c r="BV120" i="1" s="1"/>
  <c r="CT115" i="1"/>
  <c r="DR115" i="1" s="1"/>
  <c r="CF113" i="1"/>
  <c r="CF104" i="1"/>
  <c r="AA105" i="1"/>
  <c r="AA106" i="1"/>
  <c r="AJ107" i="1"/>
  <c r="AK107" i="1" s="1"/>
  <c r="AR107" i="1" s="1"/>
  <c r="DB107" i="1" s="1"/>
  <c r="AA107" i="1"/>
  <c r="CT109" i="1"/>
  <c r="AA109" i="1"/>
  <c r="EI416" i="1"/>
  <c r="EF416" i="1"/>
  <c r="ED416" i="1"/>
  <c r="EC416" i="1"/>
  <c r="EB416" i="1"/>
  <c r="EA416" i="1"/>
  <c r="DZ416" i="1"/>
  <c r="DY416" i="1"/>
  <c r="DX416" i="1"/>
  <c r="DV416" i="1"/>
  <c r="DU416" i="1"/>
  <c r="DT416" i="1"/>
  <c r="DR416" i="1"/>
  <c r="DO416" i="1"/>
  <c r="DM416" i="1"/>
  <c r="DL416" i="1"/>
  <c r="DK416" i="1"/>
  <c r="DJ416" i="1"/>
  <c r="DI416" i="1"/>
  <c r="DH416" i="1"/>
  <c r="DG416" i="1"/>
  <c r="DE416" i="1"/>
  <c r="DD416" i="1"/>
  <c r="DC416" i="1"/>
  <c r="DA416" i="1"/>
  <c r="ED132" i="1"/>
  <c r="DU132" i="1"/>
  <c r="DM132" i="1"/>
  <c r="DD132" i="1"/>
  <c r="ED131" i="1"/>
  <c r="DV131" i="1"/>
  <c r="DM131" i="1"/>
  <c r="ED130" i="1"/>
  <c r="DV130" i="1"/>
  <c r="DM130" i="1"/>
  <c r="DV129" i="1"/>
  <c r="ED128" i="1"/>
  <c r="DV128" i="1"/>
  <c r="DM128" i="1"/>
  <c r="DV127" i="1"/>
  <c r="DV126" i="1"/>
  <c r="DV125" i="1"/>
  <c r="DV124" i="1"/>
  <c r="DV123" i="1"/>
  <c r="DR123" i="1"/>
  <c r="DO123" i="1"/>
  <c r="DM123" i="1"/>
  <c r="DL123" i="1"/>
  <c r="DK123" i="1"/>
  <c r="DJ123" i="1"/>
  <c r="DI123" i="1"/>
  <c r="DH123" i="1"/>
  <c r="DE123" i="1"/>
  <c r="DD123" i="1"/>
  <c r="DV122" i="1"/>
  <c r="DV121" i="1"/>
  <c r="DV120" i="1"/>
  <c r="DV119" i="1"/>
  <c r="ED118" i="1"/>
  <c r="DV118" i="1"/>
  <c r="DM118" i="1"/>
  <c r="DV117" i="1"/>
  <c r="DV116" i="1"/>
  <c r="ED115" i="1"/>
  <c r="DV115" i="1"/>
  <c r="DM115" i="1"/>
  <c r="DV114" i="1"/>
  <c r="DV113" i="1"/>
  <c r="DV112" i="1"/>
  <c r="DV111" i="1"/>
  <c r="DV110" i="1"/>
  <c r="DV109" i="1"/>
  <c r="DV108" i="1"/>
  <c r="DV107" i="1"/>
  <c r="DV106" i="1"/>
  <c r="ED105" i="1"/>
  <c r="DV105" i="1"/>
  <c r="DM105" i="1"/>
  <c r="DV104" i="1"/>
  <c r="EI103" i="1"/>
  <c r="DV103" i="1"/>
  <c r="DR103" i="1"/>
  <c r="DV102" i="1"/>
  <c r="DV101" i="1"/>
  <c r="DV100" i="1"/>
  <c r="DV99" i="1"/>
  <c r="CP416" i="1"/>
  <c r="DN416" i="1" s="1"/>
  <c r="CH416" i="1"/>
  <c r="CH132" i="1"/>
  <c r="DT132" i="1" s="1"/>
  <c r="CH131" i="1"/>
  <c r="CH128" i="1"/>
  <c r="CH127" i="1"/>
  <c r="DZ127" i="1" s="1"/>
  <c r="CH125" i="1"/>
  <c r="EF125" i="1" s="1"/>
  <c r="CH123" i="1"/>
  <c r="ED123" i="1" s="1"/>
  <c r="CH121" i="1"/>
  <c r="CH120" i="1"/>
  <c r="DZ120" i="1" s="1"/>
  <c r="CH119" i="1"/>
  <c r="CH118" i="1"/>
  <c r="CH117" i="1"/>
  <c r="ED117" i="1" s="1"/>
  <c r="CH116" i="1"/>
  <c r="DF116" i="1" s="1"/>
  <c r="CH115" i="1"/>
  <c r="CH114" i="1"/>
  <c r="EF114" i="1" s="1"/>
  <c r="CH112" i="1"/>
  <c r="CH111" i="1"/>
  <c r="CH110" i="1"/>
  <c r="CH109" i="1"/>
  <c r="CH108" i="1"/>
  <c r="ED108" i="1" s="1"/>
  <c r="CH107" i="1"/>
  <c r="DT107" i="1" s="1"/>
  <c r="CH106" i="1"/>
  <c r="CH105" i="1"/>
  <c r="DT105" i="1" s="1"/>
  <c r="CH103" i="1"/>
  <c r="DY103" i="1" s="1"/>
  <c r="CH102" i="1"/>
  <c r="EA102" i="1" s="1"/>
  <c r="CH101" i="1"/>
  <c r="DU101" i="1" s="1"/>
  <c r="CH100" i="1"/>
  <c r="EI100" i="1" s="1"/>
  <c r="CH99" i="1"/>
  <c r="CC416" i="1"/>
  <c r="CB416" i="1"/>
  <c r="CA416" i="1"/>
  <c r="BZ416" i="1"/>
  <c r="BY416" i="1"/>
  <c r="BX416" i="1"/>
  <c r="BW416" i="1"/>
  <c r="BV416" i="1"/>
  <c r="BU416" i="1"/>
  <c r="BS416" i="1"/>
  <c r="BR416" i="1"/>
  <c r="BQ416" i="1"/>
  <c r="BP416" i="1"/>
  <c r="BO416" i="1"/>
  <c r="BN416" i="1"/>
  <c r="BM416" i="1"/>
  <c r="BL416" i="1"/>
  <c r="BK416" i="1"/>
  <c r="BJ416" i="1"/>
  <c r="CC132" i="1"/>
  <c r="CB132" i="1"/>
  <c r="CA132" i="1"/>
  <c r="BZ132" i="1"/>
  <c r="BY132" i="1"/>
  <c r="BX132" i="1"/>
  <c r="BW132" i="1"/>
  <c r="BV132" i="1"/>
  <c r="BJ132" i="1"/>
  <c r="BT132" i="1" s="1"/>
  <c r="CC131" i="1"/>
  <c r="CB131" i="1"/>
  <c r="CA131" i="1"/>
  <c r="BZ131" i="1"/>
  <c r="BY131" i="1"/>
  <c r="BX131" i="1"/>
  <c r="BW131" i="1"/>
  <c r="BV131" i="1"/>
  <c r="BJ131" i="1"/>
  <c r="CD131" i="1" s="1"/>
  <c r="CC130" i="1"/>
  <c r="CB130" i="1"/>
  <c r="CA130" i="1"/>
  <c r="BZ130" i="1"/>
  <c r="BY130" i="1"/>
  <c r="BX130" i="1"/>
  <c r="BW130" i="1"/>
  <c r="BV130" i="1"/>
  <c r="BJ130" i="1"/>
  <c r="CC129" i="1"/>
  <c r="CB129" i="1"/>
  <c r="CA129" i="1"/>
  <c r="BZ129" i="1"/>
  <c r="BY129" i="1"/>
  <c r="BX129" i="1"/>
  <c r="BW129" i="1"/>
  <c r="BV129" i="1"/>
  <c r="BJ129" i="1"/>
  <c r="CC128" i="1"/>
  <c r="CB128" i="1"/>
  <c r="CA128" i="1"/>
  <c r="BZ128" i="1"/>
  <c r="BY128" i="1"/>
  <c r="BX128" i="1"/>
  <c r="BW128" i="1"/>
  <c r="BV128" i="1"/>
  <c r="BJ128" i="1"/>
  <c r="BT128" i="1" s="1"/>
  <c r="CC127" i="1"/>
  <c r="CB127" i="1"/>
  <c r="CA127" i="1"/>
  <c r="BZ127" i="1"/>
  <c r="BY127" i="1"/>
  <c r="BX127" i="1"/>
  <c r="BW127" i="1"/>
  <c r="BV127" i="1"/>
  <c r="BJ127" i="1"/>
  <c r="CC126" i="1"/>
  <c r="CB126" i="1"/>
  <c r="CA126" i="1"/>
  <c r="BZ126" i="1"/>
  <c r="BY126" i="1"/>
  <c r="BX126" i="1"/>
  <c r="BW126" i="1"/>
  <c r="BV126" i="1"/>
  <c r="BJ126" i="1"/>
  <c r="BT126" i="1" s="1"/>
  <c r="CC125" i="1"/>
  <c r="CB125" i="1"/>
  <c r="CA125" i="1"/>
  <c r="BZ125" i="1"/>
  <c r="BY125" i="1"/>
  <c r="BX125" i="1"/>
  <c r="BW125" i="1"/>
  <c r="BV125" i="1"/>
  <c r="BJ125" i="1"/>
  <c r="CD125" i="1" s="1"/>
  <c r="CC124" i="1"/>
  <c r="CB124" i="1"/>
  <c r="CA124" i="1"/>
  <c r="BZ124" i="1"/>
  <c r="BY124" i="1"/>
  <c r="BX124" i="1"/>
  <c r="BW124" i="1"/>
  <c r="BV124" i="1"/>
  <c r="BJ124" i="1"/>
  <c r="BT124" i="1" s="1"/>
  <c r="CC123" i="1"/>
  <c r="CB123" i="1"/>
  <c r="CA123" i="1"/>
  <c r="BZ123" i="1"/>
  <c r="BY123" i="1"/>
  <c r="BX123" i="1"/>
  <c r="BW123" i="1"/>
  <c r="BV123" i="1"/>
  <c r="BS123" i="1"/>
  <c r="BR123" i="1"/>
  <c r="BQ123" i="1"/>
  <c r="BP123" i="1"/>
  <c r="BO123" i="1"/>
  <c r="BN123" i="1"/>
  <c r="BM123" i="1"/>
  <c r="BL123" i="1"/>
  <c r="BJ123" i="1"/>
  <c r="CC122" i="1"/>
  <c r="CB122" i="1"/>
  <c r="CA122" i="1"/>
  <c r="BZ122" i="1"/>
  <c r="BY122" i="1"/>
  <c r="BX122" i="1"/>
  <c r="BW122" i="1"/>
  <c r="BV122" i="1"/>
  <c r="BJ122" i="1"/>
  <c r="CC121" i="1"/>
  <c r="CB121" i="1"/>
  <c r="CA121" i="1"/>
  <c r="BZ121" i="1"/>
  <c r="BY121" i="1"/>
  <c r="BX121" i="1"/>
  <c r="BW121" i="1"/>
  <c r="BV121" i="1"/>
  <c r="BJ121" i="1"/>
  <c r="CC119" i="1"/>
  <c r="CB119" i="1"/>
  <c r="CA119" i="1"/>
  <c r="BZ119" i="1"/>
  <c r="BY119" i="1"/>
  <c r="BX119" i="1"/>
  <c r="BW119" i="1"/>
  <c r="BV119" i="1"/>
  <c r="BJ119" i="1"/>
  <c r="CD119" i="1" s="1"/>
  <c r="CC118" i="1"/>
  <c r="CB118" i="1"/>
  <c r="CA118" i="1"/>
  <c r="BZ118" i="1"/>
  <c r="BY118" i="1"/>
  <c r="BX118" i="1"/>
  <c r="BW118" i="1"/>
  <c r="BV118" i="1"/>
  <c r="BJ118" i="1"/>
  <c r="BT118" i="1" s="1"/>
  <c r="CC117" i="1"/>
  <c r="CB117" i="1"/>
  <c r="CA117" i="1"/>
  <c r="BZ117" i="1"/>
  <c r="BY117" i="1"/>
  <c r="BX117" i="1"/>
  <c r="BW117" i="1"/>
  <c r="BV117" i="1"/>
  <c r="BJ117" i="1"/>
  <c r="CC116" i="1"/>
  <c r="CB116" i="1"/>
  <c r="CA116" i="1"/>
  <c r="BZ116" i="1"/>
  <c r="BY116" i="1"/>
  <c r="BX116" i="1"/>
  <c r="BW116" i="1"/>
  <c r="BV116" i="1"/>
  <c r="BJ116" i="1"/>
  <c r="CD116" i="1" s="1"/>
  <c r="CC115" i="1"/>
  <c r="CB115" i="1"/>
  <c r="CA115" i="1"/>
  <c r="BZ115" i="1"/>
  <c r="BY115" i="1"/>
  <c r="BX115" i="1"/>
  <c r="BW115" i="1"/>
  <c r="BV115" i="1"/>
  <c r="BJ115" i="1"/>
  <c r="CC114" i="1"/>
  <c r="CB114" i="1"/>
  <c r="CA114" i="1"/>
  <c r="BZ114" i="1"/>
  <c r="BY114" i="1"/>
  <c r="BX114" i="1"/>
  <c r="BW114" i="1"/>
  <c r="BV114" i="1"/>
  <c r="BJ114" i="1"/>
  <c r="CC113" i="1"/>
  <c r="CB113" i="1"/>
  <c r="CA113" i="1"/>
  <c r="BZ113" i="1"/>
  <c r="BY113" i="1"/>
  <c r="BX113" i="1"/>
  <c r="BW113" i="1"/>
  <c r="BV113" i="1"/>
  <c r="BJ113" i="1"/>
  <c r="CC112" i="1"/>
  <c r="CB112" i="1"/>
  <c r="CA112" i="1"/>
  <c r="BZ112" i="1"/>
  <c r="BY112" i="1"/>
  <c r="BX112" i="1"/>
  <c r="BW112" i="1"/>
  <c r="BV112" i="1"/>
  <c r="BJ112" i="1"/>
  <c r="CC111" i="1"/>
  <c r="CB111" i="1"/>
  <c r="CA111" i="1"/>
  <c r="BZ111" i="1"/>
  <c r="BY111" i="1"/>
  <c r="BX111" i="1"/>
  <c r="BW111" i="1"/>
  <c r="BV111" i="1"/>
  <c r="BJ111" i="1"/>
  <c r="BT111" i="1" s="1"/>
  <c r="CC110" i="1"/>
  <c r="CB110" i="1"/>
  <c r="CA110" i="1"/>
  <c r="BZ110" i="1"/>
  <c r="BY110" i="1"/>
  <c r="BX110" i="1"/>
  <c r="BW110" i="1"/>
  <c r="BV110" i="1"/>
  <c r="BJ110" i="1"/>
  <c r="CD110" i="1" s="1"/>
  <c r="CC109" i="1"/>
  <c r="CB109" i="1"/>
  <c r="CA109" i="1"/>
  <c r="BZ109" i="1"/>
  <c r="BY109" i="1"/>
  <c r="BX109" i="1"/>
  <c r="BW109" i="1"/>
  <c r="BV109" i="1"/>
  <c r="BJ109" i="1"/>
  <c r="CD109" i="1" s="1"/>
  <c r="CC108" i="1"/>
  <c r="CB108" i="1"/>
  <c r="CA108" i="1"/>
  <c r="BZ108" i="1"/>
  <c r="BY108" i="1"/>
  <c r="BX108" i="1"/>
  <c r="BW108" i="1"/>
  <c r="BV108" i="1"/>
  <c r="BJ108" i="1"/>
  <c r="CC107" i="1"/>
  <c r="CB107" i="1"/>
  <c r="CA107" i="1"/>
  <c r="BZ107" i="1"/>
  <c r="BY107" i="1"/>
  <c r="BX107" i="1"/>
  <c r="BW107" i="1"/>
  <c r="BV107" i="1"/>
  <c r="BJ107" i="1"/>
  <c r="CC106" i="1"/>
  <c r="CB106" i="1"/>
  <c r="CA106" i="1"/>
  <c r="BZ106" i="1"/>
  <c r="BY106" i="1"/>
  <c r="BX106" i="1"/>
  <c r="BW106" i="1"/>
  <c r="BV106" i="1"/>
  <c r="BJ106" i="1"/>
  <c r="CC105" i="1"/>
  <c r="CB105" i="1"/>
  <c r="CA105" i="1"/>
  <c r="BZ105" i="1"/>
  <c r="BY105" i="1"/>
  <c r="BX105" i="1"/>
  <c r="BW105" i="1"/>
  <c r="BV105" i="1"/>
  <c r="BJ105" i="1"/>
  <c r="CD105" i="1" s="1"/>
  <c r="CC104" i="1"/>
  <c r="CB104" i="1"/>
  <c r="CA104" i="1"/>
  <c r="BZ104" i="1"/>
  <c r="BY104" i="1"/>
  <c r="BX104" i="1"/>
  <c r="BW104" i="1"/>
  <c r="BV104" i="1"/>
  <c r="BJ104" i="1"/>
  <c r="CC103" i="1"/>
  <c r="CB103" i="1"/>
  <c r="CA103" i="1"/>
  <c r="BZ103" i="1"/>
  <c r="BY103" i="1"/>
  <c r="BX103" i="1"/>
  <c r="BW103" i="1"/>
  <c r="BV103" i="1"/>
  <c r="BJ103" i="1"/>
  <c r="BT103" i="1" s="1"/>
  <c r="CC102" i="1"/>
  <c r="CB102" i="1"/>
  <c r="CA102" i="1"/>
  <c r="BZ102" i="1"/>
  <c r="BY102" i="1"/>
  <c r="BX102" i="1"/>
  <c r="BW102" i="1"/>
  <c r="BV102" i="1"/>
  <c r="BJ102" i="1"/>
  <c r="CD102" i="1" s="1"/>
  <c r="CC101" i="1"/>
  <c r="CB101" i="1"/>
  <c r="CA101" i="1"/>
  <c r="BZ101" i="1"/>
  <c r="BY101" i="1"/>
  <c r="BX101" i="1"/>
  <c r="BW101" i="1"/>
  <c r="BV101" i="1"/>
  <c r="BJ101" i="1"/>
  <c r="CD101" i="1" s="1"/>
  <c r="CC100" i="1"/>
  <c r="CB100" i="1"/>
  <c r="CA100" i="1"/>
  <c r="BZ100" i="1"/>
  <c r="BY100" i="1"/>
  <c r="BX100" i="1"/>
  <c r="BW100" i="1"/>
  <c r="BV100" i="1"/>
  <c r="BJ100" i="1"/>
  <c r="CD100" i="1" s="1"/>
  <c r="CC99" i="1"/>
  <c r="CB99" i="1"/>
  <c r="CA99" i="1"/>
  <c r="BZ99" i="1"/>
  <c r="BY99" i="1"/>
  <c r="BX99" i="1"/>
  <c r="BW99" i="1"/>
  <c r="BV99" i="1"/>
  <c r="BJ99" i="1"/>
  <c r="AX416" i="1"/>
  <c r="AW416" i="1"/>
  <c r="AV416" i="1"/>
  <c r="AU416" i="1"/>
  <c r="AT416" i="1"/>
  <c r="AS416" i="1"/>
  <c r="AU132" i="1"/>
  <c r="AU131" i="1"/>
  <c r="AS130" i="1"/>
  <c r="AU129" i="1"/>
  <c r="AS129" i="1"/>
  <c r="AS128" i="1"/>
  <c r="AS127" i="1"/>
  <c r="AU126" i="1"/>
  <c r="AS126" i="1"/>
  <c r="AS125" i="1"/>
  <c r="AS124" i="1"/>
  <c r="AU123" i="1"/>
  <c r="AS123" i="1"/>
  <c r="AU122" i="1"/>
  <c r="AS122" i="1"/>
  <c r="AS121" i="1"/>
  <c r="AS120" i="1"/>
  <c r="AS119" i="1"/>
  <c r="AS118" i="1"/>
  <c r="AS117" i="1"/>
  <c r="AS116" i="1"/>
  <c r="AS115" i="1"/>
  <c r="AS114" i="1"/>
  <c r="AS113" i="1"/>
  <c r="AS112" i="1"/>
  <c r="AU111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K416" i="1"/>
  <c r="AK132" i="1"/>
  <c r="AR132" i="1" s="1"/>
  <c r="DB132" i="1" s="1"/>
  <c r="AK131" i="1"/>
  <c r="AR131" i="1" s="1"/>
  <c r="DB131" i="1" s="1"/>
  <c r="AK130" i="1"/>
  <c r="AR130" i="1" s="1"/>
  <c r="DB130" i="1" s="1"/>
  <c r="AK129" i="1"/>
  <c r="AR129" i="1" s="1"/>
  <c r="DB129" i="1" s="1"/>
  <c r="AK128" i="1"/>
  <c r="AR128" i="1" s="1"/>
  <c r="DB128" i="1" s="1"/>
  <c r="AK127" i="1"/>
  <c r="AR127" i="1" s="1"/>
  <c r="DB127" i="1" s="1"/>
  <c r="AK126" i="1"/>
  <c r="AR126" i="1" s="1"/>
  <c r="DB126" i="1" s="1"/>
  <c r="AK125" i="1"/>
  <c r="AR125" i="1" s="1"/>
  <c r="DB125" i="1" s="1"/>
  <c r="AK124" i="1"/>
  <c r="AR124" i="1" s="1"/>
  <c r="DB124" i="1" s="1"/>
  <c r="AK123" i="1"/>
  <c r="AR123" i="1" s="1"/>
  <c r="DB123" i="1" s="1"/>
  <c r="AK122" i="1"/>
  <c r="AR122" i="1" s="1"/>
  <c r="DB122" i="1" s="1"/>
  <c r="AK121" i="1"/>
  <c r="AR121" i="1" s="1"/>
  <c r="DB121" i="1" s="1"/>
  <c r="AK120" i="1"/>
  <c r="AR120" i="1" s="1"/>
  <c r="DB120" i="1" s="1"/>
  <c r="AK119" i="1"/>
  <c r="AK118" i="1"/>
  <c r="AR118" i="1" s="1"/>
  <c r="DB118" i="1" s="1"/>
  <c r="AK117" i="1"/>
  <c r="AR117" i="1" s="1"/>
  <c r="DB117" i="1" s="1"/>
  <c r="AK116" i="1"/>
  <c r="AR116" i="1" s="1"/>
  <c r="DB116" i="1" s="1"/>
  <c r="AK115" i="1"/>
  <c r="AR115" i="1" s="1"/>
  <c r="DB115" i="1" s="1"/>
  <c r="AK114" i="1"/>
  <c r="AR114" i="1" s="1"/>
  <c r="DB114" i="1" s="1"/>
  <c r="AK113" i="1"/>
  <c r="AK112" i="1"/>
  <c r="AK111" i="1"/>
  <c r="AR111" i="1" s="1"/>
  <c r="DB111" i="1" s="1"/>
  <c r="AK110" i="1"/>
  <c r="AR110" i="1" s="1"/>
  <c r="DB110" i="1" s="1"/>
  <c r="AK109" i="1"/>
  <c r="AK108" i="1"/>
  <c r="AR108" i="1" s="1"/>
  <c r="DB108" i="1" s="1"/>
  <c r="AK106" i="1"/>
  <c r="AR106" i="1" s="1"/>
  <c r="DB106" i="1" s="1"/>
  <c r="AK105" i="1"/>
  <c r="AR105" i="1" s="1"/>
  <c r="DB105" i="1" s="1"/>
  <c r="AK104" i="1"/>
  <c r="AK103" i="1"/>
  <c r="AR103" i="1" s="1"/>
  <c r="DB103" i="1" s="1"/>
  <c r="AK102" i="1"/>
  <c r="AK101" i="1"/>
  <c r="AR101" i="1" s="1"/>
  <c r="DB101" i="1" s="1"/>
  <c r="AK100" i="1"/>
  <c r="AK99" i="1"/>
  <c r="T416" i="1"/>
  <c r="W416" i="1" s="1"/>
  <c r="DI132" i="1"/>
  <c r="DH131" i="1"/>
  <c r="W130" i="1"/>
  <c r="W129" i="1"/>
  <c r="W128" i="1"/>
  <c r="W127" i="1"/>
  <c r="W126" i="1"/>
  <c r="W125" i="1"/>
  <c r="DH124" i="1"/>
  <c r="W122" i="1"/>
  <c r="W121" i="1"/>
  <c r="W120" i="1"/>
  <c r="W118" i="1"/>
  <c r="W117" i="1"/>
  <c r="W116" i="1"/>
  <c r="W115" i="1"/>
  <c r="DL114" i="1"/>
  <c r="DR111" i="1"/>
  <c r="DO110" i="1"/>
  <c r="W108" i="1"/>
  <c r="DL107" i="1"/>
  <c r="W106" i="1"/>
  <c r="W105" i="1"/>
  <c r="DM103" i="1"/>
  <c r="BH423" i="1"/>
  <c r="AA96" i="1"/>
  <c r="CQ423" i="1"/>
  <c r="CO423" i="1"/>
  <c r="CG423" i="1"/>
  <c r="CE423" i="1"/>
  <c r="BI423" i="1"/>
  <c r="BG423" i="1"/>
  <c r="BF423" i="1"/>
  <c r="BE423" i="1"/>
  <c r="BD423" i="1"/>
  <c r="AQ423" i="1"/>
  <c r="AN423" i="1"/>
  <c r="AI423" i="1"/>
  <c r="AH423" i="1"/>
  <c r="AG423" i="1"/>
  <c r="AF423" i="1"/>
  <c r="AD423" i="1"/>
  <c r="AC423" i="1"/>
  <c r="AB423" i="1"/>
  <c r="X423" i="1"/>
  <c r="V423" i="1"/>
  <c r="U423" i="1"/>
  <c r="CQ422" i="1"/>
  <c r="CO422" i="1"/>
  <c r="CG422" i="1"/>
  <c r="CE422" i="1"/>
  <c r="BI422" i="1"/>
  <c r="BG422" i="1"/>
  <c r="BF422" i="1"/>
  <c r="BE422" i="1"/>
  <c r="BD422" i="1"/>
  <c r="AQ422" i="1"/>
  <c r="AN422" i="1"/>
  <c r="AI422" i="1"/>
  <c r="AH422" i="1"/>
  <c r="AG422" i="1"/>
  <c r="AF422" i="1"/>
  <c r="AD422" i="1"/>
  <c r="AC422" i="1"/>
  <c r="AB422" i="1"/>
  <c r="Z422" i="1"/>
  <c r="X422" i="1"/>
  <c r="V422" i="1"/>
  <c r="CQ421" i="1"/>
  <c r="CO421" i="1"/>
  <c r="CG421" i="1"/>
  <c r="CE421" i="1"/>
  <c r="BI421" i="1"/>
  <c r="BG421" i="1"/>
  <c r="BF421" i="1"/>
  <c r="BE421" i="1"/>
  <c r="BD421" i="1"/>
  <c r="AQ421" i="1"/>
  <c r="AN421" i="1"/>
  <c r="AI421" i="1"/>
  <c r="AH421" i="1"/>
  <c r="AG421" i="1"/>
  <c r="AF421" i="1"/>
  <c r="AD421" i="1"/>
  <c r="AC421" i="1"/>
  <c r="AB421" i="1"/>
  <c r="X421" i="1"/>
  <c r="V421" i="1"/>
  <c r="CQ420" i="1"/>
  <c r="CO420" i="1"/>
  <c r="CG420" i="1"/>
  <c r="CE420" i="1"/>
  <c r="BI420" i="1"/>
  <c r="BH420" i="1"/>
  <c r="BG420" i="1"/>
  <c r="BF420" i="1"/>
  <c r="BE420" i="1"/>
  <c r="BD420" i="1"/>
  <c r="AQ420" i="1"/>
  <c r="AN420" i="1"/>
  <c r="AI420" i="1"/>
  <c r="AH420" i="1"/>
  <c r="AG420" i="1"/>
  <c r="AF420" i="1"/>
  <c r="AD420" i="1"/>
  <c r="AC420" i="1"/>
  <c r="AB420" i="1"/>
  <c r="X420" i="1"/>
  <c r="V420" i="1"/>
  <c r="AU125" i="1"/>
  <c r="BL127" i="1"/>
  <c r="AS131" i="1"/>
  <c r="BQ131" i="1"/>
  <c r="BS132" i="1"/>
  <c r="BR131" i="1"/>
  <c r="BS124" i="1"/>
  <c r="BP125" i="1"/>
  <c r="BM132" i="1"/>
  <c r="BR125" i="1"/>
  <c r="BN131" i="1"/>
  <c r="BN132" i="1"/>
  <c r="BO128" i="1"/>
  <c r="BP131" i="1"/>
  <c r="BO132" i="1"/>
  <c r="BO126" i="1"/>
  <c r="BL129" i="1"/>
  <c r="DM125" i="1"/>
  <c r="DI131" i="1"/>
  <c r="DJ132" i="1"/>
  <c r="BQ125" i="1"/>
  <c r="BO131" i="1"/>
  <c r="BL132" i="1"/>
  <c r="DD127" i="1"/>
  <c r="DJ131" i="1"/>
  <c r="BN128" i="1"/>
  <c r="DL132" i="1"/>
  <c r="DE126" i="1"/>
  <c r="DL127" i="1"/>
  <c r="DD128" i="1"/>
  <c r="DL131" i="1"/>
  <c r="BP128" i="1"/>
  <c r="DM127" i="1"/>
  <c r="DE128" i="1"/>
  <c r="DD131" i="1"/>
  <c r="DE132" i="1"/>
  <c r="DO132" i="1"/>
  <c r="AS132" i="1"/>
  <c r="BL126" i="1"/>
  <c r="BQ127" i="1"/>
  <c r="BQ128" i="1"/>
  <c r="BS131" i="1"/>
  <c r="BP132" i="1"/>
  <c r="DD125" i="1"/>
  <c r="DL126" i="1"/>
  <c r="DR127" i="1"/>
  <c r="DH128" i="1"/>
  <c r="DE131" i="1"/>
  <c r="DO131" i="1"/>
  <c r="DR132" i="1"/>
  <c r="BM126" i="1"/>
  <c r="BR127" i="1"/>
  <c r="BL131" i="1"/>
  <c r="BQ132" i="1"/>
  <c r="DJ125" i="1"/>
  <c r="DO126" i="1"/>
  <c r="DH132" i="1"/>
  <c r="BO125" i="1"/>
  <c r="BN126" i="1"/>
  <c r="BS127" i="1"/>
  <c r="BM131" i="1"/>
  <c r="BR132" i="1"/>
  <c r="DO128" i="1"/>
  <c r="DV132" i="1"/>
  <c r="BR124" i="1"/>
  <c r="BS129" i="1"/>
  <c r="BP130" i="1"/>
  <c r="DM122" i="1"/>
  <c r="DI124" i="1"/>
  <c r="DM129" i="1"/>
  <c r="DL130" i="1"/>
  <c r="AU130" i="1"/>
  <c r="BQ130" i="1"/>
  <c r="DO122" i="1"/>
  <c r="DJ124" i="1"/>
  <c r="DE129" i="1"/>
  <c r="DO129" i="1"/>
  <c r="BL124" i="1"/>
  <c r="BM129" i="1"/>
  <c r="BR130" i="1"/>
  <c r="DL125" i="1"/>
  <c r="DM126" i="1"/>
  <c r="DE127" i="1"/>
  <c r="DO127" i="1"/>
  <c r="DE130" i="1"/>
  <c r="DO130" i="1"/>
  <c r="BN129" i="1"/>
  <c r="BS130" i="1"/>
  <c r="DL124" i="1"/>
  <c r="DH129" i="1"/>
  <c r="BM124" i="1"/>
  <c r="BN124" i="1"/>
  <c r="BS125" i="1"/>
  <c r="BP126" i="1"/>
  <c r="BM127" i="1"/>
  <c r="BR128" i="1"/>
  <c r="BO129" i="1"/>
  <c r="BL130" i="1"/>
  <c r="DM124" i="1"/>
  <c r="DE125" i="1"/>
  <c r="DO125" i="1"/>
  <c r="DR126" i="1"/>
  <c r="DH127" i="1"/>
  <c r="DI128" i="1"/>
  <c r="DI129" i="1"/>
  <c r="DH130" i="1"/>
  <c r="AU124" i="1"/>
  <c r="AU128" i="1"/>
  <c r="BO124" i="1"/>
  <c r="BL125" i="1"/>
  <c r="BQ126" i="1"/>
  <c r="BN127" i="1"/>
  <c r="BS128" i="1"/>
  <c r="BP129" i="1"/>
  <c r="BM130" i="1"/>
  <c r="DE124" i="1"/>
  <c r="DO124" i="1"/>
  <c r="DR125" i="1"/>
  <c r="DH126" i="1"/>
  <c r="DI127" i="1"/>
  <c r="DJ129" i="1"/>
  <c r="DI130" i="1"/>
  <c r="BP124" i="1"/>
  <c r="BM125" i="1"/>
  <c r="BR126" i="1"/>
  <c r="BO127" i="1"/>
  <c r="BL128" i="1"/>
  <c r="BQ129" i="1"/>
  <c r="BN130" i="1"/>
  <c r="DR124" i="1"/>
  <c r="DH125" i="1"/>
  <c r="DI126" i="1"/>
  <c r="DJ127" i="1"/>
  <c r="AU127" i="1"/>
  <c r="BQ124" i="1"/>
  <c r="BN125" i="1"/>
  <c r="BS126" i="1"/>
  <c r="BP127" i="1"/>
  <c r="BM128" i="1"/>
  <c r="BR129" i="1"/>
  <c r="BO130" i="1"/>
  <c r="DE122" i="1"/>
  <c r="DI125" i="1"/>
  <c r="DJ126" i="1"/>
  <c r="DL128" i="1"/>
  <c r="DL129" i="1"/>
  <c r="BM122" i="1"/>
  <c r="BL122" i="1"/>
  <c r="DR122" i="1"/>
  <c r="BS122" i="1"/>
  <c r="DL122" i="1"/>
  <c r="BP122" i="1"/>
  <c r="DI122" i="1"/>
  <c r="BN122" i="1"/>
  <c r="BO122" i="1"/>
  <c r="DH122" i="1"/>
  <c r="BQ122" i="1"/>
  <c r="DJ122" i="1"/>
  <c r="BR122" i="1"/>
  <c r="DK122" i="1"/>
  <c r="AU115" i="1"/>
  <c r="DM120" i="1"/>
  <c r="BL120" i="1"/>
  <c r="BL121" i="1"/>
  <c r="BM114" i="1"/>
  <c r="BS120" i="1"/>
  <c r="BM121" i="1"/>
  <c r="BN114" i="1"/>
  <c r="BN121" i="1"/>
  <c r="DD115" i="1"/>
  <c r="DD118" i="1"/>
  <c r="DH121" i="1"/>
  <c r="BO114" i="1"/>
  <c r="BO121" i="1"/>
  <c r="DH115" i="1"/>
  <c r="DE118" i="1"/>
  <c r="DI121" i="1"/>
  <c r="AU117" i="1"/>
  <c r="BP114" i="1"/>
  <c r="BP117" i="1"/>
  <c r="BQ121" i="1"/>
  <c r="DJ121" i="1"/>
  <c r="BR114" i="1"/>
  <c r="BL115" i="1"/>
  <c r="BQ117" i="1"/>
  <c r="BR121" i="1"/>
  <c r="DM114" i="1"/>
  <c r="DO115" i="1"/>
  <c r="DD117" i="1"/>
  <c r="DH118" i="1"/>
  <c r="BS114" i="1"/>
  <c r="BR115" i="1"/>
  <c r="BR117" i="1"/>
  <c r="DO114" i="1"/>
  <c r="DE117" i="1"/>
  <c r="DO121" i="1"/>
  <c r="AU121" i="1"/>
  <c r="BS115" i="1"/>
  <c r="BS117" i="1"/>
  <c r="BL118" i="1"/>
  <c r="DR114" i="1"/>
  <c r="DH120" i="1"/>
  <c r="BN118" i="1"/>
  <c r="DI120" i="1"/>
  <c r="BO118" i="1"/>
  <c r="DJ120" i="1"/>
  <c r="DR116" i="1"/>
  <c r="BL116" i="1"/>
  <c r="BM116" i="1"/>
  <c r="DD116" i="1"/>
  <c r="BN116" i="1"/>
  <c r="DE116" i="1"/>
  <c r="BQ114" i="1"/>
  <c r="BO116" i="1"/>
  <c r="BM118" i="1"/>
  <c r="BP121" i="1"/>
  <c r="DD114" i="1"/>
  <c r="DE115" i="1"/>
  <c r="DH117" i="1"/>
  <c r="DI118" i="1"/>
  <c r="DL121" i="1"/>
  <c r="BP116" i="1"/>
  <c r="DE114" i="1"/>
  <c r="DH116" i="1"/>
  <c r="DI117" i="1"/>
  <c r="DJ118" i="1"/>
  <c r="DL120" i="1"/>
  <c r="DM121" i="1"/>
  <c r="BQ116" i="1"/>
  <c r="DI116" i="1"/>
  <c r="BM115" i="1"/>
  <c r="BR116" i="1"/>
  <c r="BP118" i="1"/>
  <c r="BN120" i="1"/>
  <c r="BS121" i="1"/>
  <c r="DH114" i="1"/>
  <c r="DI115" i="1"/>
  <c r="DJ116" i="1"/>
  <c r="DK117" i="1"/>
  <c r="DL118" i="1"/>
  <c r="DO120" i="1"/>
  <c r="DR121" i="1"/>
  <c r="BN115" i="1"/>
  <c r="BS116" i="1"/>
  <c r="BL117" i="1"/>
  <c r="BQ118" i="1"/>
  <c r="BO120" i="1"/>
  <c r="DI114" i="1"/>
  <c r="DJ115" i="1"/>
  <c r="DL117" i="1"/>
  <c r="DR120" i="1"/>
  <c r="AU114" i="1"/>
  <c r="AU116" i="1"/>
  <c r="AU118" i="1"/>
  <c r="AU120" i="1"/>
  <c r="BO115" i="1"/>
  <c r="BM117" i="1"/>
  <c r="BR118" i="1"/>
  <c r="BP120" i="1"/>
  <c r="DL116" i="1"/>
  <c r="DM117" i="1"/>
  <c r="DO118" i="1"/>
  <c r="DD121" i="1"/>
  <c r="BP115" i="1"/>
  <c r="BN117" i="1"/>
  <c r="BS118" i="1"/>
  <c r="BQ120" i="1"/>
  <c r="DL115" i="1"/>
  <c r="DM116" i="1"/>
  <c r="DO117" i="1"/>
  <c r="DR118" i="1"/>
  <c r="DD120" i="1"/>
  <c r="DE121" i="1"/>
  <c r="BL114" i="1"/>
  <c r="BQ115" i="1"/>
  <c r="BO117" i="1"/>
  <c r="BR120" i="1"/>
  <c r="DO116" i="1"/>
  <c r="DR117" i="1"/>
  <c r="DE120" i="1"/>
  <c r="DH103" i="1"/>
  <c r="DI103" i="1"/>
  <c r="DO103" i="1"/>
  <c r="BM103" i="1"/>
  <c r="BN103" i="1"/>
  <c r="BS111" i="1"/>
  <c r="AU103" i="1"/>
  <c r="BO110" i="1"/>
  <c r="BR101" i="1"/>
  <c r="BO103" i="1"/>
  <c r="BR106" i="1"/>
  <c r="BP103" i="1"/>
  <c r="BS106" i="1"/>
  <c r="BN110" i="1"/>
  <c r="DE103" i="1"/>
  <c r="BO105" i="1"/>
  <c r="DH105" i="1"/>
  <c r="DI107" i="1"/>
  <c r="DI105" i="1"/>
  <c r="DM107" i="1"/>
  <c r="DR107" i="1"/>
  <c r="BP105" i="1"/>
  <c r="AU105" i="1"/>
  <c r="AU107" i="1"/>
  <c r="BQ103" i="1"/>
  <c r="BS105" i="1"/>
  <c r="BM107" i="1"/>
  <c r="DJ103" i="1"/>
  <c r="DL105" i="1"/>
  <c r="DH111" i="1"/>
  <c r="BR103" i="1"/>
  <c r="BL105" i="1"/>
  <c r="BO107" i="1"/>
  <c r="BL111" i="1"/>
  <c r="DD105" i="1"/>
  <c r="DD107" i="1"/>
  <c r="BR105" i="1"/>
  <c r="BS103" i="1"/>
  <c r="BM105" i="1"/>
  <c r="BP107" i="1"/>
  <c r="BM111" i="1"/>
  <c r="DL103" i="1"/>
  <c r="DE105" i="1"/>
  <c r="DO105" i="1"/>
  <c r="BQ105" i="1"/>
  <c r="BL103" i="1"/>
  <c r="BN105" i="1"/>
  <c r="BQ107" i="1"/>
  <c r="BL110" i="1"/>
  <c r="BQ111" i="1"/>
  <c r="DD103" i="1"/>
  <c r="DR105" i="1"/>
  <c r="DH107" i="1"/>
  <c r="DL111" i="1"/>
  <c r="DL106" i="1"/>
  <c r="DE108" i="1"/>
  <c r="DO108" i="1"/>
  <c r="DR110" i="1"/>
  <c r="W123" i="1"/>
  <c r="W131" i="1"/>
  <c r="BO101" i="1"/>
  <c r="BP106" i="1"/>
  <c r="BR108" i="1"/>
  <c r="BQ101" i="1"/>
  <c r="BQ106" i="1"/>
  <c r="BN107" i="1"/>
  <c r="BS108" i="1"/>
  <c r="BM110" i="1"/>
  <c r="BR111" i="1"/>
  <c r="DD106" i="1"/>
  <c r="DM106" i="1"/>
  <c r="DE107" i="1"/>
  <c r="DO107" i="1"/>
  <c r="DR108" i="1"/>
  <c r="DH110" i="1"/>
  <c r="DI111" i="1"/>
  <c r="W124" i="1"/>
  <c r="W132" i="1"/>
  <c r="BL108" i="1"/>
  <c r="DE106" i="1"/>
  <c r="DO106" i="1"/>
  <c r="DH108" i="1"/>
  <c r="DI110" i="1"/>
  <c r="W111" i="1"/>
  <c r="DR106" i="1"/>
  <c r="DI108" i="1"/>
  <c r="BP110" i="1"/>
  <c r="DJ108" i="1"/>
  <c r="AU108" i="1"/>
  <c r="BS101" i="1"/>
  <c r="BL106" i="1"/>
  <c r="BN108" i="1"/>
  <c r="BM106" i="1"/>
  <c r="BR107" i="1"/>
  <c r="BO108" i="1"/>
  <c r="BQ110" i="1"/>
  <c r="BN111" i="1"/>
  <c r="DI106" i="1"/>
  <c r="DJ107" i="1"/>
  <c r="DL110" i="1"/>
  <c r="DD111" i="1"/>
  <c r="DM111" i="1"/>
  <c r="BM108" i="1"/>
  <c r="DH106" i="1"/>
  <c r="AU106" i="1"/>
  <c r="AU110" i="1"/>
  <c r="BN106" i="1"/>
  <c r="BS107" i="1"/>
  <c r="BP108" i="1"/>
  <c r="BR110" i="1"/>
  <c r="BO111" i="1"/>
  <c r="DJ106" i="1"/>
  <c r="DL108" i="1"/>
  <c r="DD110" i="1"/>
  <c r="DM110" i="1"/>
  <c r="DE111" i="1"/>
  <c r="DO111" i="1"/>
  <c r="W114" i="1"/>
  <c r="BO106" i="1"/>
  <c r="BL107" i="1"/>
  <c r="BQ108" i="1"/>
  <c r="BS110" i="1"/>
  <c r="BP111" i="1"/>
  <c r="DD108" i="1"/>
  <c r="DM108" i="1"/>
  <c r="DE110" i="1"/>
  <c r="W103" i="1"/>
  <c r="W107" i="1"/>
  <c r="W110" i="1"/>
  <c r="DR101" i="1"/>
  <c r="DO101" i="1"/>
  <c r="DE101" i="1"/>
  <c r="DM101" i="1"/>
  <c r="DD101" i="1"/>
  <c r="W101" i="1"/>
  <c r="DI101" i="1"/>
  <c r="AU101" i="1"/>
  <c r="BP101" i="1"/>
  <c r="DL101" i="1"/>
  <c r="BL101" i="1"/>
  <c r="BM101" i="1"/>
  <c r="DH101" i="1"/>
  <c r="BN101" i="1"/>
  <c r="DJ101" i="1"/>
  <c r="BH421" i="1"/>
  <c r="BH422" i="1"/>
  <c r="BC88" i="1"/>
  <c r="AW88" i="1" s="1"/>
  <c r="BC87" i="1"/>
  <c r="BJ87" i="1" s="1"/>
  <c r="AA87" i="1"/>
  <c r="CT86" i="1"/>
  <c r="AA86" i="1"/>
  <c r="CF81" i="1"/>
  <c r="DD81" i="1" s="1"/>
  <c r="CT80" i="1"/>
  <c r="DR80" i="1" s="1"/>
  <c r="AA80" i="1"/>
  <c r="AA76" i="1"/>
  <c r="CT5" i="1"/>
  <c r="DR5" i="1" s="1"/>
  <c r="CF5" i="1"/>
  <c r="CT6" i="1"/>
  <c r="AA6" i="1"/>
  <c r="CT7" i="1"/>
  <c r="DR7" i="1" s="1"/>
  <c r="CT8" i="1"/>
  <c r="AA8" i="1"/>
  <c r="CT10" i="1"/>
  <c r="DR10" i="1" s="1"/>
  <c r="CF10" i="1"/>
  <c r="DD10" i="1" s="1"/>
  <c r="AA10" i="1"/>
  <c r="CT9" i="1"/>
  <c r="AE9" i="1"/>
  <c r="AK9" i="1" s="1"/>
  <c r="AR9" i="1" s="1"/>
  <c r="DB9" i="1" s="1"/>
  <c r="AA9" i="1"/>
  <c r="CT11" i="1"/>
  <c r="DR11" i="1" s="1"/>
  <c r="AA11" i="1"/>
  <c r="CT13" i="1"/>
  <c r="DR13" i="1" s="1"/>
  <c r="AA12" i="1"/>
  <c r="W12" i="1"/>
  <c r="AK12" i="1"/>
  <c r="AR12" i="1" s="1"/>
  <c r="DB12" i="1" s="1"/>
  <c r="AS12" i="1"/>
  <c r="BJ12" i="1"/>
  <c r="BT12" i="1" s="1"/>
  <c r="BV12" i="1"/>
  <c r="BW12" i="1"/>
  <c r="BX12" i="1"/>
  <c r="BY12" i="1"/>
  <c r="BZ12" i="1"/>
  <c r="CA12" i="1"/>
  <c r="CB12" i="1"/>
  <c r="CC12" i="1"/>
  <c r="CH12" i="1"/>
  <c r="DA12" i="1" s="1"/>
  <c r="DM12" i="1"/>
  <c r="DV12" i="1"/>
  <c r="ED12" i="1"/>
  <c r="CT14" i="1"/>
  <c r="DR14" i="1" s="1"/>
  <c r="CT16" i="1"/>
  <c r="AA16" i="1"/>
  <c r="AA17" i="1"/>
  <c r="CT22" i="1"/>
  <c r="DR22" i="1" s="1"/>
  <c r="CF22" i="1"/>
  <c r="CH22" i="1" s="1"/>
  <c r="DT22" i="1" s="1"/>
  <c r="AE22" i="1"/>
  <c r="AK22" i="1" s="1"/>
  <c r="AR22" i="1" s="1"/>
  <c r="DB22" i="1" s="1"/>
  <c r="AA22" i="1"/>
  <c r="CT21" i="1"/>
  <c r="DR21" i="1" s="1"/>
  <c r="CT20" i="1"/>
  <c r="CT19" i="1"/>
  <c r="CT18" i="1"/>
  <c r="DR18" i="1" s="1"/>
  <c r="AA18" i="1"/>
  <c r="CT24" i="1"/>
  <c r="DR24" i="1" s="1"/>
  <c r="CT25" i="1"/>
  <c r="DR25" i="1" s="1"/>
  <c r="CF25" i="1"/>
  <c r="CH25" i="1" s="1"/>
  <c r="CT26" i="1"/>
  <c r="DR26" i="1" s="1"/>
  <c r="CF26" i="1"/>
  <c r="DD26" i="1" s="1"/>
  <c r="AA26" i="1"/>
  <c r="CT29" i="1"/>
  <c r="CT31" i="1"/>
  <c r="AA30" i="1"/>
  <c r="AA34" i="1"/>
  <c r="AA33" i="1"/>
  <c r="AA32" i="1"/>
  <c r="BS12" i="1"/>
  <c r="DR12" i="1"/>
  <c r="DO12" i="1"/>
  <c r="BL12" i="1"/>
  <c r="DH12" i="1"/>
  <c r="BQ12" i="1"/>
  <c r="DE12" i="1"/>
  <c r="BR12" i="1"/>
  <c r="BP12" i="1"/>
  <c r="BO12" i="1"/>
  <c r="DD12" i="1"/>
  <c r="DL12" i="1"/>
  <c r="DJ12" i="1"/>
  <c r="BN12" i="1"/>
  <c r="AU12" i="1"/>
  <c r="DI12" i="1"/>
  <c r="BM12" i="1"/>
  <c r="CT35" i="1"/>
  <c r="DR35" i="1" s="1"/>
  <c r="AA35" i="1"/>
  <c r="CT36" i="1"/>
  <c r="CT37" i="1"/>
  <c r="DR37" i="1" s="1"/>
  <c r="CT38" i="1"/>
  <c r="DR38" i="1" s="1"/>
  <c r="CT41" i="1"/>
  <c r="AA41" i="1"/>
  <c r="CT40" i="1"/>
  <c r="DR40" i="1" s="1"/>
  <c r="AA40" i="1"/>
  <c r="CT39" i="1"/>
  <c r="CT42" i="1"/>
  <c r="AA42" i="1"/>
  <c r="CT43" i="1"/>
  <c r="AA43" i="1"/>
  <c r="R43" i="1"/>
  <c r="CT44" i="1"/>
  <c r="DR44" i="1" s="1"/>
  <c r="AA44" i="1"/>
  <c r="CT45" i="1"/>
  <c r="CF45" i="1"/>
  <c r="CT46" i="1"/>
  <c r="DR46" i="1" s="1"/>
  <c r="CT47" i="1"/>
  <c r="CT48" i="1"/>
  <c r="DR48" i="1" s="1"/>
  <c r="CT50" i="1"/>
  <c r="DR50" i="1" s="1"/>
  <c r="CT49" i="1"/>
  <c r="AJ49" i="1"/>
  <c r="AK49" i="1" s="1"/>
  <c r="AA49" i="1"/>
  <c r="CT51" i="1"/>
  <c r="DR51" i="1" s="1"/>
  <c r="AA51" i="1"/>
  <c r="CT52" i="1"/>
  <c r="DR52" i="1" s="1"/>
  <c r="AA52" i="1"/>
  <c r="CT53" i="1"/>
  <c r="DR53" i="1" s="1"/>
  <c r="CT54" i="1"/>
  <c r="DR54" i="1" s="1"/>
  <c r="AA54" i="1"/>
  <c r="CT56" i="1"/>
  <c r="AA56" i="1"/>
  <c r="CT55" i="1"/>
  <c r="CF55" i="1"/>
  <c r="CH55" i="1" s="1"/>
  <c r="DT55" i="1" s="1"/>
  <c r="AA55" i="1"/>
  <c r="CT57" i="1"/>
  <c r="DR57" i="1" s="1"/>
  <c r="AA57" i="1"/>
  <c r="CT59" i="1"/>
  <c r="CT58" i="1"/>
  <c r="CT61" i="1"/>
  <c r="DR61" i="1" s="1"/>
  <c r="CT63" i="1"/>
  <c r="DR63" i="1" s="1"/>
  <c r="CT65" i="1"/>
  <c r="DR65" i="1" s="1"/>
  <c r="CK421" i="1"/>
  <c r="CK420" i="1"/>
  <c r="CK422" i="1"/>
  <c r="CT67" i="1"/>
  <c r="CT69" i="1"/>
  <c r="DR69" i="1" s="1"/>
  <c r="CT73" i="1"/>
  <c r="CT74" i="1"/>
  <c r="DR74" i="1" s="1"/>
  <c r="CF75" i="1"/>
  <c r="CH75" i="1" s="1"/>
  <c r="DY75" i="1" s="1"/>
  <c r="CT68" i="1"/>
  <c r="BC68" i="1"/>
  <c r="BM68" i="1" s="1"/>
  <c r="BB68" i="1"/>
  <c r="CT70" i="1"/>
  <c r="CF70" i="1"/>
  <c r="CH70" i="1" s="1"/>
  <c r="BJ75" i="1"/>
  <c r="CD75" i="1" s="1"/>
  <c r="BJ74" i="1"/>
  <c r="CD74" i="1" s="1"/>
  <c r="BJ72" i="1"/>
  <c r="CD72" i="1" s="1"/>
  <c r="BJ73" i="1"/>
  <c r="CD73" i="1" s="1"/>
  <c r="BJ69" i="1"/>
  <c r="CD69" i="1" s="1"/>
  <c r="BJ67" i="1"/>
  <c r="CD67" i="1" s="1"/>
  <c r="BJ65" i="1"/>
  <c r="CD65" i="1" s="1"/>
  <c r="BJ64" i="1"/>
  <c r="CD64" i="1" s="1"/>
  <c r="BJ62" i="1"/>
  <c r="CD62" i="1" s="1"/>
  <c r="BJ63" i="1"/>
  <c r="CD63" i="1" s="1"/>
  <c r="BJ61" i="1"/>
  <c r="CD61" i="1" s="1"/>
  <c r="BJ60" i="1"/>
  <c r="BJ58" i="1"/>
  <c r="BJ59" i="1"/>
  <c r="BJ57" i="1"/>
  <c r="CD57" i="1" s="1"/>
  <c r="BJ55" i="1"/>
  <c r="CD55" i="1" s="1"/>
  <c r="BJ56" i="1"/>
  <c r="BT56" i="1" s="1"/>
  <c r="BJ54" i="1"/>
  <c r="CD54" i="1" s="1"/>
  <c r="BJ53" i="1"/>
  <c r="BJ52" i="1"/>
  <c r="CD52" i="1" s="1"/>
  <c r="BJ51" i="1"/>
  <c r="BJ49" i="1"/>
  <c r="CD49" i="1" s="1"/>
  <c r="BJ50" i="1"/>
  <c r="BT50" i="1" s="1"/>
  <c r="BJ48" i="1"/>
  <c r="CD48" i="1" s="1"/>
  <c r="BJ47" i="1"/>
  <c r="CD47" i="1" s="1"/>
  <c r="BJ46" i="1"/>
  <c r="CD46" i="1" s="1"/>
  <c r="BJ45" i="1"/>
  <c r="BJ44" i="1"/>
  <c r="BJ43" i="1"/>
  <c r="CD43" i="1" s="1"/>
  <c r="BJ42" i="1"/>
  <c r="CD42" i="1" s="1"/>
  <c r="BJ39" i="1"/>
  <c r="CD39" i="1" s="1"/>
  <c r="BJ40" i="1"/>
  <c r="BT40" i="1" s="1"/>
  <c r="BJ41" i="1"/>
  <c r="CD41" i="1" s="1"/>
  <c r="BJ38" i="1"/>
  <c r="BJ37" i="1"/>
  <c r="BJ36" i="1"/>
  <c r="BJ35" i="1"/>
  <c r="CD35" i="1" s="1"/>
  <c r="BJ32" i="1"/>
  <c r="CD32" i="1" s="1"/>
  <c r="BJ33" i="1"/>
  <c r="CD33" i="1" s="1"/>
  <c r="BJ34" i="1"/>
  <c r="CD34" i="1" s="1"/>
  <c r="BJ30" i="1"/>
  <c r="CD30" i="1" s="1"/>
  <c r="BJ31" i="1"/>
  <c r="CD31" i="1" s="1"/>
  <c r="BJ29" i="1"/>
  <c r="CD29" i="1" s="1"/>
  <c r="BJ26" i="1"/>
  <c r="BJ27" i="1"/>
  <c r="BT27" i="1" s="1"/>
  <c r="BJ28" i="1"/>
  <c r="CD28" i="1" s="1"/>
  <c r="BJ25" i="1"/>
  <c r="CD25" i="1" s="1"/>
  <c r="BJ24" i="1"/>
  <c r="BT24" i="1" s="1"/>
  <c r="BJ18" i="1"/>
  <c r="CD18" i="1" s="1"/>
  <c r="BJ19" i="1"/>
  <c r="CD19" i="1" s="1"/>
  <c r="BJ20" i="1"/>
  <c r="BJ21" i="1"/>
  <c r="BJ22" i="1"/>
  <c r="CD22" i="1" s="1"/>
  <c r="BJ23" i="1"/>
  <c r="BT23" i="1" s="1"/>
  <c r="BJ17" i="1"/>
  <c r="CD17" i="1" s="1"/>
  <c r="BJ16" i="1"/>
  <c r="CD16" i="1" s="1"/>
  <c r="BJ14" i="1"/>
  <c r="CD14" i="1" s="1"/>
  <c r="BJ15" i="1"/>
  <c r="CD15" i="1" s="1"/>
  <c r="BJ13" i="1"/>
  <c r="CD13" i="1" s="1"/>
  <c r="BJ11" i="1"/>
  <c r="BJ9" i="1"/>
  <c r="CD9" i="1" s="1"/>
  <c r="BJ10" i="1"/>
  <c r="BT10" i="1" s="1"/>
  <c r="BJ8" i="1"/>
  <c r="CD8" i="1" s="1"/>
  <c r="BJ7" i="1"/>
  <c r="CD7" i="1" s="1"/>
  <c r="BJ6" i="1"/>
  <c r="CD6" i="1" s="1"/>
  <c r="BJ5" i="1"/>
  <c r="CD5" i="1" s="1"/>
  <c r="BJ76" i="1"/>
  <c r="CD76" i="1" s="1"/>
  <c r="BJ77" i="1"/>
  <c r="BJ79" i="1"/>
  <c r="CD79" i="1" s="1"/>
  <c r="BJ80" i="1"/>
  <c r="CD80" i="1" s="1"/>
  <c r="BJ81" i="1"/>
  <c r="CD81" i="1" s="1"/>
  <c r="BJ82" i="1"/>
  <c r="CD82" i="1" s="1"/>
  <c r="BJ83" i="1"/>
  <c r="CD83" i="1" s="1"/>
  <c r="BJ84" i="1"/>
  <c r="CD84" i="1" s="1"/>
  <c r="BJ85" i="1"/>
  <c r="CD85" i="1" s="1"/>
  <c r="BJ86" i="1"/>
  <c r="CD86" i="1" s="1"/>
  <c r="BJ89" i="1"/>
  <c r="CD89" i="1" s="1"/>
  <c r="BJ90" i="1"/>
  <c r="CD90" i="1" s="1"/>
  <c r="BJ91" i="1"/>
  <c r="CD91" i="1" s="1"/>
  <c r="BJ92" i="1"/>
  <c r="CD92" i="1" s="1"/>
  <c r="BJ93" i="1"/>
  <c r="CD93" i="1" s="1"/>
  <c r="BJ94" i="1"/>
  <c r="CD94" i="1" s="1"/>
  <c r="BJ95" i="1"/>
  <c r="BJ96" i="1"/>
  <c r="CD96" i="1" s="1"/>
  <c r="BJ97" i="1"/>
  <c r="BJ98" i="1"/>
  <c r="CD98" i="1" s="1"/>
  <c r="BC70" i="1"/>
  <c r="BW70" i="1" s="1"/>
  <c r="BB70" i="1"/>
  <c r="BL70" i="1" s="1"/>
  <c r="AA70" i="1"/>
  <c r="DV70" i="1"/>
  <c r="DV68" i="1"/>
  <c r="DV75" i="1"/>
  <c r="ED75" i="1"/>
  <c r="DV74" i="1"/>
  <c r="DV72" i="1"/>
  <c r="DV73" i="1"/>
  <c r="DV69" i="1"/>
  <c r="ED69" i="1"/>
  <c r="DV67" i="1"/>
  <c r="ED67" i="1"/>
  <c r="DV65" i="1"/>
  <c r="ED65" i="1"/>
  <c r="DV64" i="1"/>
  <c r="ED64" i="1"/>
  <c r="DV62" i="1"/>
  <c r="ED62" i="1"/>
  <c r="EI62" i="1"/>
  <c r="DV63" i="1"/>
  <c r="ED63" i="1"/>
  <c r="DV61" i="1"/>
  <c r="ED61" i="1"/>
  <c r="DV60" i="1"/>
  <c r="DV58" i="1"/>
  <c r="DV59" i="1"/>
  <c r="DV57" i="1"/>
  <c r="ED57" i="1"/>
  <c r="DV55" i="1"/>
  <c r="ED55" i="1"/>
  <c r="DV56" i="1"/>
  <c r="DV54" i="1"/>
  <c r="DV53" i="1"/>
  <c r="DV52" i="1"/>
  <c r="DV51" i="1"/>
  <c r="DV49" i="1"/>
  <c r="ED49" i="1"/>
  <c r="DV50" i="1"/>
  <c r="DZ50" i="1"/>
  <c r="DU48" i="1"/>
  <c r="DV48" i="1"/>
  <c r="ED48" i="1"/>
  <c r="DV47" i="1"/>
  <c r="ED47" i="1"/>
  <c r="DV46" i="1"/>
  <c r="ED46" i="1"/>
  <c r="DV45" i="1"/>
  <c r="ED45" i="1"/>
  <c r="DV44" i="1"/>
  <c r="ED44" i="1"/>
  <c r="DV43" i="1"/>
  <c r="DV42" i="1"/>
  <c r="DV39" i="1"/>
  <c r="ED39" i="1"/>
  <c r="DV40" i="1"/>
  <c r="ED40" i="1"/>
  <c r="DV41" i="1"/>
  <c r="ED41" i="1"/>
  <c r="DV38" i="1"/>
  <c r="ED38" i="1"/>
  <c r="DV37" i="1"/>
  <c r="DV36" i="1"/>
  <c r="ED36" i="1"/>
  <c r="DV35" i="1"/>
  <c r="DV32" i="1"/>
  <c r="DV33" i="1"/>
  <c r="DV34" i="1"/>
  <c r="ED34" i="1"/>
  <c r="DV30" i="1"/>
  <c r="DV31" i="1"/>
  <c r="DV29" i="1"/>
  <c r="ED29" i="1"/>
  <c r="DV26" i="1"/>
  <c r="DV27" i="1"/>
  <c r="ED27" i="1"/>
  <c r="EI27" i="1"/>
  <c r="DV28" i="1"/>
  <c r="DV25" i="1"/>
  <c r="DV24" i="1"/>
  <c r="DV18" i="1"/>
  <c r="DV19" i="1"/>
  <c r="DV20" i="1"/>
  <c r="DV21" i="1"/>
  <c r="ED21" i="1"/>
  <c r="DV22" i="1"/>
  <c r="DV23" i="1"/>
  <c r="DV17" i="1"/>
  <c r="ED17" i="1"/>
  <c r="DV16" i="1"/>
  <c r="ED16" i="1"/>
  <c r="DV14" i="1"/>
  <c r="ED14" i="1"/>
  <c r="DV15" i="1"/>
  <c r="ED15" i="1"/>
  <c r="DV13" i="1"/>
  <c r="ED13" i="1"/>
  <c r="DV11" i="1"/>
  <c r="ED11" i="1"/>
  <c r="DV9" i="1"/>
  <c r="DV10" i="1"/>
  <c r="ED10" i="1"/>
  <c r="DV8" i="1"/>
  <c r="DV7" i="1"/>
  <c r="ED7" i="1"/>
  <c r="DV6" i="1"/>
  <c r="DV5" i="1"/>
  <c r="DV76" i="1"/>
  <c r="DV77" i="1"/>
  <c r="DV78" i="1"/>
  <c r="DV79" i="1"/>
  <c r="DV80" i="1"/>
  <c r="ED80" i="1"/>
  <c r="DV81" i="1"/>
  <c r="DV82" i="1"/>
  <c r="DV83" i="1"/>
  <c r="DV84" i="1"/>
  <c r="DV85" i="1"/>
  <c r="DV86" i="1"/>
  <c r="ED86" i="1"/>
  <c r="DV87" i="1"/>
  <c r="DV88" i="1"/>
  <c r="DV89" i="1"/>
  <c r="DV90" i="1"/>
  <c r="DV91" i="1"/>
  <c r="DV92" i="1"/>
  <c r="DV93" i="1"/>
  <c r="DV94" i="1"/>
  <c r="DV95" i="1"/>
  <c r="DV96" i="1"/>
  <c r="DV97" i="1"/>
  <c r="DV98" i="1"/>
  <c r="DV71" i="1"/>
  <c r="ED71" i="1"/>
  <c r="DM75" i="1"/>
  <c r="DM69" i="1"/>
  <c r="DM67" i="1"/>
  <c r="DM65" i="1"/>
  <c r="DM64" i="1"/>
  <c r="DM62" i="1"/>
  <c r="DR62" i="1"/>
  <c r="DM63" i="1"/>
  <c r="DM61" i="1"/>
  <c r="DM57" i="1"/>
  <c r="DM55" i="1"/>
  <c r="DM49" i="1"/>
  <c r="DI50" i="1"/>
  <c r="DD48" i="1"/>
  <c r="DM48" i="1"/>
  <c r="DM47" i="1"/>
  <c r="DM46" i="1"/>
  <c r="DM45" i="1"/>
  <c r="DM44" i="1"/>
  <c r="DM39" i="1"/>
  <c r="DM40" i="1"/>
  <c r="DM41" i="1"/>
  <c r="DM38" i="1"/>
  <c r="DM36" i="1"/>
  <c r="DM34" i="1"/>
  <c r="DM29" i="1"/>
  <c r="DM27" i="1"/>
  <c r="DR27" i="1"/>
  <c r="DM21" i="1"/>
  <c r="DM17" i="1"/>
  <c r="DM16" i="1"/>
  <c r="DM14" i="1"/>
  <c r="DM15" i="1"/>
  <c r="DM13" i="1"/>
  <c r="DM11" i="1"/>
  <c r="DM10" i="1"/>
  <c r="DM7" i="1"/>
  <c r="DM80" i="1"/>
  <c r="DM86" i="1"/>
  <c r="DM71" i="1"/>
  <c r="CN423" i="1"/>
  <c r="CN421" i="1"/>
  <c r="CN420" i="1"/>
  <c r="CH68" i="1"/>
  <c r="DY68" i="1" s="1"/>
  <c r="CH74" i="1"/>
  <c r="CH72" i="1"/>
  <c r="DA72" i="1" s="1"/>
  <c r="CH73" i="1"/>
  <c r="DF73" i="1" s="1"/>
  <c r="CH69" i="1"/>
  <c r="CH67" i="1"/>
  <c r="CH65" i="1"/>
  <c r="CH64" i="1"/>
  <c r="CH62" i="1"/>
  <c r="EF62" i="1" s="1"/>
  <c r="CH63" i="1"/>
  <c r="CH61" i="1"/>
  <c r="CH60" i="1"/>
  <c r="DY60" i="1" s="1"/>
  <c r="CH58" i="1"/>
  <c r="CH59" i="1"/>
  <c r="ED59" i="1" s="1"/>
  <c r="CH57" i="1"/>
  <c r="DF57" i="1" s="1"/>
  <c r="CH56" i="1"/>
  <c r="DT56" i="1" s="1"/>
  <c r="CH54" i="1"/>
  <c r="DY54" i="1" s="1"/>
  <c r="CH53" i="1"/>
  <c r="CH52" i="1"/>
  <c r="CH51" i="1"/>
  <c r="DU51" i="1" s="1"/>
  <c r="CH49" i="1"/>
  <c r="DU49" i="1" s="1"/>
  <c r="CH50" i="1"/>
  <c r="CH48" i="1"/>
  <c r="EC48" i="1" s="1"/>
  <c r="CH47" i="1"/>
  <c r="DU47" i="1" s="1"/>
  <c r="CH46" i="1"/>
  <c r="DY46" i="1" s="1"/>
  <c r="CH44" i="1"/>
  <c r="DW44" i="1" s="1"/>
  <c r="CH43" i="1"/>
  <c r="ED43" i="1" s="1"/>
  <c r="CH42" i="1"/>
  <c r="CH39" i="1"/>
  <c r="CH40" i="1"/>
  <c r="CH41" i="1"/>
  <c r="DZ41" i="1" s="1"/>
  <c r="CH38" i="1"/>
  <c r="DT38" i="1" s="1"/>
  <c r="CH37" i="1"/>
  <c r="DW37" i="1" s="1"/>
  <c r="CH36" i="1"/>
  <c r="DZ36" i="1" s="1"/>
  <c r="CH35" i="1"/>
  <c r="CH32" i="1"/>
  <c r="DZ32" i="1" s="1"/>
  <c r="CH33" i="1"/>
  <c r="EF33" i="1" s="1"/>
  <c r="CH34" i="1"/>
  <c r="CH30" i="1"/>
  <c r="DY30" i="1" s="1"/>
  <c r="CH31" i="1"/>
  <c r="DF31" i="1" s="1"/>
  <c r="CH29" i="1"/>
  <c r="CH27" i="1"/>
  <c r="CH28" i="1"/>
  <c r="DA28" i="1" s="1"/>
  <c r="CH24" i="1"/>
  <c r="EF24" i="1" s="1"/>
  <c r="CH18" i="1"/>
  <c r="DY18" i="1" s="1"/>
  <c r="CH19" i="1"/>
  <c r="DZ19" i="1" s="1"/>
  <c r="CH20" i="1"/>
  <c r="DY20" i="1" s="1"/>
  <c r="CH21" i="1"/>
  <c r="DU21" i="1" s="1"/>
  <c r="CH23" i="1"/>
  <c r="EA23" i="1" s="1"/>
  <c r="CH17" i="1"/>
  <c r="DW17" i="1" s="1"/>
  <c r="CH16" i="1"/>
  <c r="CH14" i="1"/>
  <c r="DU14" i="1" s="1"/>
  <c r="CH15" i="1"/>
  <c r="DU15" i="1" s="1"/>
  <c r="CH13" i="1"/>
  <c r="EA13" i="1" s="1"/>
  <c r="CH11" i="1"/>
  <c r="DT11" i="1" s="1"/>
  <c r="CH9" i="1"/>
  <c r="DT9" i="1" s="1"/>
  <c r="CH8" i="1"/>
  <c r="DT8" i="1" s="1"/>
  <c r="CH7" i="1"/>
  <c r="DT7" i="1" s="1"/>
  <c r="CH6" i="1"/>
  <c r="DF6" i="1" s="1"/>
  <c r="CH76" i="1"/>
  <c r="CH77" i="1"/>
  <c r="CH78" i="1"/>
  <c r="CH79" i="1"/>
  <c r="DY79" i="1" s="1"/>
  <c r="CH80" i="1"/>
  <c r="CH82" i="1"/>
  <c r="CH83" i="1"/>
  <c r="EI83" i="1" s="1"/>
  <c r="CH84" i="1"/>
  <c r="DU84" i="1" s="1"/>
  <c r="CH85" i="1"/>
  <c r="EC85" i="1" s="1"/>
  <c r="CH86" i="1"/>
  <c r="DU86" i="1" s="1"/>
  <c r="CH87" i="1"/>
  <c r="DA87" i="1" s="1"/>
  <c r="CH88" i="1"/>
  <c r="DT88" i="1" s="1"/>
  <c r="CH89" i="1"/>
  <c r="DU89" i="1" s="1"/>
  <c r="CH90" i="1"/>
  <c r="EF90" i="1" s="1"/>
  <c r="CH91" i="1"/>
  <c r="DZ91" i="1" s="1"/>
  <c r="CH92" i="1"/>
  <c r="EA92" i="1" s="1"/>
  <c r="CH93" i="1"/>
  <c r="DY93" i="1" s="1"/>
  <c r="CH94" i="1"/>
  <c r="CH95" i="1"/>
  <c r="EA95" i="1" s="1"/>
  <c r="CH96" i="1"/>
  <c r="DA96" i="1" s="1"/>
  <c r="CH97" i="1"/>
  <c r="DA97" i="1" s="1"/>
  <c r="CH98" i="1"/>
  <c r="DU98" i="1" s="1"/>
  <c r="CH71" i="1"/>
  <c r="DT71" i="1" s="1"/>
  <c r="CB93" i="1"/>
  <c r="BX70" i="1"/>
  <c r="BY70" i="1"/>
  <c r="BZ70" i="1"/>
  <c r="CA70" i="1"/>
  <c r="CB70" i="1"/>
  <c r="CC70" i="1"/>
  <c r="BX68" i="1"/>
  <c r="BY68" i="1"/>
  <c r="BZ68" i="1"/>
  <c r="CA68" i="1"/>
  <c r="CB68" i="1"/>
  <c r="CC68" i="1"/>
  <c r="BV75" i="1"/>
  <c r="BW75" i="1"/>
  <c r="BX75" i="1"/>
  <c r="BY75" i="1"/>
  <c r="BZ75" i="1"/>
  <c r="CA75" i="1"/>
  <c r="CB75" i="1"/>
  <c r="CC75" i="1"/>
  <c r="BV74" i="1"/>
  <c r="BW74" i="1"/>
  <c r="BX74" i="1"/>
  <c r="BY74" i="1"/>
  <c r="BZ74" i="1"/>
  <c r="CA74" i="1"/>
  <c r="CB74" i="1"/>
  <c r="CC74" i="1"/>
  <c r="BV72" i="1"/>
  <c r="BW72" i="1"/>
  <c r="BX72" i="1"/>
  <c r="BY72" i="1"/>
  <c r="BZ72" i="1"/>
  <c r="CA72" i="1"/>
  <c r="CB72" i="1"/>
  <c r="CC72" i="1"/>
  <c r="BV73" i="1"/>
  <c r="BW73" i="1"/>
  <c r="BX73" i="1"/>
  <c r="BY73" i="1"/>
  <c r="BZ73" i="1"/>
  <c r="CA73" i="1"/>
  <c r="CB73" i="1"/>
  <c r="CC73" i="1"/>
  <c r="BV69" i="1"/>
  <c r="BW69" i="1"/>
  <c r="BX69" i="1"/>
  <c r="BY69" i="1"/>
  <c r="BZ69" i="1"/>
  <c r="CA69" i="1"/>
  <c r="CB69" i="1"/>
  <c r="CC69" i="1"/>
  <c r="BV67" i="1"/>
  <c r="BW67" i="1"/>
  <c r="BX67" i="1"/>
  <c r="BY67" i="1"/>
  <c r="BZ67" i="1"/>
  <c r="CA67" i="1"/>
  <c r="CB67" i="1"/>
  <c r="CC67" i="1"/>
  <c r="BV65" i="1"/>
  <c r="BW65" i="1"/>
  <c r="BX65" i="1"/>
  <c r="BY65" i="1"/>
  <c r="BZ65" i="1"/>
  <c r="CA65" i="1"/>
  <c r="CB65" i="1"/>
  <c r="CC65" i="1"/>
  <c r="BV64" i="1"/>
  <c r="BW64" i="1"/>
  <c r="BX64" i="1"/>
  <c r="BY64" i="1"/>
  <c r="BZ64" i="1"/>
  <c r="CA64" i="1"/>
  <c r="CB64" i="1"/>
  <c r="CC64" i="1"/>
  <c r="BV62" i="1"/>
  <c r="BW62" i="1"/>
  <c r="BX62" i="1"/>
  <c r="BY62" i="1"/>
  <c r="BZ62" i="1"/>
  <c r="CA62" i="1"/>
  <c r="CB62" i="1"/>
  <c r="CC62" i="1"/>
  <c r="BV63" i="1"/>
  <c r="BW63" i="1"/>
  <c r="BX63" i="1"/>
  <c r="BY63" i="1"/>
  <c r="BZ63" i="1"/>
  <c r="CA63" i="1"/>
  <c r="CB63" i="1"/>
  <c r="CC63" i="1"/>
  <c r="BV61" i="1"/>
  <c r="BW61" i="1"/>
  <c r="BX61" i="1"/>
  <c r="BY61" i="1"/>
  <c r="BZ61" i="1"/>
  <c r="CA61" i="1"/>
  <c r="CB61" i="1"/>
  <c r="CC61" i="1"/>
  <c r="BV60" i="1"/>
  <c r="BW60" i="1"/>
  <c r="BX60" i="1"/>
  <c r="BY60" i="1"/>
  <c r="BZ60" i="1"/>
  <c r="CA60" i="1"/>
  <c r="CB60" i="1"/>
  <c r="CC60" i="1"/>
  <c r="BV58" i="1"/>
  <c r="BW58" i="1"/>
  <c r="BX58" i="1"/>
  <c r="BY58" i="1"/>
  <c r="BZ58" i="1"/>
  <c r="CA58" i="1"/>
  <c r="CB58" i="1"/>
  <c r="CC58" i="1"/>
  <c r="BV59" i="1"/>
  <c r="BW59" i="1"/>
  <c r="BX59" i="1"/>
  <c r="BY59" i="1"/>
  <c r="BZ59" i="1"/>
  <c r="CA59" i="1"/>
  <c r="CB59" i="1"/>
  <c r="CC59" i="1"/>
  <c r="BV57" i="1"/>
  <c r="BW57" i="1"/>
  <c r="BX57" i="1"/>
  <c r="BY57" i="1"/>
  <c r="BZ57" i="1"/>
  <c r="CA57" i="1"/>
  <c r="CB57" i="1"/>
  <c r="CC57" i="1"/>
  <c r="BV55" i="1"/>
  <c r="BW55" i="1"/>
  <c r="BX55" i="1"/>
  <c r="BY55" i="1"/>
  <c r="BZ55" i="1"/>
  <c r="CA55" i="1"/>
  <c r="CB55" i="1"/>
  <c r="CC55" i="1"/>
  <c r="BV56" i="1"/>
  <c r="BW56" i="1"/>
  <c r="BX56" i="1"/>
  <c r="BY56" i="1"/>
  <c r="BZ56" i="1"/>
  <c r="CA56" i="1"/>
  <c r="CB56" i="1"/>
  <c r="CC56" i="1"/>
  <c r="BV54" i="1"/>
  <c r="BW54" i="1"/>
  <c r="BX54" i="1"/>
  <c r="BY54" i="1"/>
  <c r="BZ54" i="1"/>
  <c r="CA54" i="1"/>
  <c r="CB54" i="1"/>
  <c r="CC54" i="1"/>
  <c r="BV53" i="1"/>
  <c r="BW53" i="1"/>
  <c r="BX53" i="1"/>
  <c r="BY53" i="1"/>
  <c r="BZ53" i="1"/>
  <c r="CA53" i="1"/>
  <c r="CB53" i="1"/>
  <c r="CC53" i="1"/>
  <c r="BV52" i="1"/>
  <c r="BW52" i="1"/>
  <c r="BX52" i="1"/>
  <c r="BY52" i="1"/>
  <c r="BZ52" i="1"/>
  <c r="CA52" i="1"/>
  <c r="CB52" i="1"/>
  <c r="CC52" i="1"/>
  <c r="BV51" i="1"/>
  <c r="BW51" i="1"/>
  <c r="BX51" i="1"/>
  <c r="BY51" i="1"/>
  <c r="BZ51" i="1"/>
  <c r="CA51" i="1"/>
  <c r="CB51" i="1"/>
  <c r="CC51" i="1"/>
  <c r="BV49" i="1"/>
  <c r="BW49" i="1"/>
  <c r="BX49" i="1"/>
  <c r="BY49" i="1"/>
  <c r="BZ49" i="1"/>
  <c r="CA49" i="1"/>
  <c r="CB49" i="1"/>
  <c r="CC49" i="1"/>
  <c r="BV50" i="1"/>
  <c r="BW50" i="1"/>
  <c r="BX50" i="1"/>
  <c r="BY50" i="1"/>
  <c r="BZ50" i="1"/>
  <c r="CA50" i="1"/>
  <c r="CB50" i="1"/>
  <c r="CC50" i="1"/>
  <c r="BV48" i="1"/>
  <c r="BW48" i="1"/>
  <c r="BX48" i="1"/>
  <c r="BY48" i="1"/>
  <c r="BZ48" i="1"/>
  <c r="CA48" i="1"/>
  <c r="CB48" i="1"/>
  <c r="CC48" i="1"/>
  <c r="BV47" i="1"/>
  <c r="BW47" i="1"/>
  <c r="BX47" i="1"/>
  <c r="BY47" i="1"/>
  <c r="BZ47" i="1"/>
  <c r="CA47" i="1"/>
  <c r="CB47" i="1"/>
  <c r="CC47" i="1"/>
  <c r="BV46" i="1"/>
  <c r="BW46" i="1"/>
  <c r="BX46" i="1"/>
  <c r="BY46" i="1"/>
  <c r="BZ46" i="1"/>
  <c r="CA46" i="1"/>
  <c r="CB46" i="1"/>
  <c r="CC46" i="1"/>
  <c r="BV45" i="1"/>
  <c r="BW45" i="1"/>
  <c r="BX45" i="1"/>
  <c r="BY45" i="1"/>
  <c r="BZ45" i="1"/>
  <c r="CA45" i="1"/>
  <c r="CB45" i="1"/>
  <c r="CC45" i="1"/>
  <c r="BV44" i="1"/>
  <c r="BW44" i="1"/>
  <c r="BX44" i="1"/>
  <c r="BY44" i="1"/>
  <c r="BZ44" i="1"/>
  <c r="CA44" i="1"/>
  <c r="CB44" i="1"/>
  <c r="CC44" i="1"/>
  <c r="BV43" i="1"/>
  <c r="BW43" i="1"/>
  <c r="BX43" i="1"/>
  <c r="BY43" i="1"/>
  <c r="BZ43" i="1"/>
  <c r="CA43" i="1"/>
  <c r="CB43" i="1"/>
  <c r="CC43" i="1"/>
  <c r="BV42" i="1"/>
  <c r="BW42" i="1"/>
  <c r="BX42" i="1"/>
  <c r="BY42" i="1"/>
  <c r="BZ42" i="1"/>
  <c r="CA42" i="1"/>
  <c r="CB42" i="1"/>
  <c r="CC42" i="1"/>
  <c r="BV39" i="1"/>
  <c r="BW39" i="1"/>
  <c r="BX39" i="1"/>
  <c r="BY39" i="1"/>
  <c r="BZ39" i="1"/>
  <c r="CA39" i="1"/>
  <c r="CB39" i="1"/>
  <c r="CC39" i="1"/>
  <c r="BV40" i="1"/>
  <c r="BW40" i="1"/>
  <c r="BX40" i="1"/>
  <c r="BY40" i="1"/>
  <c r="BZ40" i="1"/>
  <c r="CA40" i="1"/>
  <c r="CB40" i="1"/>
  <c r="CC40" i="1"/>
  <c r="BV41" i="1"/>
  <c r="BW41" i="1"/>
  <c r="BX41" i="1"/>
  <c r="BY41" i="1"/>
  <c r="BZ41" i="1"/>
  <c r="CA41" i="1"/>
  <c r="CB41" i="1"/>
  <c r="CC41" i="1"/>
  <c r="BV38" i="1"/>
  <c r="BW38" i="1"/>
  <c r="BX38" i="1"/>
  <c r="BY38" i="1"/>
  <c r="BZ38" i="1"/>
  <c r="CA38" i="1"/>
  <c r="CB38" i="1"/>
  <c r="CC38" i="1"/>
  <c r="BV37" i="1"/>
  <c r="BW37" i="1"/>
  <c r="BX37" i="1"/>
  <c r="BY37" i="1"/>
  <c r="BZ37" i="1"/>
  <c r="CA37" i="1"/>
  <c r="CB37" i="1"/>
  <c r="CC37" i="1"/>
  <c r="BV36" i="1"/>
  <c r="BW36" i="1"/>
  <c r="BX36" i="1"/>
  <c r="BY36" i="1"/>
  <c r="BZ36" i="1"/>
  <c r="CA36" i="1"/>
  <c r="CB36" i="1"/>
  <c r="CC36" i="1"/>
  <c r="BV35" i="1"/>
  <c r="BW35" i="1"/>
  <c r="BX35" i="1"/>
  <c r="BY35" i="1"/>
  <c r="BZ35" i="1"/>
  <c r="CA35" i="1"/>
  <c r="CB35" i="1"/>
  <c r="CC35" i="1"/>
  <c r="BV32" i="1"/>
  <c r="BW32" i="1"/>
  <c r="BX32" i="1"/>
  <c r="BY32" i="1"/>
  <c r="BZ32" i="1"/>
  <c r="CA32" i="1"/>
  <c r="CB32" i="1"/>
  <c r="CC32" i="1"/>
  <c r="BV33" i="1"/>
  <c r="BW33" i="1"/>
  <c r="BX33" i="1"/>
  <c r="BY33" i="1"/>
  <c r="BZ33" i="1"/>
  <c r="CA33" i="1"/>
  <c r="CB33" i="1"/>
  <c r="CC33" i="1"/>
  <c r="BV34" i="1"/>
  <c r="BW34" i="1"/>
  <c r="BX34" i="1"/>
  <c r="BY34" i="1"/>
  <c r="BZ34" i="1"/>
  <c r="CA34" i="1"/>
  <c r="CB34" i="1"/>
  <c r="CC34" i="1"/>
  <c r="BV30" i="1"/>
  <c r="BW30" i="1"/>
  <c r="BX30" i="1"/>
  <c r="BY30" i="1"/>
  <c r="BZ30" i="1"/>
  <c r="CA30" i="1"/>
  <c r="CB30" i="1"/>
  <c r="CC30" i="1"/>
  <c r="BV31" i="1"/>
  <c r="BW31" i="1"/>
  <c r="BX31" i="1"/>
  <c r="BY31" i="1"/>
  <c r="BZ31" i="1"/>
  <c r="CA31" i="1"/>
  <c r="CB31" i="1"/>
  <c r="CC31" i="1"/>
  <c r="BV29" i="1"/>
  <c r="BW29" i="1"/>
  <c r="BX29" i="1"/>
  <c r="BY29" i="1"/>
  <c r="BZ29" i="1"/>
  <c r="CA29" i="1"/>
  <c r="CB29" i="1"/>
  <c r="CC29" i="1"/>
  <c r="BV26" i="1"/>
  <c r="BW26" i="1"/>
  <c r="BX26" i="1"/>
  <c r="BY26" i="1"/>
  <c r="BZ26" i="1"/>
  <c r="CA26" i="1"/>
  <c r="CB26" i="1"/>
  <c r="CC26" i="1"/>
  <c r="BV27" i="1"/>
  <c r="BW27" i="1"/>
  <c r="BX27" i="1"/>
  <c r="BY27" i="1"/>
  <c r="BZ27" i="1"/>
  <c r="CA27" i="1"/>
  <c r="CB27" i="1"/>
  <c r="CC27" i="1"/>
  <c r="BV28" i="1"/>
  <c r="BW28" i="1"/>
  <c r="BX28" i="1"/>
  <c r="BY28" i="1"/>
  <c r="BZ28" i="1"/>
  <c r="CA28" i="1"/>
  <c r="CB28" i="1"/>
  <c r="CC28" i="1"/>
  <c r="BV25" i="1"/>
  <c r="BW25" i="1"/>
  <c r="BX25" i="1"/>
  <c r="BY25" i="1"/>
  <c r="BZ25" i="1"/>
  <c r="CA25" i="1"/>
  <c r="CB25" i="1"/>
  <c r="CC25" i="1"/>
  <c r="BV24" i="1"/>
  <c r="BW24" i="1"/>
  <c r="BX24" i="1"/>
  <c r="BY24" i="1"/>
  <c r="BZ24" i="1"/>
  <c r="CA24" i="1"/>
  <c r="CB24" i="1"/>
  <c r="CC24" i="1"/>
  <c r="BV18" i="1"/>
  <c r="BW18" i="1"/>
  <c r="BX18" i="1"/>
  <c r="BY18" i="1"/>
  <c r="BZ18" i="1"/>
  <c r="CA18" i="1"/>
  <c r="CB18" i="1"/>
  <c r="CC18" i="1"/>
  <c r="BV19" i="1"/>
  <c r="BW19" i="1"/>
  <c r="BX19" i="1"/>
  <c r="BY19" i="1"/>
  <c r="BZ19" i="1"/>
  <c r="CA19" i="1"/>
  <c r="CB19" i="1"/>
  <c r="CC19" i="1"/>
  <c r="BV20" i="1"/>
  <c r="BW20" i="1"/>
  <c r="BX20" i="1"/>
  <c r="BY20" i="1"/>
  <c r="BZ20" i="1"/>
  <c r="CA20" i="1"/>
  <c r="CB20" i="1"/>
  <c r="CC20" i="1"/>
  <c r="BV21" i="1"/>
  <c r="BW21" i="1"/>
  <c r="BX21" i="1"/>
  <c r="BY21" i="1"/>
  <c r="BZ21" i="1"/>
  <c r="CA21" i="1"/>
  <c r="CB21" i="1"/>
  <c r="CC21" i="1"/>
  <c r="BV22" i="1"/>
  <c r="BW22" i="1"/>
  <c r="BX22" i="1"/>
  <c r="BY22" i="1"/>
  <c r="BZ22" i="1"/>
  <c r="CA22" i="1"/>
  <c r="CB22" i="1"/>
  <c r="CC22" i="1"/>
  <c r="BV23" i="1"/>
  <c r="BW23" i="1"/>
  <c r="BX23" i="1"/>
  <c r="BY23" i="1"/>
  <c r="BZ23" i="1"/>
  <c r="CA23" i="1"/>
  <c r="CB23" i="1"/>
  <c r="CC23" i="1"/>
  <c r="BV17" i="1"/>
  <c r="BW17" i="1"/>
  <c r="BX17" i="1"/>
  <c r="BY17" i="1"/>
  <c r="BZ17" i="1"/>
  <c r="CA17" i="1"/>
  <c r="CB17" i="1"/>
  <c r="CC17" i="1"/>
  <c r="BV16" i="1"/>
  <c r="BW16" i="1"/>
  <c r="BX16" i="1"/>
  <c r="BY16" i="1"/>
  <c r="BZ16" i="1"/>
  <c r="CA16" i="1"/>
  <c r="CB16" i="1"/>
  <c r="CC16" i="1"/>
  <c r="BV14" i="1"/>
  <c r="BW14" i="1"/>
  <c r="BX14" i="1"/>
  <c r="BY14" i="1"/>
  <c r="BZ14" i="1"/>
  <c r="CA14" i="1"/>
  <c r="CB14" i="1"/>
  <c r="CC14" i="1"/>
  <c r="BV15" i="1"/>
  <c r="BW15" i="1"/>
  <c r="BX15" i="1"/>
  <c r="BY15" i="1"/>
  <c r="BZ15" i="1"/>
  <c r="CA15" i="1"/>
  <c r="CB15" i="1"/>
  <c r="CC15" i="1"/>
  <c r="BV13" i="1"/>
  <c r="BW13" i="1"/>
  <c r="BX13" i="1"/>
  <c r="BY13" i="1"/>
  <c r="BZ13" i="1"/>
  <c r="CA13" i="1"/>
  <c r="CB13" i="1"/>
  <c r="CC13" i="1"/>
  <c r="BV11" i="1"/>
  <c r="BW11" i="1"/>
  <c r="BX11" i="1"/>
  <c r="BY11" i="1"/>
  <c r="BZ11" i="1"/>
  <c r="CA11" i="1"/>
  <c r="CB11" i="1"/>
  <c r="CC11" i="1"/>
  <c r="BV9" i="1"/>
  <c r="BW9" i="1"/>
  <c r="BX9" i="1"/>
  <c r="BY9" i="1"/>
  <c r="BZ9" i="1"/>
  <c r="CA9" i="1"/>
  <c r="CB9" i="1"/>
  <c r="CC9" i="1"/>
  <c r="BV10" i="1"/>
  <c r="BW10" i="1"/>
  <c r="BX10" i="1"/>
  <c r="BY10" i="1"/>
  <c r="BZ10" i="1"/>
  <c r="CA10" i="1"/>
  <c r="CB10" i="1"/>
  <c r="CC10" i="1"/>
  <c r="BV8" i="1"/>
  <c r="BW8" i="1"/>
  <c r="BX8" i="1"/>
  <c r="BY8" i="1"/>
  <c r="BZ8" i="1"/>
  <c r="CA8" i="1"/>
  <c r="CB8" i="1"/>
  <c r="CC8" i="1"/>
  <c r="BV7" i="1"/>
  <c r="BW7" i="1"/>
  <c r="BX7" i="1"/>
  <c r="BY7" i="1"/>
  <c r="BZ7" i="1"/>
  <c r="CA7" i="1"/>
  <c r="CB7" i="1"/>
  <c r="CC7" i="1"/>
  <c r="BV6" i="1"/>
  <c r="BW6" i="1"/>
  <c r="BX6" i="1"/>
  <c r="BY6" i="1"/>
  <c r="BZ6" i="1"/>
  <c r="CA6" i="1"/>
  <c r="CB6" i="1"/>
  <c r="CC6" i="1"/>
  <c r="BV5" i="1"/>
  <c r="BW5" i="1"/>
  <c r="BX5" i="1"/>
  <c r="BY5" i="1"/>
  <c r="BZ5" i="1"/>
  <c r="CA5" i="1"/>
  <c r="CB5" i="1"/>
  <c r="CC5" i="1"/>
  <c r="BV76" i="1"/>
  <c r="BW76" i="1"/>
  <c r="BX76" i="1"/>
  <c r="BY76" i="1"/>
  <c r="BZ76" i="1"/>
  <c r="CA76" i="1"/>
  <c r="CB76" i="1"/>
  <c r="CC76" i="1"/>
  <c r="BV77" i="1"/>
  <c r="BW77" i="1"/>
  <c r="BX77" i="1"/>
  <c r="BY77" i="1"/>
  <c r="BZ77" i="1"/>
  <c r="CA77" i="1"/>
  <c r="CB77" i="1"/>
  <c r="CC77" i="1"/>
  <c r="BV78" i="1"/>
  <c r="BW78" i="1"/>
  <c r="BX78" i="1"/>
  <c r="BY78" i="1"/>
  <c r="BZ78" i="1"/>
  <c r="CA78" i="1"/>
  <c r="CC78" i="1"/>
  <c r="BV79" i="1"/>
  <c r="BW79" i="1"/>
  <c r="BX79" i="1"/>
  <c r="BY79" i="1"/>
  <c r="BZ79" i="1"/>
  <c r="CA79" i="1"/>
  <c r="CB79" i="1"/>
  <c r="CC79" i="1"/>
  <c r="BV80" i="1"/>
  <c r="BW80" i="1"/>
  <c r="BX80" i="1"/>
  <c r="BY80" i="1"/>
  <c r="BZ80" i="1"/>
  <c r="CA80" i="1"/>
  <c r="CB80" i="1"/>
  <c r="CC80" i="1"/>
  <c r="BV81" i="1"/>
  <c r="BW81" i="1"/>
  <c r="BX81" i="1"/>
  <c r="BY81" i="1"/>
  <c r="BZ81" i="1"/>
  <c r="CA81" i="1"/>
  <c r="CB81" i="1"/>
  <c r="CC81" i="1"/>
  <c r="BV82" i="1"/>
  <c r="BW82" i="1"/>
  <c r="BX82" i="1"/>
  <c r="BY82" i="1"/>
  <c r="BZ82" i="1"/>
  <c r="CA82" i="1"/>
  <c r="CB82" i="1"/>
  <c r="CC82" i="1"/>
  <c r="BV83" i="1"/>
  <c r="BW83" i="1"/>
  <c r="BX83" i="1"/>
  <c r="BY83" i="1"/>
  <c r="BZ83" i="1"/>
  <c r="CA83" i="1"/>
  <c r="CB83" i="1"/>
  <c r="CC83" i="1"/>
  <c r="BV84" i="1"/>
  <c r="BW84" i="1"/>
  <c r="BX84" i="1"/>
  <c r="BY84" i="1"/>
  <c r="BZ84" i="1"/>
  <c r="CA84" i="1"/>
  <c r="CB84" i="1"/>
  <c r="CC84" i="1"/>
  <c r="BV85" i="1"/>
  <c r="BW85" i="1"/>
  <c r="BX85" i="1"/>
  <c r="BY85" i="1"/>
  <c r="BZ85" i="1"/>
  <c r="CA85" i="1"/>
  <c r="CB85" i="1"/>
  <c r="CC85" i="1"/>
  <c r="BV86" i="1"/>
  <c r="BW86" i="1"/>
  <c r="BX86" i="1"/>
  <c r="BY86" i="1"/>
  <c r="BZ86" i="1"/>
  <c r="CA86" i="1"/>
  <c r="CB86" i="1"/>
  <c r="CC86" i="1"/>
  <c r="BV87" i="1"/>
  <c r="BX87" i="1"/>
  <c r="BY87" i="1"/>
  <c r="BZ87" i="1"/>
  <c r="CA87" i="1"/>
  <c r="CC87" i="1"/>
  <c r="BV88" i="1"/>
  <c r="BX88" i="1"/>
  <c r="BY88" i="1"/>
  <c r="BZ88" i="1"/>
  <c r="CA88" i="1"/>
  <c r="CB88" i="1"/>
  <c r="CC88" i="1"/>
  <c r="BV89" i="1"/>
  <c r="BW89" i="1"/>
  <c r="BX89" i="1"/>
  <c r="BY89" i="1"/>
  <c r="BZ89" i="1"/>
  <c r="CA89" i="1"/>
  <c r="CB89" i="1"/>
  <c r="CC89" i="1"/>
  <c r="BV90" i="1"/>
  <c r="BW90" i="1"/>
  <c r="BX90" i="1"/>
  <c r="BY90" i="1"/>
  <c r="BZ90" i="1"/>
  <c r="CA90" i="1"/>
  <c r="CB90" i="1"/>
  <c r="CC90" i="1"/>
  <c r="BV91" i="1"/>
  <c r="BW91" i="1"/>
  <c r="BX91" i="1"/>
  <c r="BY91" i="1"/>
  <c r="BZ91" i="1"/>
  <c r="CA91" i="1"/>
  <c r="CB91" i="1"/>
  <c r="CC91" i="1"/>
  <c r="BV92" i="1"/>
  <c r="BW92" i="1"/>
  <c r="BX92" i="1"/>
  <c r="BY92" i="1"/>
  <c r="BZ92" i="1"/>
  <c r="CA92" i="1"/>
  <c r="CB92" i="1"/>
  <c r="CC92" i="1"/>
  <c r="BV93" i="1"/>
  <c r="BW93" i="1"/>
  <c r="BX93" i="1"/>
  <c r="BY93" i="1"/>
  <c r="BZ93" i="1"/>
  <c r="CA93" i="1"/>
  <c r="CC93" i="1"/>
  <c r="BV94" i="1"/>
  <c r="BW94" i="1"/>
  <c r="BX94" i="1"/>
  <c r="BY94" i="1"/>
  <c r="BZ94" i="1"/>
  <c r="CA94" i="1"/>
  <c r="CB94" i="1"/>
  <c r="CC94" i="1"/>
  <c r="BV95" i="1"/>
  <c r="BW95" i="1"/>
  <c r="BX95" i="1"/>
  <c r="BY95" i="1"/>
  <c r="BZ95" i="1"/>
  <c r="CA95" i="1"/>
  <c r="CB95" i="1"/>
  <c r="CC95" i="1"/>
  <c r="BV96" i="1"/>
  <c r="BW96" i="1"/>
  <c r="BX96" i="1"/>
  <c r="BY96" i="1"/>
  <c r="BZ96" i="1"/>
  <c r="CA96" i="1"/>
  <c r="CB96" i="1"/>
  <c r="CC96" i="1"/>
  <c r="BV97" i="1"/>
  <c r="BW97" i="1"/>
  <c r="BX97" i="1"/>
  <c r="BY97" i="1"/>
  <c r="BZ97" i="1"/>
  <c r="CA97" i="1"/>
  <c r="CB97" i="1"/>
  <c r="CC97" i="1"/>
  <c r="BV98" i="1"/>
  <c r="BW98" i="1"/>
  <c r="BX98" i="1"/>
  <c r="BY98" i="1"/>
  <c r="BZ98" i="1"/>
  <c r="CA98" i="1"/>
  <c r="CB98" i="1"/>
  <c r="CC98" i="1"/>
  <c r="BV71" i="1"/>
  <c r="BX71" i="1"/>
  <c r="BY71" i="1"/>
  <c r="BZ71" i="1"/>
  <c r="CA71" i="1"/>
  <c r="CB71" i="1"/>
  <c r="CC71" i="1"/>
  <c r="BS46" i="1"/>
  <c r="BN41" i="1"/>
  <c r="BQ32" i="1"/>
  <c r="BP34" i="1"/>
  <c r="BR27" i="1"/>
  <c r="BC71" i="1"/>
  <c r="BW71" i="1" s="1"/>
  <c r="BA71" i="1"/>
  <c r="BA422" i="1" s="1"/>
  <c r="AS70" i="1"/>
  <c r="AS68" i="1"/>
  <c r="AU68" i="1"/>
  <c r="AS75" i="1"/>
  <c r="AS74" i="1"/>
  <c r="AS72" i="1"/>
  <c r="AS73" i="1"/>
  <c r="AS69" i="1"/>
  <c r="AS67" i="1"/>
  <c r="AS65" i="1"/>
  <c r="AS64" i="1"/>
  <c r="AS62" i="1"/>
  <c r="AS63" i="1"/>
  <c r="AU63" i="1"/>
  <c r="AS61" i="1"/>
  <c r="AU61" i="1"/>
  <c r="AS60" i="1"/>
  <c r="AU60" i="1"/>
  <c r="AS58" i="1"/>
  <c r="AS59" i="1"/>
  <c r="AS57" i="1"/>
  <c r="AS55" i="1"/>
  <c r="AU55" i="1"/>
  <c r="AS56" i="1"/>
  <c r="AU56" i="1"/>
  <c r="AS54" i="1"/>
  <c r="AS53" i="1"/>
  <c r="AS52" i="1"/>
  <c r="AS51" i="1"/>
  <c r="AS49" i="1"/>
  <c r="AS50" i="1"/>
  <c r="AS48" i="1"/>
  <c r="AS47" i="1"/>
  <c r="AS46" i="1"/>
  <c r="AU46" i="1"/>
  <c r="AS45" i="1"/>
  <c r="AS44" i="1"/>
  <c r="AS43" i="1"/>
  <c r="AS42" i="1"/>
  <c r="AS39" i="1"/>
  <c r="AU39" i="1"/>
  <c r="AS40" i="1"/>
  <c r="AU40" i="1"/>
  <c r="AS41" i="1"/>
  <c r="AU41" i="1"/>
  <c r="AS38" i="1"/>
  <c r="AS37" i="1"/>
  <c r="AS36" i="1"/>
  <c r="AS35" i="1"/>
  <c r="AS32" i="1"/>
  <c r="AS33" i="1"/>
  <c r="AS34" i="1"/>
  <c r="AS30" i="1"/>
  <c r="AS31" i="1"/>
  <c r="AS29" i="1"/>
  <c r="AS26" i="1"/>
  <c r="AS27" i="1"/>
  <c r="AS28" i="1"/>
  <c r="AS25" i="1"/>
  <c r="AU25" i="1"/>
  <c r="AS24" i="1"/>
  <c r="AS18" i="1"/>
  <c r="AS19" i="1"/>
  <c r="AS20" i="1"/>
  <c r="AS21" i="1"/>
  <c r="AU21" i="1"/>
  <c r="AS22" i="1"/>
  <c r="AS23" i="1"/>
  <c r="AS17" i="1"/>
  <c r="AU17" i="1"/>
  <c r="AS16" i="1"/>
  <c r="AU16" i="1"/>
  <c r="AS14" i="1"/>
  <c r="AS15" i="1"/>
  <c r="AS13" i="1"/>
  <c r="AS11" i="1"/>
  <c r="AS9" i="1"/>
  <c r="AS10" i="1"/>
  <c r="AS8" i="1"/>
  <c r="AS7" i="1"/>
  <c r="AS6" i="1"/>
  <c r="AS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71" i="1"/>
  <c r="AK70" i="1"/>
  <c r="AR70" i="1" s="1"/>
  <c r="DB70" i="1" s="1"/>
  <c r="AK68" i="1"/>
  <c r="AR68" i="1" s="1"/>
  <c r="DB68" i="1" s="1"/>
  <c r="AK75" i="1"/>
  <c r="AR75" i="1" s="1"/>
  <c r="DB75" i="1" s="1"/>
  <c r="AK74" i="1"/>
  <c r="AR74" i="1" s="1"/>
  <c r="DB74" i="1" s="1"/>
  <c r="AK72" i="1"/>
  <c r="AR72" i="1" s="1"/>
  <c r="DB72" i="1" s="1"/>
  <c r="AK73" i="1"/>
  <c r="AR73" i="1" s="1"/>
  <c r="DB73" i="1" s="1"/>
  <c r="AK69" i="1"/>
  <c r="AR69" i="1" s="1"/>
  <c r="DB69" i="1" s="1"/>
  <c r="AK67" i="1"/>
  <c r="AR67" i="1" s="1"/>
  <c r="DB67" i="1" s="1"/>
  <c r="AK65" i="1"/>
  <c r="AR65" i="1" s="1"/>
  <c r="DB65" i="1" s="1"/>
  <c r="AK64" i="1"/>
  <c r="AR64" i="1" s="1"/>
  <c r="DB64" i="1" s="1"/>
  <c r="AK62" i="1"/>
  <c r="AR62" i="1" s="1"/>
  <c r="DB62" i="1" s="1"/>
  <c r="AK63" i="1"/>
  <c r="AR63" i="1" s="1"/>
  <c r="DB63" i="1" s="1"/>
  <c r="AK61" i="1"/>
  <c r="AR61" i="1" s="1"/>
  <c r="DB61" i="1" s="1"/>
  <c r="AK60" i="1"/>
  <c r="AR60" i="1" s="1"/>
  <c r="DB60" i="1" s="1"/>
  <c r="AK58" i="1"/>
  <c r="AR58" i="1" s="1"/>
  <c r="DB58" i="1" s="1"/>
  <c r="AK59" i="1"/>
  <c r="AK57" i="1"/>
  <c r="AR57" i="1" s="1"/>
  <c r="DB57" i="1" s="1"/>
  <c r="AK55" i="1"/>
  <c r="AR55" i="1" s="1"/>
  <c r="DB55" i="1" s="1"/>
  <c r="AK56" i="1"/>
  <c r="AR56" i="1" s="1"/>
  <c r="DB56" i="1" s="1"/>
  <c r="AK54" i="1"/>
  <c r="AR54" i="1" s="1"/>
  <c r="DB54" i="1" s="1"/>
  <c r="AK53" i="1"/>
  <c r="AR53" i="1" s="1"/>
  <c r="DB53" i="1" s="1"/>
  <c r="AK52" i="1"/>
  <c r="AR52" i="1" s="1"/>
  <c r="DB52" i="1" s="1"/>
  <c r="AK51" i="1"/>
  <c r="AR51" i="1" s="1"/>
  <c r="DB51" i="1" s="1"/>
  <c r="AK50" i="1"/>
  <c r="AR50" i="1" s="1"/>
  <c r="DB50" i="1" s="1"/>
  <c r="AK48" i="1"/>
  <c r="AR48" i="1" s="1"/>
  <c r="DB48" i="1" s="1"/>
  <c r="AK47" i="1"/>
  <c r="AR47" i="1" s="1"/>
  <c r="DB47" i="1" s="1"/>
  <c r="AK46" i="1"/>
  <c r="AR46" i="1" s="1"/>
  <c r="DB46" i="1" s="1"/>
  <c r="AK45" i="1"/>
  <c r="AR45" i="1" s="1"/>
  <c r="DB45" i="1" s="1"/>
  <c r="AK44" i="1"/>
  <c r="AR44" i="1" s="1"/>
  <c r="DB44" i="1" s="1"/>
  <c r="AK43" i="1"/>
  <c r="AK42" i="1"/>
  <c r="AR42" i="1" s="1"/>
  <c r="DB42" i="1" s="1"/>
  <c r="AK39" i="1"/>
  <c r="AR39" i="1" s="1"/>
  <c r="DB39" i="1" s="1"/>
  <c r="AK40" i="1"/>
  <c r="AR40" i="1" s="1"/>
  <c r="DB40" i="1" s="1"/>
  <c r="AK41" i="1"/>
  <c r="AK38" i="1"/>
  <c r="AR38" i="1" s="1"/>
  <c r="DB38" i="1" s="1"/>
  <c r="AK37" i="1"/>
  <c r="AR37" i="1" s="1"/>
  <c r="DB37" i="1" s="1"/>
  <c r="AK36" i="1"/>
  <c r="AR36" i="1" s="1"/>
  <c r="DB36" i="1" s="1"/>
  <c r="AK35" i="1"/>
  <c r="AR35" i="1" s="1"/>
  <c r="DB35" i="1" s="1"/>
  <c r="AK32" i="1"/>
  <c r="AK33" i="1"/>
  <c r="AR33" i="1" s="1"/>
  <c r="DB33" i="1" s="1"/>
  <c r="AK34" i="1"/>
  <c r="AR34" i="1" s="1"/>
  <c r="DB34" i="1" s="1"/>
  <c r="AK30" i="1"/>
  <c r="AK31" i="1"/>
  <c r="AR31" i="1" s="1"/>
  <c r="DB31" i="1" s="1"/>
  <c r="AK29" i="1"/>
  <c r="AR29" i="1" s="1"/>
  <c r="DB29" i="1" s="1"/>
  <c r="AK26" i="1"/>
  <c r="AR26" i="1" s="1"/>
  <c r="DB26" i="1" s="1"/>
  <c r="AK27" i="1"/>
  <c r="AR27" i="1" s="1"/>
  <c r="DB27" i="1" s="1"/>
  <c r="AK28" i="1"/>
  <c r="AK25" i="1"/>
  <c r="AR25" i="1" s="1"/>
  <c r="DB25" i="1" s="1"/>
  <c r="AK24" i="1"/>
  <c r="AR24" i="1" s="1"/>
  <c r="DB24" i="1" s="1"/>
  <c r="AK18" i="1"/>
  <c r="AR18" i="1" s="1"/>
  <c r="DB18" i="1" s="1"/>
  <c r="AK19" i="1"/>
  <c r="AR19" i="1" s="1"/>
  <c r="DB19" i="1" s="1"/>
  <c r="AK20" i="1"/>
  <c r="AR20" i="1" s="1"/>
  <c r="DB20" i="1" s="1"/>
  <c r="AK21" i="1"/>
  <c r="AR21" i="1" s="1"/>
  <c r="DB21" i="1" s="1"/>
  <c r="AK23" i="1"/>
  <c r="AR23" i="1" s="1"/>
  <c r="DB23" i="1" s="1"/>
  <c r="AK17" i="1"/>
  <c r="AK16" i="1"/>
  <c r="AR16" i="1" s="1"/>
  <c r="DB16" i="1" s="1"/>
  <c r="AK14" i="1"/>
  <c r="AR14" i="1" s="1"/>
  <c r="DB14" i="1" s="1"/>
  <c r="AK15" i="1"/>
  <c r="AR15" i="1" s="1"/>
  <c r="DB15" i="1" s="1"/>
  <c r="AK13" i="1"/>
  <c r="AR13" i="1" s="1"/>
  <c r="DB13" i="1" s="1"/>
  <c r="AK11" i="1"/>
  <c r="AR11" i="1" s="1"/>
  <c r="DB11" i="1" s="1"/>
  <c r="AK10" i="1"/>
  <c r="AR10" i="1" s="1"/>
  <c r="DB10" i="1" s="1"/>
  <c r="AK8" i="1"/>
  <c r="AR8" i="1" s="1"/>
  <c r="DB8" i="1" s="1"/>
  <c r="AK7" i="1"/>
  <c r="AR7" i="1" s="1"/>
  <c r="DB7" i="1" s="1"/>
  <c r="AK6" i="1"/>
  <c r="AR6" i="1" s="1"/>
  <c r="DB6" i="1" s="1"/>
  <c r="AK5" i="1"/>
  <c r="AR5" i="1" s="1"/>
  <c r="DB5" i="1" s="1"/>
  <c r="AK76" i="1"/>
  <c r="AK77" i="1"/>
  <c r="AK78" i="1"/>
  <c r="AR78" i="1" s="1"/>
  <c r="DB78" i="1" s="1"/>
  <c r="AK79" i="1"/>
  <c r="AR79" i="1" s="1"/>
  <c r="DB79" i="1" s="1"/>
  <c r="AK80" i="1"/>
  <c r="AR80" i="1" s="1"/>
  <c r="DB80" i="1" s="1"/>
  <c r="AK81" i="1"/>
  <c r="AR81" i="1" s="1"/>
  <c r="DB81" i="1" s="1"/>
  <c r="AK82" i="1"/>
  <c r="AK83" i="1"/>
  <c r="AR83" i="1" s="1"/>
  <c r="DB83" i="1" s="1"/>
  <c r="AK84" i="1"/>
  <c r="AK85" i="1"/>
  <c r="AR85" i="1" s="1"/>
  <c r="DB85" i="1" s="1"/>
  <c r="AK86" i="1"/>
  <c r="AK87" i="1"/>
  <c r="AR87" i="1" s="1"/>
  <c r="DB87" i="1" s="1"/>
  <c r="AK88" i="1"/>
  <c r="AR88" i="1" s="1"/>
  <c r="DB88" i="1" s="1"/>
  <c r="AK89" i="1"/>
  <c r="AK90" i="1"/>
  <c r="AR90" i="1" s="1"/>
  <c r="DB90" i="1" s="1"/>
  <c r="AK91" i="1"/>
  <c r="AK92" i="1"/>
  <c r="AK93" i="1"/>
  <c r="AR93" i="1" s="1"/>
  <c r="DB93" i="1" s="1"/>
  <c r="AK94" i="1"/>
  <c r="AR94" i="1" s="1"/>
  <c r="DB94" i="1" s="1"/>
  <c r="AK95" i="1"/>
  <c r="AR95" i="1" s="1"/>
  <c r="DB95" i="1" s="1"/>
  <c r="AK96" i="1"/>
  <c r="AR96" i="1" s="1"/>
  <c r="DB96" i="1" s="1"/>
  <c r="AK97" i="1"/>
  <c r="AR97" i="1" s="1"/>
  <c r="DB97" i="1" s="1"/>
  <c r="AK98" i="1"/>
  <c r="AR98" i="1" s="1"/>
  <c r="DB98" i="1" s="1"/>
  <c r="AK71" i="1"/>
  <c r="AR71" i="1" s="1"/>
  <c r="DB71" i="1" s="1"/>
  <c r="BP68" i="1"/>
  <c r="BN75" i="1"/>
  <c r="BN74" i="1"/>
  <c r="BN72" i="1"/>
  <c r="BN69" i="1"/>
  <c r="BN67" i="1"/>
  <c r="BL64" i="1"/>
  <c r="BO63" i="1"/>
  <c r="BP61" i="1"/>
  <c r="BP60" i="1"/>
  <c r="BQ58" i="1"/>
  <c r="BL57" i="1"/>
  <c r="BN55" i="1"/>
  <c r="BO56" i="1"/>
  <c r="BS53" i="1"/>
  <c r="BO51" i="1"/>
  <c r="BL50" i="1"/>
  <c r="BM48" i="1"/>
  <c r="BR44" i="1"/>
  <c r="BM42" i="1"/>
  <c r="BO39" i="1"/>
  <c r="BN40" i="1"/>
  <c r="BM37" i="1"/>
  <c r="BO33" i="1"/>
  <c r="BL31" i="1"/>
  <c r="BO27" i="1"/>
  <c r="BO25" i="1"/>
  <c r="BR24" i="1"/>
  <c r="BL19" i="1"/>
  <c r="BL20" i="1"/>
  <c r="BQ23" i="1"/>
  <c r="BN14" i="1"/>
  <c r="BM15" i="1"/>
  <c r="BP13" i="1"/>
  <c r="BP11" i="1"/>
  <c r="BQ9" i="1"/>
  <c r="BP10" i="1"/>
  <c r="AU8" i="1"/>
  <c r="BO6" i="1"/>
  <c r="BN5" i="1"/>
  <c r="BR79" i="1"/>
  <c r="BP83" i="1"/>
  <c r="BM85" i="1"/>
  <c r="BO87" i="1"/>
  <c r="BM90" i="1"/>
  <c r="AU93" i="1"/>
  <c r="BP95" i="1"/>
  <c r="BQ98" i="1"/>
  <c r="BO44" i="1"/>
  <c r="BS94" i="1"/>
  <c r="BL79" i="1"/>
  <c r="BR5" i="1"/>
  <c r="BR94" i="1"/>
  <c r="AU83" i="1"/>
  <c r="BQ87" i="1"/>
  <c r="BQ14" i="1"/>
  <c r="BS6" i="1"/>
  <c r="AU6" i="1"/>
  <c r="BQ6" i="1"/>
  <c r="BQ29" i="1"/>
  <c r="BP45" i="1"/>
  <c r="AU37" i="1"/>
  <c r="BR90" i="1"/>
  <c r="BR31" i="1"/>
  <c r="BO45" i="1"/>
  <c r="BP98" i="1"/>
  <c r="BQ45" i="1"/>
  <c r="AU79" i="1"/>
  <c r="AU45" i="1"/>
  <c r="BP90" i="1"/>
  <c r="BR14" i="1"/>
  <c r="BP31" i="1"/>
  <c r="BL87" i="1"/>
  <c r="BS33" i="1"/>
  <c r="BN9" i="1"/>
  <c r="BM79" i="1"/>
  <c r="BM39" i="1"/>
  <c r="BM9" i="1"/>
  <c r="BQ5" i="1"/>
  <c r="BL9" i="1"/>
  <c r="BR23" i="1"/>
  <c r="BP29" i="1"/>
  <c r="BQ94" i="1"/>
  <c r="BR33" i="1"/>
  <c r="AU94" i="1"/>
  <c r="BR39" i="1"/>
  <c r="BS10" i="1"/>
  <c r="BN85" i="1"/>
  <c r="BO11" i="1"/>
  <c r="BR20" i="1"/>
  <c r="BP48" i="1"/>
  <c r="AU14" i="1"/>
  <c r="AU23" i="1"/>
  <c r="BR98" i="1"/>
  <c r="BQ90" i="1"/>
  <c r="BO83" i="1"/>
  <c r="BR6" i="1"/>
  <c r="BR15" i="1"/>
  <c r="BQ20" i="1"/>
  <c r="BQ31" i="1"/>
  <c r="BP39" i="1"/>
  <c r="BO81" i="1"/>
  <c r="BL81" i="1"/>
  <c r="BM81" i="1"/>
  <c r="BP18" i="1"/>
  <c r="BR18" i="1"/>
  <c r="AU18" i="1"/>
  <c r="BS18" i="1"/>
  <c r="BQ18" i="1"/>
  <c r="BP46" i="1"/>
  <c r="BQ46" i="1"/>
  <c r="BR46" i="1"/>
  <c r="BR73" i="1"/>
  <c r="BQ97" i="1"/>
  <c r="BR97" i="1"/>
  <c r="BS97" i="1"/>
  <c r="BP97" i="1"/>
  <c r="BS7" i="1"/>
  <c r="BL7" i="1"/>
  <c r="BQ7" i="1"/>
  <c r="BO53" i="1"/>
  <c r="BQ53" i="1"/>
  <c r="BR53" i="1"/>
  <c r="BP53" i="1"/>
  <c r="AU97" i="1"/>
  <c r="BL73" i="1"/>
  <c r="BQ8" i="1"/>
  <c r="BL8" i="1"/>
  <c r="BM8" i="1"/>
  <c r="BR8" i="1"/>
  <c r="BS8" i="1"/>
  <c r="BN34" i="1"/>
  <c r="BR34" i="1"/>
  <c r="BL34" i="1"/>
  <c r="BQ34" i="1"/>
  <c r="BS34" i="1"/>
  <c r="BO54" i="1"/>
  <c r="BL54" i="1"/>
  <c r="BL16" i="1"/>
  <c r="BQ16" i="1"/>
  <c r="BR16" i="1"/>
  <c r="BS16" i="1"/>
  <c r="BP38" i="1"/>
  <c r="BO38" i="1"/>
  <c r="BQ38" i="1"/>
  <c r="BL61" i="1"/>
  <c r="BN61" i="1"/>
  <c r="BM61" i="1"/>
  <c r="BO61" i="1"/>
  <c r="BR7" i="1"/>
  <c r="BR38" i="1"/>
  <c r="BO96" i="1"/>
  <c r="BR96" i="1"/>
  <c r="BS96" i="1"/>
  <c r="BL96" i="1"/>
  <c r="BN88" i="1"/>
  <c r="BR88" i="1"/>
  <c r="BS88" i="1"/>
  <c r="BL88" i="1"/>
  <c r="BQ88" i="1"/>
  <c r="BQ80" i="1"/>
  <c r="AU80" i="1"/>
  <c r="BM80" i="1"/>
  <c r="BN80" i="1"/>
  <c r="BL80" i="1"/>
  <c r="BS80" i="1"/>
  <c r="BO24" i="1"/>
  <c r="BS24" i="1"/>
  <c r="BL24" i="1"/>
  <c r="BQ24" i="1"/>
  <c r="BM47" i="1"/>
  <c r="BS47" i="1"/>
  <c r="BQ47" i="1"/>
  <c r="BP47" i="1"/>
  <c r="AU47" i="1"/>
  <c r="BR47" i="1"/>
  <c r="BO46" i="1"/>
  <c r="BQ96" i="1"/>
  <c r="BR40" i="1"/>
  <c r="AU10" i="1"/>
  <c r="BR95" i="1"/>
  <c r="BN94" i="1"/>
  <c r="BL10" i="1"/>
  <c r="BQ13" i="1"/>
  <c r="BN23" i="1"/>
  <c r="BS25" i="1"/>
  <c r="BQ40" i="1"/>
  <c r="BR63" i="1"/>
  <c r="BM33" i="1"/>
  <c r="BR48" i="1"/>
  <c r="BS95" i="1"/>
  <c r="BM10" i="1"/>
  <c r="BL33" i="1"/>
  <c r="AU95" i="1"/>
  <c r="BM95" i="1"/>
  <c r="BM23" i="1"/>
  <c r="BR25" i="1"/>
  <c r="BQ63" i="1"/>
  <c r="BN10" i="1"/>
  <c r="BS40" i="1"/>
  <c r="BP94" i="1"/>
  <c r="BL39" i="1"/>
  <c r="BQ15" i="1"/>
  <c r="BL23" i="1"/>
  <c r="BM25" i="1"/>
  <c r="BQ37" i="1"/>
  <c r="BS48" i="1"/>
  <c r="BS56" i="1"/>
  <c r="BP63" i="1"/>
  <c r="AU33" i="1"/>
  <c r="BO23" i="1"/>
  <c r="BM94" i="1"/>
  <c r="BN78" i="1"/>
  <c r="BL40" i="1"/>
  <c r="BL95" i="1"/>
  <c r="BL94" i="1"/>
  <c r="BO79" i="1"/>
  <c r="BR9" i="1"/>
  <c r="AU87" i="1"/>
  <c r="AU9" i="1"/>
  <c r="AU48" i="1"/>
  <c r="BS87" i="1"/>
  <c r="BN79" i="1"/>
  <c r="BO9" i="1"/>
  <c r="BS14" i="1"/>
  <c r="BP21" i="1"/>
  <c r="BL25" i="1"/>
  <c r="BP37" i="1"/>
  <c r="BS39" i="1"/>
  <c r="BP44" i="1"/>
  <c r="BQ48" i="1"/>
  <c r="BR56" i="1"/>
  <c r="DL35" i="1"/>
  <c r="DH35" i="1"/>
  <c r="DI35" i="1"/>
  <c r="DM35" i="1"/>
  <c r="DD35" i="1"/>
  <c r="DE35" i="1"/>
  <c r="DO35" i="1"/>
  <c r="BP35" i="1"/>
  <c r="BQ35" i="1"/>
  <c r="BM35" i="1"/>
  <c r="BR35" i="1"/>
  <c r="BL35" i="1"/>
  <c r="BS35" i="1"/>
  <c r="DL26" i="1"/>
  <c r="DM26" i="1"/>
  <c r="DO26" i="1"/>
  <c r="DE26" i="1"/>
  <c r="DH26" i="1"/>
  <c r="DI26" i="1"/>
  <c r="BQ26" i="1"/>
  <c r="AU26" i="1"/>
  <c r="BR26" i="1"/>
  <c r="BM26" i="1"/>
  <c r="BS26" i="1"/>
  <c r="BN26" i="1"/>
  <c r="BL26" i="1"/>
  <c r="BN27" i="1"/>
  <c r="BQ21" i="1"/>
  <c r="DJ11" i="1"/>
  <c r="DL11" i="1"/>
  <c r="DD11" i="1"/>
  <c r="DO11" i="1"/>
  <c r="DH11" i="1"/>
  <c r="DI11" i="1"/>
  <c r="DE11" i="1"/>
  <c r="BQ11" i="1"/>
  <c r="BR11" i="1"/>
  <c r="BM11" i="1"/>
  <c r="BN11" i="1"/>
  <c r="BS11" i="1"/>
  <c r="AU11" i="1"/>
  <c r="BL11" i="1"/>
  <c r="DH42" i="1"/>
  <c r="DI42" i="1"/>
  <c r="DL42" i="1"/>
  <c r="DM42" i="1"/>
  <c r="DO42" i="1"/>
  <c r="DD42" i="1"/>
  <c r="DE42" i="1"/>
  <c r="BO42" i="1"/>
  <c r="BP42" i="1"/>
  <c r="BS42" i="1"/>
  <c r="BQ42" i="1"/>
  <c r="AU42" i="1"/>
  <c r="BR42" i="1"/>
  <c r="BL42" i="1"/>
  <c r="DO13" i="1"/>
  <c r="DD13" i="1"/>
  <c r="DE13" i="1"/>
  <c r="DH13" i="1"/>
  <c r="DL13" i="1"/>
  <c r="DI13" i="1"/>
  <c r="DJ13" i="1"/>
  <c r="BR13" i="1"/>
  <c r="BS13" i="1"/>
  <c r="BL13" i="1"/>
  <c r="BO13" i="1"/>
  <c r="BM13" i="1"/>
  <c r="BN13" i="1"/>
  <c r="BP26" i="1"/>
  <c r="BO35" i="1"/>
  <c r="BM50" i="1"/>
  <c r="AU35" i="1"/>
  <c r="BO26" i="1"/>
  <c r="BN35" i="1"/>
  <c r="DR85" i="1"/>
  <c r="DM85" i="1"/>
  <c r="DD85" i="1"/>
  <c r="DO85" i="1"/>
  <c r="DE85" i="1"/>
  <c r="DH85" i="1"/>
  <c r="DI85" i="1"/>
  <c r="DJ85" i="1"/>
  <c r="DL85" i="1"/>
  <c r="BO85" i="1"/>
  <c r="BP85" i="1"/>
  <c r="BQ85" i="1"/>
  <c r="BS85" i="1"/>
  <c r="BR85" i="1"/>
  <c r="BL85" i="1"/>
  <c r="DE22" i="1"/>
  <c r="DH22" i="1"/>
  <c r="DI22" i="1"/>
  <c r="DL22" i="1"/>
  <c r="DM22" i="1"/>
  <c r="DO22" i="1"/>
  <c r="BQ22" i="1"/>
  <c r="AU22" i="1"/>
  <c r="BR22" i="1"/>
  <c r="BM22" i="1"/>
  <c r="BS22" i="1"/>
  <c r="BL22" i="1"/>
  <c r="BN22" i="1"/>
  <c r="W50" i="1"/>
  <c r="DL50" i="1"/>
  <c r="DM50" i="1"/>
  <c r="DD50" i="1"/>
  <c r="DO50" i="1"/>
  <c r="DH50" i="1"/>
  <c r="DE50" i="1"/>
  <c r="BN50" i="1"/>
  <c r="BS50" i="1"/>
  <c r="BO50" i="1"/>
  <c r="BR50" i="1"/>
  <c r="BP50" i="1"/>
  <c r="BQ50" i="1"/>
  <c r="DH36" i="1"/>
  <c r="DL36" i="1"/>
  <c r="DI36" i="1"/>
  <c r="DD36" i="1"/>
  <c r="DE36" i="1"/>
  <c r="DO36" i="1"/>
  <c r="BQ36" i="1"/>
  <c r="BR36" i="1"/>
  <c r="BM36" i="1"/>
  <c r="BS36" i="1"/>
  <c r="BN36" i="1"/>
  <c r="BL36" i="1"/>
  <c r="AU36" i="1"/>
  <c r="BR65" i="1"/>
  <c r="AU65" i="1"/>
  <c r="AU85" i="1"/>
  <c r="BP22" i="1"/>
  <c r="BP36" i="1"/>
  <c r="DM93" i="1"/>
  <c r="DO93" i="1"/>
  <c r="DH93" i="1"/>
  <c r="DR93" i="1"/>
  <c r="DD93" i="1"/>
  <c r="DE93" i="1"/>
  <c r="DI93" i="1"/>
  <c r="DL93" i="1"/>
  <c r="BP93" i="1"/>
  <c r="BQ93" i="1"/>
  <c r="BL93" i="1"/>
  <c r="BM93" i="1"/>
  <c r="BR93" i="1"/>
  <c r="BS93" i="1"/>
  <c r="DI27" i="1"/>
  <c r="DL27" i="1"/>
  <c r="DO27" i="1"/>
  <c r="DE27" i="1"/>
  <c r="DD27" i="1"/>
  <c r="DH27" i="1"/>
  <c r="BP27" i="1"/>
  <c r="BQ27" i="1"/>
  <c r="BL27" i="1"/>
  <c r="BS27" i="1"/>
  <c r="BM27" i="1"/>
  <c r="AU27" i="1"/>
  <c r="BO93" i="1"/>
  <c r="W21" i="1"/>
  <c r="DI21" i="1"/>
  <c r="DL21" i="1"/>
  <c r="DO21" i="1"/>
  <c r="DE21" i="1"/>
  <c r="DD21" i="1"/>
  <c r="DH21" i="1"/>
  <c r="BR21" i="1"/>
  <c r="BS21" i="1"/>
  <c r="BL21" i="1"/>
  <c r="BN21" i="1"/>
  <c r="BO21" i="1"/>
  <c r="BM21" i="1"/>
  <c r="BN93" i="1"/>
  <c r="AU13" i="1"/>
  <c r="BO22" i="1"/>
  <c r="BO36" i="1"/>
  <c r="BN42" i="1"/>
  <c r="W83" i="1"/>
  <c r="DR83" i="1"/>
  <c r="DJ83" i="1"/>
  <c r="DL83" i="1"/>
  <c r="DH83" i="1"/>
  <c r="DI83" i="1"/>
  <c r="DD83" i="1"/>
  <c r="DM83" i="1"/>
  <c r="DE83" i="1"/>
  <c r="DO83" i="1"/>
  <c r="BP5" i="1"/>
  <c r="BP15" i="1"/>
  <c r="W98" i="1"/>
  <c r="DE98" i="1"/>
  <c r="DO98" i="1"/>
  <c r="DR98" i="1"/>
  <c r="DD98" i="1"/>
  <c r="DH98" i="1"/>
  <c r="DI98" i="1"/>
  <c r="DL98" i="1"/>
  <c r="DJ98" i="1"/>
  <c r="DM98" i="1"/>
  <c r="DL45" i="1"/>
  <c r="DO45" i="1"/>
  <c r="DE45" i="1"/>
  <c r="DI45" i="1"/>
  <c r="DH45" i="1"/>
  <c r="BM83" i="1"/>
  <c r="BO20" i="1"/>
  <c r="BN29" i="1"/>
  <c r="BN37" i="1"/>
  <c r="BQ51" i="1"/>
  <c r="DJ97" i="1"/>
  <c r="DH97" i="1"/>
  <c r="DI97" i="1"/>
  <c r="DL97" i="1"/>
  <c r="DM97" i="1"/>
  <c r="DO97" i="1"/>
  <c r="DE97" i="1"/>
  <c r="DD97" i="1"/>
  <c r="DR97" i="1"/>
  <c r="DH7" i="1"/>
  <c r="DI7" i="1"/>
  <c r="DJ7" i="1"/>
  <c r="DL7" i="1"/>
  <c r="DO7" i="1"/>
  <c r="DE7" i="1"/>
  <c r="DD7" i="1"/>
  <c r="DG7" i="1"/>
  <c r="DD16" i="1"/>
  <c r="DO16" i="1"/>
  <c r="DE16" i="1"/>
  <c r="DH16" i="1"/>
  <c r="DI16" i="1"/>
  <c r="DJ16" i="1"/>
  <c r="DL16" i="1"/>
  <c r="DD18" i="1"/>
  <c r="DO18" i="1"/>
  <c r="DE18" i="1"/>
  <c r="DH18" i="1"/>
  <c r="DI18" i="1"/>
  <c r="DM18" i="1"/>
  <c r="DJ18" i="1"/>
  <c r="DL18" i="1"/>
  <c r="DH38" i="1"/>
  <c r="DO38" i="1"/>
  <c r="DD38" i="1"/>
  <c r="DE38" i="1"/>
  <c r="DI38" i="1"/>
  <c r="DL38" i="1"/>
  <c r="DH46" i="1"/>
  <c r="DI46" i="1"/>
  <c r="DO46" i="1"/>
  <c r="DD46" i="1"/>
  <c r="DE46" i="1"/>
  <c r="DL46" i="1"/>
  <c r="AU98" i="1"/>
  <c r="AU96" i="1"/>
  <c r="AU90" i="1"/>
  <c r="AU88" i="1"/>
  <c r="AU53" i="1"/>
  <c r="AU73" i="1"/>
  <c r="BN98" i="1"/>
  <c r="BO97" i="1"/>
  <c r="BP96" i="1"/>
  <c r="BQ95" i="1"/>
  <c r="BN90" i="1"/>
  <c r="BP88" i="1"/>
  <c r="BP87" i="1"/>
  <c r="BL83" i="1"/>
  <c r="BR80" i="1"/>
  <c r="BS79" i="1"/>
  <c r="BP7" i="1"/>
  <c r="BR10" i="1"/>
  <c r="BS9" i="1"/>
  <c r="BN15" i="1"/>
  <c r="BO14" i="1"/>
  <c r="BP16" i="1"/>
  <c r="BS23" i="1"/>
  <c r="BN20" i="1"/>
  <c r="BO18" i="1"/>
  <c r="BP24" i="1"/>
  <c r="BQ25" i="1"/>
  <c r="BM29" i="1"/>
  <c r="BN31" i="1"/>
  <c r="BQ33" i="1"/>
  <c r="BN38" i="1"/>
  <c r="BP40" i="1"/>
  <c r="BQ39" i="1"/>
  <c r="BL44" i="1"/>
  <c r="BM45" i="1"/>
  <c r="BN46" i="1"/>
  <c r="BO47" i="1"/>
  <c r="BO48" i="1"/>
  <c r="BR52" i="1"/>
  <c r="BO60" i="1"/>
  <c r="BS69" i="1"/>
  <c r="DL5" i="1"/>
  <c r="DO5" i="1"/>
  <c r="DM5" i="1"/>
  <c r="DE5" i="1"/>
  <c r="DH5" i="1"/>
  <c r="DI5" i="1"/>
  <c r="DJ5" i="1"/>
  <c r="DL37" i="1"/>
  <c r="DM37" i="1"/>
  <c r="DO37" i="1"/>
  <c r="DD37" i="1"/>
  <c r="DH37" i="1"/>
  <c r="DI37" i="1"/>
  <c r="DE37" i="1"/>
  <c r="BN83" i="1"/>
  <c r="DD6" i="1"/>
  <c r="DO6" i="1"/>
  <c r="DE6" i="1"/>
  <c r="DH6" i="1"/>
  <c r="DI6" i="1"/>
  <c r="DJ6" i="1"/>
  <c r="DL6" i="1"/>
  <c r="DM6" i="1"/>
  <c r="BO90" i="1"/>
  <c r="BO5" i="1"/>
  <c r="BP14" i="1"/>
  <c r="BM44" i="1"/>
  <c r="DL8" i="1"/>
  <c r="DM8" i="1"/>
  <c r="DD8" i="1"/>
  <c r="DO8" i="1"/>
  <c r="DE8" i="1"/>
  <c r="DH8" i="1"/>
  <c r="DI8" i="1"/>
  <c r="AU20" i="1"/>
  <c r="AU38" i="1"/>
  <c r="AU44" i="1"/>
  <c r="BM98" i="1"/>
  <c r="BN97" i="1"/>
  <c r="BO88" i="1"/>
  <c r="BS83" i="1"/>
  <c r="BM5" i="1"/>
  <c r="BN6" i="1"/>
  <c r="BO7" i="1"/>
  <c r="BP8" i="1"/>
  <c r="BQ10" i="1"/>
  <c r="BO16" i="1"/>
  <c r="BM20" i="1"/>
  <c r="BN18" i="1"/>
  <c r="BP25" i="1"/>
  <c r="BL29" i="1"/>
  <c r="BM31" i="1"/>
  <c r="BO34" i="1"/>
  <c r="BP33" i="1"/>
  <c r="BL37" i="1"/>
  <c r="BM38" i="1"/>
  <c r="BO40" i="1"/>
  <c r="BS44" i="1"/>
  <c r="BL45" i="1"/>
  <c r="BM46" i="1"/>
  <c r="BN47" i="1"/>
  <c r="BN48" i="1"/>
  <c r="BQ52" i="1"/>
  <c r="BS54" i="1"/>
  <c r="BN60" i="1"/>
  <c r="BR69" i="1"/>
  <c r="DH15" i="1"/>
  <c r="DI15" i="1"/>
  <c r="DO15" i="1"/>
  <c r="DR15" i="1"/>
  <c r="DD15" i="1"/>
  <c r="DE15" i="1"/>
  <c r="DL15" i="1"/>
  <c r="BN44" i="1"/>
  <c r="W90" i="1"/>
  <c r="DE90" i="1"/>
  <c r="DO90" i="1"/>
  <c r="DR90" i="1"/>
  <c r="DD90" i="1"/>
  <c r="DH90" i="1"/>
  <c r="DI90" i="1"/>
  <c r="DL90" i="1"/>
  <c r="DJ90" i="1"/>
  <c r="DM90" i="1"/>
  <c r="W14" i="1"/>
  <c r="DJ14" i="1"/>
  <c r="DL14" i="1"/>
  <c r="DI14" i="1"/>
  <c r="DO14" i="1"/>
  <c r="DD14" i="1"/>
  <c r="DE14" i="1"/>
  <c r="DH14" i="1"/>
  <c r="BP6" i="1"/>
  <c r="BO15" i="1"/>
  <c r="BN45" i="1"/>
  <c r="W96" i="1"/>
  <c r="DE96" i="1"/>
  <c r="DO96" i="1"/>
  <c r="DR96" i="1"/>
  <c r="DI96" i="1"/>
  <c r="DJ96" i="1"/>
  <c r="DL96" i="1"/>
  <c r="DM96" i="1"/>
  <c r="DD96" i="1"/>
  <c r="DH96" i="1"/>
  <c r="DE80" i="1"/>
  <c r="DH80" i="1"/>
  <c r="DI80" i="1"/>
  <c r="DL80" i="1"/>
  <c r="DD80" i="1"/>
  <c r="DO80" i="1"/>
  <c r="DH24" i="1"/>
  <c r="DI24" i="1"/>
  <c r="DL24" i="1"/>
  <c r="DO24" i="1"/>
  <c r="DD24" i="1"/>
  <c r="DE24" i="1"/>
  <c r="DM24" i="1"/>
  <c r="AU7" i="1"/>
  <c r="AU15" i="1"/>
  <c r="DI79" i="1"/>
  <c r="DJ79" i="1"/>
  <c r="DL79" i="1"/>
  <c r="DH79" i="1"/>
  <c r="DM79" i="1"/>
  <c r="DO79" i="1"/>
  <c r="DR79" i="1"/>
  <c r="DD79" i="1"/>
  <c r="DE79" i="1"/>
  <c r="AU31" i="1"/>
  <c r="BN96" i="1"/>
  <c r="BL90" i="1"/>
  <c r="BR83" i="1"/>
  <c r="BS81" i="1"/>
  <c r="BP80" i="1"/>
  <c r="BQ79" i="1"/>
  <c r="BL5" i="1"/>
  <c r="BM6" i="1"/>
  <c r="BN7" i="1"/>
  <c r="BO8" i="1"/>
  <c r="BL15" i="1"/>
  <c r="BM14" i="1"/>
  <c r="BN16" i="1"/>
  <c r="BM18" i="1"/>
  <c r="BN24" i="1"/>
  <c r="BS29" i="1"/>
  <c r="BS37" i="1"/>
  <c r="BL38" i="1"/>
  <c r="BS45" i="1"/>
  <c r="BL46" i="1"/>
  <c r="BP52" i="1"/>
  <c r="BR54" i="1"/>
  <c r="BM60" i="1"/>
  <c r="BQ69" i="1"/>
  <c r="DL20" i="1"/>
  <c r="DM20" i="1"/>
  <c r="DD20" i="1"/>
  <c r="DO20" i="1"/>
  <c r="DE20" i="1"/>
  <c r="DH20" i="1"/>
  <c r="DI20" i="1"/>
  <c r="DJ20" i="1"/>
  <c r="DD29" i="1"/>
  <c r="DO29" i="1"/>
  <c r="DE29" i="1"/>
  <c r="DH29" i="1"/>
  <c r="DI29" i="1"/>
  <c r="DL29" i="1"/>
  <c r="DH44" i="1"/>
  <c r="DL44" i="1"/>
  <c r="DO44" i="1"/>
  <c r="DI44" i="1"/>
  <c r="DE44" i="1"/>
  <c r="DD44" i="1"/>
  <c r="AU29" i="1"/>
  <c r="BP20" i="1"/>
  <c r="BO29" i="1"/>
  <c r="BO37" i="1"/>
  <c r="DH31" i="1"/>
  <c r="DI31" i="1"/>
  <c r="DJ31" i="1"/>
  <c r="DL31" i="1"/>
  <c r="DO31" i="1"/>
  <c r="DD31" i="1"/>
  <c r="DE31" i="1"/>
  <c r="DM31" i="1"/>
  <c r="BO98" i="1"/>
  <c r="BO31" i="1"/>
  <c r="DD88" i="1"/>
  <c r="DO88" i="1"/>
  <c r="DE88" i="1"/>
  <c r="DR88" i="1"/>
  <c r="DH88" i="1"/>
  <c r="DI88" i="1"/>
  <c r="DL88" i="1"/>
  <c r="DM88" i="1"/>
  <c r="W34" i="1"/>
  <c r="DD34" i="1"/>
  <c r="DO34" i="1"/>
  <c r="DE34" i="1"/>
  <c r="DR34" i="1"/>
  <c r="DH34" i="1"/>
  <c r="DL34" i="1"/>
  <c r="DI34" i="1"/>
  <c r="DL47" i="1"/>
  <c r="DD47" i="1"/>
  <c r="DO47" i="1"/>
  <c r="DE47" i="1"/>
  <c r="DI47" i="1"/>
  <c r="DH47" i="1"/>
  <c r="AU5" i="1"/>
  <c r="W95" i="1"/>
  <c r="DJ95" i="1"/>
  <c r="DI95" i="1"/>
  <c r="DD95" i="1"/>
  <c r="DL95" i="1"/>
  <c r="DO95" i="1"/>
  <c r="DR95" i="1"/>
  <c r="DM95" i="1"/>
  <c r="DE95" i="1"/>
  <c r="DH95" i="1"/>
  <c r="DR87" i="1"/>
  <c r="DH87" i="1"/>
  <c r="DI87" i="1"/>
  <c r="DE87" i="1"/>
  <c r="DJ87" i="1"/>
  <c r="DM87" i="1"/>
  <c r="DO87" i="1"/>
  <c r="DL87" i="1"/>
  <c r="DD87" i="1"/>
  <c r="W10" i="1"/>
  <c r="DO10" i="1"/>
  <c r="DE10" i="1"/>
  <c r="DH10" i="1"/>
  <c r="DJ10" i="1"/>
  <c r="DI10" i="1"/>
  <c r="DL10" i="1"/>
  <c r="DL25" i="1"/>
  <c r="DM25" i="1"/>
  <c r="DO25" i="1"/>
  <c r="DH25" i="1"/>
  <c r="DI25" i="1"/>
  <c r="DE25" i="1"/>
  <c r="DR33" i="1"/>
  <c r="DH33" i="1"/>
  <c r="DE33" i="1"/>
  <c r="DI33" i="1"/>
  <c r="DM33" i="1"/>
  <c r="DO33" i="1"/>
  <c r="DD33" i="1"/>
  <c r="DL33" i="1"/>
  <c r="DH40" i="1"/>
  <c r="DD40" i="1"/>
  <c r="DE40" i="1"/>
  <c r="DI40" i="1"/>
  <c r="DL40" i="1"/>
  <c r="DO40" i="1"/>
  <c r="DE48" i="1"/>
  <c r="DH48" i="1"/>
  <c r="DO48" i="1"/>
  <c r="DI48" i="1"/>
  <c r="DL48" i="1"/>
  <c r="AU24" i="1"/>
  <c r="AU34" i="1"/>
  <c r="BL98" i="1"/>
  <c r="BM97" i="1"/>
  <c r="BO95" i="1"/>
  <c r="BN87" i="1"/>
  <c r="DE94" i="1"/>
  <c r="DO94" i="1"/>
  <c r="DR94" i="1"/>
  <c r="DL94" i="1"/>
  <c r="DM94" i="1"/>
  <c r="DD94" i="1"/>
  <c r="DH94" i="1"/>
  <c r="DI94" i="1"/>
  <c r="DR78" i="1"/>
  <c r="DL78" i="1"/>
  <c r="DH9" i="1"/>
  <c r="DI9" i="1"/>
  <c r="DJ9" i="1"/>
  <c r="DL9" i="1"/>
  <c r="DO9" i="1"/>
  <c r="DM9" i="1"/>
  <c r="DD9" i="1"/>
  <c r="DE9" i="1"/>
  <c r="DR23" i="1"/>
  <c r="DL23" i="1"/>
  <c r="DM23" i="1"/>
  <c r="DD23" i="1"/>
  <c r="DO23" i="1"/>
  <c r="DE23" i="1"/>
  <c r="DI23" i="1"/>
  <c r="DJ23" i="1"/>
  <c r="DH23" i="1"/>
  <c r="DL39" i="1"/>
  <c r="DH39" i="1"/>
  <c r="DI39" i="1"/>
  <c r="DD39" i="1"/>
  <c r="DO39" i="1"/>
  <c r="DE39" i="1"/>
  <c r="BS98" i="1"/>
  <c r="BL97" i="1"/>
  <c r="BM96" i="1"/>
  <c r="BN95" i="1"/>
  <c r="BO94" i="1"/>
  <c r="BS90" i="1"/>
  <c r="BQ83" i="1"/>
  <c r="BN81" i="1"/>
  <c r="BO80" i="1"/>
  <c r="BP79" i="1"/>
  <c r="BP78" i="1"/>
  <c r="BS5" i="1"/>
  <c r="BL6" i="1"/>
  <c r="BM7" i="1"/>
  <c r="BN8" i="1"/>
  <c r="BO10" i="1"/>
  <c r="BP9" i="1"/>
  <c r="BS15" i="1"/>
  <c r="BL14" i="1"/>
  <c r="BM16" i="1"/>
  <c r="BP23" i="1"/>
  <c r="BS20" i="1"/>
  <c r="BL18" i="1"/>
  <c r="BM24" i="1"/>
  <c r="BN25" i="1"/>
  <c r="BR29" i="1"/>
  <c r="BS31" i="1"/>
  <c r="BM34" i="1"/>
  <c r="BN33" i="1"/>
  <c r="BR37" i="1"/>
  <c r="BS38" i="1"/>
  <c r="BM40" i="1"/>
  <c r="BN39" i="1"/>
  <c r="BQ44" i="1"/>
  <c r="BR45" i="1"/>
  <c r="BL47" i="1"/>
  <c r="BL48" i="1"/>
  <c r="BO52" i="1"/>
  <c r="BQ54" i="1"/>
  <c r="BL60" i="1"/>
  <c r="BP69" i="1"/>
  <c r="W97" i="1"/>
  <c r="DR81" i="1"/>
  <c r="DO81" i="1"/>
  <c r="DH81" i="1"/>
  <c r="DL81" i="1"/>
  <c r="DI81" i="1"/>
  <c r="DJ81" i="1"/>
  <c r="DE81" i="1"/>
  <c r="DM81" i="1"/>
  <c r="BR81" i="1"/>
  <c r="AU81" i="1"/>
  <c r="BQ81" i="1"/>
  <c r="BP81" i="1"/>
  <c r="DH19" i="1"/>
  <c r="DI19" i="1"/>
  <c r="DL19" i="1"/>
  <c r="DD19" i="1"/>
  <c r="DM19" i="1"/>
  <c r="DE19" i="1"/>
  <c r="DO19" i="1"/>
  <c r="BS19" i="1"/>
  <c r="BR19" i="1"/>
  <c r="BQ19" i="1"/>
  <c r="AU19" i="1"/>
  <c r="BP19" i="1"/>
  <c r="BO19" i="1"/>
  <c r="BN19" i="1"/>
  <c r="BM19" i="1"/>
  <c r="AU51" i="1"/>
  <c r="W63" i="1"/>
  <c r="DH63" i="1"/>
  <c r="DL63" i="1"/>
  <c r="DD63" i="1"/>
  <c r="DE63" i="1"/>
  <c r="DO63" i="1"/>
  <c r="DI63" i="1"/>
  <c r="AU52" i="1"/>
  <c r="AU54" i="1"/>
  <c r="BR51" i="1"/>
  <c r="BS52" i="1"/>
  <c r="BL53" i="1"/>
  <c r="BM54" i="1"/>
  <c r="BL55" i="1"/>
  <c r="BM57" i="1"/>
  <c r="BO58" i="1"/>
  <c r="BQ61" i="1"/>
  <c r="BS63" i="1"/>
  <c r="BO67" i="1"/>
  <c r="BQ73" i="1"/>
  <c r="BS55" i="1"/>
  <c r="BN58" i="1"/>
  <c r="BQ65" i="1"/>
  <c r="W57" i="1"/>
  <c r="DL57" i="1"/>
  <c r="DD57" i="1"/>
  <c r="DH57" i="1"/>
  <c r="DE57" i="1"/>
  <c r="DO57" i="1"/>
  <c r="DI57" i="1"/>
  <c r="BP51" i="1"/>
  <c r="BR55" i="1"/>
  <c r="BS57" i="1"/>
  <c r="BM58" i="1"/>
  <c r="BP65" i="1"/>
  <c r="BQ55" i="1"/>
  <c r="BR57" i="1"/>
  <c r="BL58" i="1"/>
  <c r="BO65" i="1"/>
  <c r="BS58" i="1"/>
  <c r="W51" i="1"/>
  <c r="DL51" i="1"/>
  <c r="DH51" i="1"/>
  <c r="DI51" i="1"/>
  <c r="DD51" i="1"/>
  <c r="DM51" i="1"/>
  <c r="DE51" i="1"/>
  <c r="DO51" i="1"/>
  <c r="AU50" i="1"/>
  <c r="AU57" i="1"/>
  <c r="BN51" i="1"/>
  <c r="BP55" i="1"/>
  <c r="BQ57" i="1"/>
  <c r="BN65" i="1"/>
  <c r="W52" i="1"/>
  <c r="DL52" i="1"/>
  <c r="DD52" i="1"/>
  <c r="DM52" i="1"/>
  <c r="DE52" i="1"/>
  <c r="DO52" i="1"/>
  <c r="W60" i="1"/>
  <c r="DH60" i="1"/>
  <c r="DI60" i="1"/>
  <c r="DL60" i="1"/>
  <c r="DD60" i="1"/>
  <c r="DM60" i="1"/>
  <c r="DE60" i="1"/>
  <c r="DO60" i="1"/>
  <c r="DR60" i="1"/>
  <c r="AU67" i="1"/>
  <c r="BM51" i="1"/>
  <c r="BN52" i="1"/>
  <c r="BP54" i="1"/>
  <c r="BQ56" i="1"/>
  <c r="BO55" i="1"/>
  <c r="BP57" i="1"/>
  <c r="BR58" i="1"/>
  <c r="BS60" i="1"/>
  <c r="BN63" i="1"/>
  <c r="BR67" i="1"/>
  <c r="BR62" i="1"/>
  <c r="DL62" i="1"/>
  <c r="DH62" i="1"/>
  <c r="DI62" i="1"/>
  <c r="DD62" i="1"/>
  <c r="DE62" i="1"/>
  <c r="DO62" i="1"/>
  <c r="W53" i="1"/>
  <c r="DL53" i="1"/>
  <c r="DH53" i="1"/>
  <c r="DI53" i="1"/>
  <c r="DD53" i="1"/>
  <c r="DM53" i="1"/>
  <c r="DE53" i="1"/>
  <c r="DO53" i="1"/>
  <c r="W61" i="1"/>
  <c r="DL61" i="1"/>
  <c r="DD61" i="1"/>
  <c r="DE61" i="1"/>
  <c r="DO61" i="1"/>
  <c r="DI61" i="1"/>
  <c r="DH61" i="1"/>
  <c r="BL51" i="1"/>
  <c r="BM52" i="1"/>
  <c r="BN53" i="1"/>
  <c r="BP56" i="1"/>
  <c r="BO57" i="1"/>
  <c r="BR60" i="1"/>
  <c r="BS61" i="1"/>
  <c r="BM63" i="1"/>
  <c r="BQ67" i="1"/>
  <c r="BS73" i="1"/>
  <c r="W55" i="1"/>
  <c r="DH55" i="1"/>
  <c r="DI55" i="1"/>
  <c r="DL55" i="1"/>
  <c r="DE55" i="1"/>
  <c r="DO55" i="1"/>
  <c r="W58" i="1"/>
  <c r="DH58" i="1"/>
  <c r="DL58" i="1"/>
  <c r="DD58" i="1"/>
  <c r="DM58" i="1"/>
  <c r="DE58" i="1"/>
  <c r="DO58" i="1"/>
  <c r="DI58" i="1"/>
  <c r="AU58" i="1"/>
  <c r="W54" i="1"/>
  <c r="DL54" i="1"/>
  <c r="DD54" i="1"/>
  <c r="DM54" i="1"/>
  <c r="DE54" i="1"/>
  <c r="DO54" i="1"/>
  <c r="DI54" i="1"/>
  <c r="DH54" i="1"/>
  <c r="BS51" i="1"/>
  <c r="BL52" i="1"/>
  <c r="BM53" i="1"/>
  <c r="BN54" i="1"/>
  <c r="BL56" i="1"/>
  <c r="BM55" i="1"/>
  <c r="BN57" i="1"/>
  <c r="BP58" i="1"/>
  <c r="BQ60" i="1"/>
  <c r="BR61" i="1"/>
  <c r="BL63" i="1"/>
  <c r="BP67" i="1"/>
  <c r="W56" i="1"/>
  <c r="DE56" i="1"/>
  <c r="DO56" i="1"/>
  <c r="DI56" i="1"/>
  <c r="DH56" i="1"/>
  <c r="DL56" i="1"/>
  <c r="DD56" i="1"/>
  <c r="DM56" i="1"/>
  <c r="BN56" i="1"/>
  <c r="BM56" i="1"/>
  <c r="W73" i="1"/>
  <c r="DL73" i="1"/>
  <c r="DD73" i="1"/>
  <c r="DM73" i="1"/>
  <c r="DO73" i="1"/>
  <c r="DH73" i="1"/>
  <c r="DI73" i="1"/>
  <c r="DJ73" i="1"/>
  <c r="DE73" i="1"/>
  <c r="BQ64" i="1"/>
  <c r="BS67" i="1"/>
  <c r="BL69" i="1"/>
  <c r="BM73" i="1"/>
  <c r="BO74" i="1"/>
  <c r="BP75" i="1"/>
  <c r="W72" i="1"/>
  <c r="DH72" i="1"/>
  <c r="DI72" i="1"/>
  <c r="DJ72" i="1"/>
  <c r="DL72" i="1"/>
  <c r="DD72" i="1"/>
  <c r="DM72" i="1"/>
  <c r="DE72" i="1"/>
  <c r="DO72" i="1"/>
  <c r="DR72" i="1"/>
  <c r="BP64" i="1"/>
  <c r="BM72" i="1"/>
  <c r="BO75" i="1"/>
  <c r="W74" i="1"/>
  <c r="DO74" i="1"/>
  <c r="DD74" i="1"/>
  <c r="DM74" i="1"/>
  <c r="DE74" i="1"/>
  <c r="DH74" i="1"/>
  <c r="DI74" i="1"/>
  <c r="DJ74" i="1"/>
  <c r="BO64" i="1"/>
  <c r="BL72" i="1"/>
  <c r="BM74" i="1"/>
  <c r="W75" i="1"/>
  <c r="DH75" i="1"/>
  <c r="DI75" i="1"/>
  <c r="DL75" i="1"/>
  <c r="DE75" i="1"/>
  <c r="DO75" i="1"/>
  <c r="DR75" i="1"/>
  <c r="AU64" i="1"/>
  <c r="AU74" i="1"/>
  <c r="BN64" i="1"/>
  <c r="BS72" i="1"/>
  <c r="BL74" i="1"/>
  <c r="BM75" i="1"/>
  <c r="BM64" i="1"/>
  <c r="BR72" i="1"/>
  <c r="BS74" i="1"/>
  <c r="BL75" i="1"/>
  <c r="W65" i="1"/>
  <c r="DH65" i="1"/>
  <c r="DD65" i="1"/>
  <c r="DI65" i="1"/>
  <c r="DL65" i="1"/>
  <c r="DE65" i="1"/>
  <c r="DO65" i="1"/>
  <c r="BM65" i="1"/>
  <c r="BO69" i="1"/>
  <c r="BP73" i="1"/>
  <c r="BQ72" i="1"/>
  <c r="BR74" i="1"/>
  <c r="BS75" i="1"/>
  <c r="W64" i="1"/>
  <c r="DO64" i="1"/>
  <c r="DD64" i="1"/>
  <c r="DE64" i="1"/>
  <c r="DR64" i="1"/>
  <c r="DH64" i="1"/>
  <c r="DI64" i="1"/>
  <c r="W67" i="1"/>
  <c r="DL67" i="1"/>
  <c r="DD67" i="1"/>
  <c r="DI67" i="1"/>
  <c r="DE67" i="1"/>
  <c r="DO67" i="1"/>
  <c r="DH67" i="1"/>
  <c r="BS64" i="1"/>
  <c r="BL65" i="1"/>
  <c r="BM67" i="1"/>
  <c r="BO73" i="1"/>
  <c r="BP72" i="1"/>
  <c r="BQ74" i="1"/>
  <c r="BR75" i="1"/>
  <c r="W69" i="1"/>
  <c r="DI69" i="1"/>
  <c r="DD69" i="1"/>
  <c r="DL69" i="1"/>
  <c r="DE69" i="1"/>
  <c r="DO69" i="1"/>
  <c r="AU69" i="1"/>
  <c r="AU72" i="1"/>
  <c r="AU75" i="1"/>
  <c r="BR64" i="1"/>
  <c r="BS65" i="1"/>
  <c r="BL67" i="1"/>
  <c r="BM69" i="1"/>
  <c r="BN73" i="1"/>
  <c r="BO72" i="1"/>
  <c r="BP74" i="1"/>
  <c r="BQ75" i="1"/>
  <c r="BP62" i="1"/>
  <c r="BO62" i="1"/>
  <c r="BN62" i="1"/>
  <c r="BM62" i="1"/>
  <c r="BL62" i="1"/>
  <c r="BS62" i="1"/>
  <c r="AU62" i="1"/>
  <c r="W62" i="1"/>
  <c r="BQ62" i="1"/>
  <c r="BN68" i="1"/>
  <c r="BS68" i="1"/>
  <c r="BQ68" i="1"/>
  <c r="BR68" i="1"/>
  <c r="DD68" i="1"/>
  <c r="DE68" i="1"/>
  <c r="DJ68" i="1"/>
  <c r="DO68" i="1"/>
  <c r="DH68" i="1"/>
  <c r="DI68" i="1"/>
  <c r="DL68" i="1"/>
  <c r="DM68" i="1"/>
  <c r="BO68" i="1"/>
  <c r="W88" i="1"/>
  <c r="W16" i="1"/>
  <c r="W27" i="1"/>
  <c r="W38" i="1"/>
  <c r="W68" i="1"/>
  <c r="W37" i="1"/>
  <c r="W71" i="1"/>
  <c r="DL71" i="1"/>
  <c r="DO71" i="1"/>
  <c r="DD71" i="1"/>
  <c r="DE71" i="1"/>
  <c r="DR71" i="1"/>
  <c r="DH71" i="1"/>
  <c r="DI71" i="1"/>
  <c r="W87" i="1"/>
  <c r="W5" i="1"/>
  <c r="W26" i="1"/>
  <c r="W70" i="1"/>
  <c r="DE70" i="1"/>
  <c r="DH70" i="1"/>
  <c r="DI70" i="1"/>
  <c r="DL70" i="1"/>
  <c r="DM70" i="1"/>
  <c r="DO70" i="1"/>
  <c r="BP70" i="1"/>
  <c r="BR70" i="1"/>
  <c r="W25" i="1"/>
  <c r="W40" i="1"/>
  <c r="W85" i="1"/>
  <c r="W7" i="1"/>
  <c r="W23" i="1"/>
  <c r="W31" i="1"/>
  <c r="W39" i="1"/>
  <c r="W8" i="1"/>
  <c r="W22" i="1"/>
  <c r="W42" i="1"/>
  <c r="BS70" i="1"/>
  <c r="W6" i="1"/>
  <c r="W29" i="1"/>
  <c r="BQ70" i="1"/>
  <c r="W48" i="1"/>
  <c r="W94" i="1"/>
  <c r="W9" i="1"/>
  <c r="W20" i="1"/>
  <c r="W33" i="1"/>
  <c r="W44" i="1"/>
  <c r="AU70" i="1"/>
  <c r="BO70" i="1"/>
  <c r="W15" i="1"/>
  <c r="W93" i="1"/>
  <c r="W81" i="1"/>
  <c r="W11" i="1"/>
  <c r="W19" i="1"/>
  <c r="W45" i="1"/>
  <c r="BN70" i="1"/>
  <c r="W80" i="1"/>
  <c r="W18" i="1"/>
  <c r="W35" i="1"/>
  <c r="W46" i="1"/>
  <c r="W13" i="1"/>
  <c r="W79" i="1"/>
  <c r="W24" i="1"/>
  <c r="W36" i="1"/>
  <c r="W47" i="1"/>
  <c r="BO71" i="1"/>
  <c r="BN71" i="1"/>
  <c r="BL71" i="1"/>
  <c r="BS71" i="1"/>
  <c r="BR71" i="1"/>
  <c r="BQ71" i="1"/>
  <c r="BP71" i="1"/>
  <c r="AU71" i="1"/>
  <c r="CB78" i="1"/>
  <c r="BJ78" i="1"/>
  <c r="CB87" i="1"/>
  <c r="BR87" i="1"/>
  <c r="BM191" i="1" l="1"/>
  <c r="CH308" i="1"/>
  <c r="DT308" i="1" s="1"/>
  <c r="BS99" i="1"/>
  <c r="DK82" i="1"/>
  <c r="DG82" i="1"/>
  <c r="DH113" i="1"/>
  <c r="BC420" i="1"/>
  <c r="CK423" i="1"/>
  <c r="DI49" i="1"/>
  <c r="CJ423" i="1"/>
  <c r="CJ421" i="1"/>
  <c r="U421" i="1"/>
  <c r="BC422" i="1"/>
  <c r="Z421" i="1"/>
  <c r="BN32" i="1"/>
  <c r="BO112" i="1"/>
  <c r="W49" i="1"/>
  <c r="AT112" i="1"/>
  <c r="AE420" i="1"/>
  <c r="AL420" i="1"/>
  <c r="BM41" i="1"/>
  <c r="AE422" i="1"/>
  <c r="AE421" i="1"/>
  <c r="BB422" i="1"/>
  <c r="AJ421" i="1"/>
  <c r="BK109" i="1"/>
  <c r="BC421" i="1"/>
  <c r="AL421" i="1"/>
  <c r="W112" i="1"/>
  <c r="AL422" i="1"/>
  <c r="AJ420" i="1"/>
  <c r="BA421" i="1"/>
  <c r="BA420" i="1"/>
  <c r="BB423" i="1"/>
  <c r="AJ422" i="1"/>
  <c r="AV109" i="1"/>
  <c r="U422" i="1"/>
  <c r="Z420" i="1"/>
  <c r="BC423" i="1"/>
  <c r="Z423" i="1"/>
  <c r="U420" i="1"/>
  <c r="AW41" i="1"/>
  <c r="CJ420" i="1"/>
  <c r="CJ422" i="1"/>
  <c r="BR109" i="1"/>
  <c r="DO112" i="1"/>
  <c r="AE423" i="1"/>
  <c r="DO41" i="1"/>
  <c r="BA423" i="1"/>
  <c r="BB420" i="1"/>
  <c r="AJ423" i="1"/>
  <c r="BP41" i="1"/>
  <c r="BB421" i="1"/>
  <c r="BL109" i="1"/>
  <c r="AL423" i="1"/>
  <c r="DM113" i="1"/>
  <c r="BS86" i="1"/>
  <c r="DD78" i="1"/>
  <c r="DD86" i="1"/>
  <c r="BL78" i="1"/>
  <c r="BP119" i="1"/>
  <c r="DL59" i="1"/>
  <c r="DR119" i="1"/>
  <c r="BR186" i="1"/>
  <c r="DI113" i="1"/>
  <c r="DK41" i="1"/>
  <c r="BN113" i="1"/>
  <c r="DO86" i="1"/>
  <c r="DK89" i="1"/>
  <c r="DG89" i="1"/>
  <c r="EB53" i="1"/>
  <c r="AU86" i="1"/>
  <c r="AT89" i="1"/>
  <c r="AU89" i="1"/>
  <c r="AV89" i="1"/>
  <c r="DX39" i="1"/>
  <c r="BQ91" i="1"/>
  <c r="BO86" i="1"/>
  <c r="DH89" i="1"/>
  <c r="BM86" i="1"/>
  <c r="BQ86" i="1"/>
  <c r="DI86" i="1"/>
  <c r="AW86" i="1"/>
  <c r="DU220" i="1"/>
  <c r="DJ89" i="1"/>
  <c r="BP89" i="1"/>
  <c r="BO91" i="1"/>
  <c r="W89" i="1"/>
  <c r="AV86" i="1"/>
  <c r="AS191" i="1"/>
  <c r="BO89" i="1"/>
  <c r="AT86" i="1"/>
  <c r="DE86" i="1"/>
  <c r="BL191" i="1"/>
  <c r="DA291" i="1"/>
  <c r="DX107" i="1"/>
  <c r="BT47" i="1"/>
  <c r="DH109" i="1"/>
  <c r="BO49" i="1"/>
  <c r="BL41" i="1"/>
  <c r="AV41" i="1"/>
  <c r="BO109" i="1"/>
  <c r="DD109" i="1"/>
  <c r="DO49" i="1"/>
  <c r="DM109" i="1"/>
  <c r="DD49" i="1"/>
  <c r="AR49" i="1"/>
  <c r="DB49" i="1" s="1"/>
  <c r="W109" i="1"/>
  <c r="DE109" i="1"/>
  <c r="DH112" i="1"/>
  <c r="DM112" i="1"/>
  <c r="BO41" i="1"/>
  <c r="AT41" i="1"/>
  <c r="BS109" i="1"/>
  <c r="BM112" i="1"/>
  <c r="BM49" i="1"/>
  <c r="BR49" i="1"/>
  <c r="DL49" i="1"/>
  <c r="DR49" i="1"/>
  <c r="AV84" i="1"/>
  <c r="DL109" i="1"/>
  <c r="DO109" i="1"/>
  <c r="DE49" i="1"/>
  <c r="DH49" i="1"/>
  <c r="BQ109" i="1"/>
  <c r="BP109" i="1"/>
  <c r="BQ112" i="1"/>
  <c r="BL112" i="1"/>
  <c r="DC109" i="1"/>
  <c r="DO181" i="1"/>
  <c r="DG109" i="1"/>
  <c r="DG41" i="1"/>
  <c r="DE41" i="1"/>
  <c r="DI84" i="1"/>
  <c r="DC49" i="1"/>
  <c r="AU49" i="1"/>
  <c r="DD41" i="1"/>
  <c r="AR41" i="1"/>
  <c r="DB41" i="1" s="1"/>
  <c r="BK49" i="1"/>
  <c r="DL112" i="1"/>
  <c r="BP49" i="1"/>
  <c r="AW49" i="1"/>
  <c r="DR41" i="1"/>
  <c r="BQ49" i="1"/>
  <c r="DT202" i="1"/>
  <c r="BL49" i="1"/>
  <c r="BS41" i="1"/>
  <c r="DX67" i="1"/>
  <c r="AV49" i="1"/>
  <c r="AU109" i="1"/>
  <c r="DJ109" i="1"/>
  <c r="BN112" i="1"/>
  <c r="BS49" i="1"/>
  <c r="DI112" i="1"/>
  <c r="BR112" i="1"/>
  <c r="DI41" i="1"/>
  <c r="BN109" i="1"/>
  <c r="BS112" i="1"/>
  <c r="DR112" i="1"/>
  <c r="AT109" i="1"/>
  <c r="BP112" i="1"/>
  <c r="AW109" i="1"/>
  <c r="DL41" i="1"/>
  <c r="BR41" i="1"/>
  <c r="AT49" i="1"/>
  <c r="BK41" i="1"/>
  <c r="DI109" i="1"/>
  <c r="AU112" i="1"/>
  <c r="DD112" i="1"/>
  <c r="DH41" i="1"/>
  <c r="W41" i="1"/>
  <c r="BQ41" i="1"/>
  <c r="EB35" i="1"/>
  <c r="DE112" i="1"/>
  <c r="AR112" i="1"/>
  <c r="DB112" i="1" s="1"/>
  <c r="BQ30" i="1"/>
  <c r="BT102" i="1"/>
  <c r="DK32" i="1"/>
  <c r="DO30" i="1"/>
  <c r="EB29" i="1"/>
  <c r="DC32" i="1"/>
  <c r="AV104" i="1"/>
  <c r="BR30" i="1"/>
  <c r="DJ32" i="1"/>
  <c r="BM32" i="1"/>
  <c r="AW32" i="1"/>
  <c r="AU104" i="1"/>
  <c r="AT104" i="1"/>
  <c r="DM32" i="1"/>
  <c r="BK32" i="1"/>
  <c r="BO32" i="1"/>
  <c r="BM104" i="1"/>
  <c r="BO104" i="1"/>
  <c r="AV32" i="1"/>
  <c r="DI32" i="1"/>
  <c r="DA65" i="1"/>
  <c r="DL32" i="1"/>
  <c r="AT32" i="1"/>
  <c r="DI104" i="1"/>
  <c r="BL104" i="1"/>
  <c r="BL32" i="1"/>
  <c r="W32" i="1"/>
  <c r="DH32" i="1"/>
  <c r="AW30" i="1"/>
  <c r="BQ104" i="1"/>
  <c r="DL104" i="1"/>
  <c r="DK91" i="1"/>
  <c r="BS32" i="1"/>
  <c r="BO102" i="1"/>
  <c r="DH104" i="1"/>
  <c r="DW127" i="1"/>
  <c r="DM104" i="1"/>
  <c r="DG102" i="1"/>
  <c r="DJ104" i="1"/>
  <c r="W104" i="1"/>
  <c r="DD104" i="1"/>
  <c r="BP32" i="1"/>
  <c r="DR104" i="1"/>
  <c r="BR32" i="1"/>
  <c r="BS104" i="1"/>
  <c r="DR32" i="1"/>
  <c r="DO32" i="1"/>
  <c r="DI102" i="1"/>
  <c r="BP104" i="1"/>
  <c r="DC102" i="1"/>
  <c r="AU32" i="1"/>
  <c r="AR30" i="1"/>
  <c r="DB30" i="1" s="1"/>
  <c r="BN104" i="1"/>
  <c r="AR32" i="1"/>
  <c r="DB32" i="1" s="1"/>
  <c r="DO104" i="1"/>
  <c r="DK104" i="1"/>
  <c r="DC104" i="1"/>
  <c r="DE32" i="1"/>
  <c r="DH30" i="1"/>
  <c r="DE104" i="1"/>
  <c r="BR104" i="1"/>
  <c r="BK104" i="1"/>
  <c r="DK204" i="1"/>
  <c r="DO100" i="1"/>
  <c r="AW102" i="1"/>
  <c r="EB78" i="1"/>
  <c r="DE30" i="1"/>
  <c r="BM102" i="1"/>
  <c r="BK102" i="1"/>
  <c r="BP102" i="1"/>
  <c r="BT30" i="1"/>
  <c r="DJ30" i="1"/>
  <c r="DO102" i="1"/>
  <c r="AV102" i="1"/>
  <c r="W30" i="1"/>
  <c r="BO30" i="1"/>
  <c r="DI30" i="1"/>
  <c r="DM102" i="1"/>
  <c r="BR102" i="1"/>
  <c r="DG107" i="1"/>
  <c r="AT102" i="1"/>
  <c r="BN102" i="1"/>
  <c r="BT74" i="1"/>
  <c r="DM28" i="1"/>
  <c r="DM30" i="1"/>
  <c r="BL17" i="1"/>
  <c r="BS102" i="1"/>
  <c r="DD126" i="1"/>
  <c r="AW119" i="1"/>
  <c r="DL102" i="1"/>
  <c r="DA105" i="1"/>
  <c r="DX115" i="1"/>
  <c r="BK119" i="1"/>
  <c r="DD70" i="1"/>
  <c r="DD30" i="1"/>
  <c r="BQ102" i="1"/>
  <c r="W102" i="1"/>
  <c r="DL30" i="1"/>
  <c r="DK30" i="1"/>
  <c r="BO76" i="1"/>
  <c r="BL102" i="1"/>
  <c r="DR30" i="1"/>
  <c r="DC30" i="1"/>
  <c r="AR102" i="1"/>
  <c r="DB102" i="1" s="1"/>
  <c r="DJ102" i="1"/>
  <c r="BT41" i="1"/>
  <c r="DH102" i="1"/>
  <c r="BP30" i="1"/>
  <c r="BK30" i="1"/>
  <c r="BT83" i="1"/>
  <c r="BL30" i="1"/>
  <c r="BS30" i="1"/>
  <c r="AT30" i="1"/>
  <c r="AU102" i="1"/>
  <c r="DE102" i="1"/>
  <c r="BM30" i="1"/>
  <c r="BN30" i="1"/>
  <c r="BN76" i="1"/>
  <c r="DG30" i="1"/>
  <c r="DR102" i="1"/>
  <c r="BT14" i="1"/>
  <c r="DE17" i="1"/>
  <c r="AU30" i="1"/>
  <c r="DX74" i="1"/>
  <c r="DW207" i="1"/>
  <c r="W59" i="1"/>
  <c r="AT113" i="1"/>
  <c r="AR113" i="1"/>
  <c r="DB113" i="1" s="1"/>
  <c r="DR59" i="1"/>
  <c r="DJ113" i="1"/>
  <c r="BL113" i="1"/>
  <c r="BT59" i="1"/>
  <c r="W113" i="1"/>
  <c r="EB61" i="1"/>
  <c r="BN59" i="1"/>
  <c r="BM113" i="1"/>
  <c r="DL113" i="1"/>
  <c r="AO420" i="1"/>
  <c r="BO59" i="1"/>
  <c r="BP59" i="1"/>
  <c r="BS59" i="1"/>
  <c r="DG59" i="1"/>
  <c r="AR59" i="1"/>
  <c r="DB59" i="1" s="1"/>
  <c r="BR113" i="1"/>
  <c r="DE113" i="1"/>
  <c r="AR104" i="1"/>
  <c r="DB104" i="1" s="1"/>
  <c r="DK59" i="1"/>
  <c r="DO59" i="1"/>
  <c r="BK59" i="1"/>
  <c r="AU113" i="1"/>
  <c r="DR113" i="1"/>
  <c r="DE59" i="1"/>
  <c r="DC59" i="1"/>
  <c r="BS113" i="1"/>
  <c r="DK113" i="1"/>
  <c r="BQ113" i="1"/>
  <c r="BP113" i="1"/>
  <c r="BO113" i="1"/>
  <c r="BM59" i="1"/>
  <c r="AU59" i="1"/>
  <c r="DM59" i="1"/>
  <c r="AV59" i="1"/>
  <c r="DO113" i="1"/>
  <c r="AO423" i="1"/>
  <c r="DX269" i="1"/>
  <c r="DG17" i="1"/>
  <c r="BR59" i="1"/>
  <c r="DD59" i="1"/>
  <c r="EI80" i="1"/>
  <c r="AW59" i="1"/>
  <c r="AO421" i="1"/>
  <c r="BL59" i="1"/>
  <c r="DI59" i="1"/>
  <c r="AT59" i="1"/>
  <c r="BQ59" i="1"/>
  <c r="DG113" i="1"/>
  <c r="DG104" i="1"/>
  <c r="AP420" i="1"/>
  <c r="DC112" i="1"/>
  <c r="BT64" i="1"/>
  <c r="AW112" i="1"/>
  <c r="BK112" i="1"/>
  <c r="DJ112" i="1"/>
  <c r="DK49" i="1"/>
  <c r="DF39" i="1"/>
  <c r="BT81" i="1"/>
  <c r="DW116" i="1"/>
  <c r="DR109" i="1"/>
  <c r="DG112" i="1"/>
  <c r="EB247" i="1"/>
  <c r="DG49" i="1"/>
  <c r="EI65" i="1"/>
  <c r="AR109" i="1"/>
  <c r="DB109" i="1" s="1"/>
  <c r="AT84" i="1"/>
  <c r="DD182" i="1"/>
  <c r="BR182" i="1"/>
  <c r="DE84" i="1"/>
  <c r="DJ84" i="1"/>
  <c r="DD84" i="1"/>
  <c r="BT182" i="1"/>
  <c r="DR84" i="1"/>
  <c r="BQ182" i="1"/>
  <c r="DH84" i="1"/>
  <c r="BK182" i="1"/>
  <c r="W82" i="1"/>
  <c r="BN84" i="1"/>
  <c r="BQ82" i="1"/>
  <c r="AU84" i="1"/>
  <c r="W84" i="1"/>
  <c r="DJ182" i="1"/>
  <c r="DC182" i="1"/>
  <c r="BP182" i="1"/>
  <c r="AW182" i="1"/>
  <c r="BR82" i="1"/>
  <c r="BS84" i="1"/>
  <c r="BS82" i="1"/>
  <c r="BR84" i="1"/>
  <c r="AP421" i="1"/>
  <c r="AP423" i="1"/>
  <c r="AV182" i="1"/>
  <c r="BM84" i="1"/>
  <c r="EB82" i="1"/>
  <c r="DI182" i="1"/>
  <c r="DO82" i="1"/>
  <c r="DE82" i="1"/>
  <c r="BQ84" i="1"/>
  <c r="AR84" i="1"/>
  <c r="DB84" i="1" s="1"/>
  <c r="DL84" i="1"/>
  <c r="AW84" i="1"/>
  <c r="BL84" i="1"/>
  <c r="DC82" i="1"/>
  <c r="DD82" i="1"/>
  <c r="DM82" i="1"/>
  <c r="BP84" i="1"/>
  <c r="AR82" i="1"/>
  <c r="DB82" i="1" s="1"/>
  <c r="AW82" i="1"/>
  <c r="DH182" i="1"/>
  <c r="DG182" i="1"/>
  <c r="DG84" i="1"/>
  <c r="BO84" i="1"/>
  <c r="DO84" i="1"/>
  <c r="DC84" i="1"/>
  <c r="DR182" i="1"/>
  <c r="W182" i="1"/>
  <c r="DM84" i="1"/>
  <c r="AU82" i="1"/>
  <c r="BM182" i="1"/>
  <c r="DL181" i="1"/>
  <c r="DK109" i="1"/>
  <c r="DK99" i="1"/>
  <c r="EB205" i="1"/>
  <c r="BO17" i="1"/>
  <c r="DM91" i="1"/>
  <c r="BS89" i="1"/>
  <c r="R421" i="1"/>
  <c r="AW17" i="1"/>
  <c r="BK82" i="1"/>
  <c r="DF105" i="1"/>
  <c r="DD99" i="1"/>
  <c r="DU123" i="1"/>
  <c r="BK99" i="1"/>
  <c r="EA165" i="1"/>
  <c r="EF192" i="1"/>
  <c r="DA192" i="1"/>
  <c r="DL99" i="1"/>
  <c r="BR17" i="1"/>
  <c r="DR17" i="1"/>
  <c r="AV204" i="1"/>
  <c r="BO78" i="1"/>
  <c r="R423" i="1"/>
  <c r="AT82" i="1"/>
  <c r="AW99" i="1"/>
  <c r="DW192" i="1"/>
  <c r="DR204" i="1"/>
  <c r="BT93" i="1"/>
  <c r="W78" i="1"/>
  <c r="W17" i="1"/>
  <c r="DJ78" i="1"/>
  <c r="DL86" i="1"/>
  <c r="DE91" i="1"/>
  <c r="DE89" i="1"/>
  <c r="BR86" i="1"/>
  <c r="BS78" i="1"/>
  <c r="CF422" i="1"/>
  <c r="AV17" i="1"/>
  <c r="DC78" i="1"/>
  <c r="DH99" i="1"/>
  <c r="BK91" i="1"/>
  <c r="AO422" i="1"/>
  <c r="AW204" i="1"/>
  <c r="DL204" i="1"/>
  <c r="DC204" i="1"/>
  <c r="DM204" i="1"/>
  <c r="DL91" i="1"/>
  <c r="CF420" i="1"/>
  <c r="BO99" i="1"/>
  <c r="BN99" i="1"/>
  <c r="AP422" i="1"/>
  <c r="BN86" i="1"/>
  <c r="AV78" i="1"/>
  <c r="AV91" i="1"/>
  <c r="AR99" i="1"/>
  <c r="DB99" i="1" s="1"/>
  <c r="DO204" i="1"/>
  <c r="DO99" i="1"/>
  <c r="DE99" i="1"/>
  <c r="DM99" i="1"/>
  <c r="BR99" i="1"/>
  <c r="BM99" i="1"/>
  <c r="R420" i="1"/>
  <c r="EA112" i="1"/>
  <c r="DM89" i="1"/>
  <c r="BP86" i="1"/>
  <c r="AR89" i="1"/>
  <c r="DB89" i="1" s="1"/>
  <c r="AT78" i="1"/>
  <c r="BL99" i="1"/>
  <c r="DX118" i="1"/>
  <c r="CD118" i="1"/>
  <c r="AT91" i="1"/>
  <c r="DR186" i="1"/>
  <c r="DF191" i="1"/>
  <c r="DE204" i="1"/>
  <c r="AR204" i="1"/>
  <c r="DB204" i="1" s="1"/>
  <c r="DX40" i="1"/>
  <c r="AU99" i="1"/>
  <c r="BM91" i="1"/>
  <c r="BR89" i="1"/>
  <c r="BP204" i="1"/>
  <c r="DI204" i="1"/>
  <c r="DH86" i="1"/>
  <c r="BQ89" i="1"/>
  <c r="DK205" i="1"/>
  <c r="DJ204" i="1"/>
  <c r="AS204" i="1"/>
  <c r="BM78" i="1"/>
  <c r="BP91" i="1"/>
  <c r="DX64" i="1"/>
  <c r="DC91" i="1"/>
  <c r="DK86" i="1"/>
  <c r="DL17" i="1"/>
  <c r="DD91" i="1"/>
  <c r="DO89" i="1"/>
  <c r="BM82" i="1"/>
  <c r="BN17" i="1"/>
  <c r="BL89" i="1"/>
  <c r="DH78" i="1"/>
  <c r="DD17" i="1"/>
  <c r="DH82" i="1"/>
  <c r="BN82" i="1"/>
  <c r="DE78" i="1"/>
  <c r="DJ17" i="1"/>
  <c r="DI82" i="1"/>
  <c r="DJ91" i="1"/>
  <c r="BN89" i="1"/>
  <c r="DL89" i="1"/>
  <c r="AU78" i="1"/>
  <c r="EB69" i="1"/>
  <c r="AW78" i="1"/>
  <c r="AW89" i="1"/>
  <c r="AW91" i="1"/>
  <c r="DD191" i="1"/>
  <c r="BN204" i="1"/>
  <c r="EB288" i="1"/>
  <c r="BS17" i="1"/>
  <c r="AR17" i="1"/>
  <c r="DB17" i="1" s="1"/>
  <c r="DC99" i="1"/>
  <c r="DC17" i="1"/>
  <c r="BM89" i="1"/>
  <c r="DI91" i="1"/>
  <c r="EB27" i="1"/>
  <c r="DJ99" i="1"/>
  <c r="EI105" i="1"/>
  <c r="AV99" i="1"/>
  <c r="DX192" i="1"/>
  <c r="BS91" i="1"/>
  <c r="BQ17" i="1"/>
  <c r="CF421" i="1"/>
  <c r="BR78" i="1"/>
  <c r="DI78" i="1"/>
  <c r="DJ82" i="1"/>
  <c r="DR91" i="1"/>
  <c r="W91" i="1"/>
  <c r="DK78" i="1"/>
  <c r="BO82" i="1"/>
  <c r="BR91" i="1"/>
  <c r="DO78" i="1"/>
  <c r="DX16" i="1"/>
  <c r="DC86" i="1"/>
  <c r="BK89" i="1"/>
  <c r="DR99" i="1"/>
  <c r="BP99" i="1"/>
  <c r="AT181" i="1"/>
  <c r="W191" i="1"/>
  <c r="DO191" i="1"/>
  <c r="DZ220" i="1"/>
  <c r="DO91" i="1"/>
  <c r="BP17" i="1"/>
  <c r="AT99" i="1"/>
  <c r="W86" i="1"/>
  <c r="CF423" i="1"/>
  <c r="R422" i="1"/>
  <c r="AT17" i="1"/>
  <c r="AV82" i="1"/>
  <c r="BT125" i="1"/>
  <c r="DI99" i="1"/>
  <c r="EC224" i="1"/>
  <c r="BT78" i="1"/>
  <c r="BT6" i="1"/>
  <c r="DG86" i="1"/>
  <c r="DH91" i="1"/>
  <c r="EB63" i="1"/>
  <c r="BK17" i="1"/>
  <c r="CD132" i="1"/>
  <c r="W99" i="1"/>
  <c r="DJ86" i="1"/>
  <c r="DO17" i="1"/>
  <c r="DD89" i="1"/>
  <c r="AR91" i="1"/>
  <c r="DB91" i="1" s="1"/>
  <c r="BK78" i="1"/>
  <c r="DF123" i="1"/>
  <c r="BL82" i="1"/>
  <c r="BT54" i="1"/>
  <c r="DI17" i="1"/>
  <c r="DL82" i="1"/>
  <c r="BL91" i="1"/>
  <c r="DI89" i="1"/>
  <c r="BT18" i="1"/>
  <c r="BT8" i="1"/>
  <c r="BP82" i="1"/>
  <c r="DM78" i="1"/>
  <c r="DH17" i="1"/>
  <c r="DR89" i="1"/>
  <c r="AU91" i="1"/>
  <c r="BL86" i="1"/>
  <c r="AR86" i="1"/>
  <c r="DB86" i="1" s="1"/>
  <c r="AW113" i="1"/>
  <c r="AR191" i="1"/>
  <c r="DB191" i="1" s="1"/>
  <c r="DR191" i="1"/>
  <c r="DZ192" i="1"/>
  <c r="DW123" i="1"/>
  <c r="DO182" i="1"/>
  <c r="DM181" i="1"/>
  <c r="BN191" i="1"/>
  <c r="DE191" i="1"/>
  <c r="W204" i="1"/>
  <c r="DC191" i="1"/>
  <c r="CD227" i="1"/>
  <c r="BL204" i="1"/>
  <c r="DZ103" i="1"/>
  <c r="BO182" i="1"/>
  <c r="BO191" i="1"/>
  <c r="DH191" i="1"/>
  <c r="DW202" i="1"/>
  <c r="DY192" i="1"/>
  <c r="BK191" i="1"/>
  <c r="BM204" i="1"/>
  <c r="DK102" i="1"/>
  <c r="DG32" i="1"/>
  <c r="DT120" i="1"/>
  <c r="BT39" i="1"/>
  <c r="EI123" i="1"/>
  <c r="DX128" i="1"/>
  <c r="BP191" i="1"/>
  <c r="DI191" i="1"/>
  <c r="ED192" i="1"/>
  <c r="AW191" i="1"/>
  <c r="BQ204" i="1"/>
  <c r="BR204" i="1"/>
  <c r="AW92" i="1"/>
  <c r="DM182" i="1"/>
  <c r="AR182" i="1"/>
  <c r="DB182" i="1" s="1"/>
  <c r="BQ191" i="1"/>
  <c r="DJ191" i="1"/>
  <c r="DF192" i="1"/>
  <c r="AV191" i="1"/>
  <c r="BS204" i="1"/>
  <c r="EA103" i="1"/>
  <c r="DE182" i="1"/>
  <c r="BN182" i="1"/>
  <c r="EA188" i="1"/>
  <c r="BR191" i="1"/>
  <c r="DL191" i="1"/>
  <c r="EC192" i="1"/>
  <c r="AT191" i="1"/>
  <c r="BK204" i="1"/>
  <c r="AU92" i="1"/>
  <c r="BS191" i="1"/>
  <c r="DU192" i="1"/>
  <c r="DH204" i="1"/>
  <c r="DY56" i="1"/>
  <c r="DE92" i="1"/>
  <c r="EB192" i="1"/>
  <c r="BO204" i="1"/>
  <c r="DK301" i="1"/>
  <c r="DW41" i="1"/>
  <c r="DC113" i="1"/>
  <c r="DF46" i="1"/>
  <c r="BK113" i="1"/>
  <c r="DF38" i="1"/>
  <c r="DW20" i="1"/>
  <c r="DK182" i="1"/>
  <c r="DJ49" i="1"/>
  <c r="EA56" i="1"/>
  <c r="DF41" i="1"/>
  <c r="DZ56" i="1"/>
  <c r="EC79" i="1"/>
  <c r="AR186" i="1"/>
  <c r="DB186" i="1" s="1"/>
  <c r="DL186" i="1"/>
  <c r="DM186" i="1"/>
  <c r="W186" i="1"/>
  <c r="DK186" i="1"/>
  <c r="DO186" i="1"/>
  <c r="EB57" i="1"/>
  <c r="BM186" i="1"/>
  <c r="EA57" i="1"/>
  <c r="BN186" i="1"/>
  <c r="BO186" i="1"/>
  <c r="BP186" i="1"/>
  <c r="DJ186" i="1"/>
  <c r="BS186" i="1"/>
  <c r="DD55" i="1"/>
  <c r="BQ186" i="1"/>
  <c r="DF125" i="1"/>
  <c r="DW125" i="1"/>
  <c r="CD190" i="1"/>
  <c r="EA125" i="1"/>
  <c r="DW198" i="1"/>
  <c r="EI192" i="1"/>
  <c r="DK112" i="1"/>
  <c r="DG78" i="1"/>
  <c r="BT63" i="1"/>
  <c r="EB94" i="1"/>
  <c r="CH261" i="1"/>
  <c r="DT261" i="1" s="1"/>
  <c r="EB42" i="1"/>
  <c r="DK84" i="1"/>
  <c r="DJ59" i="1"/>
  <c r="DW86" i="1"/>
  <c r="BT84" i="1"/>
  <c r="DD75" i="1"/>
  <c r="ED33" i="1"/>
  <c r="EB125" i="1"/>
  <c r="DF207" i="1"/>
  <c r="DT125" i="1"/>
  <c r="DF75" i="1"/>
  <c r="EF67" i="1"/>
  <c r="EI75" i="1"/>
  <c r="DF127" i="1"/>
  <c r="DU75" i="1"/>
  <c r="DW75" i="1"/>
  <c r="EC75" i="1"/>
  <c r="DA127" i="1"/>
  <c r="DF230" i="1"/>
  <c r="EA192" i="1"/>
  <c r="EC80" i="1"/>
  <c r="EI131" i="1"/>
  <c r="ED87" i="1"/>
  <c r="BK141" i="1"/>
  <c r="DI141" i="1"/>
  <c r="BQ77" i="1"/>
  <c r="DH141" i="1"/>
  <c r="AU76" i="1"/>
  <c r="BS76" i="1"/>
  <c r="DD77" i="1"/>
  <c r="DM119" i="1"/>
  <c r="AV119" i="1"/>
  <c r="BN141" i="1"/>
  <c r="AW141" i="1"/>
  <c r="BR76" i="1"/>
  <c r="DM77" i="1"/>
  <c r="DO119" i="1"/>
  <c r="DJ119" i="1"/>
  <c r="BO119" i="1"/>
  <c r="AT119" i="1"/>
  <c r="BO141" i="1"/>
  <c r="DH76" i="1"/>
  <c r="DL77" i="1"/>
  <c r="BT77" i="1"/>
  <c r="BM141" i="1"/>
  <c r="AT141" i="1"/>
  <c r="DO77" i="1"/>
  <c r="DE76" i="1"/>
  <c r="DI77" i="1"/>
  <c r="DF77" i="1"/>
  <c r="AV76" i="1"/>
  <c r="BR141" i="1"/>
  <c r="DD76" i="1"/>
  <c r="DD119" i="1"/>
  <c r="EI78" i="1"/>
  <c r="DO76" i="1"/>
  <c r="DH77" i="1"/>
  <c r="DF76" i="1"/>
  <c r="BK76" i="1"/>
  <c r="BT101" i="1"/>
  <c r="DK119" i="1"/>
  <c r="BN119" i="1"/>
  <c r="W119" i="1"/>
  <c r="DO141" i="1"/>
  <c r="DM76" i="1"/>
  <c r="BO77" i="1"/>
  <c r="DR77" i="1"/>
  <c r="AW76" i="1"/>
  <c r="AR119" i="1"/>
  <c r="DB119" i="1" s="1"/>
  <c r="DJ141" i="1"/>
  <c r="BP77" i="1"/>
  <c r="DL141" i="1"/>
  <c r="W76" i="1"/>
  <c r="DU95" i="1"/>
  <c r="DL76" i="1"/>
  <c r="DE77" i="1"/>
  <c r="BP76" i="1"/>
  <c r="AT76" i="1"/>
  <c r="DH119" i="1"/>
  <c r="BP141" i="1"/>
  <c r="DM141" i="1"/>
  <c r="DG77" i="1"/>
  <c r="DC76" i="1"/>
  <c r="AR77" i="1"/>
  <c r="DB77" i="1" s="1"/>
  <c r="BL119" i="1"/>
  <c r="DE141" i="1"/>
  <c r="BS141" i="1"/>
  <c r="BQ76" i="1"/>
  <c r="DJ76" i="1"/>
  <c r="BL77" i="1"/>
  <c r="W77" i="1"/>
  <c r="AR76" i="1"/>
  <c r="DB76" i="1" s="1"/>
  <c r="DC77" i="1"/>
  <c r="DW131" i="1"/>
  <c r="BM119" i="1"/>
  <c r="BR119" i="1"/>
  <c r="BS119" i="1"/>
  <c r="W141" i="1"/>
  <c r="BQ141" i="1"/>
  <c r="DI119" i="1"/>
  <c r="DU131" i="1"/>
  <c r="DK76" i="1"/>
  <c r="BM77" i="1"/>
  <c r="DI76" i="1"/>
  <c r="BN77" i="1"/>
  <c r="AV77" i="1"/>
  <c r="AU119" i="1"/>
  <c r="DR141" i="1"/>
  <c r="DK141" i="1"/>
  <c r="DR76" i="1"/>
  <c r="BS77" i="1"/>
  <c r="BK77" i="1"/>
  <c r="DE119" i="1"/>
  <c r="AS141" i="1"/>
  <c r="ED95" i="1"/>
  <c r="DX72" i="1"/>
  <c r="DY95" i="1"/>
  <c r="BM76" i="1"/>
  <c r="DG76" i="1"/>
  <c r="AU77" i="1"/>
  <c r="AT77" i="1"/>
  <c r="BQ119" i="1"/>
  <c r="DG141" i="1"/>
  <c r="DC141" i="1"/>
  <c r="DJ77" i="1"/>
  <c r="DK77" i="1"/>
  <c r="BR77" i="1"/>
  <c r="DL119" i="1"/>
  <c r="DD141" i="1"/>
  <c r="BL141" i="1"/>
  <c r="AR141" i="1"/>
  <c r="DB141" i="1" s="1"/>
  <c r="DF17" i="1"/>
  <c r="DF36" i="1"/>
  <c r="BT48" i="1"/>
  <c r="BT16" i="1"/>
  <c r="BT210" i="1"/>
  <c r="DX56" i="1"/>
  <c r="DU20" i="1"/>
  <c r="EC96" i="1"/>
  <c r="DO301" i="1"/>
  <c r="EB96" i="1"/>
  <c r="W301" i="1"/>
  <c r="DR301" i="1"/>
  <c r="EI96" i="1"/>
  <c r="DX225" i="1"/>
  <c r="DG91" i="1"/>
  <c r="AT301" i="1"/>
  <c r="EF96" i="1"/>
  <c r="AV301" i="1"/>
  <c r="AW301" i="1"/>
  <c r="DT267" i="1"/>
  <c r="DU267" i="1"/>
  <c r="CH282" i="1"/>
  <c r="DF282" i="1" s="1"/>
  <c r="BK301" i="1"/>
  <c r="BL301" i="1"/>
  <c r="AR301" i="1"/>
  <c r="DB301" i="1" s="1"/>
  <c r="DZ267" i="1"/>
  <c r="BN301" i="1"/>
  <c r="DC301" i="1"/>
  <c r="DA267" i="1"/>
  <c r="EA267" i="1"/>
  <c r="BP301" i="1"/>
  <c r="DD301" i="1"/>
  <c r="EC267" i="1"/>
  <c r="BQ301" i="1"/>
  <c r="DI301" i="1"/>
  <c r="EC78" i="1"/>
  <c r="BR301" i="1"/>
  <c r="DJ301" i="1"/>
  <c r="EI267" i="1"/>
  <c r="BS301" i="1"/>
  <c r="CP292" i="1"/>
  <c r="EE292" i="1" s="1"/>
  <c r="BT91" i="1"/>
  <c r="EC74" i="1"/>
  <c r="DA80" i="1"/>
  <c r="BN100" i="1"/>
  <c r="CP256" i="1"/>
  <c r="CR256" i="1" s="1"/>
  <c r="BT55" i="1"/>
  <c r="BT25" i="1"/>
  <c r="EI112" i="1"/>
  <c r="DA123" i="1"/>
  <c r="DX99" i="1"/>
  <c r="CP248" i="1"/>
  <c r="CR248" i="1" s="1"/>
  <c r="AW100" i="1"/>
  <c r="CD157" i="1"/>
  <c r="EI147" i="1"/>
  <c r="EI52" i="1"/>
  <c r="DG99" i="1"/>
  <c r="DK17" i="1"/>
  <c r="CT423" i="1"/>
  <c r="DU30" i="1"/>
  <c r="EA148" i="1"/>
  <c r="EF147" i="1"/>
  <c r="EI148" i="1"/>
  <c r="DW46" i="1"/>
  <c r="EC64" i="1"/>
  <c r="EA64" i="1"/>
  <c r="EF13" i="1"/>
  <c r="EF64" i="1"/>
  <c r="DU11" i="1"/>
  <c r="EF80" i="1"/>
  <c r="DZ148" i="1"/>
  <c r="EF198" i="1"/>
  <c r="CA120" i="1"/>
  <c r="CA420" i="1" s="1"/>
  <c r="BT167" i="1"/>
  <c r="DK191" i="1"/>
  <c r="DF88" i="1"/>
  <c r="DW88" i="1"/>
  <c r="EB74" i="1"/>
  <c r="DT196" i="1"/>
  <c r="CH249" i="1"/>
  <c r="DZ249" i="1" s="1"/>
  <c r="CD124" i="1"/>
  <c r="EB196" i="1"/>
  <c r="DW8" i="1"/>
  <c r="EC8" i="1"/>
  <c r="CI423" i="1"/>
  <c r="CL420" i="1"/>
  <c r="EI67" i="1"/>
  <c r="DZ168" i="1"/>
  <c r="EB168" i="1"/>
  <c r="DF94" i="1"/>
  <c r="BQ28" i="1"/>
  <c r="BP28" i="1"/>
  <c r="BL100" i="1"/>
  <c r="DG100" i="1"/>
  <c r="AT100" i="1"/>
  <c r="EA230" i="1"/>
  <c r="DI28" i="1"/>
  <c r="DW94" i="1"/>
  <c r="DR67" i="1"/>
  <c r="DL28" i="1"/>
  <c r="CL422" i="1"/>
  <c r="BL28" i="1"/>
  <c r="AU28" i="1"/>
  <c r="BS28" i="1"/>
  <c r="BR100" i="1"/>
  <c r="EC117" i="1"/>
  <c r="DZ138" i="1"/>
  <c r="BT19" i="1"/>
  <c r="DJ28" i="1"/>
  <c r="BM100" i="1"/>
  <c r="DL100" i="1"/>
  <c r="EF138" i="1"/>
  <c r="BR28" i="1"/>
  <c r="CI421" i="1"/>
  <c r="DI100" i="1"/>
  <c r="EG147" i="1"/>
  <c r="EG148" i="1"/>
  <c r="EA168" i="1"/>
  <c r="DH28" i="1"/>
  <c r="DX65" i="1"/>
  <c r="DG28" i="1"/>
  <c r="DJ100" i="1"/>
  <c r="CP218" i="1"/>
  <c r="EE218" i="1" s="1"/>
  <c r="CP195" i="1"/>
  <c r="CR195" i="1" s="1"/>
  <c r="CP173" i="1"/>
  <c r="CR173" i="1" s="1"/>
  <c r="CP141" i="1"/>
  <c r="CR141" i="1" s="1"/>
  <c r="CP83" i="1"/>
  <c r="CR83" i="1" s="1"/>
  <c r="DR28" i="1"/>
  <c r="BN28" i="1"/>
  <c r="DC28" i="1"/>
  <c r="BS100" i="1"/>
  <c r="EF99" i="1"/>
  <c r="CP253" i="1"/>
  <c r="EE253" i="1" s="1"/>
  <c r="CP283" i="1"/>
  <c r="DN283" i="1" s="1"/>
  <c r="CP288" i="1"/>
  <c r="EE288" i="1" s="1"/>
  <c r="CP295" i="1"/>
  <c r="CR295" i="1" s="1"/>
  <c r="CP302" i="1"/>
  <c r="CR302" i="1" s="1"/>
  <c r="AV28" i="1"/>
  <c r="DR100" i="1"/>
  <c r="DU99" i="1"/>
  <c r="DX137" i="1"/>
  <c r="EC59" i="1"/>
  <c r="DE28" i="1"/>
  <c r="DO28" i="1"/>
  <c r="DX50" i="1"/>
  <c r="BK28" i="1"/>
  <c r="BQ100" i="1"/>
  <c r="DU117" i="1"/>
  <c r="CP229" i="1"/>
  <c r="CR229" i="1" s="1"/>
  <c r="DD28" i="1"/>
  <c r="BM28" i="1"/>
  <c r="AR28" i="1"/>
  <c r="DB28" i="1" s="1"/>
  <c r="AW28" i="1"/>
  <c r="W100" i="1"/>
  <c r="W28" i="1"/>
  <c r="AT28" i="1"/>
  <c r="BP100" i="1"/>
  <c r="CM421" i="1"/>
  <c r="EB17" i="1"/>
  <c r="AU100" i="1"/>
  <c r="DK100" i="1"/>
  <c r="CM422" i="1"/>
  <c r="DM100" i="1"/>
  <c r="DY147" i="1"/>
  <c r="DH100" i="1"/>
  <c r="DC100" i="1"/>
  <c r="AR100" i="1"/>
  <c r="DB100" i="1" s="1"/>
  <c r="DE100" i="1"/>
  <c r="BK100" i="1"/>
  <c r="CP221" i="1"/>
  <c r="CR221" i="1" s="1"/>
  <c r="BT72" i="1"/>
  <c r="DW39" i="1"/>
  <c r="DD100" i="1"/>
  <c r="BO100" i="1"/>
  <c r="DX147" i="1"/>
  <c r="BT184" i="1"/>
  <c r="CL421" i="1"/>
  <c r="DG119" i="1"/>
  <c r="DK28" i="1"/>
  <c r="CP314" i="1"/>
  <c r="DN314" i="1" s="1"/>
  <c r="EI168" i="1"/>
  <c r="EF168" i="1"/>
  <c r="DY148" i="1"/>
  <c r="DY186" i="1"/>
  <c r="CP240" i="1"/>
  <c r="CR240" i="1" s="1"/>
  <c r="BL92" i="1"/>
  <c r="DY108" i="1"/>
  <c r="AT92" i="1"/>
  <c r="DY139" i="1"/>
  <c r="DF148" i="1"/>
  <c r="EB217" i="1"/>
  <c r="CP225" i="1"/>
  <c r="CR225" i="1" s="1"/>
  <c r="CP206" i="1"/>
  <c r="CR206" i="1" s="1"/>
  <c r="CP142" i="1"/>
  <c r="CR142" i="1" s="1"/>
  <c r="CP84" i="1"/>
  <c r="CR84" i="1" s="1"/>
  <c r="CP59" i="1"/>
  <c r="CR59" i="1" s="1"/>
  <c r="CP237" i="1"/>
  <c r="CR237" i="1" s="1"/>
  <c r="CP272" i="1"/>
  <c r="CR272" i="1" s="1"/>
  <c r="CP276" i="1"/>
  <c r="CR276" i="1" s="1"/>
  <c r="CS276" i="1" s="1"/>
  <c r="CP301" i="1"/>
  <c r="DN301" i="1" s="1"/>
  <c r="CP309" i="1"/>
  <c r="DN309" i="1" s="1"/>
  <c r="BS92" i="1"/>
  <c r="BR92" i="1"/>
  <c r="BN92" i="1"/>
  <c r="CT421" i="1"/>
  <c r="BQ92" i="1"/>
  <c r="DZ86" i="1"/>
  <c r="CT422" i="1"/>
  <c r="DZ147" i="1"/>
  <c r="EF181" i="1"/>
  <c r="DF202" i="1"/>
  <c r="BT215" i="1"/>
  <c r="CT420" i="1"/>
  <c r="EE147" i="1"/>
  <c r="CP204" i="1"/>
  <c r="CR204" i="1" s="1"/>
  <c r="DU62" i="1"/>
  <c r="DU8" i="1"/>
  <c r="CL423" i="1"/>
  <c r="DK92" i="1"/>
  <c r="DD22" i="1"/>
  <c r="EC147" i="1"/>
  <c r="DX148" i="1"/>
  <c r="EE148" i="1"/>
  <c r="EC197" i="1"/>
  <c r="DL92" i="1"/>
  <c r="EB56" i="1"/>
  <c r="DJ92" i="1"/>
  <c r="DA25" i="1"/>
  <c r="EC108" i="1"/>
  <c r="EB147" i="1"/>
  <c r="CH226" i="1"/>
  <c r="EB226" i="1" s="1"/>
  <c r="CP234" i="1"/>
  <c r="CR234" i="1" s="1"/>
  <c r="CP242" i="1"/>
  <c r="EE242" i="1" s="1"/>
  <c r="DI92" i="1"/>
  <c r="AR92" i="1"/>
  <c r="DB92" i="1" s="1"/>
  <c r="EF108" i="1"/>
  <c r="CP258" i="1"/>
  <c r="CR258" i="1" s="1"/>
  <c r="DP258" i="1" s="1"/>
  <c r="CP289" i="1"/>
  <c r="EE289" i="1" s="1"/>
  <c r="CP315" i="1"/>
  <c r="EE315" i="1" s="1"/>
  <c r="DH92" i="1"/>
  <c r="DX119" i="1"/>
  <c r="EI185" i="1"/>
  <c r="BP92" i="1"/>
  <c r="DD92" i="1"/>
  <c r="DM92" i="1"/>
  <c r="BO92" i="1"/>
  <c r="W92" i="1"/>
  <c r="CI422" i="1"/>
  <c r="DR92" i="1"/>
  <c r="DF108" i="1"/>
  <c r="DC92" i="1"/>
  <c r="CP284" i="1"/>
  <c r="EE284" i="1" s="1"/>
  <c r="CP304" i="1"/>
  <c r="CR304" i="1" s="1"/>
  <c r="CP308" i="1"/>
  <c r="EE308" i="1" s="1"/>
  <c r="DG92" i="1"/>
  <c r="BK92" i="1"/>
  <c r="DW148" i="1"/>
  <c r="DF139" i="1"/>
  <c r="EB236" i="1"/>
  <c r="CM420" i="1"/>
  <c r="CI420" i="1"/>
  <c r="EA88" i="1"/>
  <c r="CM423" i="1"/>
  <c r="BM92" i="1"/>
  <c r="DO92" i="1"/>
  <c r="BZ120" i="1"/>
  <c r="BZ422" i="1" s="1"/>
  <c r="EA139" i="1"/>
  <c r="DU145" i="1"/>
  <c r="DX138" i="1"/>
  <c r="DT207" i="1"/>
  <c r="DW36" i="1"/>
  <c r="EB8" i="1"/>
  <c r="EC139" i="1"/>
  <c r="EB138" i="1"/>
  <c r="DF138" i="1"/>
  <c r="EB148" i="1"/>
  <c r="CP205" i="1"/>
  <c r="CR205" i="1" s="1"/>
  <c r="AX88" i="1"/>
  <c r="EA138" i="1"/>
  <c r="DX139" i="1"/>
  <c r="DT135" i="1"/>
  <c r="DU36" i="1"/>
  <c r="DT149" i="1"/>
  <c r="CP241" i="1"/>
  <c r="CR241" i="1" s="1"/>
  <c r="DY188" i="1"/>
  <c r="DX302" i="1"/>
  <c r="CP268" i="1"/>
  <c r="CR268" i="1" s="1"/>
  <c r="DZ12" i="1"/>
  <c r="CP222" i="1"/>
  <c r="CR222" i="1" s="1"/>
  <c r="CP215" i="1"/>
  <c r="CR215" i="1" s="1"/>
  <c r="CP209" i="1"/>
  <c r="CR209" i="1" s="1"/>
  <c r="CP191" i="1"/>
  <c r="CR191" i="1" s="1"/>
  <c r="CP101" i="1"/>
  <c r="CR101" i="1" s="1"/>
  <c r="CP73" i="1"/>
  <c r="CR73" i="1" s="1"/>
  <c r="CP56" i="1"/>
  <c r="CR56" i="1" s="1"/>
  <c r="CP47" i="1"/>
  <c r="CR47" i="1" s="1"/>
  <c r="CP5" i="1"/>
  <c r="CR5" i="1" s="1"/>
  <c r="BT165" i="1"/>
  <c r="DA218" i="1"/>
  <c r="EI85" i="1"/>
  <c r="CH81" i="1"/>
  <c r="DX81" i="1" s="1"/>
  <c r="DX149" i="1"/>
  <c r="CP213" i="1"/>
  <c r="CR213" i="1" s="1"/>
  <c r="EC17" i="1"/>
  <c r="BT160" i="1"/>
  <c r="CP219" i="1"/>
  <c r="CR219" i="1" s="1"/>
  <c r="CP198" i="1"/>
  <c r="CR198" i="1" s="1"/>
  <c r="CP182" i="1"/>
  <c r="CR182" i="1" s="1"/>
  <c r="CP174" i="1"/>
  <c r="CR174" i="1" s="1"/>
  <c r="CP49" i="1"/>
  <c r="CR49" i="1" s="1"/>
  <c r="CP34" i="1"/>
  <c r="CR34" i="1" s="1"/>
  <c r="CP16" i="1"/>
  <c r="CR16" i="1" s="1"/>
  <c r="CP9" i="1"/>
  <c r="CR9" i="1" s="1"/>
  <c r="DY330" i="1"/>
  <c r="CP297" i="1"/>
  <c r="CR297" i="1" s="1"/>
  <c r="DP297" i="1" s="1"/>
  <c r="DZ82" i="1"/>
  <c r="CD159" i="1"/>
  <c r="CP266" i="1"/>
  <c r="CR266" i="1" s="1"/>
  <c r="EF70" i="1"/>
  <c r="DT70" i="1"/>
  <c r="EB70" i="1"/>
  <c r="DW92" i="1"/>
  <c r="CP201" i="1"/>
  <c r="CR201" i="1" s="1"/>
  <c r="CS201" i="1" s="1"/>
  <c r="CU201" i="1" s="1"/>
  <c r="CY201" i="1" s="1"/>
  <c r="CP184" i="1"/>
  <c r="CR184" i="1" s="1"/>
  <c r="CP176" i="1"/>
  <c r="CR176" i="1" s="1"/>
  <c r="CP169" i="1"/>
  <c r="CR169" i="1" s="1"/>
  <c r="CP121" i="1"/>
  <c r="CP100" i="1"/>
  <c r="CR100" i="1" s="1"/>
  <c r="CP93" i="1"/>
  <c r="CP79" i="1"/>
  <c r="CR79" i="1" s="1"/>
  <c r="CP72" i="1"/>
  <c r="CR72" i="1" s="1"/>
  <c r="CP41" i="1"/>
  <c r="CR41" i="1" s="1"/>
  <c r="CP30" i="1"/>
  <c r="CR30" i="1" s="1"/>
  <c r="CP267" i="1"/>
  <c r="CR267" i="1" s="1"/>
  <c r="DR218" i="1"/>
  <c r="CP214" i="1"/>
  <c r="CR214" i="1" s="1"/>
  <c r="CP208" i="1"/>
  <c r="CR208" i="1" s="1"/>
  <c r="CP190" i="1"/>
  <c r="CR190" i="1" s="1"/>
  <c r="CP129" i="1"/>
  <c r="CR129" i="1" s="1"/>
  <c r="CP113" i="1"/>
  <c r="CR113" i="1" s="1"/>
  <c r="CP107" i="1"/>
  <c r="DN107" i="1" s="1"/>
  <c r="CP86" i="1"/>
  <c r="CR86" i="1" s="1"/>
  <c r="CP55" i="1"/>
  <c r="CR55" i="1" s="1"/>
  <c r="CP46" i="1"/>
  <c r="CR46" i="1" s="1"/>
  <c r="CP18" i="1"/>
  <c r="CR18" i="1" s="1"/>
  <c r="CP11" i="1"/>
  <c r="CR11" i="1" s="1"/>
  <c r="CP305" i="1"/>
  <c r="CR305" i="1" s="1"/>
  <c r="EA24" i="1"/>
  <c r="DW135" i="1"/>
  <c r="DF197" i="1"/>
  <c r="CP175" i="1"/>
  <c r="DN175" i="1" s="1"/>
  <c r="CP137" i="1"/>
  <c r="CR137" i="1" s="1"/>
  <c r="CP120" i="1"/>
  <c r="CR120" i="1" s="1"/>
  <c r="CP99" i="1"/>
  <c r="CR99" i="1" s="1"/>
  <c r="CP92" i="1"/>
  <c r="CR92" i="1" s="1"/>
  <c r="CP78" i="1"/>
  <c r="CR78" i="1" s="1"/>
  <c r="CP65" i="1"/>
  <c r="CR65" i="1" s="1"/>
  <c r="CP60" i="1"/>
  <c r="CR60" i="1" s="1"/>
  <c r="CP50" i="1"/>
  <c r="CR50" i="1" s="1"/>
  <c r="CP35" i="1"/>
  <c r="CR35" i="1" s="1"/>
  <c r="CP24" i="1"/>
  <c r="CR24" i="1" s="1"/>
  <c r="CP236" i="1"/>
  <c r="CR236" i="1" s="1"/>
  <c r="CP244" i="1"/>
  <c r="CR244" i="1" s="1"/>
  <c r="CP252" i="1"/>
  <c r="CR252" i="1" s="1"/>
  <c r="CP261" i="1"/>
  <c r="CR261" i="1" s="1"/>
  <c r="CP287" i="1"/>
  <c r="DN287" i="1" s="1"/>
  <c r="CP294" i="1"/>
  <c r="CR294" i="1" s="1"/>
  <c r="CP298" i="1"/>
  <c r="CR298" i="1" s="1"/>
  <c r="BT33" i="1"/>
  <c r="DZ24" i="1"/>
  <c r="DW108" i="1"/>
  <c r="AZ180" i="1"/>
  <c r="DF198" i="1"/>
  <c r="EI197" i="1"/>
  <c r="DW197" i="1"/>
  <c r="CP226" i="1"/>
  <c r="CR226" i="1" s="1"/>
  <c r="CP220" i="1"/>
  <c r="CR220" i="1" s="1"/>
  <c r="CP207" i="1"/>
  <c r="CR207" i="1" s="1"/>
  <c r="CP199" i="1"/>
  <c r="CR199" i="1" s="1"/>
  <c r="CP189" i="1"/>
  <c r="CR189" i="1" s="1"/>
  <c r="CP183" i="1"/>
  <c r="CR183" i="1" s="1"/>
  <c r="CP168" i="1"/>
  <c r="CR168" i="1" s="1"/>
  <c r="CP143" i="1"/>
  <c r="CR143" i="1" s="1"/>
  <c r="CP106" i="1"/>
  <c r="CR106" i="1" s="1"/>
  <c r="CP85" i="1"/>
  <c r="CR85" i="1" s="1"/>
  <c r="CP71" i="1"/>
  <c r="CR71" i="1" s="1"/>
  <c r="CP40" i="1"/>
  <c r="CR40" i="1" s="1"/>
  <c r="CP29" i="1"/>
  <c r="CR29" i="1" s="1"/>
  <c r="CP17" i="1"/>
  <c r="CR17" i="1" s="1"/>
  <c r="CP10" i="1"/>
  <c r="CR10" i="1" s="1"/>
  <c r="CP277" i="1"/>
  <c r="CR277" i="1" s="1"/>
  <c r="CP282" i="1"/>
  <c r="DN282" i="1" s="1"/>
  <c r="CP306" i="1"/>
  <c r="DN306" i="1" s="1"/>
  <c r="DF42" i="1"/>
  <c r="BT17" i="1"/>
  <c r="EI24" i="1"/>
  <c r="EF136" i="1"/>
  <c r="DZ133" i="1"/>
  <c r="AZ179" i="1"/>
  <c r="EA197" i="1"/>
  <c r="CP136" i="1"/>
  <c r="CR136" i="1" s="1"/>
  <c r="CP128" i="1"/>
  <c r="CR128" i="1" s="1"/>
  <c r="CP119" i="1"/>
  <c r="CR119" i="1" s="1"/>
  <c r="CP112" i="1"/>
  <c r="CR112" i="1" s="1"/>
  <c r="CP98" i="1"/>
  <c r="CR98" i="1" s="1"/>
  <c r="CP91" i="1"/>
  <c r="CR91" i="1" s="1"/>
  <c r="CP77" i="1"/>
  <c r="CR77" i="1" s="1"/>
  <c r="CP54" i="1"/>
  <c r="CR54" i="1" s="1"/>
  <c r="CP45" i="1"/>
  <c r="CR45" i="1" s="1"/>
  <c r="CP23" i="1"/>
  <c r="CP231" i="1"/>
  <c r="CR231" i="1" s="1"/>
  <c r="CH256" i="1"/>
  <c r="EI256" i="1" s="1"/>
  <c r="CP257" i="1"/>
  <c r="DN257" i="1" s="1"/>
  <c r="CP262" i="1"/>
  <c r="DN262" i="1" s="1"/>
  <c r="CP273" i="1"/>
  <c r="CR273" i="1" s="1"/>
  <c r="CP310" i="1"/>
  <c r="CR310" i="1" s="1"/>
  <c r="DF128" i="1"/>
  <c r="CP245" i="1"/>
  <c r="CR245" i="1" s="1"/>
  <c r="DW42" i="1"/>
  <c r="DY32" i="1"/>
  <c r="EA82" i="1"/>
  <c r="EF86" i="1"/>
  <c r="EI138" i="1"/>
  <c r="DU149" i="1"/>
  <c r="EF174" i="1"/>
  <c r="DU197" i="1"/>
  <c r="CP212" i="1"/>
  <c r="CR212" i="1" s="1"/>
  <c r="CP188" i="1"/>
  <c r="CR188" i="1" s="1"/>
  <c r="CP181" i="1"/>
  <c r="CR181" i="1" s="1"/>
  <c r="CP167" i="1"/>
  <c r="CR167" i="1" s="1"/>
  <c r="CP135" i="1"/>
  <c r="CR135" i="1" s="1"/>
  <c r="CP127" i="1"/>
  <c r="CR127" i="1" s="1"/>
  <c r="CP118" i="1"/>
  <c r="CR118" i="1" s="1"/>
  <c r="CP105" i="1"/>
  <c r="CR105" i="1" s="1"/>
  <c r="CP97" i="1"/>
  <c r="CR97" i="1" s="1"/>
  <c r="CP90" i="1"/>
  <c r="CR90" i="1" s="1"/>
  <c r="CP76" i="1"/>
  <c r="EE76" i="1" s="1"/>
  <c r="CP70" i="1"/>
  <c r="CR70" i="1" s="1"/>
  <c r="CP64" i="1"/>
  <c r="CR64" i="1" s="1"/>
  <c r="CP39" i="1"/>
  <c r="CR39" i="1" s="1"/>
  <c r="CP28" i="1"/>
  <c r="CR28" i="1" s="1"/>
  <c r="CP232" i="1"/>
  <c r="CR232" i="1" s="1"/>
  <c r="CP249" i="1"/>
  <c r="CR249" i="1" s="1"/>
  <c r="EB267" i="1"/>
  <c r="CP263" i="1"/>
  <c r="CR263" i="1" s="1"/>
  <c r="DP263" i="1" s="1"/>
  <c r="CP269" i="1"/>
  <c r="CR269" i="1" s="1"/>
  <c r="CS269" i="1" s="1"/>
  <c r="CP278" i="1"/>
  <c r="CR278" i="1" s="1"/>
  <c r="DP278" i="1" s="1"/>
  <c r="CP299" i="1"/>
  <c r="CR299" i="1" s="1"/>
  <c r="CP307" i="1"/>
  <c r="CR307" i="1" s="1"/>
  <c r="BT151" i="1"/>
  <c r="EB145" i="1"/>
  <c r="DY197" i="1"/>
  <c r="CP111" i="1"/>
  <c r="CR111" i="1" s="1"/>
  <c r="CP53" i="1"/>
  <c r="CR53" i="1" s="1"/>
  <c r="CP44" i="1"/>
  <c r="CR44" i="1" s="1"/>
  <c r="CP22" i="1"/>
  <c r="CR22" i="1" s="1"/>
  <c r="CP274" i="1"/>
  <c r="CR274" i="1" s="1"/>
  <c r="CP311" i="1"/>
  <c r="CR311" i="1" s="1"/>
  <c r="BV70" i="1"/>
  <c r="AZ70" i="1" s="1"/>
  <c r="DZ108" i="1"/>
  <c r="EC135" i="1"/>
  <c r="DX197" i="1"/>
  <c r="CP230" i="1"/>
  <c r="CR230" i="1" s="1"/>
  <c r="CP224" i="1"/>
  <c r="CR224" i="1" s="1"/>
  <c r="CP187" i="1"/>
  <c r="CR187" i="1" s="1"/>
  <c r="CP180" i="1"/>
  <c r="CR180" i="1" s="1"/>
  <c r="CP166" i="1"/>
  <c r="CR166" i="1" s="1"/>
  <c r="CP133" i="1"/>
  <c r="CR133" i="1" s="1"/>
  <c r="CP126" i="1"/>
  <c r="CR126" i="1" s="1"/>
  <c r="CP117" i="1"/>
  <c r="CR117" i="1" s="1"/>
  <c r="CP104" i="1"/>
  <c r="CR104" i="1" s="1"/>
  <c r="CP96" i="1"/>
  <c r="CR96" i="1" s="1"/>
  <c r="CP89" i="1"/>
  <c r="CR89" i="1" s="1"/>
  <c r="CP58" i="1"/>
  <c r="CR58" i="1" s="1"/>
  <c r="CP48" i="1"/>
  <c r="CR48" i="1" s="1"/>
  <c r="CP33" i="1"/>
  <c r="CR33" i="1" s="1"/>
  <c r="CP15" i="1"/>
  <c r="CR15" i="1" s="1"/>
  <c r="CP8" i="1"/>
  <c r="CR8" i="1" s="1"/>
  <c r="CP264" i="1"/>
  <c r="CR264" i="1" s="1"/>
  <c r="CP303" i="1"/>
  <c r="DA108" i="1"/>
  <c r="DU198" i="1"/>
  <c r="EF220" i="1"/>
  <c r="CP217" i="1"/>
  <c r="CR217" i="1" s="1"/>
  <c r="CP211" i="1"/>
  <c r="CR211" i="1" s="1"/>
  <c r="CP194" i="1"/>
  <c r="CR194" i="1" s="1"/>
  <c r="CP172" i="1"/>
  <c r="CR172" i="1" s="1"/>
  <c r="CP82" i="1"/>
  <c r="CR82" i="1" s="1"/>
  <c r="CP75" i="1"/>
  <c r="CR75" i="1" s="1"/>
  <c r="CP63" i="1"/>
  <c r="CR63" i="1" s="1"/>
  <c r="CP38" i="1"/>
  <c r="CR38" i="1" s="1"/>
  <c r="CP27" i="1"/>
  <c r="CR27" i="1" s="1"/>
  <c r="CP233" i="1"/>
  <c r="CR233" i="1" s="1"/>
  <c r="CP238" i="1"/>
  <c r="CR238" i="1" s="1"/>
  <c r="CP246" i="1"/>
  <c r="CR246" i="1" s="1"/>
  <c r="CP250" i="1"/>
  <c r="CR250" i="1" s="1"/>
  <c r="DG267" i="1"/>
  <c r="CP254" i="1"/>
  <c r="CR254" i="1" s="1"/>
  <c r="CP279" i="1"/>
  <c r="CR279" i="1" s="1"/>
  <c r="CP296" i="1"/>
  <c r="CR296" i="1" s="1"/>
  <c r="DT108" i="1"/>
  <c r="EG145" i="1"/>
  <c r="DF149" i="1"/>
  <c r="EF137" i="1"/>
  <c r="EF197" i="1"/>
  <c r="EI198" i="1"/>
  <c r="CP223" i="1"/>
  <c r="CR223" i="1" s="1"/>
  <c r="CP179" i="1"/>
  <c r="CR179" i="1" s="1"/>
  <c r="CP132" i="1"/>
  <c r="CR132" i="1" s="1"/>
  <c r="CP125" i="1"/>
  <c r="CR125" i="1" s="1"/>
  <c r="CP116" i="1"/>
  <c r="CR116" i="1" s="1"/>
  <c r="CP110" i="1"/>
  <c r="CR110" i="1" s="1"/>
  <c r="CP103" i="1"/>
  <c r="CR103" i="1" s="1"/>
  <c r="CP95" i="1"/>
  <c r="CR95" i="1" s="1"/>
  <c r="CP69" i="1"/>
  <c r="CR69" i="1" s="1"/>
  <c r="CP43" i="1"/>
  <c r="CR43" i="1" s="1"/>
  <c r="CP21" i="1"/>
  <c r="CR21" i="1" s="1"/>
  <c r="CP7" i="1"/>
  <c r="DN7" i="1" s="1"/>
  <c r="T143" i="1"/>
  <c r="DR143" i="1" s="1"/>
  <c r="CP270" i="1"/>
  <c r="CR270" i="1" s="1"/>
  <c r="CP275" i="1"/>
  <c r="DN275" i="1" s="1"/>
  <c r="CP291" i="1"/>
  <c r="CR291" i="1" s="1"/>
  <c r="CS291" i="1" s="1"/>
  <c r="CP300" i="1"/>
  <c r="CR300" i="1" s="1"/>
  <c r="DW149" i="1"/>
  <c r="DA147" i="1"/>
  <c r="EE197" i="1"/>
  <c r="DA220" i="1"/>
  <c r="DF247" i="1"/>
  <c r="CP210" i="1"/>
  <c r="CR210" i="1" s="1"/>
  <c r="CP186" i="1"/>
  <c r="CR186" i="1" s="1"/>
  <c r="CP165" i="1"/>
  <c r="CR165" i="1" s="1"/>
  <c r="CP140" i="1"/>
  <c r="CR140" i="1" s="1"/>
  <c r="CP88" i="1"/>
  <c r="CR88" i="1" s="1"/>
  <c r="CP81" i="1"/>
  <c r="CR81" i="1" s="1"/>
  <c r="CP57" i="1"/>
  <c r="CR57" i="1" s="1"/>
  <c r="CP32" i="1"/>
  <c r="CR32" i="1" s="1"/>
  <c r="CP14" i="1"/>
  <c r="CR14" i="1" s="1"/>
  <c r="CP265" i="1"/>
  <c r="CR265" i="1" s="1"/>
  <c r="CP312" i="1"/>
  <c r="CR312" i="1" s="1"/>
  <c r="CP316" i="1"/>
  <c r="DN316" i="1" s="1"/>
  <c r="DX145" i="1"/>
  <c r="EF135" i="1"/>
  <c r="EG197" i="1"/>
  <c r="DX198" i="1"/>
  <c r="DT231" i="1"/>
  <c r="CP216" i="1"/>
  <c r="CR216" i="1" s="1"/>
  <c r="CP203" i="1"/>
  <c r="CR203" i="1" s="1"/>
  <c r="CP192" i="1"/>
  <c r="CR192" i="1" s="1"/>
  <c r="DG178" i="1"/>
  <c r="CP178" i="1"/>
  <c r="CR178" i="1" s="1"/>
  <c r="CP171" i="1"/>
  <c r="CR171" i="1" s="1"/>
  <c r="CP131" i="1"/>
  <c r="CR131" i="1" s="1"/>
  <c r="CP124" i="1"/>
  <c r="CR124" i="1" s="1"/>
  <c r="CP115" i="1"/>
  <c r="CR115" i="1" s="1"/>
  <c r="CP102" i="1"/>
  <c r="CR102" i="1" s="1"/>
  <c r="CP74" i="1"/>
  <c r="CR74" i="1" s="1"/>
  <c r="CP68" i="1"/>
  <c r="CP62" i="1"/>
  <c r="CR62" i="1" s="1"/>
  <c r="CP52" i="1"/>
  <c r="CR52" i="1" s="1"/>
  <c r="CP37" i="1"/>
  <c r="CR37" i="1" s="1"/>
  <c r="CP26" i="1"/>
  <c r="CR26" i="1" s="1"/>
  <c r="CP20" i="1"/>
  <c r="CR20" i="1" s="1"/>
  <c r="CP6" i="1"/>
  <c r="CP255" i="1"/>
  <c r="DN255" i="1" s="1"/>
  <c r="CP259" i="1"/>
  <c r="DN259" i="1" s="1"/>
  <c r="CP280" i="1"/>
  <c r="CR280" i="1" s="1"/>
  <c r="DT42" i="1"/>
  <c r="DY128" i="1"/>
  <c r="DF135" i="1"/>
  <c r="DF147" i="1"/>
  <c r="DU133" i="1"/>
  <c r="DT148" i="1"/>
  <c r="DZ197" i="1"/>
  <c r="CP228" i="1"/>
  <c r="CR228" i="1" s="1"/>
  <c r="CP139" i="1"/>
  <c r="CR139" i="1" s="1"/>
  <c r="CP123" i="1"/>
  <c r="DN123" i="1" s="1"/>
  <c r="CP109" i="1"/>
  <c r="CR109" i="1" s="1"/>
  <c r="CP94" i="1"/>
  <c r="CR94" i="1" s="1"/>
  <c r="CP87" i="1"/>
  <c r="CR87" i="1" s="1"/>
  <c r="CP42" i="1"/>
  <c r="CR42" i="1" s="1"/>
  <c r="CP31" i="1"/>
  <c r="CR31" i="1" s="1"/>
  <c r="CP13" i="1"/>
  <c r="CR13" i="1" s="1"/>
  <c r="CP239" i="1"/>
  <c r="CR239" i="1" s="1"/>
  <c r="CP247" i="1"/>
  <c r="CR247" i="1" s="1"/>
  <c r="BM70" i="1"/>
  <c r="AY70" i="1" s="1"/>
  <c r="BT172" i="1"/>
  <c r="EF148" i="1"/>
  <c r="DU138" i="1"/>
  <c r="DU188" i="1"/>
  <c r="ED197" i="1"/>
  <c r="EC198" i="1"/>
  <c r="DG237" i="1"/>
  <c r="CP185" i="1"/>
  <c r="CR185" i="1" s="1"/>
  <c r="CP177" i="1"/>
  <c r="CR177" i="1" s="1"/>
  <c r="CP170" i="1"/>
  <c r="CR170" i="1" s="1"/>
  <c r="CP122" i="1"/>
  <c r="DN122" i="1" s="1"/>
  <c r="CP80" i="1"/>
  <c r="CR80" i="1" s="1"/>
  <c r="EC332" i="1"/>
  <c r="CP251" i="1"/>
  <c r="CR251" i="1" s="1"/>
  <c r="CP271" i="1"/>
  <c r="CR271" i="1" s="1"/>
  <c r="CS271" i="1" s="1"/>
  <c r="EH271" i="1" s="1"/>
  <c r="CP313" i="1"/>
  <c r="CR313" i="1" s="1"/>
  <c r="DF92" i="1"/>
  <c r="DA18" i="1"/>
  <c r="EA147" i="1"/>
  <c r="DF137" i="1"/>
  <c r="DZ188" i="1"/>
  <c r="CP227" i="1"/>
  <c r="CR227" i="1" s="1"/>
  <c r="CP202" i="1"/>
  <c r="CR202" i="1" s="1"/>
  <c r="CP144" i="1"/>
  <c r="CR144" i="1" s="1"/>
  <c r="CP138" i="1"/>
  <c r="CR138" i="1" s="1"/>
  <c r="CP130" i="1"/>
  <c r="CR130" i="1" s="1"/>
  <c r="CP114" i="1"/>
  <c r="CR114" i="1" s="1"/>
  <c r="CP108" i="1"/>
  <c r="CR108" i="1" s="1"/>
  <c r="CP67" i="1"/>
  <c r="CR67" i="1" s="1"/>
  <c r="CP61" i="1"/>
  <c r="CR61" i="1" s="1"/>
  <c r="CP51" i="1"/>
  <c r="CR51" i="1" s="1"/>
  <c r="CP36" i="1"/>
  <c r="CR36" i="1" s="1"/>
  <c r="CP25" i="1"/>
  <c r="CR25" i="1" s="1"/>
  <c r="CP19" i="1"/>
  <c r="CR19" i="1" s="1"/>
  <c r="CP12" i="1"/>
  <c r="CR12" i="1" s="1"/>
  <c r="CP235" i="1"/>
  <c r="CR235" i="1" s="1"/>
  <c r="CP243" i="1"/>
  <c r="CR243" i="1" s="1"/>
  <c r="CP260" i="1"/>
  <c r="CR260" i="1" s="1"/>
  <c r="CP281" i="1"/>
  <c r="CR281" i="1" s="1"/>
  <c r="CP285" i="1"/>
  <c r="CR285" i="1" s="1"/>
  <c r="CP293" i="1"/>
  <c r="CR293" i="1" s="1"/>
  <c r="DW208" i="1"/>
  <c r="DU258" i="1"/>
  <c r="BT235" i="1"/>
  <c r="DT208" i="1"/>
  <c r="DY210" i="1"/>
  <c r="EF210" i="1"/>
  <c r="EC217" i="1"/>
  <c r="DW210" i="1"/>
  <c r="CD279" i="1"/>
  <c r="ED210" i="1"/>
  <c r="EA207" i="1"/>
  <c r="EC210" i="1"/>
  <c r="DZ217" i="1"/>
  <c r="DU247" i="1"/>
  <c r="DF208" i="1"/>
  <c r="BT206" i="1"/>
  <c r="EF208" i="1"/>
  <c r="EF231" i="1"/>
  <c r="DU250" i="1"/>
  <c r="DZ210" i="1"/>
  <c r="DY61" i="1"/>
  <c r="DZ186" i="1"/>
  <c r="DW229" i="1"/>
  <c r="BT232" i="1"/>
  <c r="DF62" i="1"/>
  <c r="DW117" i="1"/>
  <c r="EB172" i="1"/>
  <c r="DZ167" i="1"/>
  <c r="DF229" i="1"/>
  <c r="DY8" i="1"/>
  <c r="DX8" i="1"/>
  <c r="DF117" i="1"/>
  <c r="DX167" i="1"/>
  <c r="EA167" i="1"/>
  <c r="DX133" i="1"/>
  <c r="CS145" i="1"/>
  <c r="EH145" i="1" s="1"/>
  <c r="DA330" i="1"/>
  <c r="DW182" i="1"/>
  <c r="EA63" i="1"/>
  <c r="DW11" i="1"/>
  <c r="EF30" i="1"/>
  <c r="DA33" i="1"/>
  <c r="EG149" i="1"/>
  <c r="DW167" i="1"/>
  <c r="DW145" i="1"/>
  <c r="DZ137" i="1"/>
  <c r="DT145" i="1"/>
  <c r="DT213" i="1"/>
  <c r="EA229" i="1"/>
  <c r="DZ63" i="1"/>
  <c r="DF11" i="1"/>
  <c r="BT5" i="1"/>
  <c r="DF63" i="1"/>
  <c r="DF89" i="1"/>
  <c r="DF56" i="1"/>
  <c r="EB75" i="1"/>
  <c r="DU41" i="1"/>
  <c r="EF89" i="1"/>
  <c r="DA8" i="1"/>
  <c r="EC99" i="1"/>
  <c r="EI117" i="1"/>
  <c r="DZ149" i="1"/>
  <c r="EF167" i="1"/>
  <c r="EF145" i="1"/>
  <c r="EE149" i="1"/>
  <c r="DT137" i="1"/>
  <c r="EB188" i="1"/>
  <c r="EF188" i="1"/>
  <c r="DT215" i="1"/>
  <c r="DF251" i="1"/>
  <c r="EI181" i="1"/>
  <c r="DZ8" i="1"/>
  <c r="EB30" i="1"/>
  <c r="DW29" i="1"/>
  <c r="DW89" i="1"/>
  <c r="DW56" i="1"/>
  <c r="BT61" i="1"/>
  <c r="BT31" i="1"/>
  <c r="BT76" i="1"/>
  <c r="EA75" i="1"/>
  <c r="EC62" i="1"/>
  <c r="DU85" i="1"/>
  <c r="EF44" i="1"/>
  <c r="EA89" i="1"/>
  <c r="ED42" i="1"/>
  <c r="DA88" i="1"/>
  <c r="DZ117" i="1"/>
  <c r="CD128" i="1"/>
  <c r="DY167" i="1"/>
  <c r="DW137" i="1"/>
  <c r="EA145" i="1"/>
  <c r="BT142" i="1"/>
  <c r="EB137" i="1"/>
  <c r="EC188" i="1"/>
  <c r="DA188" i="1"/>
  <c r="DU215" i="1"/>
  <c r="DY213" i="1"/>
  <c r="BT94" i="1"/>
  <c r="DF70" i="1"/>
  <c r="DF48" i="1"/>
  <c r="BT46" i="1"/>
  <c r="DZ75" i="1"/>
  <c r="EB62" i="1"/>
  <c r="EI88" i="1"/>
  <c r="DX15" i="1"/>
  <c r="DZ89" i="1"/>
  <c r="EA42" i="1"/>
  <c r="EC39" i="1"/>
  <c r="EC167" i="1"/>
  <c r="EA137" i="1"/>
  <c r="EC145" i="1"/>
  <c r="EI145" i="1"/>
  <c r="DT188" i="1"/>
  <c r="EC229" i="1"/>
  <c r="DY229" i="1"/>
  <c r="EC279" i="1"/>
  <c r="EF8" i="1"/>
  <c r="DF44" i="1"/>
  <c r="BT15" i="1"/>
  <c r="DW48" i="1"/>
  <c r="EA62" i="1"/>
  <c r="DU88" i="1"/>
  <c r="EF88" i="1"/>
  <c r="EI15" i="1"/>
  <c r="DX89" i="1"/>
  <c r="EC42" i="1"/>
  <c r="DY9" i="1"/>
  <c r="DT89" i="1"/>
  <c r="EF117" i="1"/>
  <c r="DY145" i="1"/>
  <c r="DF145" i="1"/>
  <c r="EI167" i="1"/>
  <c r="CD180" i="1"/>
  <c r="DW185" i="1"/>
  <c r="DT185" i="1"/>
  <c r="EI61" i="1"/>
  <c r="DA89" i="1"/>
  <c r="EI172" i="1"/>
  <c r="DF182" i="1"/>
  <c r="DU185" i="1"/>
  <c r="DZ185" i="1"/>
  <c r="DT229" i="1"/>
  <c r="DY215" i="1"/>
  <c r="EI89" i="1"/>
  <c r="EB55" i="1"/>
  <c r="EC88" i="1"/>
  <c r="DY89" i="1"/>
  <c r="BT105" i="1"/>
  <c r="DT206" i="1"/>
  <c r="EA206" i="1"/>
  <c r="DU229" i="1"/>
  <c r="EI229" i="1"/>
  <c r="DZ62" i="1"/>
  <c r="ED88" i="1"/>
  <c r="EB88" i="1"/>
  <c r="DZ136" i="1"/>
  <c r="DY136" i="1"/>
  <c r="EF179" i="1"/>
  <c r="DY185" i="1"/>
  <c r="DX215" i="1"/>
  <c r="EI330" i="1"/>
  <c r="DF30" i="1"/>
  <c r="EA55" i="1"/>
  <c r="DY88" i="1"/>
  <c r="EA135" i="1"/>
  <c r="EI133" i="1"/>
  <c r="EC181" i="1"/>
  <c r="DF185" i="1"/>
  <c r="EC206" i="1"/>
  <c r="EC215" i="1"/>
  <c r="EF213" i="1"/>
  <c r="BT250" i="1"/>
  <c r="EA61" i="1"/>
  <c r="DW30" i="1"/>
  <c r="BT73" i="1"/>
  <c r="DY55" i="1"/>
  <c r="EA8" i="1"/>
  <c r="DF8" i="1"/>
  <c r="ED8" i="1"/>
  <c r="DX88" i="1"/>
  <c r="DZ20" i="1"/>
  <c r="EF149" i="1"/>
  <c r="DY135" i="1"/>
  <c r="BT166" i="1"/>
  <c r="DX136" i="1"/>
  <c r="DT136" i="1"/>
  <c r="DX182" i="1"/>
  <c r="DA206" i="1"/>
  <c r="DZ206" i="1"/>
  <c r="DW52" i="1"/>
  <c r="EA17" i="1"/>
  <c r="EC182" i="1"/>
  <c r="DA185" i="1"/>
  <c r="DF253" i="1"/>
  <c r="DX328" i="1"/>
  <c r="DF82" i="1"/>
  <c r="EI25" i="1"/>
  <c r="DY17" i="1"/>
  <c r="EB80" i="1"/>
  <c r="DZ96" i="1"/>
  <c r="EB21" i="1"/>
  <c r="EI98" i="1"/>
  <c r="DA98" i="1"/>
  <c r="DA238" i="1"/>
  <c r="AA421" i="1"/>
  <c r="DX17" i="1"/>
  <c r="EA80" i="1"/>
  <c r="DY96" i="1"/>
  <c r="ED98" i="1"/>
  <c r="DT98" i="1"/>
  <c r="DW291" i="1"/>
  <c r="DW82" i="1"/>
  <c r="DU82" i="1"/>
  <c r="EI17" i="1"/>
  <c r="DX80" i="1"/>
  <c r="DX96" i="1"/>
  <c r="EF98" i="1"/>
  <c r="DF97" i="1"/>
  <c r="DF53" i="1"/>
  <c r="DF80" i="1"/>
  <c r="DU23" i="1"/>
  <c r="EF17" i="1"/>
  <c r="DZ80" i="1"/>
  <c r="EA96" i="1"/>
  <c r="DA112" i="1"/>
  <c r="DT168" i="1"/>
  <c r="EC82" i="1"/>
  <c r="DX25" i="1"/>
  <c r="EI97" i="1"/>
  <c r="EC98" i="1"/>
  <c r="DW80" i="1"/>
  <c r="DU17" i="1"/>
  <c r="DZ17" i="1"/>
  <c r="DU96" i="1"/>
  <c r="DT68" i="1"/>
  <c r="DW168" i="1"/>
  <c r="DF167" i="1"/>
  <c r="DY138" i="1"/>
  <c r="DU139" i="1"/>
  <c r="DU167" i="1"/>
  <c r="BT179" i="1"/>
  <c r="DW219" i="1"/>
  <c r="EF229" i="1"/>
  <c r="DF236" i="1"/>
  <c r="EF38" i="1"/>
  <c r="EC11" i="1"/>
  <c r="DA64" i="1"/>
  <c r="BT145" i="1"/>
  <c r="EA185" i="1"/>
  <c r="DW209" i="1"/>
  <c r="DW236" i="1"/>
  <c r="EI11" i="1"/>
  <c r="EF112" i="1"/>
  <c r="EA136" i="1"/>
  <c r="DY153" i="1"/>
  <c r="DU179" i="1"/>
  <c r="DW232" i="1"/>
  <c r="DY72" i="1"/>
  <c r="DF98" i="1"/>
  <c r="BT57" i="1"/>
  <c r="DY52" i="1"/>
  <c r="DX11" i="1"/>
  <c r="DZ23" i="1"/>
  <c r="DT17" i="1"/>
  <c r="EB185" i="1"/>
  <c r="DF74" i="1"/>
  <c r="DX68" i="1"/>
  <c r="DA17" i="1"/>
  <c r="EA12" i="1"/>
  <c r="DA138" i="1"/>
  <c r="BT9" i="1"/>
  <c r="DT138" i="1"/>
  <c r="DA133" i="1"/>
  <c r="EC179" i="1"/>
  <c r="DF209" i="1"/>
  <c r="DU80" i="1"/>
  <c r="EB52" i="1"/>
  <c r="DF96" i="1"/>
  <c r="EC68" i="1"/>
  <c r="DZ52" i="1"/>
  <c r="DZ48" i="1"/>
  <c r="DA194" i="1"/>
  <c r="EI209" i="1"/>
  <c r="EC266" i="1"/>
  <c r="EF274" i="1"/>
  <c r="EA72" i="1"/>
  <c r="DW98" i="1"/>
  <c r="EF68" i="1"/>
  <c r="DW96" i="1"/>
  <c r="DW25" i="1"/>
  <c r="DF83" i="1"/>
  <c r="DU72" i="1"/>
  <c r="EF74" i="1"/>
  <c r="DY48" i="1"/>
  <c r="DT96" i="1"/>
  <c r="DT194" i="1"/>
  <c r="DY23" i="1"/>
  <c r="EA53" i="1"/>
  <c r="EG157" i="1"/>
  <c r="EA149" i="1"/>
  <c r="DA168" i="1"/>
  <c r="EC137" i="1"/>
  <c r="DZ53" i="1"/>
  <c r="DU28" i="1"/>
  <c r="BT158" i="1"/>
  <c r="AZ213" i="1"/>
  <c r="EI238" i="1"/>
  <c r="BT98" i="1"/>
  <c r="DW91" i="1"/>
  <c r="DW43" i="1"/>
  <c r="DY91" i="1"/>
  <c r="EF115" i="1"/>
  <c r="BT168" i="1"/>
  <c r="DY168" i="1"/>
  <c r="DF168" i="1"/>
  <c r="EB135" i="1"/>
  <c r="EA133" i="1"/>
  <c r="EB136" i="1"/>
  <c r="DY149" i="1"/>
  <c r="DU168" i="1"/>
  <c r="EB266" i="1"/>
  <c r="EC91" i="1"/>
  <c r="DZ229" i="1"/>
  <c r="BT256" i="1"/>
  <c r="DW97" i="1"/>
  <c r="DZ74" i="1"/>
  <c r="AZ7" i="1"/>
  <c r="AZ46" i="1"/>
  <c r="EI325" i="1"/>
  <c r="DA268" i="1"/>
  <c r="ED74" i="1"/>
  <c r="DZ60" i="1"/>
  <c r="DZ157" i="1"/>
  <c r="DW157" i="1"/>
  <c r="BT191" i="1"/>
  <c r="ED37" i="1"/>
  <c r="DT91" i="1"/>
  <c r="DT6" i="1"/>
  <c r="DX157" i="1"/>
  <c r="BT188" i="1"/>
  <c r="EA97" i="1"/>
  <c r="EA6" i="1"/>
  <c r="EA37" i="1"/>
  <c r="ED28" i="1"/>
  <c r="CD12" i="1"/>
  <c r="DW268" i="1"/>
  <c r="DT312" i="1"/>
  <c r="EA74" i="1"/>
  <c r="BT80" i="1"/>
  <c r="EF97" i="1"/>
  <c r="DY37" i="1"/>
  <c r="DY28" i="1"/>
  <c r="EI157" i="1"/>
  <c r="DZ97" i="1"/>
  <c r="DX28" i="1"/>
  <c r="AZ234" i="1"/>
  <c r="EA312" i="1"/>
  <c r="DW74" i="1"/>
  <c r="DU37" i="1"/>
  <c r="DX97" i="1"/>
  <c r="EI28" i="1"/>
  <c r="DU137" i="1"/>
  <c r="DA145" i="1"/>
  <c r="AY220" i="1"/>
  <c r="EC312" i="1"/>
  <c r="EI32" i="1"/>
  <c r="DZ14" i="1"/>
  <c r="DT14" i="1"/>
  <c r="EF157" i="1"/>
  <c r="DY157" i="1"/>
  <c r="DT147" i="1"/>
  <c r="DX32" i="1"/>
  <c r="DY14" i="1"/>
  <c r="EE157" i="1"/>
  <c r="ED170" i="1"/>
  <c r="DX49" i="1"/>
  <c r="EF14" i="1"/>
  <c r="EC27" i="1"/>
  <c r="BT154" i="1"/>
  <c r="DU157" i="1"/>
  <c r="CS157" i="1"/>
  <c r="CU157" i="1" s="1"/>
  <c r="CV157" i="1" s="1"/>
  <c r="DY283" i="1"/>
  <c r="ED22" i="1"/>
  <c r="DA157" i="1"/>
  <c r="EA324" i="1"/>
  <c r="DX329" i="1"/>
  <c r="DX84" i="1"/>
  <c r="EC22" i="1"/>
  <c r="EC157" i="1"/>
  <c r="DT307" i="1"/>
  <c r="EB324" i="1"/>
  <c r="DW22" i="1"/>
  <c r="DY84" i="1"/>
  <c r="EB22" i="1"/>
  <c r="BT133" i="1"/>
  <c r="DW139" i="1"/>
  <c r="EC138" i="1"/>
  <c r="DA148" i="1"/>
  <c r="DX153" i="1"/>
  <c r="DF233" i="1"/>
  <c r="EF331" i="1"/>
  <c r="DF22" i="1"/>
  <c r="EF22" i="1"/>
  <c r="DW307" i="1"/>
  <c r="DW14" i="1"/>
  <c r="EI22" i="1"/>
  <c r="DW147" i="1"/>
  <c r="DY137" i="1"/>
  <c r="CD137" i="1"/>
  <c r="EC148" i="1"/>
  <c r="DT233" i="1"/>
  <c r="AZ219" i="1"/>
  <c r="DA240" i="1"/>
  <c r="DZ307" i="1"/>
  <c r="EF323" i="1"/>
  <c r="EB90" i="1"/>
  <c r="DX22" i="1"/>
  <c r="BT110" i="1"/>
  <c r="EB157" i="1"/>
  <c r="CD136" i="1"/>
  <c r="EC171" i="1"/>
  <c r="AY179" i="1"/>
  <c r="DZ238" i="1"/>
  <c r="EA307" i="1"/>
  <c r="DA328" i="1"/>
  <c r="DX330" i="1"/>
  <c r="DF32" i="1"/>
  <c r="CD135" i="1"/>
  <c r="EA157" i="1"/>
  <c r="DU22" i="1"/>
  <c r="DW32" i="1"/>
  <c r="DF12" i="1"/>
  <c r="DT12" i="1"/>
  <c r="AZ139" i="1"/>
  <c r="AZ147" i="1"/>
  <c r="DA139" i="1"/>
  <c r="EI153" i="1"/>
  <c r="EF308" i="1"/>
  <c r="DT49" i="1"/>
  <c r="DA22" i="1"/>
  <c r="AZ83" i="1"/>
  <c r="DF157" i="1"/>
  <c r="DA215" i="1"/>
  <c r="BT251" i="1"/>
  <c r="DU32" i="1"/>
  <c r="EF32" i="1"/>
  <c r="AZ186" i="1"/>
  <c r="BT236" i="1"/>
  <c r="EC16" i="1"/>
  <c r="AZ84" i="1"/>
  <c r="DW12" i="1"/>
  <c r="EB171" i="1"/>
  <c r="CD177" i="1"/>
  <c r="BT205" i="1"/>
  <c r="EA225" i="1"/>
  <c r="DA302" i="1"/>
  <c r="DY328" i="1"/>
  <c r="DW7" i="1"/>
  <c r="DU7" i="1"/>
  <c r="EB7" i="1"/>
  <c r="DA74" i="1"/>
  <c r="DA55" i="1"/>
  <c r="AZ191" i="1"/>
  <c r="DW283" i="1"/>
  <c r="EI323" i="1"/>
  <c r="DZ328" i="1"/>
  <c r="EI331" i="1"/>
  <c r="DF7" i="1"/>
  <c r="EF71" i="1"/>
  <c r="DY7" i="1"/>
  <c r="DF170" i="1"/>
  <c r="EF171" i="1"/>
  <c r="DZ212" i="1"/>
  <c r="DZ253" i="1"/>
  <c r="DA277" i="1"/>
  <c r="DX283" i="1"/>
  <c r="EA328" i="1"/>
  <c r="EF16" i="1"/>
  <c r="EC71" i="1"/>
  <c r="EF7" i="1"/>
  <c r="EF12" i="1"/>
  <c r="EB170" i="1"/>
  <c r="EF170" i="1"/>
  <c r="DZ223" i="1"/>
  <c r="DT302" i="1"/>
  <c r="EB328" i="1"/>
  <c r="EI7" i="1"/>
  <c r="DT35" i="1"/>
  <c r="CD24" i="1"/>
  <c r="DZ170" i="1"/>
  <c r="DT170" i="1"/>
  <c r="EI136" i="1"/>
  <c r="DA181" i="1"/>
  <c r="DA223" i="1"/>
  <c r="AY222" i="1"/>
  <c r="DZ260" i="1"/>
  <c r="EC328" i="1"/>
  <c r="DF16" i="1"/>
  <c r="DF90" i="1"/>
  <c r="DX7" i="1"/>
  <c r="EC35" i="1"/>
  <c r="DT27" i="1"/>
  <c r="CD40" i="1"/>
  <c r="DX12" i="1"/>
  <c r="DW170" i="1"/>
  <c r="EA170" i="1"/>
  <c r="DA167" i="1"/>
  <c r="AZ157" i="1"/>
  <c r="ED153" i="1"/>
  <c r="EC302" i="1"/>
  <c r="ED328" i="1"/>
  <c r="DX71" i="1"/>
  <c r="DW90" i="1"/>
  <c r="DU90" i="1"/>
  <c r="EA90" i="1"/>
  <c r="DT16" i="1"/>
  <c r="DY119" i="1"/>
  <c r="DY170" i="1"/>
  <c r="EI170" i="1"/>
  <c r="DU170" i="1"/>
  <c r="AZ230" i="1"/>
  <c r="EF328" i="1"/>
  <c r="DZ90" i="1"/>
  <c r="EA27" i="1"/>
  <c r="CD56" i="1"/>
  <c r="AZ121" i="1"/>
  <c r="AZ129" i="1"/>
  <c r="DX170" i="1"/>
  <c r="DA163" i="1"/>
  <c r="EF211" i="1"/>
  <c r="EF225" i="1"/>
  <c r="EB198" i="1"/>
  <c r="EB167" i="1"/>
  <c r="AZ260" i="1"/>
  <c r="EI302" i="1"/>
  <c r="EI328" i="1"/>
  <c r="DT171" i="1"/>
  <c r="BT75" i="1"/>
  <c r="EC90" i="1"/>
  <c r="EB101" i="1"/>
  <c r="ED51" i="1"/>
  <c r="ED90" i="1"/>
  <c r="EC101" i="1"/>
  <c r="DT198" i="1"/>
  <c r="EF279" i="1"/>
  <c r="AZ294" i="1"/>
  <c r="EA303" i="1"/>
  <c r="EC51" i="1"/>
  <c r="EB83" i="1"/>
  <c r="DZ163" i="1"/>
  <c r="EG153" i="1"/>
  <c r="ED177" i="1"/>
  <c r="DA205" i="1"/>
  <c r="DX325" i="1"/>
  <c r="DY332" i="1"/>
  <c r="BT92" i="1"/>
  <c r="DZ83" i="1"/>
  <c r="AZ24" i="1"/>
  <c r="DU12" i="1"/>
  <c r="DT139" i="1"/>
  <c r="DF163" i="1"/>
  <c r="DF153" i="1"/>
  <c r="BT171" i="1"/>
  <c r="DA325" i="1"/>
  <c r="DY325" i="1"/>
  <c r="DZ332" i="1"/>
  <c r="DU16" i="1"/>
  <c r="CD217" i="1"/>
  <c r="EA238" i="1"/>
  <c r="DY324" i="1"/>
  <c r="DZ325" i="1"/>
  <c r="DX331" i="1"/>
  <c r="EA332" i="1"/>
  <c r="DF51" i="1"/>
  <c r="EB16" i="1"/>
  <c r="AZ91" i="1"/>
  <c r="CD149" i="1"/>
  <c r="AZ169" i="1"/>
  <c r="AZ249" i="1"/>
  <c r="AZ262" i="1"/>
  <c r="DZ324" i="1"/>
  <c r="DA331" i="1"/>
  <c r="DY331" i="1"/>
  <c r="EB332" i="1"/>
  <c r="AY176" i="1"/>
  <c r="AY163" i="1"/>
  <c r="AX71" i="1"/>
  <c r="AW71" i="1"/>
  <c r="BM71" i="1"/>
  <c r="AY71" i="1" s="1"/>
  <c r="DY40" i="1"/>
  <c r="EF40" i="1"/>
  <c r="DY65" i="1"/>
  <c r="EB65" i="1"/>
  <c r="EC65" i="1"/>
  <c r="EA70" i="1"/>
  <c r="ED70" i="1"/>
  <c r="DZ70" i="1"/>
  <c r="EC70" i="1"/>
  <c r="DT34" i="1"/>
  <c r="DX34" i="1"/>
  <c r="DZ34" i="1"/>
  <c r="EI34" i="1"/>
  <c r="EF65" i="1"/>
  <c r="EA84" i="1"/>
  <c r="AZ44" i="1"/>
  <c r="AZ74" i="1"/>
  <c r="DT85" i="1"/>
  <c r="DW85" i="1"/>
  <c r="DF85" i="1"/>
  <c r="DZ85" i="1"/>
  <c r="EF18" i="1"/>
  <c r="DW18" i="1"/>
  <c r="DT33" i="1"/>
  <c r="DX33" i="1"/>
  <c r="DU33" i="1"/>
  <c r="DY33" i="1"/>
  <c r="EI33" i="1"/>
  <c r="DY39" i="1"/>
  <c r="EA39" i="1"/>
  <c r="DU39" i="1"/>
  <c r="EF50" i="1"/>
  <c r="DY50" i="1"/>
  <c r="EA50" i="1"/>
  <c r="EB50" i="1"/>
  <c r="EI50" i="1"/>
  <c r="DT59" i="1"/>
  <c r="EF59" i="1"/>
  <c r="DU94" i="1"/>
  <c r="DZ94" i="1"/>
  <c r="EC86" i="1"/>
  <c r="DT86" i="1"/>
  <c r="EB86" i="1"/>
  <c r="DX86" i="1"/>
  <c r="EA86" i="1"/>
  <c r="DF86" i="1"/>
  <c r="EF57" i="1"/>
  <c r="DY57" i="1"/>
  <c r="DW57" i="1"/>
  <c r="EI57" i="1"/>
  <c r="DZ57" i="1"/>
  <c r="DU57" i="1"/>
  <c r="EA94" i="1"/>
  <c r="AZ53" i="1"/>
  <c r="DX14" i="1"/>
  <c r="EA14" i="1"/>
  <c r="DF14" i="1"/>
  <c r="DF24" i="1"/>
  <c r="DW24" i="1"/>
  <c r="EB32" i="1"/>
  <c r="DA32" i="1"/>
  <c r="EC32" i="1"/>
  <c r="DT32" i="1"/>
  <c r="ED32" i="1"/>
  <c r="EA32" i="1"/>
  <c r="DX42" i="1"/>
  <c r="DU42" i="1"/>
  <c r="DY42" i="1"/>
  <c r="DZ42" i="1"/>
  <c r="EF42" i="1"/>
  <c r="ED58" i="1"/>
  <c r="EF58" i="1"/>
  <c r="CD114" i="1"/>
  <c r="BT114" i="1"/>
  <c r="CD121" i="1"/>
  <c r="BT121" i="1"/>
  <c r="DA100" i="1"/>
  <c r="DY100" i="1"/>
  <c r="EA100" i="1"/>
  <c r="DU100" i="1"/>
  <c r="EF100" i="1"/>
  <c r="DX100" i="1"/>
  <c r="ED100" i="1"/>
  <c r="DF100" i="1"/>
  <c r="DW100" i="1"/>
  <c r="DT100" i="1"/>
  <c r="EC100" i="1"/>
  <c r="DZ100" i="1"/>
  <c r="EB100" i="1"/>
  <c r="ED109" i="1"/>
  <c r="DU109" i="1"/>
  <c r="DW109" i="1"/>
  <c r="DT109" i="1"/>
  <c r="DY109" i="1"/>
  <c r="EB109" i="1"/>
  <c r="DF109" i="1"/>
  <c r="EF109" i="1"/>
  <c r="DX109" i="1"/>
  <c r="DZ109" i="1"/>
  <c r="EA109" i="1"/>
  <c r="EC109" i="1"/>
  <c r="DA118" i="1"/>
  <c r="DZ118" i="1"/>
  <c r="EI118" i="1"/>
  <c r="DT118" i="1"/>
  <c r="DY118" i="1"/>
  <c r="DF118" i="1"/>
  <c r="DU118" i="1"/>
  <c r="DW118" i="1"/>
  <c r="EF118" i="1"/>
  <c r="EB118" i="1"/>
  <c r="EC118" i="1"/>
  <c r="EA118" i="1"/>
  <c r="DZ131" i="1"/>
  <c r="EF131" i="1"/>
  <c r="DT131" i="1"/>
  <c r="DY131" i="1"/>
  <c r="EA131" i="1"/>
  <c r="DX131" i="1"/>
  <c r="DF131" i="1"/>
  <c r="EB131" i="1"/>
  <c r="DX19" i="1"/>
  <c r="BT99" i="1"/>
  <c r="CD99" i="1"/>
  <c r="CD107" i="1"/>
  <c r="BT107" i="1"/>
  <c r="CD122" i="1"/>
  <c r="BT122" i="1"/>
  <c r="CD130" i="1"/>
  <c r="BT130" i="1"/>
  <c r="DZ101" i="1"/>
  <c r="DX101" i="1"/>
  <c r="EA101" i="1"/>
  <c r="DY101" i="1"/>
  <c r="EI101" i="1"/>
  <c r="DF101" i="1"/>
  <c r="DA101" i="1"/>
  <c r="DT101" i="1"/>
  <c r="EF101" i="1"/>
  <c r="DW101" i="1"/>
  <c r="ED101" i="1"/>
  <c r="DT110" i="1"/>
  <c r="EB110" i="1"/>
  <c r="DX110" i="1"/>
  <c r="DW110" i="1"/>
  <c r="DY110" i="1"/>
  <c r="ED110" i="1"/>
  <c r="EI110" i="1"/>
  <c r="EF110" i="1"/>
  <c r="DF110" i="1"/>
  <c r="DU110" i="1"/>
  <c r="EC110" i="1"/>
  <c r="EA110" i="1"/>
  <c r="DZ110" i="1"/>
  <c r="DA110" i="1"/>
  <c r="DZ119" i="1"/>
  <c r="EI119" i="1"/>
  <c r="DF119" i="1"/>
  <c r="ED119" i="1"/>
  <c r="DW19" i="1"/>
  <c r="DU65" i="1"/>
  <c r="DF34" i="1"/>
  <c r="DX78" i="1"/>
  <c r="BT108" i="1"/>
  <c r="CD108" i="1"/>
  <c r="BT123" i="1"/>
  <c r="CD123" i="1"/>
  <c r="AZ416" i="1"/>
  <c r="DZ102" i="1"/>
  <c r="DT102" i="1"/>
  <c r="EF102" i="1"/>
  <c r="DA102" i="1"/>
  <c r="DW102" i="1"/>
  <c r="EB102" i="1"/>
  <c r="DX102" i="1"/>
  <c r="DU111" i="1"/>
  <c r="DY111" i="1"/>
  <c r="EB111" i="1"/>
  <c r="DW111" i="1"/>
  <c r="DA111" i="1"/>
  <c r="DF111" i="1"/>
  <c r="EA120" i="1"/>
  <c r="DY120" i="1"/>
  <c r="EF120" i="1"/>
  <c r="DW120" i="1"/>
  <c r="EA71" i="1"/>
  <c r="DW6" i="1"/>
  <c r="DF71" i="1"/>
  <c r="DW28" i="1"/>
  <c r="EB71" i="1"/>
  <c r="EI71" i="1"/>
  <c r="DF91" i="1"/>
  <c r="BT62" i="1"/>
  <c r="EF73" i="1"/>
  <c r="EA60" i="1"/>
  <c r="DU6" i="1"/>
  <c r="AY97" i="1"/>
  <c r="AY44" i="1"/>
  <c r="EB43" i="1"/>
  <c r="EA28" i="1"/>
  <c r="AY40" i="1"/>
  <c r="DT28" i="1"/>
  <c r="DA71" i="1"/>
  <c r="AZ90" i="1"/>
  <c r="EC128" i="1"/>
  <c r="DT128" i="1"/>
  <c r="DW128" i="1"/>
  <c r="EF128" i="1"/>
  <c r="EB164" i="1"/>
  <c r="EF164" i="1"/>
  <c r="DW164" i="1"/>
  <c r="DX164" i="1"/>
  <c r="EF160" i="1"/>
  <c r="CS160" i="1"/>
  <c r="EH160" i="1" s="1"/>
  <c r="CD153" i="1"/>
  <c r="BT153" i="1"/>
  <c r="EE146" i="1"/>
  <c r="EF146" i="1"/>
  <c r="DT146" i="1"/>
  <c r="DX146" i="1"/>
  <c r="DW146" i="1"/>
  <c r="EI146" i="1"/>
  <c r="EA146" i="1"/>
  <c r="DD124" i="1"/>
  <c r="CH124" i="1"/>
  <c r="DF124" i="1" s="1"/>
  <c r="CD146" i="1"/>
  <c r="BT146" i="1"/>
  <c r="AZ162" i="1"/>
  <c r="DZ71" i="1"/>
  <c r="DW16" i="1"/>
  <c r="DF60" i="1"/>
  <c r="BT82" i="1"/>
  <c r="DW83" i="1"/>
  <c r="ED73" i="1"/>
  <c r="DY83" i="1"/>
  <c r="DX6" i="1"/>
  <c r="EF28" i="1"/>
  <c r="DT103" i="1"/>
  <c r="EI139" i="1"/>
  <c r="DU142" i="1"/>
  <c r="DW142" i="1"/>
  <c r="DA158" i="1"/>
  <c r="ED158" i="1"/>
  <c r="DZ158" i="1"/>
  <c r="CS158" i="1"/>
  <c r="CU158" i="1" s="1"/>
  <c r="CX158" i="1" s="1"/>
  <c r="EF158" i="1"/>
  <c r="DX158" i="1"/>
  <c r="DX159" i="1"/>
  <c r="EA159" i="1"/>
  <c r="DW159" i="1"/>
  <c r="EG159" i="1"/>
  <c r="DA6" i="1"/>
  <c r="DY121" i="1"/>
  <c r="EF121" i="1"/>
  <c r="AY166" i="1"/>
  <c r="CS146" i="1"/>
  <c r="CU146" i="1" s="1"/>
  <c r="EJ146" i="1" s="1"/>
  <c r="EC73" i="1"/>
  <c r="DX83" i="1"/>
  <c r="EI43" i="1"/>
  <c r="EB28" i="1"/>
  <c r="EC28" i="1"/>
  <c r="DA70" i="1"/>
  <c r="EI47" i="1"/>
  <c r="DU103" i="1"/>
  <c r="DA131" i="1"/>
  <c r="DR131" i="1"/>
  <c r="DF179" i="1"/>
  <c r="ED179" i="1"/>
  <c r="DZ179" i="1"/>
  <c r="EB179" i="1"/>
  <c r="DT179" i="1"/>
  <c r="DY179" i="1"/>
  <c r="DX179" i="1"/>
  <c r="CD117" i="1"/>
  <c r="BT117" i="1"/>
  <c r="EC112" i="1"/>
  <c r="DW112" i="1"/>
  <c r="ED112" i="1"/>
  <c r="DY71" i="1"/>
  <c r="DF28" i="1"/>
  <c r="BT7" i="1"/>
  <c r="BT34" i="1"/>
  <c r="EB73" i="1"/>
  <c r="DX60" i="1"/>
  <c r="DZ28" i="1"/>
  <c r="AZ16" i="1"/>
  <c r="DY112" i="1"/>
  <c r="AZ133" i="1"/>
  <c r="AZ143" i="1"/>
  <c r="AZ149" i="1"/>
  <c r="EA160" i="1"/>
  <c r="EC146" i="1"/>
  <c r="EI179" i="1"/>
  <c r="DF177" i="1"/>
  <c r="DY177" i="1"/>
  <c r="DX177" i="1"/>
  <c r="DU177" i="1"/>
  <c r="DZ177" i="1"/>
  <c r="AZ184" i="1"/>
  <c r="DY189" i="1"/>
  <c r="DU189" i="1"/>
  <c r="ED189" i="1"/>
  <c r="EB144" i="1"/>
  <c r="DF211" i="1"/>
  <c r="EA186" i="1"/>
  <c r="DX194" i="1"/>
  <c r="DZ211" i="1"/>
  <c r="DZ198" i="1"/>
  <c r="DU208" i="1"/>
  <c r="DA198" i="1"/>
  <c r="EI208" i="1"/>
  <c r="BT226" i="1"/>
  <c r="DZ225" i="1"/>
  <c r="EA213" i="1"/>
  <c r="AZ212" i="1"/>
  <c r="EC216" i="1"/>
  <c r="EI221" i="1"/>
  <c r="CD224" i="1"/>
  <c r="DU244" i="1"/>
  <c r="DJ238" i="1"/>
  <c r="DX229" i="1"/>
  <c r="DG229" i="1"/>
  <c r="DK216" i="1"/>
  <c r="EB216" i="1"/>
  <c r="DG204" i="1"/>
  <c r="DX240" i="1"/>
  <c r="DX246" i="1"/>
  <c r="DG250" i="1"/>
  <c r="AZ258" i="1"/>
  <c r="DW259" i="1"/>
  <c r="DX259" i="1"/>
  <c r="DW263" i="1"/>
  <c r="EA263" i="1"/>
  <c r="DX263" i="1"/>
  <c r="EB263" i="1"/>
  <c r="AZ267" i="1"/>
  <c r="CD267" i="1"/>
  <c r="DU276" i="1"/>
  <c r="DU283" i="1"/>
  <c r="EC283" i="1"/>
  <c r="DT283" i="1"/>
  <c r="EA283" i="1"/>
  <c r="DF283" i="1"/>
  <c r="EF283" i="1"/>
  <c r="EA292" i="1"/>
  <c r="DU292" i="1"/>
  <c r="DY321" i="1"/>
  <c r="DT321" i="1"/>
  <c r="EI321" i="1"/>
  <c r="DF321" i="1"/>
  <c r="EC321" i="1"/>
  <c r="CD216" i="1"/>
  <c r="BT216" i="1"/>
  <c r="DG199" i="1"/>
  <c r="EB233" i="1"/>
  <c r="DK233" i="1"/>
  <c r="DG241" i="1"/>
  <c r="DG244" i="1"/>
  <c r="DZ264" i="1"/>
  <c r="DW264" i="1"/>
  <c r="DX275" i="1"/>
  <c r="DY275" i="1"/>
  <c r="DX299" i="1"/>
  <c r="DA299" i="1"/>
  <c r="DT299" i="1"/>
  <c r="DZ299" i="1"/>
  <c r="DF308" i="1"/>
  <c r="DZ316" i="1"/>
  <c r="EB316" i="1"/>
  <c r="DU316" i="1"/>
  <c r="EI316" i="1"/>
  <c r="AY215" i="1"/>
  <c r="AZ215" i="1"/>
  <c r="DZ233" i="1"/>
  <c r="EC233" i="1"/>
  <c r="DA233" i="1"/>
  <c r="EA233" i="1"/>
  <c r="AR273" i="1"/>
  <c r="DB273" i="1" s="1"/>
  <c r="DF275" i="1"/>
  <c r="CD293" i="1"/>
  <c r="AY189" i="1"/>
  <c r="DF224" i="1"/>
  <c r="EB224" i="1"/>
  <c r="CD274" i="1"/>
  <c r="BT274" i="1"/>
  <c r="EI169" i="1"/>
  <c r="ED186" i="1"/>
  <c r="DX186" i="1"/>
  <c r="BT221" i="1"/>
  <c r="DU213" i="1"/>
  <c r="DT224" i="1"/>
  <c r="EC221" i="1"/>
  <c r="DZ213" i="1"/>
  <c r="AZ203" i="1"/>
  <c r="AY223" i="1"/>
  <c r="DT225" i="1"/>
  <c r="CD242" i="1"/>
  <c r="BT242" i="1"/>
  <c r="AZ254" i="1"/>
  <c r="EI276" i="1"/>
  <c r="DZ276" i="1"/>
  <c r="DY276" i="1"/>
  <c r="EB276" i="1"/>
  <c r="CD297" i="1"/>
  <c r="BT297" i="1"/>
  <c r="DZ308" i="1"/>
  <c r="EC308" i="1"/>
  <c r="DW308" i="1"/>
  <c r="DA308" i="1"/>
  <c r="DU308" i="1"/>
  <c r="ED308" i="1"/>
  <c r="DY314" i="1"/>
  <c r="EI314" i="1"/>
  <c r="EF314" i="1"/>
  <c r="EI128" i="1"/>
  <c r="DF133" i="1"/>
  <c r="DG140" i="1"/>
  <c r="DG136" i="1"/>
  <c r="DX135" i="1"/>
  <c r="DZ135" i="1"/>
  <c r="ED137" i="1"/>
  <c r="DA149" i="1"/>
  <c r="DT133" i="1"/>
  <c r="AZ140" i="1"/>
  <c r="AZ144" i="1"/>
  <c r="AZ150" i="1"/>
  <c r="AZ151" i="1"/>
  <c r="AZ155" i="1"/>
  <c r="AZ156" i="1"/>
  <c r="EE161" i="1"/>
  <c r="EA171" i="1"/>
  <c r="DW181" i="1"/>
  <c r="DU175" i="1"/>
  <c r="ED181" i="1"/>
  <c r="DU186" i="1"/>
  <c r="DU211" i="1"/>
  <c r="BT208" i="1"/>
  <c r="BT196" i="1"/>
  <c r="EA198" i="1"/>
  <c r="CD201" i="1"/>
  <c r="DU233" i="1"/>
  <c r="DD208" i="1"/>
  <c r="AZ197" i="1"/>
  <c r="AZ199" i="1"/>
  <c r="AY234" i="1"/>
  <c r="EA259" i="1"/>
  <c r="CD260" i="1"/>
  <c r="BT260" i="1"/>
  <c r="DW260" i="1"/>
  <c r="DX260" i="1"/>
  <c r="DY260" i="1"/>
  <c r="S43" i="1"/>
  <c r="AZ99" i="1"/>
  <c r="AZ101" i="1"/>
  <c r="AZ107" i="1"/>
  <c r="AZ118" i="1"/>
  <c r="AZ131" i="1"/>
  <c r="EI115" i="1"/>
  <c r="DA109" i="1"/>
  <c r="DX168" i="1"/>
  <c r="EC136" i="1"/>
  <c r="DW133" i="1"/>
  <c r="DF136" i="1"/>
  <c r="DW136" i="1"/>
  <c r="EB133" i="1"/>
  <c r="EB149" i="1"/>
  <c r="CS149" i="1"/>
  <c r="DQ149" i="1" s="1"/>
  <c r="EC133" i="1"/>
  <c r="BT173" i="1"/>
  <c r="CD182" i="1"/>
  <c r="DU181" i="1"/>
  <c r="DA182" i="1"/>
  <c r="AZ173" i="1"/>
  <c r="EI186" i="1"/>
  <c r="EC186" i="1"/>
  <c r="EF185" i="1"/>
  <c r="DT186" i="1"/>
  <c r="CD199" i="1"/>
  <c r="DG210" i="1"/>
  <c r="DW233" i="1"/>
  <c r="DF213" i="1"/>
  <c r="EC213" i="1"/>
  <c r="DZ221" i="1"/>
  <c r="EI213" i="1"/>
  <c r="AZ202" i="1"/>
  <c r="AZ204" i="1"/>
  <c r="AY213" i="1"/>
  <c r="EC257" i="1"/>
  <c r="DX257" i="1"/>
  <c r="EA257" i="1"/>
  <c r="EB259" i="1"/>
  <c r="EC263" i="1"/>
  <c r="DF299" i="1"/>
  <c r="DU305" i="1"/>
  <c r="DT305" i="1"/>
  <c r="AZ103" i="1"/>
  <c r="AZ111" i="1"/>
  <c r="AZ119" i="1"/>
  <c r="AY416" i="1"/>
  <c r="EF133" i="1"/>
  <c r="EE145" i="1"/>
  <c r="EC149" i="1"/>
  <c r="DG168" i="1"/>
  <c r="DY181" i="1"/>
  <c r="AY180" i="1"/>
  <c r="EF186" i="1"/>
  <c r="DG186" i="1"/>
  <c r="EI188" i="1"/>
  <c r="DW221" i="1"/>
  <c r="DG216" i="1"/>
  <c r="AY229" i="1"/>
  <c r="AZ240" i="1"/>
  <c r="DY240" i="1"/>
  <c r="DU240" i="1"/>
  <c r="DG217" i="1"/>
  <c r="DG214" i="1"/>
  <c r="DG208" i="1"/>
  <c r="DG248" i="1"/>
  <c r="BT66" i="1"/>
  <c r="CD66" i="1"/>
  <c r="AY66" i="1"/>
  <c r="EF263" i="1"/>
  <c r="DF264" i="1"/>
  <c r="EF275" i="1"/>
  <c r="DF276" i="1"/>
  <c r="DF280" i="1"/>
  <c r="DU280" i="1"/>
  <c r="EI283" i="1"/>
  <c r="ED299" i="1"/>
  <c r="EB303" i="1"/>
  <c r="DY303" i="1"/>
  <c r="DW303" i="1"/>
  <c r="DG221" i="1"/>
  <c r="DG205" i="1"/>
  <c r="DF267" i="1"/>
  <c r="DY267" i="1"/>
  <c r="DG281" i="1"/>
  <c r="DA283" i="1"/>
  <c r="EA302" i="1"/>
  <c r="DU330" i="1"/>
  <c r="EF330" i="1"/>
  <c r="EC331" i="1"/>
  <c r="DG270" i="1"/>
  <c r="DK270" i="1"/>
  <c r="DX272" i="1"/>
  <c r="AR298" i="1"/>
  <c r="DB298" i="1" s="1"/>
  <c r="DG309" i="1"/>
  <c r="DG315" i="1"/>
  <c r="EA330" i="1"/>
  <c r="DG265" i="1"/>
  <c r="DX268" i="1"/>
  <c r="BS314" i="1"/>
  <c r="AZ238" i="1"/>
  <c r="DG219" i="1"/>
  <c r="DG206" i="1"/>
  <c r="DG174" i="1"/>
  <c r="DG234" i="1"/>
  <c r="EA253" i="1"/>
  <c r="CD264" i="1"/>
  <c r="DG264" i="1"/>
  <c r="DX276" i="1"/>
  <c r="DG289" i="1"/>
  <c r="DU295" i="1"/>
  <c r="DX296" i="1"/>
  <c r="DU302" i="1"/>
  <c r="ED312" i="1"/>
  <c r="EC324" i="1"/>
  <c r="EB330" i="1"/>
  <c r="DZ331" i="1"/>
  <c r="DU332" i="1"/>
  <c r="DG191" i="1"/>
  <c r="DG188" i="1"/>
  <c r="DA251" i="1"/>
  <c r="DW251" i="1"/>
  <c r="EB253" i="1"/>
  <c r="DW267" i="1"/>
  <c r="BT286" i="1"/>
  <c r="EI307" i="1"/>
  <c r="EF312" i="1"/>
  <c r="ED324" i="1"/>
  <c r="EC330" i="1"/>
  <c r="EA331" i="1"/>
  <c r="DA332" i="1"/>
  <c r="EF332" i="1"/>
  <c r="AZ217" i="1"/>
  <c r="BT241" i="1"/>
  <c r="AZ241" i="1"/>
  <c r="DX267" i="1"/>
  <c r="EA272" i="1"/>
  <c r="DG274" i="1"/>
  <c r="EC295" i="1"/>
  <c r="DZ302" i="1"/>
  <c r="DT330" i="1"/>
  <c r="EB331" i="1"/>
  <c r="DX332" i="1"/>
  <c r="EI332" i="1"/>
  <c r="DW331" i="1"/>
  <c r="EE331" i="1"/>
  <c r="DT331" i="1"/>
  <c r="CD331" i="1"/>
  <c r="AY73" i="1"/>
  <c r="AY65" i="1"/>
  <c r="AY114" i="1"/>
  <c r="AY202" i="1"/>
  <c r="AY228" i="1"/>
  <c r="AY19" i="1"/>
  <c r="AY29" i="1"/>
  <c r="AY83" i="1"/>
  <c r="AY145" i="1"/>
  <c r="AY230" i="1"/>
  <c r="AY272" i="1"/>
  <c r="AY63" i="1"/>
  <c r="AY90" i="1"/>
  <c r="AY31" i="1"/>
  <c r="AY165" i="1"/>
  <c r="AY206" i="1"/>
  <c r="AY46" i="1"/>
  <c r="AY122" i="1"/>
  <c r="AY155" i="1"/>
  <c r="AY171" i="1"/>
  <c r="AY173" i="1"/>
  <c r="AY209" i="1"/>
  <c r="AY241" i="1"/>
  <c r="AY288" i="1"/>
  <c r="AY72" i="1"/>
  <c r="AY93" i="1"/>
  <c r="AY231" i="1"/>
  <c r="DZ143" i="1"/>
  <c r="EB143" i="1"/>
  <c r="DX143" i="1"/>
  <c r="DY143" i="1"/>
  <c r="DT143" i="1"/>
  <c r="EF143" i="1"/>
  <c r="EA143" i="1"/>
  <c r="CD87" i="1"/>
  <c r="BT87" i="1"/>
  <c r="CD10" i="1"/>
  <c r="AZ18" i="1"/>
  <c r="CH10" i="1"/>
  <c r="DY10" i="1" s="1"/>
  <c r="EI20" i="1"/>
  <c r="DZ105" i="1"/>
  <c r="DX105" i="1"/>
  <c r="DW63" i="1"/>
  <c r="DW47" i="1"/>
  <c r="BT69" i="1"/>
  <c r="BT42" i="1"/>
  <c r="BT90" i="1"/>
  <c r="DW34" i="1"/>
  <c r="DR70" i="1"/>
  <c r="BT65" i="1"/>
  <c r="ED68" i="1"/>
  <c r="DU64" i="1"/>
  <c r="EB64" i="1"/>
  <c r="DX63" i="1"/>
  <c r="DR55" i="1"/>
  <c r="EF54" i="1"/>
  <c r="DZ55" i="1"/>
  <c r="DU34" i="1"/>
  <c r="DU87" i="1"/>
  <c r="DZ40" i="1"/>
  <c r="DX87" i="1"/>
  <c r="EC95" i="1"/>
  <c r="DR47" i="1"/>
  <c r="EB34" i="1"/>
  <c r="ED85" i="1"/>
  <c r="AY94" i="1"/>
  <c r="DA34" i="1"/>
  <c r="DT54" i="1"/>
  <c r="DT31" i="1"/>
  <c r="CD50" i="1"/>
  <c r="EF94" i="1"/>
  <c r="DX94" i="1"/>
  <c r="ED78" i="1"/>
  <c r="DA78" i="1"/>
  <c r="EF78" i="1"/>
  <c r="DT78" i="1"/>
  <c r="AZ109" i="1"/>
  <c r="DY107" i="1"/>
  <c r="DZ107" i="1"/>
  <c r="ED107" i="1"/>
  <c r="EF107" i="1"/>
  <c r="DU107" i="1"/>
  <c r="DW107" i="1"/>
  <c r="EC116" i="1"/>
  <c r="DZ116" i="1"/>
  <c r="EI116" i="1"/>
  <c r="ED125" i="1"/>
  <c r="DY125" i="1"/>
  <c r="DX169" i="1"/>
  <c r="EI142" i="1"/>
  <c r="AZ154" i="1"/>
  <c r="DZ154" i="1"/>
  <c r="EG154" i="1"/>
  <c r="CS154" i="1"/>
  <c r="AY160" i="1"/>
  <c r="DY115" i="1"/>
  <c r="ED141" i="1"/>
  <c r="EA141" i="1"/>
  <c r="EB169" i="1"/>
  <c r="DF169" i="1"/>
  <c r="DT169" i="1"/>
  <c r="EF169" i="1"/>
  <c r="DW169" i="1"/>
  <c r="DA169" i="1"/>
  <c r="DU169" i="1"/>
  <c r="DY169" i="1"/>
  <c r="DZ169" i="1"/>
  <c r="EC169" i="1"/>
  <c r="DA137" i="1"/>
  <c r="EI137" i="1"/>
  <c r="AZ176" i="1"/>
  <c r="CD176" i="1"/>
  <c r="BT176" i="1"/>
  <c r="EI54" i="1"/>
  <c r="DF47" i="1"/>
  <c r="AY62" i="1"/>
  <c r="DX54" i="1"/>
  <c r="AY58" i="1"/>
  <c r="BU71" i="1"/>
  <c r="BK71" i="1"/>
  <c r="EC156" i="1"/>
  <c r="EI156" i="1"/>
  <c r="DZ156" i="1"/>
  <c r="DU143" i="1"/>
  <c r="DF183" i="1"/>
  <c r="DT183" i="1"/>
  <c r="DZ183" i="1"/>
  <c r="DU183" i="1"/>
  <c r="DX183" i="1"/>
  <c r="BT194" i="1"/>
  <c r="CD194" i="1"/>
  <c r="ED54" i="1"/>
  <c r="DU38" i="1"/>
  <c r="EI87" i="1"/>
  <c r="EC47" i="1"/>
  <c r="ED93" i="1"/>
  <c r="DT77" i="1"/>
  <c r="DA77" i="1"/>
  <c r="EI77" i="1"/>
  <c r="BT26" i="1"/>
  <c r="CD26" i="1"/>
  <c r="BT28" i="1"/>
  <c r="EB68" i="1"/>
  <c r="DZ64" i="1"/>
  <c r="EI55" i="1"/>
  <c r="EF87" i="1"/>
  <c r="DZ47" i="1"/>
  <c r="EF34" i="1"/>
  <c r="AY98" i="1"/>
  <c r="EA93" i="1"/>
  <c r="EI70" i="1"/>
  <c r="DW40" i="1"/>
  <c r="EA68" i="1"/>
  <c r="DU74" i="1"/>
  <c r="EA65" i="1"/>
  <c r="DY64" i="1"/>
  <c r="DY74" i="1"/>
  <c r="DU55" i="1"/>
  <c r="EF56" i="1"/>
  <c r="EC54" i="1"/>
  <c r="DX57" i="1"/>
  <c r="DX55" i="1"/>
  <c r="DU50" i="1"/>
  <c r="DU18" i="1"/>
  <c r="DU77" i="1"/>
  <c r="DX48" i="1"/>
  <c r="EC33" i="1"/>
  <c r="EA33" i="1"/>
  <c r="EF79" i="1"/>
  <c r="EC87" i="1"/>
  <c r="EA41" i="1"/>
  <c r="DX92" i="1"/>
  <c r="DX18" i="1"/>
  <c r="DZ37" i="1"/>
  <c r="EF77" i="1"/>
  <c r="EI93" i="1"/>
  <c r="EF39" i="1"/>
  <c r="EC9" i="1"/>
  <c r="EA78" i="1"/>
  <c r="ED94" i="1"/>
  <c r="AY36" i="1"/>
  <c r="AY50" i="1"/>
  <c r="DT94" i="1"/>
  <c r="DT65" i="1"/>
  <c r="DA79" i="1"/>
  <c r="DT80" i="1"/>
  <c r="DT20" i="1"/>
  <c r="AY69" i="1"/>
  <c r="AZ96" i="1"/>
  <c r="AZ95" i="1"/>
  <c r="AZ94" i="1"/>
  <c r="AZ60" i="1"/>
  <c r="AZ62" i="1"/>
  <c r="EC125" i="1"/>
  <c r="CD126" i="1"/>
  <c r="EG156" i="1"/>
  <c r="EF141" i="1"/>
  <c r="DR165" i="1"/>
  <c r="EI165" i="1"/>
  <c r="EB47" i="1"/>
  <c r="AY80" i="1"/>
  <c r="EF63" i="1"/>
  <c r="DT47" i="1"/>
  <c r="CD23" i="1"/>
  <c r="DF64" i="1"/>
  <c r="DF40" i="1"/>
  <c r="DF68" i="1"/>
  <c r="DU68" i="1"/>
  <c r="DT64" i="1"/>
  <c r="DA50" i="1"/>
  <c r="EC50" i="1"/>
  <c r="DZ115" i="1"/>
  <c r="CD103" i="1"/>
  <c r="EI141" i="1"/>
  <c r="CD138" i="1"/>
  <c r="BT138" i="1"/>
  <c r="CD139" i="1"/>
  <c r="BT139" i="1"/>
  <c r="DZ140" i="1"/>
  <c r="DU140" i="1"/>
  <c r="EA140" i="1"/>
  <c r="EA150" i="1"/>
  <c r="DX150" i="1"/>
  <c r="ED151" i="1"/>
  <c r="EI151" i="1"/>
  <c r="DZ151" i="1"/>
  <c r="CS155" i="1"/>
  <c r="CU155" i="1" s="1"/>
  <c r="CV155" i="1" s="1"/>
  <c r="DZ155" i="1"/>
  <c r="DW70" i="1"/>
  <c r="DW64" i="1"/>
  <c r="DW31" i="1"/>
  <c r="DY70" i="1"/>
  <c r="DW68" i="1"/>
  <c r="DF78" i="1"/>
  <c r="DF55" i="1"/>
  <c r="DF33" i="1"/>
  <c r="DF65" i="1"/>
  <c r="DF95" i="1"/>
  <c r="BJ71" i="1"/>
  <c r="CD71" i="1" s="1"/>
  <c r="DX70" i="1"/>
  <c r="DF50" i="1"/>
  <c r="DW78" i="1"/>
  <c r="DW55" i="1"/>
  <c r="DW93" i="1"/>
  <c r="DW33" i="1"/>
  <c r="BT32" i="1"/>
  <c r="BT22" i="1"/>
  <c r="DW65" i="1"/>
  <c r="DW95" i="1"/>
  <c r="DZ68" i="1"/>
  <c r="DZ65" i="1"/>
  <c r="EI64" i="1"/>
  <c r="EI74" i="1"/>
  <c r="DU56" i="1"/>
  <c r="ED56" i="1"/>
  <c r="EC63" i="1"/>
  <c r="EB54" i="1"/>
  <c r="EI51" i="1"/>
  <c r="EF55" i="1"/>
  <c r="DU78" i="1"/>
  <c r="DU92" i="1"/>
  <c r="EF48" i="1"/>
  <c r="EB33" i="1"/>
  <c r="DZ25" i="1"/>
  <c r="ED79" i="1"/>
  <c r="EI95" i="1"/>
  <c r="AY37" i="1"/>
  <c r="EC41" i="1"/>
  <c r="DY80" i="1"/>
  <c r="DZ88" i="1"/>
  <c r="ED96" i="1"/>
  <c r="EF92" i="1"/>
  <c r="EA18" i="1"/>
  <c r="AY38" i="1"/>
  <c r="AY18" i="1"/>
  <c r="DX31" i="1"/>
  <c r="EF20" i="1"/>
  <c r="ED50" i="1"/>
  <c r="DZ77" i="1"/>
  <c r="EC93" i="1"/>
  <c r="EB39" i="1"/>
  <c r="EA9" i="1"/>
  <c r="DZ78" i="1"/>
  <c r="EC94" i="1"/>
  <c r="DA94" i="1"/>
  <c r="DT50" i="1"/>
  <c r="DA95" i="1"/>
  <c r="DT39" i="1"/>
  <c r="AY15" i="1"/>
  <c r="AY27" i="1"/>
  <c r="AZ71" i="1"/>
  <c r="AZ97" i="1"/>
  <c r="BW87" i="1"/>
  <c r="AZ87" i="1" s="1"/>
  <c r="AZ47" i="1"/>
  <c r="EI38" i="1"/>
  <c r="DA38" i="1"/>
  <c r="DR29" i="1"/>
  <c r="DA29" i="1"/>
  <c r="DF115" i="1"/>
  <c r="BT119" i="1"/>
  <c r="DF132" i="1"/>
  <c r="DA132" i="1"/>
  <c r="BT147" i="1"/>
  <c r="CD170" i="1"/>
  <c r="EC141" i="1"/>
  <c r="DU54" i="1"/>
  <c r="DT79" i="1"/>
  <c r="DT57" i="1"/>
  <c r="DA57" i="1"/>
  <c r="DW84" i="1"/>
  <c r="DW62" i="1"/>
  <c r="DU70" i="1"/>
  <c r="DW50" i="1"/>
  <c r="DF18" i="1"/>
  <c r="DF20" i="1"/>
  <c r="DW54" i="1"/>
  <c r="AY67" i="1"/>
  <c r="EC56" i="1"/>
  <c r="EC57" i="1"/>
  <c r="EC55" i="1"/>
  <c r="DU93" i="1"/>
  <c r="DZ33" i="1"/>
  <c r="DY25" i="1"/>
  <c r="DX79" i="1"/>
  <c r="EF95" i="1"/>
  <c r="EC21" i="1"/>
  <c r="EA20" i="1"/>
  <c r="DX77" i="1"/>
  <c r="EB93" i="1"/>
  <c r="DZ39" i="1"/>
  <c r="DZ9" i="1"/>
  <c r="DY86" i="1"/>
  <c r="DY94" i="1"/>
  <c r="BJ70" i="1"/>
  <c r="CD70" i="1" s="1"/>
  <c r="EI19" i="1"/>
  <c r="DW115" i="1"/>
  <c r="AY125" i="1"/>
  <c r="EC103" i="1"/>
  <c r="ED103" i="1"/>
  <c r="DF103" i="1"/>
  <c r="DW103" i="1"/>
  <c r="DT112" i="1"/>
  <c r="DZ112" i="1"/>
  <c r="EB112" i="1"/>
  <c r="DU112" i="1"/>
  <c r="EI121" i="1"/>
  <c r="DT121" i="1"/>
  <c r="DX121" i="1"/>
  <c r="ED121" i="1"/>
  <c r="DA121" i="1"/>
  <c r="DZ121" i="1"/>
  <c r="DF416" i="1"/>
  <c r="DW416" i="1"/>
  <c r="DW151" i="1"/>
  <c r="DT151" i="1"/>
  <c r="EE164" i="1"/>
  <c r="EA164" i="1"/>
  <c r="DF164" i="1"/>
  <c r="DU164" i="1"/>
  <c r="EG164" i="1"/>
  <c r="EC164" i="1"/>
  <c r="CD163" i="1"/>
  <c r="BT163" i="1"/>
  <c r="DU160" i="1"/>
  <c r="DW160" i="1"/>
  <c r="EI160" i="1"/>
  <c r="ED160" i="1"/>
  <c r="DF160" i="1"/>
  <c r="DA160" i="1"/>
  <c r="EC160" i="1"/>
  <c r="EG160" i="1"/>
  <c r="DT160" i="1"/>
  <c r="EE160" i="1"/>
  <c r="BT161" i="1"/>
  <c r="CD161" i="1"/>
  <c r="BT152" i="1"/>
  <c r="CD152" i="1"/>
  <c r="AY172" i="1"/>
  <c r="AY159" i="1"/>
  <c r="CD150" i="1"/>
  <c r="AZ136" i="1"/>
  <c r="AZ137" i="1"/>
  <c r="DA165" i="1"/>
  <c r="DY230" i="1"/>
  <c r="DT235" i="1"/>
  <c r="BT207" i="1"/>
  <c r="CD207" i="1"/>
  <c r="AY208" i="1"/>
  <c r="AZ208" i="1"/>
  <c r="DY205" i="1"/>
  <c r="EC205" i="1"/>
  <c r="DW205" i="1"/>
  <c r="AY218" i="1"/>
  <c r="AY219" i="1"/>
  <c r="AZ220" i="1"/>
  <c r="AZ225" i="1"/>
  <c r="EB230" i="1"/>
  <c r="EF248" i="1"/>
  <c r="DK223" i="1"/>
  <c r="EB223" i="1"/>
  <c r="DK220" i="1"/>
  <c r="EB220" i="1"/>
  <c r="DX185" i="1"/>
  <c r="DG185" i="1"/>
  <c r="AW181" i="1"/>
  <c r="BK181" i="1"/>
  <c r="DC181" i="1"/>
  <c r="AV181" i="1"/>
  <c r="DD181" i="1"/>
  <c r="DE181" i="1"/>
  <c r="DH181" i="1"/>
  <c r="AY135" i="1"/>
  <c r="AZ166" i="1"/>
  <c r="AY168" i="1"/>
  <c r="AZ171" i="1"/>
  <c r="DJ181" i="1"/>
  <c r="DI181" i="1"/>
  <c r="DF205" i="1"/>
  <c r="CD212" i="1"/>
  <c r="EB229" i="1"/>
  <c r="EI235" i="1"/>
  <c r="DT217" i="1"/>
  <c r="DU217" i="1"/>
  <c r="AZ218" i="1"/>
  <c r="DT220" i="1"/>
  <c r="EI220" i="1"/>
  <c r="DF220" i="1"/>
  <c r="DY220" i="1"/>
  <c r="EC220" i="1"/>
  <c r="ED220" i="1"/>
  <c r="CD246" i="1"/>
  <c r="AY242" i="1"/>
  <c r="AZ242" i="1"/>
  <c r="CD245" i="1"/>
  <c r="CD249" i="1"/>
  <c r="BT249" i="1"/>
  <c r="DJ220" i="1"/>
  <c r="EA220" i="1"/>
  <c r="DG181" i="1"/>
  <c r="CD204" i="1"/>
  <c r="BT204" i="1"/>
  <c r="DY248" i="1"/>
  <c r="EC248" i="1"/>
  <c r="DF248" i="1"/>
  <c r="DU248" i="1"/>
  <c r="EA248" i="1"/>
  <c r="DW248" i="1"/>
  <c r="DZ248" i="1"/>
  <c r="DA248" i="1"/>
  <c r="DT248" i="1"/>
  <c r="AY198" i="1"/>
  <c r="EA212" i="1"/>
  <c r="EC212" i="1"/>
  <c r="DY212" i="1"/>
  <c r="DU222" i="1"/>
  <c r="DX222" i="1"/>
  <c r="EI230" i="1"/>
  <c r="DZ230" i="1"/>
  <c r="DU230" i="1"/>
  <c r="DW230" i="1"/>
  <c r="DT230" i="1"/>
  <c r="DA230" i="1"/>
  <c r="DZ239" i="1"/>
  <c r="DY239" i="1"/>
  <c r="DX239" i="1"/>
  <c r="DU239" i="1"/>
  <c r="DZ245" i="1"/>
  <c r="DA245" i="1"/>
  <c r="EC245" i="1"/>
  <c r="EB245" i="1"/>
  <c r="EF245" i="1"/>
  <c r="DW245" i="1"/>
  <c r="EI223" i="1"/>
  <c r="DU223" i="1"/>
  <c r="DT223" i="1"/>
  <c r="EA223" i="1"/>
  <c r="DW223" i="1"/>
  <c r="DF223" i="1"/>
  <c r="DX234" i="1"/>
  <c r="DW234" i="1"/>
  <c r="DF234" i="1"/>
  <c r="AZ236" i="1"/>
  <c r="AY95" i="1"/>
  <c r="AY47" i="1"/>
  <c r="AY61" i="1"/>
  <c r="AY8" i="1"/>
  <c r="AZ81" i="1"/>
  <c r="AZ77" i="1"/>
  <c r="AZ9" i="1"/>
  <c r="AZ14" i="1"/>
  <c r="EI68" i="1"/>
  <c r="BT100" i="1"/>
  <c r="BT116" i="1"/>
  <c r="AY110" i="1"/>
  <c r="EI120" i="1"/>
  <c r="EC131" i="1"/>
  <c r="AY154" i="1"/>
  <c r="EI159" i="1"/>
  <c r="AY162" i="1"/>
  <c r="DF181" i="1"/>
  <c r="DX188" i="1"/>
  <c r="EA194" i="1"/>
  <c r="EC194" i="1"/>
  <c r="EF194" i="1"/>
  <c r="DF194" i="1"/>
  <c r="DU194" i="1"/>
  <c r="DY223" i="1"/>
  <c r="AY212" i="1"/>
  <c r="EA221" i="1"/>
  <c r="DY221" i="1"/>
  <c r="DF221" i="1"/>
  <c r="AY11" i="1"/>
  <c r="AZ79" i="1"/>
  <c r="AZ48" i="1"/>
  <c r="EI111" i="1"/>
  <c r="EI102" i="1"/>
  <c r="EA111" i="1"/>
  <c r="BT131" i="1"/>
  <c r="AY121" i="1"/>
  <c r="AY124" i="1"/>
  <c r="AZ128" i="1"/>
  <c r="EB165" i="1"/>
  <c r="EC165" i="1"/>
  <c r="AY140" i="1"/>
  <c r="DT158" i="1"/>
  <c r="DA170" i="1"/>
  <c r="AZ187" i="1"/>
  <c r="DU187" i="1"/>
  <c r="EI187" i="1"/>
  <c r="CD193" i="1"/>
  <c r="DW222" i="1"/>
  <c r="EI212" i="1"/>
  <c r="DA212" i="1"/>
  <c r="DY227" i="1"/>
  <c r="DZ227" i="1"/>
  <c r="DT227" i="1"/>
  <c r="EI227" i="1"/>
  <c r="DF227" i="1"/>
  <c r="DW227" i="1"/>
  <c r="EA227" i="1"/>
  <c r="DU227" i="1"/>
  <c r="EB232" i="1"/>
  <c r="EC232" i="1"/>
  <c r="DX232" i="1"/>
  <c r="DU232" i="1"/>
  <c r="DT232" i="1"/>
  <c r="CD233" i="1"/>
  <c r="BT233" i="1"/>
  <c r="EF237" i="1"/>
  <c r="DY237" i="1"/>
  <c r="DU237" i="1"/>
  <c r="DT237" i="1"/>
  <c r="EC237" i="1"/>
  <c r="AZ239" i="1"/>
  <c r="DZ247" i="1"/>
  <c r="DA247" i="1"/>
  <c r="DT247" i="1"/>
  <c r="EA247" i="1"/>
  <c r="DX227" i="1"/>
  <c r="EB221" i="1"/>
  <c r="DK211" i="1"/>
  <c r="EB211" i="1"/>
  <c r="AT186" i="1"/>
  <c r="DE186" i="1"/>
  <c r="BK186" i="1"/>
  <c r="DD186" i="1"/>
  <c r="DC186" i="1"/>
  <c r="AS186" i="1"/>
  <c r="BT186" i="1"/>
  <c r="DF186" i="1"/>
  <c r="AW186" i="1"/>
  <c r="DH186" i="1"/>
  <c r="BL186" i="1"/>
  <c r="DI186" i="1"/>
  <c r="EB237" i="1"/>
  <c r="AZ31" i="1"/>
  <c r="AZ30" i="1"/>
  <c r="AZ54" i="1"/>
  <c r="DA52" i="1"/>
  <c r="ED102" i="1"/>
  <c r="EC111" i="1"/>
  <c r="EF111" i="1"/>
  <c r="DT111" i="1"/>
  <c r="AZ104" i="1"/>
  <c r="AZ105" i="1"/>
  <c r="AZ106" i="1"/>
  <c r="AZ113" i="1"/>
  <c r="CH129" i="1"/>
  <c r="DW129" i="1" s="1"/>
  <c r="DY165" i="1"/>
  <c r="DZ139" i="1"/>
  <c r="EB139" i="1"/>
  <c r="DU147" i="1"/>
  <c r="AZ167" i="1"/>
  <c r="BT162" i="1"/>
  <c r="EB146" i="1"/>
  <c r="DY146" i="1"/>
  <c r="BS181" i="1"/>
  <c r="BR181" i="1"/>
  <c r="BQ181" i="1"/>
  <c r="BP181" i="1"/>
  <c r="BO181" i="1"/>
  <c r="BN181" i="1"/>
  <c r="BM181" i="1"/>
  <c r="BL181" i="1"/>
  <c r="AS181" i="1"/>
  <c r="AR181" i="1"/>
  <c r="DB181" i="1" s="1"/>
  <c r="DF222" i="1"/>
  <c r="AZ205" i="1"/>
  <c r="DU205" i="1"/>
  <c r="DD204" i="1"/>
  <c r="CH204" i="1"/>
  <c r="DY204" i="1" s="1"/>
  <c r="DT221" i="1"/>
  <c r="DA225" i="1"/>
  <c r="DF225" i="1"/>
  <c r="DU225" i="1"/>
  <c r="DY225" i="1"/>
  <c r="DW225" i="1"/>
  <c r="EC225" i="1"/>
  <c r="EI225" i="1"/>
  <c r="DW237" i="1"/>
  <c r="EF243" i="1"/>
  <c r="EI243" i="1"/>
  <c r="DT243" i="1"/>
  <c r="CD244" i="1"/>
  <c r="BT244" i="1"/>
  <c r="DG230" i="1"/>
  <c r="DX230" i="1"/>
  <c r="EA208" i="1"/>
  <c r="DJ208" i="1"/>
  <c r="AS182" i="1"/>
  <c r="BL182" i="1"/>
  <c r="DL182" i="1"/>
  <c r="AT182" i="1"/>
  <c r="AY211" i="1"/>
  <c r="AZ211" i="1"/>
  <c r="AY197" i="1"/>
  <c r="AZ206" i="1"/>
  <c r="AY227" i="1"/>
  <c r="AZ251" i="1"/>
  <c r="DZ252" i="1"/>
  <c r="DZ265" i="1"/>
  <c r="DU266" i="1"/>
  <c r="EI266" i="1"/>
  <c r="DT266" i="1"/>
  <c r="EF266" i="1"/>
  <c r="AW278" i="1"/>
  <c r="BT280" i="1"/>
  <c r="BT287" i="1"/>
  <c r="DT288" i="1"/>
  <c r="DU288" i="1"/>
  <c r="EC291" i="1"/>
  <c r="EB291" i="1"/>
  <c r="EA291" i="1"/>
  <c r="DX291" i="1"/>
  <c r="EF294" i="1"/>
  <c r="BL295" i="1"/>
  <c r="EA296" i="1"/>
  <c r="EC296" i="1"/>
  <c r="DZ296" i="1"/>
  <c r="DY296" i="1"/>
  <c r="CD311" i="1"/>
  <c r="AS312" i="1"/>
  <c r="BL321" i="1"/>
  <c r="DE321" i="1"/>
  <c r="AS330" i="1"/>
  <c r="AY267" i="1"/>
  <c r="AY282" i="1"/>
  <c r="DW301" i="1"/>
  <c r="DY301" i="1"/>
  <c r="DX301" i="1"/>
  <c r="BM321" i="1"/>
  <c r="EF326" i="1"/>
  <c r="DA326" i="1"/>
  <c r="DU326" i="1"/>
  <c r="EC326" i="1"/>
  <c r="DT326" i="1"/>
  <c r="EI326" i="1"/>
  <c r="DX326" i="1"/>
  <c r="DZ326" i="1"/>
  <c r="DY326" i="1"/>
  <c r="EA326" i="1"/>
  <c r="AZ271" i="1"/>
  <c r="CD271" i="1"/>
  <c r="AZ280" i="1"/>
  <c r="CD282" i="1"/>
  <c r="DU284" i="1"/>
  <c r="EB284" i="1"/>
  <c r="DF284" i="1"/>
  <c r="DZ284" i="1"/>
  <c r="EF284" i="1"/>
  <c r="DA284" i="1"/>
  <c r="AZ287" i="1"/>
  <c r="DZ306" i="1"/>
  <c r="EC306" i="1"/>
  <c r="EB306" i="1"/>
  <c r="DT306" i="1"/>
  <c r="EC252" i="1"/>
  <c r="DT252" i="1"/>
  <c r="EB252" i="1"/>
  <c r="DA252" i="1"/>
  <c r="EF252" i="1"/>
  <c r="DW285" i="1"/>
  <c r="DU285" i="1"/>
  <c r="EF285" i="1"/>
  <c r="EC294" i="1"/>
  <c r="DT294" i="1"/>
  <c r="DA294" i="1"/>
  <c r="EB294" i="1"/>
  <c r="EA294" i="1"/>
  <c r="DZ294" i="1"/>
  <c r="DZ322" i="1"/>
  <c r="DY322" i="1"/>
  <c r="DW322" i="1"/>
  <c r="EA322" i="1"/>
  <c r="EC322" i="1"/>
  <c r="DU322" i="1"/>
  <c r="W330" i="1"/>
  <c r="DD330" i="1"/>
  <c r="BQ330" i="1"/>
  <c r="AW330" i="1"/>
  <c r="DL330" i="1"/>
  <c r="DC330" i="1"/>
  <c r="BP330" i="1"/>
  <c r="AV330" i="1"/>
  <c r="DK330" i="1"/>
  <c r="BO330" i="1"/>
  <c r="DO330" i="1"/>
  <c r="DE330" i="1"/>
  <c r="BR330" i="1"/>
  <c r="DG330" i="1"/>
  <c r="BL330" i="1"/>
  <c r="DH330" i="1"/>
  <c r="BM330" i="1"/>
  <c r="DK321" i="1"/>
  <c r="DC321" i="1"/>
  <c r="BP321" i="1"/>
  <c r="AV321" i="1"/>
  <c r="DJ321" i="1"/>
  <c r="BO321" i="1"/>
  <c r="DI321" i="1"/>
  <c r="BN321" i="1"/>
  <c r="AT321" i="1"/>
  <c r="DL321" i="1"/>
  <c r="DD321" i="1"/>
  <c r="BQ321" i="1"/>
  <c r="AW321" i="1"/>
  <c r="DO321" i="1"/>
  <c r="AS321" i="1"/>
  <c r="DR321" i="1"/>
  <c r="BK321" i="1"/>
  <c r="W312" i="1"/>
  <c r="BS312" i="1"/>
  <c r="AV304" i="1"/>
  <c r="AT304" i="1"/>
  <c r="DH304" i="1"/>
  <c r="AW304" i="1"/>
  <c r="DI295" i="1"/>
  <c r="BN295" i="1"/>
  <c r="AT295" i="1"/>
  <c r="DM295" i="1"/>
  <c r="DD295" i="1"/>
  <c r="BP295" i="1"/>
  <c r="DL295" i="1"/>
  <c r="DC295" i="1"/>
  <c r="BO295" i="1"/>
  <c r="AS295" i="1"/>
  <c r="BM295" i="1"/>
  <c r="W295" i="1"/>
  <c r="DO295" i="1"/>
  <c r="DE295" i="1"/>
  <c r="BQ295" i="1"/>
  <c r="AV295" i="1"/>
  <c r="BO278" i="1"/>
  <c r="AU278" i="1"/>
  <c r="DJ278" i="1"/>
  <c r="BN278" i="1"/>
  <c r="AT278" i="1"/>
  <c r="DI278" i="1"/>
  <c r="BM278" i="1"/>
  <c r="DL278" i="1"/>
  <c r="DC278" i="1"/>
  <c r="BP278" i="1"/>
  <c r="AV278" i="1"/>
  <c r="DH268" i="1"/>
  <c r="DI268" i="1"/>
  <c r="BO268" i="1"/>
  <c r="DD268" i="1"/>
  <c r="BN268" i="1"/>
  <c r="DL268" i="1"/>
  <c r="BP268" i="1"/>
  <c r="BQ260" i="1"/>
  <c r="DD260" i="1"/>
  <c r="BL260" i="1"/>
  <c r="DC260" i="1"/>
  <c r="BK260" i="1"/>
  <c r="DE260" i="1"/>
  <c r="BM260" i="1"/>
  <c r="DF252" i="1"/>
  <c r="BN252" i="1"/>
  <c r="DR252" i="1"/>
  <c r="AR252" i="1"/>
  <c r="DB252" i="1" s="1"/>
  <c r="DC252" i="1"/>
  <c r="BO252" i="1"/>
  <c r="EA252" i="1"/>
  <c r="DW274" i="1"/>
  <c r="DA274" i="1"/>
  <c r="DT278" i="1"/>
  <c r="EA278" i="1"/>
  <c r="EC278" i="1"/>
  <c r="DU294" i="1"/>
  <c r="CD300" i="1"/>
  <c r="BT300" i="1"/>
  <c r="DZ300" i="1"/>
  <c r="EA300" i="1"/>
  <c r="EB300" i="1"/>
  <c r="DX320" i="1"/>
  <c r="DY320" i="1"/>
  <c r="DW320" i="1"/>
  <c r="AY194" i="1"/>
  <c r="AZ232" i="1"/>
  <c r="AY244" i="1"/>
  <c r="AY246" i="1"/>
  <c r="AZ246" i="1"/>
  <c r="DX220" i="1"/>
  <c r="DW252" i="1"/>
  <c r="DZ268" i="1"/>
  <c r="DY268" i="1"/>
  <c r="EC275" i="1"/>
  <c r="EB275" i="1"/>
  <c r="DT275" i="1"/>
  <c r="DA275" i="1"/>
  <c r="EA275" i="1"/>
  <c r="DZ275" i="1"/>
  <c r="DU275" i="1"/>
  <c r="DX277" i="1"/>
  <c r="DZ277" i="1"/>
  <c r="BR278" i="1"/>
  <c r="DH278" i="1"/>
  <c r="DY280" i="1"/>
  <c r="DX280" i="1"/>
  <c r="EF280" i="1"/>
  <c r="DW284" i="1"/>
  <c r="AW295" i="1"/>
  <c r="W321" i="1"/>
  <c r="BN330" i="1"/>
  <c r="AZ185" i="1"/>
  <c r="AZ198" i="1"/>
  <c r="AZ228" i="1"/>
  <c r="EF240" i="1"/>
  <c r="AZ247" i="1"/>
  <c r="EB225" i="1"/>
  <c r="DX213" i="1"/>
  <c r="DX252" i="1"/>
  <c r="EF259" i="1"/>
  <c r="DT259" i="1"/>
  <c r="DA259" i="1"/>
  <c r="EI259" i="1"/>
  <c r="AV268" i="1"/>
  <c r="W278" i="1"/>
  <c r="BS278" i="1"/>
  <c r="DX284" i="1"/>
  <c r="DW294" i="1"/>
  <c r="DF295" i="1"/>
  <c r="DA322" i="1"/>
  <c r="EB326" i="1"/>
  <c r="BS330" i="1"/>
  <c r="DR330" i="1"/>
  <c r="AZ164" i="1"/>
  <c r="DW177" i="1"/>
  <c r="EA177" i="1"/>
  <c r="EB181" i="1"/>
  <c r="DW188" i="1"/>
  <c r="AY190" i="1"/>
  <c r="AY199" i="1"/>
  <c r="AZ192" i="1"/>
  <c r="AZ235" i="1"/>
  <c r="EI240" i="1"/>
  <c r="AZ245" i="1"/>
  <c r="EB212" i="1"/>
  <c r="EA209" i="1"/>
  <c r="AW252" i="1"/>
  <c r="DH252" i="1"/>
  <c r="DY252" i="1"/>
  <c r="AY257" i="1"/>
  <c r="W260" i="1"/>
  <c r="DF260" i="1"/>
  <c r="DY265" i="1"/>
  <c r="AW268" i="1"/>
  <c r="EF272" i="1"/>
  <c r="DW275" i="1"/>
  <c r="AZ281" i="1"/>
  <c r="DY284" i="1"/>
  <c r="EF291" i="1"/>
  <c r="DX294" i="1"/>
  <c r="BK295" i="1"/>
  <c r="DG295" i="1"/>
  <c r="EI296" i="1"/>
  <c r="DX298" i="1"/>
  <c r="DY298" i="1"/>
  <c r="DU311" i="1"/>
  <c r="DT311" i="1"/>
  <c r="DH312" i="1"/>
  <c r="DT329" i="1"/>
  <c r="ED329" i="1"/>
  <c r="DU329" i="1"/>
  <c r="EC329" i="1"/>
  <c r="EB329" i="1"/>
  <c r="EF329" i="1"/>
  <c r="EA329" i="1"/>
  <c r="DZ329" i="1"/>
  <c r="DY329" i="1"/>
  <c r="EI329" i="1"/>
  <c r="DX265" i="1"/>
  <c r="AV273" i="1"/>
  <c r="BP273" i="1"/>
  <c r="DK273" i="1"/>
  <c r="DX274" i="1"/>
  <c r="BP277" i="1"/>
  <c r="DH277" i="1"/>
  <c r="EB283" i="1"/>
  <c r="BM285" i="1"/>
  <c r="DD285" i="1"/>
  <c r="AR286" i="1"/>
  <c r="DB286" i="1" s="1"/>
  <c r="DG293" i="1"/>
  <c r="DR294" i="1"/>
  <c r="BL303" i="1"/>
  <c r="AY303" i="1" s="1"/>
  <c r="EA310" i="1"/>
  <c r="DU310" i="1"/>
  <c r="BR328" i="1"/>
  <c r="AT329" i="1"/>
  <c r="BQ329" i="1"/>
  <c r="DI313" i="1"/>
  <c r="BL313" i="1"/>
  <c r="W313" i="1"/>
  <c r="DH313" i="1"/>
  <c r="BS313" i="1"/>
  <c r="BK313" i="1"/>
  <c r="DG313" i="1"/>
  <c r="BR313" i="1"/>
  <c r="BM313" i="1"/>
  <c r="DE305" i="1"/>
  <c r="BQ305" i="1"/>
  <c r="AW305" i="1"/>
  <c r="DD305" i="1"/>
  <c r="BP305" i="1"/>
  <c r="AV305" i="1"/>
  <c r="DL305" i="1"/>
  <c r="DC305" i="1"/>
  <c r="BO305" i="1"/>
  <c r="AY305" i="1" s="1"/>
  <c r="AU305" i="1"/>
  <c r="DO305" i="1"/>
  <c r="DG305" i="1"/>
  <c r="BR305" i="1"/>
  <c r="DN329" i="1"/>
  <c r="DN328" i="1"/>
  <c r="DK307" i="1"/>
  <c r="DX311" i="1"/>
  <c r="DJ313" i="1"/>
  <c r="DH329" i="1"/>
  <c r="BL329" i="1"/>
  <c r="DR329" i="1"/>
  <c r="DG329" i="1"/>
  <c r="BS329" i="1"/>
  <c r="BK329" i="1"/>
  <c r="DO329" i="1"/>
  <c r="DE329" i="1"/>
  <c r="BR329" i="1"/>
  <c r="DI329" i="1"/>
  <c r="BM329" i="1"/>
  <c r="AS329" i="1"/>
  <c r="DE311" i="1"/>
  <c r="AW311" i="1"/>
  <c r="DD311" i="1"/>
  <c r="BR311" i="1"/>
  <c r="AV311" i="1"/>
  <c r="DC311" i="1"/>
  <c r="BQ311" i="1"/>
  <c r="DH311" i="1"/>
  <c r="DH303" i="1"/>
  <c r="BS303" i="1"/>
  <c r="DG303" i="1"/>
  <c r="BR303" i="1"/>
  <c r="AW303" i="1"/>
  <c r="DO303" i="1"/>
  <c r="DE303" i="1"/>
  <c r="BQ303" i="1"/>
  <c r="AV303" i="1"/>
  <c r="DI303" i="1"/>
  <c r="BK303" i="1"/>
  <c r="DE298" i="1"/>
  <c r="BL298" i="1"/>
  <c r="AS298" i="1"/>
  <c r="DK328" i="1"/>
  <c r="BO328" i="1"/>
  <c r="DJ328" i="1"/>
  <c r="BN328" i="1"/>
  <c r="AT328" i="1"/>
  <c r="DI328" i="1"/>
  <c r="BM328" i="1"/>
  <c r="AS328" i="1"/>
  <c r="DL328" i="1"/>
  <c r="DC328" i="1"/>
  <c r="BP328" i="1"/>
  <c r="AV328" i="1"/>
  <c r="DO319" i="1"/>
  <c r="AT319" i="1"/>
  <c r="DL319" i="1"/>
  <c r="BP319" i="1"/>
  <c r="DK310" i="1"/>
  <c r="BQ310" i="1"/>
  <c r="BO310" i="1"/>
  <c r="DD327" i="1"/>
  <c r="BQ327" i="1"/>
  <c r="AW327" i="1"/>
  <c r="DL327" i="1"/>
  <c r="DC327" i="1"/>
  <c r="BP327" i="1"/>
  <c r="AV327" i="1"/>
  <c r="DK327" i="1"/>
  <c r="BO327" i="1"/>
  <c r="AY327" i="1" s="1"/>
  <c r="AU327" i="1"/>
  <c r="DO327" i="1"/>
  <c r="DE327" i="1"/>
  <c r="BR327" i="1"/>
  <c r="BS318" i="1"/>
  <c r="BQ318" i="1"/>
  <c r="DG314" i="1"/>
  <c r="BQ314" i="1"/>
  <c r="AS314" i="1"/>
  <c r="BL314" i="1"/>
  <c r="DH314" i="1"/>
  <c r="BR314" i="1"/>
  <c r="DY251" i="1"/>
  <c r="AZ252" i="1"/>
  <c r="DY257" i="1"/>
  <c r="AY259" i="1"/>
  <c r="DT260" i="1"/>
  <c r="EF260" i="1"/>
  <c r="BT263" i="1"/>
  <c r="EI263" i="1"/>
  <c r="EC264" i="1"/>
  <c r="CD266" i="1"/>
  <c r="AR268" i="1"/>
  <c r="DB268" i="1" s="1"/>
  <c r="DJ270" i="1"/>
  <c r="DG272" i="1"/>
  <c r="AS273" i="1"/>
  <c r="BM273" i="1"/>
  <c r="DH273" i="1"/>
  <c r="AZ274" i="1"/>
  <c r="AZ276" i="1"/>
  <c r="DG276" i="1"/>
  <c r="BM277" i="1"/>
  <c r="DR277" i="1"/>
  <c r="AZ278" i="1"/>
  <c r="AV285" i="1"/>
  <c r="AZ292" i="1"/>
  <c r="DA292" i="1"/>
  <c r="DZ292" i="1"/>
  <c r="DL294" i="1"/>
  <c r="AR295" i="1"/>
  <c r="DB295" i="1" s="1"/>
  <c r="DK295" i="1"/>
  <c r="ED295" i="1"/>
  <c r="DH298" i="1"/>
  <c r="DL302" i="1"/>
  <c r="EB302" i="1"/>
  <c r="AT303" i="1"/>
  <c r="BM310" i="1"/>
  <c r="BN311" i="1"/>
  <c r="DJ311" i="1"/>
  <c r="BO313" i="1"/>
  <c r="DE313" i="1"/>
  <c r="DD320" i="1"/>
  <c r="AS327" i="1"/>
  <c r="BN329" i="1"/>
  <c r="DC329" i="1"/>
  <c r="CH270" i="1"/>
  <c r="DZ270" i="1" s="1"/>
  <c r="AT273" i="1"/>
  <c r="BN273" i="1"/>
  <c r="DI273" i="1"/>
  <c r="DR273" i="1"/>
  <c r="BN277" i="1"/>
  <c r="BT278" i="1"/>
  <c r="DK281" i="1"/>
  <c r="AW285" i="1"/>
  <c r="AR285" i="1"/>
  <c r="DB285" i="1" s="1"/>
  <c r="AZ291" i="1"/>
  <c r="BK294" i="1"/>
  <c r="DM294" i="1"/>
  <c r="BR302" i="1"/>
  <c r="AR303" i="1"/>
  <c r="DB303" i="1" s="1"/>
  <c r="BN310" i="1"/>
  <c r="BO311" i="1"/>
  <c r="DK311" i="1"/>
  <c r="DH320" i="1"/>
  <c r="DN321" i="1"/>
  <c r="AT327" i="1"/>
  <c r="DR327" i="1"/>
  <c r="BL328" i="1"/>
  <c r="DD328" i="1"/>
  <c r="BO329" i="1"/>
  <c r="DD329" i="1"/>
  <c r="EB260" i="1"/>
  <c r="AY200" i="1"/>
  <c r="EI251" i="1"/>
  <c r="DF257" i="1"/>
  <c r="AZ269" i="1"/>
  <c r="CD269" i="1"/>
  <c r="CD272" i="1"/>
  <c r="AU273" i="1"/>
  <c r="BO273" i="1"/>
  <c r="DA276" i="1"/>
  <c r="EF276" i="1"/>
  <c r="BO277" i="1"/>
  <c r="DG277" i="1"/>
  <c r="AR278" i="1"/>
  <c r="DB278" i="1" s="1"/>
  <c r="DK278" i="1"/>
  <c r="EB278" i="1"/>
  <c r="DC285" i="1"/>
  <c r="BS294" i="1"/>
  <c r="DO294" i="1"/>
  <c r="BT298" i="1"/>
  <c r="DJ298" i="1"/>
  <c r="BS302" i="1"/>
  <c r="DR302" i="1"/>
  <c r="DC303" i="1"/>
  <c r="EI310" i="1"/>
  <c r="BP311" i="1"/>
  <c r="DL311" i="1"/>
  <c r="DC319" i="1"/>
  <c r="DT325" i="1"/>
  <c r="EC325" i="1"/>
  <c r="DF325" i="1"/>
  <c r="EB325" i="1"/>
  <c r="EA325" i="1"/>
  <c r="BQ328" i="1"/>
  <c r="DE328" i="1"/>
  <c r="BP329" i="1"/>
  <c r="DJ329" i="1"/>
  <c r="DL297" i="1"/>
  <c r="DC297" i="1"/>
  <c r="BR297" i="1"/>
  <c r="DP330" i="1"/>
  <c r="EA308" i="1"/>
  <c r="BT313" i="1"/>
  <c r="DZ314" i="1"/>
  <c r="DA316" i="1"/>
  <c r="EA316" i="1"/>
  <c r="EB321" i="1"/>
  <c r="EB323" i="1"/>
  <c r="DN325" i="1"/>
  <c r="DK313" i="1"/>
  <c r="DX308" i="1"/>
  <c r="DU314" i="1"/>
  <c r="DX316" i="1"/>
  <c r="DA323" i="1"/>
  <c r="DX323" i="1"/>
  <c r="EF324" i="1"/>
  <c r="DN326" i="1"/>
  <c r="EB299" i="1"/>
  <c r="DG301" i="1"/>
  <c r="AR302" i="1"/>
  <c r="DB302" i="1" s="1"/>
  <c r="AZ304" i="1"/>
  <c r="DY307" i="1"/>
  <c r="DU312" i="1"/>
  <c r="DW321" i="1"/>
  <c r="DX324" i="1"/>
  <c r="DN330" i="1"/>
  <c r="AR330" i="1"/>
  <c r="DB330" i="1" s="1"/>
  <c r="BT330" i="1"/>
  <c r="AK420" i="1"/>
  <c r="CS329" i="1"/>
  <c r="AK423" i="1"/>
  <c r="AK422" i="1"/>
  <c r="AZ329" i="1"/>
  <c r="DW328" i="1"/>
  <c r="EE328" i="1"/>
  <c r="DF328" i="1"/>
  <c r="DT328" i="1"/>
  <c r="BT328" i="1"/>
  <c r="W328" i="1"/>
  <c r="AR328" i="1"/>
  <c r="DB328" i="1" s="1"/>
  <c r="DU327" i="1"/>
  <c r="DT327" i="1"/>
  <c r="AK421" i="1"/>
  <c r="BZ423" i="1"/>
  <c r="CA423" i="1"/>
  <c r="CA422" i="1"/>
  <c r="BZ420" i="1"/>
  <c r="DU325" i="1"/>
  <c r="BT325" i="1"/>
  <c r="AY325" i="1"/>
  <c r="DU324" i="1"/>
  <c r="AY51" i="1"/>
  <c r="EI58" i="1"/>
  <c r="DR58" i="1"/>
  <c r="BT79" i="1"/>
  <c r="BT67" i="1"/>
  <c r="BT86" i="1"/>
  <c r="EA59" i="1"/>
  <c r="AY7" i="1"/>
  <c r="CD77" i="1"/>
  <c r="AY60" i="1"/>
  <c r="AY6" i="1"/>
  <c r="AY23" i="1"/>
  <c r="CD59" i="1"/>
  <c r="CD27" i="1"/>
  <c r="AZ43" i="1"/>
  <c r="DA39" i="1"/>
  <c r="EI39" i="1"/>
  <c r="DR39" i="1"/>
  <c r="DA19" i="1"/>
  <c r="DR19" i="1"/>
  <c r="CD97" i="1"/>
  <c r="BT97" i="1"/>
  <c r="BV68" i="1"/>
  <c r="AW68" i="1"/>
  <c r="AY12" i="1"/>
  <c r="DR16" i="1"/>
  <c r="EI16" i="1"/>
  <c r="DD5" i="1"/>
  <c r="CH5" i="1"/>
  <c r="DU5" i="1" s="1"/>
  <c r="AY116" i="1"/>
  <c r="CH45" i="1"/>
  <c r="DU45" i="1" s="1"/>
  <c r="DD45" i="1"/>
  <c r="EF132" i="1"/>
  <c r="EA132" i="1"/>
  <c r="DX132" i="1"/>
  <c r="EB132" i="1"/>
  <c r="EC132" i="1"/>
  <c r="DY132" i="1"/>
  <c r="DZ132" i="1"/>
  <c r="EI132" i="1"/>
  <c r="AY21" i="1"/>
  <c r="AY13" i="1"/>
  <c r="AY96" i="1"/>
  <c r="AZ19" i="1"/>
  <c r="AZ34" i="1"/>
  <c r="DZ49" i="1"/>
  <c r="DW49" i="1"/>
  <c r="EA49" i="1"/>
  <c r="DF49" i="1"/>
  <c r="EB49" i="1"/>
  <c r="DY49" i="1"/>
  <c r="EC49" i="1"/>
  <c r="DU59" i="1"/>
  <c r="DF59" i="1"/>
  <c r="DY59" i="1"/>
  <c r="DZ59" i="1"/>
  <c r="DX59" i="1"/>
  <c r="DW59" i="1"/>
  <c r="EA67" i="1"/>
  <c r="EB67" i="1"/>
  <c r="DW67" i="1"/>
  <c r="EC67" i="1"/>
  <c r="DF67" i="1"/>
  <c r="DT67" i="1"/>
  <c r="DZ67" i="1"/>
  <c r="DU67" i="1"/>
  <c r="BJ68" i="1"/>
  <c r="CD68" i="1" s="1"/>
  <c r="DA56" i="1"/>
  <c r="DR56" i="1"/>
  <c r="EI56" i="1"/>
  <c r="AZ17" i="1"/>
  <c r="EF27" i="1"/>
  <c r="DW27" i="1"/>
  <c r="DZ27" i="1"/>
  <c r="DX27" i="1"/>
  <c r="DY27" i="1"/>
  <c r="DF27" i="1"/>
  <c r="DU27" i="1"/>
  <c r="DW35" i="1"/>
  <c r="DX35" i="1"/>
  <c r="DZ35" i="1"/>
  <c r="DY35" i="1"/>
  <c r="DF35" i="1"/>
  <c r="ED35" i="1"/>
  <c r="EF35" i="1"/>
  <c r="DU35" i="1"/>
  <c r="DT43" i="1"/>
  <c r="DY43" i="1"/>
  <c r="EA43" i="1"/>
  <c r="DZ43" i="1"/>
  <c r="DA43" i="1"/>
  <c r="DX43" i="1"/>
  <c r="DU43" i="1"/>
  <c r="EF43" i="1"/>
  <c r="EC43" i="1"/>
  <c r="DX51" i="1"/>
  <c r="DW51" i="1"/>
  <c r="EA58" i="1"/>
  <c r="DU58" i="1"/>
  <c r="EC58" i="1"/>
  <c r="DX58" i="1"/>
  <c r="DY69" i="1"/>
  <c r="DU69" i="1"/>
  <c r="DW69" i="1"/>
  <c r="DZ69" i="1"/>
  <c r="EA69" i="1"/>
  <c r="EI69" i="1"/>
  <c r="CD11" i="1"/>
  <c r="BT11" i="1"/>
  <c r="CD21" i="1"/>
  <c r="BT21" i="1"/>
  <c r="CD36" i="1"/>
  <c r="BT36" i="1"/>
  <c r="CD44" i="1"/>
  <c r="BT44" i="1"/>
  <c r="CD51" i="1"/>
  <c r="BT51" i="1"/>
  <c r="EI73" i="1"/>
  <c r="DR73" i="1"/>
  <c r="EI35" i="1"/>
  <c r="DA35" i="1"/>
  <c r="BT49" i="1"/>
  <c r="AY57" i="1"/>
  <c r="EF49" i="1"/>
  <c r="BT35" i="1"/>
  <c r="BT96" i="1"/>
  <c r="BT89" i="1"/>
  <c r="AY55" i="1"/>
  <c r="AY81" i="1"/>
  <c r="EA35" i="1"/>
  <c r="DA16" i="1"/>
  <c r="AZ23" i="1"/>
  <c r="DA23" i="1"/>
  <c r="EC23" i="1"/>
  <c r="DF23" i="1"/>
  <c r="DX23" i="1"/>
  <c r="DT23" i="1"/>
  <c r="ED23" i="1"/>
  <c r="EF23" i="1"/>
  <c r="DW23" i="1"/>
  <c r="EI23" i="1"/>
  <c r="EB23" i="1"/>
  <c r="CH26" i="1"/>
  <c r="DA26" i="1" s="1"/>
  <c r="DU44" i="1"/>
  <c r="DX44" i="1"/>
  <c r="DA67" i="1"/>
  <c r="CD58" i="1"/>
  <c r="BT58" i="1"/>
  <c r="BL68" i="1"/>
  <c r="AY68" i="1" s="1"/>
  <c r="DY67" i="1"/>
  <c r="AY56" i="1"/>
  <c r="EB59" i="1"/>
  <c r="EI40" i="1"/>
  <c r="DW132" i="1"/>
  <c r="AZ98" i="1"/>
  <c r="DA59" i="1"/>
  <c r="AY128" i="1"/>
  <c r="BT416" i="1"/>
  <c r="CD416" i="1"/>
  <c r="DY114" i="1"/>
  <c r="DF114" i="1"/>
  <c r="DA114" i="1"/>
  <c r="DZ123" i="1"/>
  <c r="EB123" i="1"/>
  <c r="DT123" i="1"/>
  <c r="EF123" i="1"/>
  <c r="DY123" i="1"/>
  <c r="EA123" i="1"/>
  <c r="EC123" i="1"/>
  <c r="AY170" i="1"/>
  <c r="DF52" i="1"/>
  <c r="DF29" i="1"/>
  <c r="DF25" i="1"/>
  <c r="DW79" i="1"/>
  <c r="DW73" i="1"/>
  <c r="DW9" i="1"/>
  <c r="DX73" i="1"/>
  <c r="EB60" i="1"/>
  <c r="EC52" i="1"/>
  <c r="EB25" i="1"/>
  <c r="EI79" i="1"/>
  <c r="EB79" i="1"/>
  <c r="DY87" i="1"/>
  <c r="DZ95" i="1"/>
  <c r="DD25" i="1"/>
  <c r="DZ29" i="1"/>
  <c r="EB9" i="1"/>
  <c r="AY22" i="1"/>
  <c r="AY42" i="1"/>
  <c r="AY26" i="1"/>
  <c r="AY9" i="1"/>
  <c r="AY79" i="1"/>
  <c r="DT95" i="1"/>
  <c r="DT25" i="1"/>
  <c r="DT52" i="1"/>
  <c r="AZ82" i="1"/>
  <c r="AZ78" i="1"/>
  <c r="AZ6" i="1"/>
  <c r="AZ11" i="1"/>
  <c r="AZ28" i="1"/>
  <c r="AZ27" i="1"/>
  <c r="AZ39" i="1"/>
  <c r="AZ42" i="1"/>
  <c r="EB105" i="1"/>
  <c r="DD130" i="1"/>
  <c r="BT115" i="1"/>
  <c r="CD115" i="1"/>
  <c r="BT129" i="1"/>
  <c r="CD129" i="1"/>
  <c r="DT165" i="1"/>
  <c r="DA142" i="1"/>
  <c r="DX142" i="1"/>
  <c r="DF142" i="1"/>
  <c r="EC142" i="1"/>
  <c r="DZ142" i="1"/>
  <c r="DT142" i="1"/>
  <c r="EB142" i="1"/>
  <c r="AZ145" i="1"/>
  <c r="AZ158" i="1"/>
  <c r="DU158" i="1"/>
  <c r="EA158" i="1"/>
  <c r="EB158" i="1"/>
  <c r="EC158" i="1"/>
  <c r="DW158" i="1"/>
  <c r="DY158" i="1"/>
  <c r="DF158" i="1"/>
  <c r="EG158" i="1"/>
  <c r="EI158" i="1"/>
  <c r="DY159" i="1"/>
  <c r="DA159" i="1"/>
  <c r="DZ159" i="1"/>
  <c r="DT159" i="1"/>
  <c r="ED159" i="1"/>
  <c r="DU159" i="1"/>
  <c r="EE159" i="1"/>
  <c r="EC159" i="1"/>
  <c r="EF159" i="1"/>
  <c r="CS159" i="1"/>
  <c r="AZ168" i="1"/>
  <c r="AZ170" i="1"/>
  <c r="EG162" i="1"/>
  <c r="EE162" i="1"/>
  <c r="DW162" i="1"/>
  <c r="AZ160" i="1"/>
  <c r="AZ161" i="1"/>
  <c r="AZ134" i="1"/>
  <c r="DF184" i="1"/>
  <c r="DX184" i="1"/>
  <c r="DT184" i="1"/>
  <c r="EF184" i="1"/>
  <c r="EC184" i="1"/>
  <c r="DY184" i="1"/>
  <c r="EA184" i="1"/>
  <c r="EB184" i="1"/>
  <c r="DW184" i="1"/>
  <c r="BT187" i="1"/>
  <c r="CD187" i="1"/>
  <c r="BT198" i="1"/>
  <c r="EF165" i="1"/>
  <c r="DX165" i="1"/>
  <c r="DF165" i="1"/>
  <c r="DT172" i="1"/>
  <c r="DY172" i="1"/>
  <c r="DA172" i="1"/>
  <c r="EF172" i="1"/>
  <c r="DW172" i="1"/>
  <c r="DU172" i="1"/>
  <c r="DZ172" i="1"/>
  <c r="EA172" i="1"/>
  <c r="DA135" i="1"/>
  <c r="EI135" i="1"/>
  <c r="EC134" i="1"/>
  <c r="CS134" i="1"/>
  <c r="EE134" i="1"/>
  <c r="EB175" i="1"/>
  <c r="EF176" i="1"/>
  <c r="ED176" i="1"/>
  <c r="DX176" i="1"/>
  <c r="EC176" i="1"/>
  <c r="EI175" i="1"/>
  <c r="AY187" i="1"/>
  <c r="DR128" i="1"/>
  <c r="DA128" i="1"/>
  <c r="EF154" i="1"/>
  <c r="EE154" i="1"/>
  <c r="DW154" i="1"/>
  <c r="EB154" i="1"/>
  <c r="EA154" i="1"/>
  <c r="BT169" i="1"/>
  <c r="CD169" i="1"/>
  <c r="DT175" i="1"/>
  <c r="DW175" i="1"/>
  <c r="EA175" i="1"/>
  <c r="EC175" i="1"/>
  <c r="CD175" i="1"/>
  <c r="BT175" i="1"/>
  <c r="DA196" i="1"/>
  <c r="EC196" i="1"/>
  <c r="DW196" i="1"/>
  <c r="EE196" i="1"/>
  <c r="DZ196" i="1"/>
  <c r="EG196" i="1"/>
  <c r="DA201" i="1"/>
  <c r="EB201" i="1"/>
  <c r="DF201" i="1"/>
  <c r="DT201" i="1"/>
  <c r="DZ201" i="1"/>
  <c r="ED201" i="1"/>
  <c r="BT140" i="1"/>
  <c r="CD140" i="1"/>
  <c r="DW144" i="1"/>
  <c r="EC144" i="1"/>
  <c r="EF144" i="1"/>
  <c r="DX144" i="1"/>
  <c r="ED144" i="1"/>
  <c r="DZ144" i="1"/>
  <c r="AZ165" i="1"/>
  <c r="AZ172" i="1"/>
  <c r="EC163" i="1"/>
  <c r="EB163" i="1"/>
  <c r="DY163" i="1"/>
  <c r="DT163" i="1"/>
  <c r="DX163" i="1"/>
  <c r="DW163" i="1"/>
  <c r="AY164" i="1"/>
  <c r="EF161" i="1"/>
  <c r="DW161" i="1"/>
  <c r="CS161" i="1"/>
  <c r="EC161" i="1"/>
  <c r="EG161" i="1"/>
  <c r="DY161" i="1"/>
  <c r="DU161" i="1"/>
  <c r="EF153" i="1"/>
  <c r="DA153" i="1"/>
  <c r="DT153" i="1"/>
  <c r="EB153" i="1"/>
  <c r="DW153" i="1"/>
  <c r="AZ153" i="1"/>
  <c r="EF152" i="1"/>
  <c r="DF152" i="1"/>
  <c r="DW152" i="1"/>
  <c r="EG152" i="1"/>
  <c r="DX152" i="1"/>
  <c r="EB152" i="1"/>
  <c r="DT174" i="1"/>
  <c r="EC174" i="1"/>
  <c r="DX174" i="1"/>
  <c r="DZ174" i="1"/>
  <c r="EI174" i="1"/>
  <c r="DW174" i="1"/>
  <c r="EB174" i="1"/>
  <c r="DA174" i="1"/>
  <c r="EA174" i="1"/>
  <c r="DF174" i="1"/>
  <c r="AZ174" i="1"/>
  <c r="AY174" i="1"/>
  <c r="AY185" i="1"/>
  <c r="DZ214" i="1"/>
  <c r="DX214" i="1"/>
  <c r="DW214" i="1"/>
  <c r="DY214" i="1"/>
  <c r="EA214" i="1"/>
  <c r="AY233" i="1"/>
  <c r="AY142" i="1"/>
  <c r="DT154" i="1"/>
  <c r="DW134" i="1"/>
  <c r="EF134" i="1"/>
  <c r="DZ176" i="1"/>
  <c r="DR175" i="1"/>
  <c r="AZ181" i="1"/>
  <c r="CD181" i="1"/>
  <c r="BT181" i="1"/>
  <c r="DF87" i="1"/>
  <c r="BT29" i="1"/>
  <c r="DF21" i="1"/>
  <c r="BT52" i="1"/>
  <c r="AY75" i="1"/>
  <c r="EA73" i="1"/>
  <c r="DU60" i="1"/>
  <c r="AY53" i="1"/>
  <c r="EF60" i="1"/>
  <c r="DX52" i="1"/>
  <c r="EF25" i="1"/>
  <c r="EA79" i="1"/>
  <c r="EB87" i="1"/>
  <c r="EB95" i="1"/>
  <c r="AY16" i="1"/>
  <c r="EI29" i="1"/>
  <c r="DX9" i="1"/>
  <c r="AY24" i="1"/>
  <c r="DT60" i="1"/>
  <c r="AZ93" i="1"/>
  <c r="AZ85" i="1"/>
  <c r="AZ65" i="1"/>
  <c r="AZ73" i="1"/>
  <c r="AZ72" i="1"/>
  <c r="DW105" i="1"/>
  <c r="AY107" i="1"/>
  <c r="DX123" i="1"/>
  <c r="CD104" i="1"/>
  <c r="BT104" i="1"/>
  <c r="CD112" i="1"/>
  <c r="BT112" i="1"/>
  <c r="DA106" i="1"/>
  <c r="EI106" i="1"/>
  <c r="EF106" i="1"/>
  <c r="DU106" i="1"/>
  <c r="DF106" i="1"/>
  <c r="DT115" i="1"/>
  <c r="EC115" i="1"/>
  <c r="DA115" i="1"/>
  <c r="EA115" i="1"/>
  <c r="EB115" i="1"/>
  <c r="DU115" i="1"/>
  <c r="EE416" i="1"/>
  <c r="DA130" i="1"/>
  <c r="EI130" i="1"/>
  <c r="DF172" i="1"/>
  <c r="AY151" i="1"/>
  <c r="AY156" i="1"/>
  <c r="EB141" i="1"/>
  <c r="AY147" i="1"/>
  <c r="AY133" i="1"/>
  <c r="CD144" i="1"/>
  <c r="DU154" i="1"/>
  <c r="DQ147" i="1"/>
  <c r="EH147" i="1"/>
  <c r="CU148" i="1"/>
  <c r="CV148" i="1" s="1"/>
  <c r="DQ148" i="1"/>
  <c r="EI154" i="1"/>
  <c r="CD174" i="1"/>
  <c r="EB176" i="1"/>
  <c r="EA173" i="1"/>
  <c r="DZ173" i="1"/>
  <c r="AZ188" i="1"/>
  <c r="EI196" i="1"/>
  <c r="EF196" i="1"/>
  <c r="DU201" i="1"/>
  <c r="BT202" i="1"/>
  <c r="CD202" i="1"/>
  <c r="AZ214" i="1"/>
  <c r="DF37" i="1"/>
  <c r="DU73" i="1"/>
  <c r="DZ73" i="1"/>
  <c r="AY52" i="1"/>
  <c r="ED60" i="1"/>
  <c r="EF52" i="1"/>
  <c r="DU25" i="1"/>
  <c r="CA421" i="1"/>
  <c r="ED25" i="1"/>
  <c r="DZ79" i="1"/>
  <c r="EA87" i="1"/>
  <c r="DX95" i="1"/>
  <c r="EC29" i="1"/>
  <c r="ED9" i="1"/>
  <c r="AY39" i="1"/>
  <c r="AY33" i="1"/>
  <c r="AY10" i="1"/>
  <c r="DT87" i="1"/>
  <c r="DA60" i="1"/>
  <c r="AZ92" i="1"/>
  <c r="AZ89" i="1"/>
  <c r="AZ86" i="1"/>
  <c r="AZ25" i="1"/>
  <c r="AZ49" i="1"/>
  <c r="AZ52" i="1"/>
  <c r="AY129" i="1"/>
  <c r="AZ112" i="1"/>
  <c r="BT113" i="1"/>
  <c r="CD113" i="1"/>
  <c r="AZ125" i="1"/>
  <c r="AZ126" i="1"/>
  <c r="CD127" i="1"/>
  <c r="BT127" i="1"/>
  <c r="EB107" i="1"/>
  <c r="EC107" i="1"/>
  <c r="EA107" i="1"/>
  <c r="DA107" i="1"/>
  <c r="EI107" i="1"/>
  <c r="DF107" i="1"/>
  <c r="DT116" i="1"/>
  <c r="DU116" i="1"/>
  <c r="DA116" i="1"/>
  <c r="EB116" i="1"/>
  <c r="EF116" i="1"/>
  <c r="DX116" i="1"/>
  <c r="DY116" i="1"/>
  <c r="ED116" i="1"/>
  <c r="EA116" i="1"/>
  <c r="DZ125" i="1"/>
  <c r="DU125" i="1"/>
  <c r="DX125" i="1"/>
  <c r="DA125" i="1"/>
  <c r="EI125" i="1"/>
  <c r="DX172" i="1"/>
  <c r="EC154" i="1"/>
  <c r="EE163" i="1"/>
  <c r="DZ134" i="1"/>
  <c r="AY134" i="1"/>
  <c r="DT152" i="1"/>
  <c r="DU174" i="1"/>
  <c r="DF176" i="1"/>
  <c r="BT183" i="1"/>
  <c r="CD183" i="1"/>
  <c r="CH178" i="1"/>
  <c r="DT178" i="1" s="1"/>
  <c r="DD178" i="1"/>
  <c r="CD195" i="1"/>
  <c r="BT195" i="1"/>
  <c r="DX196" i="1"/>
  <c r="EF201" i="1"/>
  <c r="DX201" i="1"/>
  <c r="AZ64" i="1"/>
  <c r="DF130" i="1"/>
  <c r="DZ130" i="1"/>
  <c r="DW87" i="1"/>
  <c r="DF79" i="1"/>
  <c r="DF9" i="1"/>
  <c r="BT13" i="1"/>
  <c r="BT85" i="1"/>
  <c r="EC60" i="1"/>
  <c r="ED52" i="1"/>
  <c r="EI59" i="1"/>
  <c r="AY54" i="1"/>
  <c r="DU9" i="1"/>
  <c r="DU79" i="1"/>
  <c r="EC25" i="1"/>
  <c r="EA25" i="1"/>
  <c r="DZ87" i="1"/>
  <c r="AY25" i="1"/>
  <c r="EB11" i="1"/>
  <c r="EF9" i="1"/>
  <c r="DY78" i="1"/>
  <c r="EI94" i="1"/>
  <c r="AY35" i="1"/>
  <c r="AZ40" i="1"/>
  <c r="AZ45" i="1"/>
  <c r="AZ51" i="1"/>
  <c r="AZ69" i="1"/>
  <c r="AY106" i="1"/>
  <c r="EC114" i="1"/>
  <c r="BT106" i="1"/>
  <c r="CD106" i="1"/>
  <c r="CB120" i="1"/>
  <c r="CB420" i="1" s="1"/>
  <c r="AZ127" i="1"/>
  <c r="DY99" i="1"/>
  <c r="EB99" i="1"/>
  <c r="DT99" i="1"/>
  <c r="EI99" i="1"/>
  <c r="DF99" i="1"/>
  <c r="DA99" i="1"/>
  <c r="EA99" i="1"/>
  <c r="DW99" i="1"/>
  <c r="DZ99" i="1"/>
  <c r="ED99" i="1"/>
  <c r="EB108" i="1"/>
  <c r="DU108" i="1"/>
  <c r="EI108" i="1"/>
  <c r="DX108" i="1"/>
  <c r="EA108" i="1"/>
  <c r="DT117" i="1"/>
  <c r="EA117" i="1"/>
  <c r="EB117" i="1"/>
  <c r="DY117" i="1"/>
  <c r="DA117" i="1"/>
  <c r="DX117" i="1"/>
  <c r="EB127" i="1"/>
  <c r="EF127" i="1"/>
  <c r="EI127" i="1"/>
  <c r="DU127" i="1"/>
  <c r="DT127" i="1"/>
  <c r="EA127" i="1"/>
  <c r="DY127" i="1"/>
  <c r="AX120" i="1"/>
  <c r="BW120" i="1"/>
  <c r="BM120" i="1"/>
  <c r="AY120" i="1" s="1"/>
  <c r="BT141" i="1"/>
  <c r="DF159" i="1"/>
  <c r="DX154" i="1"/>
  <c r="DY142" i="1"/>
  <c r="DU163" i="1"/>
  <c r="EC153" i="1"/>
  <c r="DA152" i="1"/>
  <c r="DX175" i="1"/>
  <c r="EF175" i="1"/>
  <c r="EA189" i="1"/>
  <c r="DF189" i="1"/>
  <c r="DT189" i="1"/>
  <c r="EC189" i="1"/>
  <c r="DX189" i="1"/>
  <c r="DW189" i="1"/>
  <c r="EI189" i="1"/>
  <c r="DA189" i="1"/>
  <c r="ED195" i="1"/>
  <c r="DZ195" i="1"/>
  <c r="DY211" i="1"/>
  <c r="DT211" i="1"/>
  <c r="DX211" i="1"/>
  <c r="BT203" i="1"/>
  <c r="AY192" i="1"/>
  <c r="EI201" i="1"/>
  <c r="DY201" i="1"/>
  <c r="AY105" i="1"/>
  <c r="AY117" i="1"/>
  <c r="AY115" i="1"/>
  <c r="AZ100" i="1"/>
  <c r="AZ102" i="1"/>
  <c r="AZ108" i="1"/>
  <c r="AZ110" i="1"/>
  <c r="AZ116" i="1"/>
  <c r="AZ117" i="1"/>
  <c r="AZ124" i="1"/>
  <c r="AZ132" i="1"/>
  <c r="AY167" i="1"/>
  <c r="AY169" i="1"/>
  <c r="EB215" i="1"/>
  <c r="CD231" i="1"/>
  <c r="DZ202" i="1"/>
  <c r="EB202" i="1"/>
  <c r="DU202" i="1"/>
  <c r="DA202" i="1"/>
  <c r="EA202" i="1"/>
  <c r="EC202" i="1"/>
  <c r="EF202" i="1"/>
  <c r="AZ207" i="1"/>
  <c r="AY214" i="1"/>
  <c r="BT220" i="1"/>
  <c r="CD220" i="1"/>
  <c r="DA222" i="1"/>
  <c r="DY222" i="1"/>
  <c r="EI222" i="1"/>
  <c r="EF222" i="1"/>
  <c r="DT222" i="1"/>
  <c r="AY226" i="1"/>
  <c r="AZ226" i="1"/>
  <c r="CD230" i="1"/>
  <c r="BT230" i="1"/>
  <c r="DF235" i="1"/>
  <c r="EC235" i="1"/>
  <c r="EA235" i="1"/>
  <c r="DZ235" i="1"/>
  <c r="DU235" i="1"/>
  <c r="ED235" i="1"/>
  <c r="EF235" i="1"/>
  <c r="DA235" i="1"/>
  <c r="DY235" i="1"/>
  <c r="DA236" i="1"/>
  <c r="AZ237" i="1"/>
  <c r="EA239" i="1"/>
  <c r="EF239" i="1"/>
  <c r="DW239" i="1"/>
  <c r="EC239" i="1"/>
  <c r="DA239" i="1"/>
  <c r="EI239" i="1"/>
  <c r="DT239" i="1"/>
  <c r="DF239" i="1"/>
  <c r="EB250" i="1"/>
  <c r="DK228" i="1"/>
  <c r="EB228" i="1"/>
  <c r="DJ216" i="1"/>
  <c r="EA216" i="1"/>
  <c r="DX210" i="1"/>
  <c r="BT200" i="1"/>
  <c r="CD200" i="1"/>
  <c r="CD281" i="1"/>
  <c r="BT281" i="1"/>
  <c r="EF228" i="1"/>
  <c r="DU228" i="1"/>
  <c r="DF228" i="1"/>
  <c r="EC228" i="1"/>
  <c r="DY228" i="1"/>
  <c r="EI224" i="1"/>
  <c r="DA224" i="1"/>
  <c r="EF236" i="1"/>
  <c r="ED236" i="1"/>
  <c r="DU236" i="1"/>
  <c r="EC236" i="1"/>
  <c r="DT236" i="1"/>
  <c r="EI236" i="1"/>
  <c r="AY238" i="1"/>
  <c r="DJ222" i="1"/>
  <c r="EA222" i="1"/>
  <c r="DX216" i="1"/>
  <c r="DG203" i="1"/>
  <c r="DG228" i="1"/>
  <c r="DX228" i="1"/>
  <c r="DZ222" i="1"/>
  <c r="DI222" i="1"/>
  <c r="AZ4" i="1"/>
  <c r="DA262" i="1"/>
  <c r="BT273" i="1"/>
  <c r="CD273" i="1"/>
  <c r="CD276" i="1"/>
  <c r="BT276" i="1"/>
  <c r="CD237" i="1"/>
  <c r="CD243" i="1"/>
  <c r="DA250" i="1"/>
  <c r="CS4" i="1"/>
  <c r="CU4" i="1" s="1"/>
  <c r="DS4" i="1" s="1"/>
  <c r="EG4" i="1"/>
  <c r="DW216" i="1"/>
  <c r="DZ216" i="1"/>
  <c r="DT216" i="1"/>
  <c r="EI216" i="1"/>
  <c r="DF216" i="1"/>
  <c r="DA216" i="1"/>
  <c r="BT228" i="1"/>
  <c r="CD228" i="1"/>
  <c r="EA231" i="1"/>
  <c r="EC231" i="1"/>
  <c r="EB231" i="1"/>
  <c r="DZ231" i="1"/>
  <c r="DW231" i="1"/>
  <c r="AZ56" i="1"/>
  <c r="AZ63" i="1"/>
  <c r="AZ75" i="1"/>
  <c r="AY103" i="1"/>
  <c r="AZ114" i="1"/>
  <c r="AZ115" i="1"/>
  <c r="AY150" i="1"/>
  <c r="AY152" i="1"/>
  <c r="AY146" i="1"/>
  <c r="DR181" i="1"/>
  <c r="W181" i="1"/>
  <c r="AY188" i="1"/>
  <c r="DA211" i="1"/>
  <c r="AY193" i="1"/>
  <c r="BT229" i="1"/>
  <c r="DW228" i="1"/>
  <c r="EI228" i="1"/>
  <c r="EC209" i="1"/>
  <c r="EF209" i="1"/>
  <c r="DY209" i="1"/>
  <c r="AZ201" i="1"/>
  <c r="DT205" i="1"/>
  <c r="EA205" i="1"/>
  <c r="DZ205" i="1"/>
  <c r="DX205" i="1"/>
  <c r="DT212" i="1"/>
  <c r="DK212" i="1"/>
  <c r="AY235" i="1"/>
  <c r="DY236" i="1"/>
  <c r="DU238" i="1"/>
  <c r="EC238" i="1"/>
  <c r="DF238" i="1"/>
  <c r="DT238" i="1"/>
  <c r="EF238" i="1"/>
  <c r="DG236" i="1"/>
  <c r="DX236" i="1"/>
  <c r="AZ273" i="1"/>
  <c r="AZ55" i="1"/>
  <c r="AY118" i="1"/>
  <c r="AY131" i="1"/>
  <c r="AY126" i="1"/>
  <c r="AR416" i="1"/>
  <c r="DB416" i="1" s="1"/>
  <c r="AZ122" i="1"/>
  <c r="AZ130" i="1"/>
  <c r="AY138" i="1"/>
  <c r="AY149" i="1"/>
  <c r="AY144" i="1"/>
  <c r="AY161" i="1"/>
  <c r="AZ146" i="1"/>
  <c r="AY201" i="1"/>
  <c r="DT228" i="1"/>
  <c r="DJ209" i="1"/>
  <c r="EI205" i="1"/>
  <c r="DR205" i="1"/>
  <c r="DU212" i="1"/>
  <c r="DW212" i="1"/>
  <c r="ED212" i="1"/>
  <c r="DX212" i="1"/>
  <c r="DF212" i="1"/>
  <c r="CD213" i="1"/>
  <c r="BT213" i="1"/>
  <c r="EA215" i="1"/>
  <c r="DW215" i="1"/>
  <c r="DZ215" i="1"/>
  <c r="EI215" i="1"/>
  <c r="DF215" i="1"/>
  <c r="AZ216" i="1"/>
  <c r="EB222" i="1"/>
  <c r="DZ236" i="1"/>
  <c r="DZ244" i="1"/>
  <c r="DY244" i="1"/>
  <c r="DW244" i="1"/>
  <c r="DF244" i="1"/>
  <c r="EC244" i="1"/>
  <c r="DT244" i="1"/>
  <c r="EB238" i="1"/>
  <c r="EB244" i="1"/>
  <c r="DK244" i="1"/>
  <c r="BT265" i="1"/>
  <c r="CD265" i="1"/>
  <c r="AZ36" i="1"/>
  <c r="AZ37" i="1"/>
  <c r="AZ38" i="1"/>
  <c r="AZ57" i="1"/>
  <c r="AZ58" i="1"/>
  <c r="AY148" i="1"/>
  <c r="AY157" i="1"/>
  <c r="AY158" i="1"/>
  <c r="AY137" i="1"/>
  <c r="AZ138" i="1"/>
  <c r="AZ148" i="1"/>
  <c r="DU146" i="1"/>
  <c r="DF146" i="1"/>
  <c r="DZ146" i="1"/>
  <c r="CD134" i="1"/>
  <c r="DA146" i="1"/>
  <c r="EI171" i="1"/>
  <c r="DA171" i="1"/>
  <c r="ED216" i="1"/>
  <c r="EC207" i="1"/>
  <c r="AZ209" i="1"/>
  <c r="AZ190" i="1"/>
  <c r="AZ193" i="1"/>
  <c r="CS197" i="1"/>
  <c r="DA197" i="1"/>
  <c r="DT197" i="1"/>
  <c r="DX218" i="1"/>
  <c r="DU218" i="1"/>
  <c r="DY218" i="1"/>
  <c r="EF219" i="1"/>
  <c r="AY221" i="1"/>
  <c r="AZ221" i="1"/>
  <c r="BT222" i="1"/>
  <c r="EC222" i="1"/>
  <c r="DU224" i="1"/>
  <c r="EA224" i="1"/>
  <c r="DZ224" i="1"/>
  <c r="EF224" i="1"/>
  <c r="DY224" i="1"/>
  <c r="BT225" i="1"/>
  <c r="AZ231" i="1"/>
  <c r="EA236" i="1"/>
  <c r="BT238" i="1"/>
  <c r="CD238" i="1"/>
  <c r="DW238" i="1"/>
  <c r="DW247" i="1"/>
  <c r="DY247" i="1"/>
  <c r="EA250" i="1"/>
  <c r="EB210" i="1"/>
  <c r="DK210" i="1"/>
  <c r="DG242" i="1"/>
  <c r="AY224" i="1"/>
  <c r="BT247" i="1"/>
  <c r="AW240" i="1"/>
  <c r="BP240" i="1"/>
  <c r="DE240" i="1"/>
  <c r="DR240" i="1"/>
  <c r="AY245" i="1"/>
  <c r="DY245" i="1"/>
  <c r="BL247" i="1"/>
  <c r="AY247" i="1" s="1"/>
  <c r="DI247" i="1"/>
  <c r="AY248" i="1"/>
  <c r="AY249" i="1"/>
  <c r="DW253" i="1"/>
  <c r="ED253" i="1"/>
  <c r="EC253" i="1"/>
  <c r="DU253" i="1"/>
  <c r="EF253" i="1"/>
  <c r="DX253" i="1"/>
  <c r="BT277" i="1"/>
  <c r="CD277" i="1"/>
  <c r="AY289" i="1"/>
  <c r="BT295" i="1"/>
  <c r="CD295" i="1"/>
  <c r="EA305" i="1"/>
  <c r="DA305" i="1"/>
  <c r="DY305" i="1"/>
  <c r="DZ305" i="1"/>
  <c r="DF305" i="1"/>
  <c r="DX305" i="1"/>
  <c r="EI305" i="1"/>
  <c r="DW305" i="1"/>
  <c r="EB305" i="1"/>
  <c r="EF305" i="1"/>
  <c r="AY281" i="1"/>
  <c r="DT293" i="1"/>
  <c r="EF293" i="1"/>
  <c r="EB293" i="1"/>
  <c r="DA293" i="1"/>
  <c r="DY293" i="1"/>
  <c r="DX293" i="1"/>
  <c r="DW293" i="1"/>
  <c r="DZ293" i="1"/>
  <c r="DJ263" i="1"/>
  <c r="BP263" i="1"/>
  <c r="AW263" i="1"/>
  <c r="DM263" i="1"/>
  <c r="DC263" i="1"/>
  <c r="BQ263" i="1"/>
  <c r="AV263" i="1"/>
  <c r="DL263" i="1"/>
  <c r="BO263" i="1"/>
  <c r="DK263" i="1"/>
  <c r="BN263" i="1"/>
  <c r="AT263" i="1"/>
  <c r="DD263" i="1"/>
  <c r="BR263" i="1"/>
  <c r="DJ255" i="1"/>
  <c r="DK255" i="1"/>
  <c r="BP255" i="1"/>
  <c r="AW255" i="1"/>
  <c r="DI255" i="1"/>
  <c r="BO255" i="1"/>
  <c r="AV255" i="1"/>
  <c r="DH255" i="1"/>
  <c r="BN255" i="1"/>
  <c r="AU255" i="1"/>
  <c r="DL255" i="1"/>
  <c r="DC255" i="1"/>
  <c r="BQ255" i="1"/>
  <c r="EG329" i="1"/>
  <c r="EA319" i="1"/>
  <c r="DY319" i="1"/>
  <c r="EB319" i="1"/>
  <c r="DZ319" i="1"/>
  <c r="DA319" i="1"/>
  <c r="AT240" i="1"/>
  <c r="BM240" i="1"/>
  <c r="DL240" i="1"/>
  <c r="BQ247" i="1"/>
  <c r="DE247" i="1"/>
  <c r="DO247" i="1"/>
  <c r="CS66" i="1"/>
  <c r="DQ66" i="1" s="1"/>
  <c r="DW66" i="1"/>
  <c r="EE66" i="1"/>
  <c r="AZ200" i="1"/>
  <c r="CD253" i="1"/>
  <c r="BT253" i="1"/>
  <c r="W255" i="1"/>
  <c r="BR255" i="1"/>
  <c r="DF255" i="1"/>
  <c r="BT259" i="1"/>
  <c r="CD259" i="1"/>
  <c r="DO263" i="1"/>
  <c r="AZ299" i="1"/>
  <c r="AY207" i="1"/>
  <c r="AZ210" i="1"/>
  <c r="EB213" i="1"/>
  <c r="AZ222" i="1"/>
  <c r="EF223" i="1"/>
  <c r="AY225" i="1"/>
  <c r="AZ229" i="1"/>
  <c r="EF230" i="1"/>
  <c r="EF233" i="1"/>
  <c r="ED237" i="1"/>
  <c r="AU240" i="1"/>
  <c r="BN240" i="1"/>
  <c r="DC240" i="1"/>
  <c r="DU245" i="1"/>
  <c r="W247" i="1"/>
  <c r="BR247" i="1"/>
  <c r="DG247" i="1"/>
  <c r="DR247" i="1"/>
  <c r="AZ253" i="1"/>
  <c r="BS255" i="1"/>
  <c r="DG255" i="1"/>
  <c r="EF255" i="1"/>
  <c r="DW255" i="1"/>
  <c r="EA255" i="1"/>
  <c r="DX255" i="1"/>
  <c r="EB255" i="1"/>
  <c r="BT258" i="1"/>
  <c r="DR263" i="1"/>
  <c r="AZ266" i="1"/>
  <c r="EI273" i="1"/>
  <c r="DU273" i="1"/>
  <c r="EF273" i="1"/>
  <c r="DT273" i="1"/>
  <c r="DX273" i="1"/>
  <c r="EC273" i="1"/>
  <c r="EB273" i="1"/>
  <c r="EA273" i="1"/>
  <c r="DF273" i="1"/>
  <c r="DT282" i="1"/>
  <c r="DW289" i="1"/>
  <c r="DF289" i="1"/>
  <c r="DT289" i="1"/>
  <c r="EF289" i="1"/>
  <c r="EF292" i="1"/>
  <c r="DX292" i="1"/>
  <c r="DW292" i="1"/>
  <c r="ED292" i="1"/>
  <c r="EI292" i="1"/>
  <c r="DY292" i="1"/>
  <c r="DF292" i="1"/>
  <c r="EC292" i="1"/>
  <c r="EB292" i="1"/>
  <c r="DT292" i="1"/>
  <c r="DW213" i="1"/>
  <c r="AY217" i="1"/>
  <c r="CD218" i="1"/>
  <c r="BN232" i="1"/>
  <c r="AY232" i="1" s="1"/>
  <c r="EI233" i="1"/>
  <c r="DF240" i="1"/>
  <c r="AV240" i="1"/>
  <c r="BO240" i="1"/>
  <c r="DD240" i="1"/>
  <c r="AR247" i="1"/>
  <c r="DB247" i="1" s="1"/>
  <c r="BK247" i="1"/>
  <c r="BS247" i="1"/>
  <c r="DF66" i="1"/>
  <c r="DT253" i="1"/>
  <c r="AT255" i="1"/>
  <c r="BT255" i="1"/>
  <c r="AY266" i="1"/>
  <c r="EC268" i="1"/>
  <c r="DU268" i="1"/>
  <c r="EB268" i="1"/>
  <c r="DT268" i="1"/>
  <c r="DF268" i="1"/>
  <c r="EA268" i="1"/>
  <c r="EF268" i="1"/>
  <c r="AY274" i="1"/>
  <c r="DX318" i="1"/>
  <c r="EI318" i="1"/>
  <c r="EF318" i="1"/>
  <c r="EB235" i="1"/>
  <c r="AY4" i="1"/>
  <c r="EB251" i="1"/>
  <c r="AS252" i="1"/>
  <c r="BM252" i="1"/>
  <c r="DG252" i="1"/>
  <c r="DO252" i="1"/>
  <c r="AW260" i="1"/>
  <c r="AR260" i="1"/>
  <c r="DB260" i="1" s="1"/>
  <c r="DK260" i="1"/>
  <c r="AZ261" i="1"/>
  <c r="AS268" i="1"/>
  <c r="BM268" i="1"/>
  <c r="AZ268" i="1"/>
  <c r="BO270" i="1"/>
  <c r="BM271" i="1"/>
  <c r="BS279" i="1"/>
  <c r="AY280" i="1"/>
  <c r="DU281" i="1"/>
  <c r="DT281" i="1"/>
  <c r="EB281" i="1"/>
  <c r="DF286" i="1"/>
  <c r="EE286" i="1"/>
  <c r="DW286" i="1"/>
  <c r="BS287" i="1"/>
  <c r="BT294" i="1"/>
  <c r="CD294" i="1"/>
  <c r="DN331" i="1"/>
  <c r="DN324" i="1"/>
  <c r="CS324" i="1"/>
  <c r="W329" i="1"/>
  <c r="AR329" i="1"/>
  <c r="DB329" i="1" s="1"/>
  <c r="DJ320" i="1"/>
  <c r="BP320" i="1"/>
  <c r="DE320" i="1"/>
  <c r="AU320" i="1"/>
  <c r="BQ320" i="1"/>
  <c r="BO320" i="1"/>
  <c r="DK320" i="1"/>
  <c r="BK312" i="1"/>
  <c r="DI312" i="1"/>
  <c r="AW312" i="1"/>
  <c r="BO312" i="1"/>
  <c r="DE312" i="1"/>
  <c r="BM312" i="1"/>
  <c r="BL312" i="1"/>
  <c r="DG312" i="1"/>
  <c r="BQ312" i="1"/>
  <c r="DC304" i="1"/>
  <c r="BP304" i="1"/>
  <c r="AU304" i="1"/>
  <c r="DK304" i="1"/>
  <c r="BN304" i="1"/>
  <c r="DO304" i="1"/>
  <c r="DD304" i="1"/>
  <c r="BM304" i="1"/>
  <c r="BL304" i="1"/>
  <c r="DR304" i="1"/>
  <c r="DG304" i="1"/>
  <c r="BO304" i="1"/>
  <c r="W304" i="1"/>
  <c r="DJ296" i="1"/>
  <c r="BN296" i="1"/>
  <c r="AT296" i="1"/>
  <c r="DR296" i="1"/>
  <c r="DI296" i="1"/>
  <c r="BM296" i="1"/>
  <c r="AS296" i="1"/>
  <c r="DH296" i="1"/>
  <c r="BL296" i="1"/>
  <c r="W296" i="1"/>
  <c r="DK296" i="1"/>
  <c r="BO296" i="1"/>
  <c r="AU296" i="1"/>
  <c r="DR287" i="1"/>
  <c r="DI287" i="1"/>
  <c r="BP287" i="1"/>
  <c r="AV287" i="1"/>
  <c r="DH287" i="1"/>
  <c r="BO287" i="1"/>
  <c r="AU287" i="1"/>
  <c r="DO287" i="1"/>
  <c r="DG287" i="1"/>
  <c r="BN287" i="1"/>
  <c r="AT287" i="1"/>
  <c r="DJ287" i="1"/>
  <c r="BQ287" i="1"/>
  <c r="AW287" i="1"/>
  <c r="BO279" i="1"/>
  <c r="DM279" i="1"/>
  <c r="DE279" i="1"/>
  <c r="BN279" i="1"/>
  <c r="AT279" i="1"/>
  <c r="DL279" i="1"/>
  <c r="DD279" i="1"/>
  <c r="BM279" i="1"/>
  <c r="DO279" i="1"/>
  <c r="DG279" i="1"/>
  <c r="BP279" i="1"/>
  <c r="AV279" i="1"/>
  <c r="DK271" i="1"/>
  <c r="BQ271" i="1"/>
  <c r="AW271" i="1"/>
  <c r="DJ271" i="1"/>
  <c r="BP271" i="1"/>
  <c r="AV271" i="1"/>
  <c r="DL271" i="1"/>
  <c r="DC271" i="1"/>
  <c r="BR271" i="1"/>
  <c r="DM270" i="1"/>
  <c r="DD270" i="1"/>
  <c r="BS270" i="1"/>
  <c r="BK270" i="1"/>
  <c r="W270" i="1"/>
  <c r="DL270" i="1"/>
  <c r="DC270" i="1"/>
  <c r="BR270" i="1"/>
  <c r="DE270" i="1"/>
  <c r="BL270" i="1"/>
  <c r="AS270" i="1"/>
  <c r="DK268" i="1"/>
  <c r="DC268" i="1"/>
  <c r="BR268" i="1"/>
  <c r="DJ268" i="1"/>
  <c r="DR260" i="1"/>
  <c r="DI260" i="1"/>
  <c r="BR260" i="1"/>
  <c r="DX251" i="1"/>
  <c r="BR252" i="1"/>
  <c r="DD252" i="1"/>
  <c r="DL252" i="1"/>
  <c r="AZ255" i="1"/>
  <c r="AT260" i="1"/>
  <c r="BN260" i="1"/>
  <c r="DG260" i="1"/>
  <c r="EA265" i="1"/>
  <c r="BS268" i="1"/>
  <c r="DE268" i="1"/>
  <c r="DO268" i="1"/>
  <c r="BT270" i="1"/>
  <c r="DO270" i="1"/>
  <c r="DI271" i="1"/>
  <c r="DF271" i="1"/>
  <c r="DX271" i="1"/>
  <c r="DW271" i="1"/>
  <c r="EC271" i="1"/>
  <c r="AY275" i="1"/>
  <c r="BL279" i="1"/>
  <c r="CD284" i="1"/>
  <c r="BT284" i="1"/>
  <c r="BL287" i="1"/>
  <c r="AR287" i="1"/>
  <c r="DB287" i="1" s="1"/>
  <c r="BQ296" i="1"/>
  <c r="DE296" i="1"/>
  <c r="AY297" i="1"/>
  <c r="AZ300" i="1"/>
  <c r="DI304" i="1"/>
  <c r="AZ308" i="1"/>
  <c r="CD308" i="1"/>
  <c r="AZ309" i="1"/>
  <c r="CD309" i="1"/>
  <c r="AV320" i="1"/>
  <c r="DF326" i="1"/>
  <c r="DW326" i="1"/>
  <c r="BS252" i="1"/>
  <c r="DE252" i="1"/>
  <c r="AY254" i="1"/>
  <c r="AY256" i="1"/>
  <c r="AZ256" i="1"/>
  <c r="AZ259" i="1"/>
  <c r="AU260" i="1"/>
  <c r="BO260" i="1"/>
  <c r="DH260" i="1"/>
  <c r="EI260" i="1"/>
  <c r="EA260" i="1"/>
  <c r="AR263" i="1"/>
  <c r="DB263" i="1" s="1"/>
  <c r="DU263" i="1"/>
  <c r="DA263" i="1"/>
  <c r="BK268" i="1"/>
  <c r="BT268" i="1"/>
  <c r="BM270" i="1"/>
  <c r="DR270" i="1"/>
  <c r="BK271" i="1"/>
  <c r="DM271" i="1"/>
  <c r="EF278" i="1"/>
  <c r="DW278" i="1"/>
  <c r="DU278" i="1"/>
  <c r="DA278" i="1"/>
  <c r="EI278" i="1"/>
  <c r="DX278" i="1"/>
  <c r="BQ279" i="1"/>
  <c r="AR279" i="1"/>
  <c r="DB279" i="1" s="1"/>
  <c r="DY279" i="1"/>
  <c r="DF279" i="1"/>
  <c r="EI279" i="1"/>
  <c r="DX279" i="1"/>
  <c r="DW279" i="1"/>
  <c r="DZ279" i="1"/>
  <c r="EC285" i="1"/>
  <c r="EA285" i="1"/>
  <c r="DX285" i="1"/>
  <c r="BM287" i="1"/>
  <c r="DC287" i="1"/>
  <c r="AZ289" i="1"/>
  <c r="BR296" i="1"/>
  <c r="DG296" i="1"/>
  <c r="BT301" i="1"/>
  <c r="CD301" i="1"/>
  <c r="BQ304" i="1"/>
  <c r="DJ304" i="1"/>
  <c r="DK237" i="1"/>
  <c r="EA251" i="1"/>
  <c r="W252" i="1"/>
  <c r="BL252" i="1"/>
  <c r="CD254" i="1"/>
  <c r="AR255" i="1"/>
  <c r="DB255" i="1" s="1"/>
  <c r="AV260" i="1"/>
  <c r="BP260" i="1"/>
  <c r="DA260" i="1"/>
  <c r="DJ260" i="1"/>
  <c r="DU260" i="1"/>
  <c r="AY261" i="1"/>
  <c r="AZ263" i="1"/>
  <c r="DZ263" i="1"/>
  <c r="AY264" i="1"/>
  <c r="W268" i="1"/>
  <c r="BL268" i="1"/>
  <c r="DG268" i="1"/>
  <c r="DR268" i="1"/>
  <c r="BN270" i="1"/>
  <c r="AR270" i="1"/>
  <c r="DB270" i="1" s="1"/>
  <c r="BL271" i="1"/>
  <c r="AZ275" i="1"/>
  <c r="AY276" i="1"/>
  <c r="DZ278" i="1"/>
  <c r="W279" i="1"/>
  <c r="BR279" i="1"/>
  <c r="DR279" i="1"/>
  <c r="BT285" i="1"/>
  <c r="CD285" i="1"/>
  <c r="DT285" i="1"/>
  <c r="EG286" i="1"/>
  <c r="BR287" i="1"/>
  <c r="DD287" i="1"/>
  <c r="EF295" i="1"/>
  <c r="DX295" i="1"/>
  <c r="DW295" i="1"/>
  <c r="DZ295" i="1"/>
  <c r="BS296" i="1"/>
  <c r="DL296" i="1"/>
  <c r="AZ297" i="1"/>
  <c r="DA298" i="1"/>
  <c r="DF298" i="1"/>
  <c r="EA298" i="1"/>
  <c r="EI300" i="1"/>
  <c r="DY300" i="1"/>
  <c r="DF300" i="1"/>
  <c r="DW300" i="1"/>
  <c r="EF300" i="1"/>
  <c r="DU300" i="1"/>
  <c r="DT300" i="1"/>
  <c r="DX300" i="1"/>
  <c r="DA300" i="1"/>
  <c r="BR304" i="1"/>
  <c r="DL304" i="1"/>
  <c r="AY309" i="1"/>
  <c r="EB315" i="1"/>
  <c r="EC315" i="1"/>
  <c r="CD324" i="1"/>
  <c r="BT324" i="1"/>
  <c r="DY277" i="1"/>
  <c r="EC299" i="1"/>
  <c r="DY299" i="1"/>
  <c r="EF299" i="1"/>
  <c r="DW299" i="1"/>
  <c r="BT306" i="1"/>
  <c r="CD306" i="1"/>
  <c r="EF311" i="1"/>
  <c r="EB311" i="1"/>
  <c r="AZ313" i="1"/>
  <c r="DX314" i="1"/>
  <c r="EC323" i="1"/>
  <c r="EA323" i="1"/>
  <c r="DY323" i="1"/>
  <c r="AW322" i="1"/>
  <c r="DK322" i="1"/>
  <c r="BO322" i="1"/>
  <c r="AT322" i="1"/>
  <c r="DI322" i="1"/>
  <c r="BM322" i="1"/>
  <c r="DR322" i="1"/>
  <c r="DG322" i="1"/>
  <c r="BS322" i="1"/>
  <c r="BK322" i="1"/>
  <c r="DD314" i="1"/>
  <c r="BP314" i="1"/>
  <c r="DL314" i="1"/>
  <c r="BM314" i="1"/>
  <c r="DK306" i="1"/>
  <c r="BO306" i="1"/>
  <c r="AU306" i="1"/>
  <c r="DR306" i="1"/>
  <c r="DI306" i="1"/>
  <c r="BM306" i="1"/>
  <c r="AY299" i="1"/>
  <c r="BT304" i="1"/>
  <c r="AR312" i="1"/>
  <c r="DB312" i="1" s="1"/>
  <c r="AR326" i="1"/>
  <c r="DB326" i="1" s="1"/>
  <c r="W326" i="1"/>
  <c r="DH317" i="1"/>
  <c r="BS317" i="1"/>
  <c r="BK317" i="1"/>
  <c r="DO317" i="1"/>
  <c r="DE317" i="1"/>
  <c r="BQ317" i="1"/>
  <c r="AW317" i="1"/>
  <c r="DL317" i="1"/>
  <c r="DC317" i="1"/>
  <c r="BO317" i="1"/>
  <c r="AY317" i="1" s="1"/>
  <c r="AU317" i="1"/>
  <c r="DO309" i="1"/>
  <c r="DE309" i="1"/>
  <c r="BS309" i="1"/>
  <c r="BK309" i="1"/>
  <c r="DL309" i="1"/>
  <c r="DC309" i="1"/>
  <c r="BQ309" i="1"/>
  <c r="AW309" i="1"/>
  <c r="DH301" i="1"/>
  <c r="BO301" i="1"/>
  <c r="DE301" i="1"/>
  <c r="BM301" i="1"/>
  <c r="AS301" i="1"/>
  <c r="DN327" i="1"/>
  <c r="EE327" i="1"/>
  <c r="DW277" i="1"/>
  <c r="AZ279" i="1"/>
  <c r="AY283" i="1"/>
  <c r="DT284" i="1"/>
  <c r="EC284" i="1"/>
  <c r="AY291" i="1"/>
  <c r="BT291" i="1"/>
  <c r="DY291" i="1"/>
  <c r="EI291" i="1"/>
  <c r="AZ293" i="1"/>
  <c r="AZ302" i="1"/>
  <c r="AR304" i="1"/>
  <c r="DB304" i="1" s="1"/>
  <c r="EB304" i="1"/>
  <c r="DU306" i="1"/>
  <c r="EB312" i="1"/>
  <c r="DZ312" i="1"/>
  <c r="DP327" i="1"/>
  <c r="EG327" i="1"/>
  <c r="DD316" i="1"/>
  <c r="BQ316" i="1"/>
  <c r="AW316" i="1"/>
  <c r="DK316" i="1"/>
  <c r="BO316" i="1"/>
  <c r="AY316" i="1" s="1"/>
  <c r="AU316" i="1"/>
  <c r="DI316" i="1"/>
  <c r="DM308" i="1"/>
  <c r="DE308" i="1"/>
  <c r="BM308" i="1"/>
  <c r="AY308" i="1" s="1"/>
  <c r="AS308" i="1"/>
  <c r="DK308" i="1"/>
  <c r="DC308" i="1"/>
  <c r="BS308" i="1"/>
  <c r="BK308" i="1"/>
  <c r="BM300" i="1"/>
  <c r="AY300" i="1" s="1"/>
  <c r="AT300" i="1"/>
  <c r="DL300" i="1"/>
  <c r="DD300" i="1"/>
  <c r="BS300" i="1"/>
  <c r="BK300" i="1"/>
  <c r="W300" i="1"/>
  <c r="AY258" i="1"/>
  <c r="AY265" i="1"/>
  <c r="AR271" i="1"/>
  <c r="DB271" i="1" s="1"/>
  <c r="DT276" i="1"/>
  <c r="EC276" i="1"/>
  <c r="AZ283" i="1"/>
  <c r="AZ286" i="1"/>
  <c r="AZ288" i="1"/>
  <c r="CD288" i="1"/>
  <c r="DF291" i="1"/>
  <c r="DZ291" i="1"/>
  <c r="EA299" i="1"/>
  <c r="DA301" i="1"/>
  <c r="DZ301" i="1"/>
  <c r="DZ303" i="1"/>
  <c r="EF303" i="1"/>
  <c r="DT303" i="1"/>
  <c r="DA303" i="1"/>
  <c r="EC303" i="1"/>
  <c r="DY306" i="1"/>
  <c r="EC310" i="1"/>
  <c r="DX310" i="1"/>
  <c r="EI311" i="1"/>
  <c r="DF312" i="1"/>
  <c r="DX312" i="1"/>
  <c r="DY316" i="1"/>
  <c r="EF316" i="1"/>
  <c r="EC316" i="1"/>
  <c r="DT316" i="1"/>
  <c r="DU320" i="1"/>
  <c r="DF322" i="1"/>
  <c r="EI322" i="1"/>
  <c r="DX322" i="1"/>
  <c r="EB322" i="1"/>
  <c r="AZ326" i="1"/>
  <c r="DF331" i="1"/>
  <c r="DK302" i="1"/>
  <c r="DK261" i="1"/>
  <c r="AZ327" i="1"/>
  <c r="AZ330" i="1"/>
  <c r="AA420" i="1"/>
  <c r="AZ301" i="1"/>
  <c r="AZ306" i="1"/>
  <c r="AR316" i="1"/>
  <c r="DB316" i="1" s="1"/>
  <c r="AR325" i="1"/>
  <c r="DB325" i="1" s="1"/>
  <c r="EE326" i="1"/>
  <c r="AY332" i="1"/>
  <c r="AA422" i="1"/>
  <c r="DW302" i="1"/>
  <c r="EF302" i="1"/>
  <c r="AR306" i="1"/>
  <c r="DB306" i="1" s="1"/>
  <c r="EB307" i="1"/>
  <c r="AZ318" i="1"/>
  <c r="DZ321" i="1"/>
  <c r="AZ324" i="1"/>
  <c r="EE324" i="1"/>
  <c r="AZ328" i="1"/>
  <c r="AA423" i="1"/>
  <c r="EE322" i="1"/>
  <c r="DN322" i="1"/>
  <c r="CS322" i="1"/>
  <c r="DT322" i="1"/>
  <c r="EG323" i="1"/>
  <c r="DU323" i="1"/>
  <c r="DT323" i="1"/>
  <c r="AZ323" i="1"/>
  <c r="CD323" i="1"/>
  <c r="AY323" i="1"/>
  <c r="AY127" i="1"/>
  <c r="AY34" i="1"/>
  <c r="EI92" i="1"/>
  <c r="DY92" i="1"/>
  <c r="DT92" i="1"/>
  <c r="DZ92" i="1"/>
  <c r="DA92" i="1"/>
  <c r="EB92" i="1"/>
  <c r="EC92" i="1"/>
  <c r="ED92" i="1"/>
  <c r="ED84" i="1"/>
  <c r="EF84" i="1"/>
  <c r="EI84" i="1"/>
  <c r="DA84" i="1"/>
  <c r="DZ84" i="1"/>
  <c r="DF84" i="1"/>
  <c r="EB84" i="1"/>
  <c r="EC84" i="1"/>
  <c r="DT84" i="1"/>
  <c r="DT76" i="1"/>
  <c r="EC76" i="1"/>
  <c r="ED76" i="1"/>
  <c r="DA76" i="1"/>
  <c r="EF76" i="1"/>
  <c r="DY76" i="1"/>
  <c r="EA76" i="1"/>
  <c r="DZ76" i="1"/>
  <c r="EI76" i="1"/>
  <c r="DW76" i="1"/>
  <c r="EB13" i="1"/>
  <c r="EC13" i="1"/>
  <c r="EI13" i="1"/>
  <c r="DZ13" i="1"/>
  <c r="DW13" i="1"/>
  <c r="DT13" i="1"/>
  <c r="DY13" i="1"/>
  <c r="DF13" i="1"/>
  <c r="DX13" i="1"/>
  <c r="DA13" i="1"/>
  <c r="EB19" i="1"/>
  <c r="DT19" i="1"/>
  <c r="EC19" i="1"/>
  <c r="DU19" i="1"/>
  <c r="ED19" i="1"/>
  <c r="EF19" i="1"/>
  <c r="EA19" i="1"/>
  <c r="DY19" i="1"/>
  <c r="DF19" i="1"/>
  <c r="EF31" i="1"/>
  <c r="EC31" i="1"/>
  <c r="DZ31" i="1"/>
  <c r="DU31" i="1"/>
  <c r="EA31" i="1"/>
  <c r="EB31" i="1"/>
  <c r="DA31" i="1"/>
  <c r="DY31" i="1"/>
  <c r="ED31" i="1"/>
  <c r="DX38" i="1"/>
  <c r="DY38" i="1"/>
  <c r="DZ38" i="1"/>
  <c r="EA38" i="1"/>
  <c r="EC38" i="1"/>
  <c r="DZ46" i="1"/>
  <c r="EA46" i="1"/>
  <c r="DX46" i="1"/>
  <c r="EB46" i="1"/>
  <c r="DT46" i="1"/>
  <c r="EF46" i="1"/>
  <c r="DU46" i="1"/>
  <c r="DT53" i="1"/>
  <c r="EF53" i="1"/>
  <c r="DX53" i="1"/>
  <c r="DU53" i="1"/>
  <c r="DW53" i="1"/>
  <c r="EC53" i="1"/>
  <c r="DY53" i="1"/>
  <c r="DT61" i="1"/>
  <c r="EC61" i="1"/>
  <c r="DU61" i="1"/>
  <c r="DW61" i="1"/>
  <c r="EF61" i="1"/>
  <c r="DF61" i="1"/>
  <c r="DA61" i="1"/>
  <c r="DX61" i="1"/>
  <c r="DZ61" i="1"/>
  <c r="DT72" i="1"/>
  <c r="EB72" i="1"/>
  <c r="DW72" i="1"/>
  <c r="EC72" i="1"/>
  <c r="DF72" i="1"/>
  <c r="EI72" i="1"/>
  <c r="DZ72" i="1"/>
  <c r="CY147" i="1"/>
  <c r="DS147" i="1"/>
  <c r="CW147" i="1"/>
  <c r="EJ147" i="1"/>
  <c r="CZ147" i="1"/>
  <c r="CX147" i="1"/>
  <c r="CV147" i="1"/>
  <c r="AY48" i="1"/>
  <c r="DA36" i="1"/>
  <c r="DR36" i="1"/>
  <c r="EI36" i="1"/>
  <c r="DR6" i="1"/>
  <c r="EI6" i="1"/>
  <c r="DT126" i="1"/>
  <c r="EC126" i="1"/>
  <c r="EF126" i="1"/>
  <c r="EB126" i="1"/>
  <c r="DF126" i="1"/>
  <c r="DX126" i="1"/>
  <c r="DW126" i="1"/>
  <c r="ED126" i="1"/>
  <c r="EA126" i="1"/>
  <c r="DA126" i="1"/>
  <c r="DZ126" i="1"/>
  <c r="DY126" i="1"/>
  <c r="DU126" i="1"/>
  <c r="CD78" i="1"/>
  <c r="EF72" i="1"/>
  <c r="EI53" i="1"/>
  <c r="EC46" i="1"/>
  <c r="CD38" i="1"/>
  <c r="BT38" i="1"/>
  <c r="CD53" i="1"/>
  <c r="BT53" i="1"/>
  <c r="DT75" i="1"/>
  <c r="EF75" i="1"/>
  <c r="DX75" i="1"/>
  <c r="DA75" i="1"/>
  <c r="DA69" i="1"/>
  <c r="DR45" i="1"/>
  <c r="EI126" i="1"/>
  <c r="AY130" i="1"/>
  <c r="DW38" i="1"/>
  <c r="AY64" i="1"/>
  <c r="ED72" i="1"/>
  <c r="ED53" i="1"/>
  <c r="DU13" i="1"/>
  <c r="DU76" i="1"/>
  <c r="EB38" i="1"/>
  <c r="DX76" i="1"/>
  <c r="AY20" i="1"/>
  <c r="AY101" i="1"/>
  <c r="EB76" i="1"/>
  <c r="AZ35" i="1"/>
  <c r="DX21" i="1"/>
  <c r="DY21" i="1"/>
  <c r="DT21" i="1"/>
  <c r="EA21" i="1"/>
  <c r="DW21" i="1"/>
  <c r="DA21" i="1"/>
  <c r="DZ21" i="1"/>
  <c r="EF21" i="1"/>
  <c r="EI21" i="1"/>
  <c r="DT36" i="1"/>
  <c r="EA36" i="1"/>
  <c r="DY36" i="1"/>
  <c r="EF36" i="1"/>
  <c r="EC36" i="1"/>
  <c r="EB36" i="1"/>
  <c r="DX36" i="1"/>
  <c r="EC44" i="1"/>
  <c r="DY44" i="1"/>
  <c r="DT44" i="1"/>
  <c r="EA44" i="1"/>
  <c r="EB44" i="1"/>
  <c r="DZ44" i="1"/>
  <c r="EI44" i="1"/>
  <c r="DA44" i="1"/>
  <c r="EA51" i="1"/>
  <c r="DZ51" i="1"/>
  <c r="EB51" i="1"/>
  <c r="DT51" i="1"/>
  <c r="DA51" i="1"/>
  <c r="DY51" i="1"/>
  <c r="EF51" i="1"/>
  <c r="DY58" i="1"/>
  <c r="DW58" i="1"/>
  <c r="DZ58" i="1"/>
  <c r="DF58" i="1"/>
  <c r="DT58" i="1"/>
  <c r="EB58" i="1"/>
  <c r="EF69" i="1"/>
  <c r="DT69" i="1"/>
  <c r="DX69" i="1"/>
  <c r="EC69" i="1"/>
  <c r="DF69" i="1"/>
  <c r="BJ88" i="1"/>
  <c r="BM88" i="1"/>
  <c r="AY88" i="1" s="1"/>
  <c r="BW88" i="1"/>
  <c r="AZ88" i="1" s="1"/>
  <c r="AY5" i="1"/>
  <c r="AZ76" i="1"/>
  <c r="AZ5" i="1"/>
  <c r="AZ26" i="1"/>
  <c r="AZ29" i="1"/>
  <c r="DU71" i="1"/>
  <c r="DW71" i="1"/>
  <c r="ED91" i="1"/>
  <c r="EF91" i="1"/>
  <c r="EI91" i="1"/>
  <c r="EA91" i="1"/>
  <c r="DU91" i="1"/>
  <c r="EB91" i="1"/>
  <c r="DA91" i="1"/>
  <c r="EC83" i="1"/>
  <c r="EA83" i="1"/>
  <c r="ED83" i="1"/>
  <c r="EF83" i="1"/>
  <c r="DT83" i="1"/>
  <c r="DU83" i="1"/>
  <c r="DA83" i="1"/>
  <c r="DY15" i="1"/>
  <c r="EB15" i="1"/>
  <c r="DA15" i="1"/>
  <c r="DZ15" i="1"/>
  <c r="EC15" i="1"/>
  <c r="DW15" i="1"/>
  <c r="EF15" i="1"/>
  <c r="DF15" i="1"/>
  <c r="DT15" i="1"/>
  <c r="ED18" i="1"/>
  <c r="DZ18" i="1"/>
  <c r="EB18" i="1"/>
  <c r="EC18" i="1"/>
  <c r="EC30" i="1"/>
  <c r="ED30" i="1"/>
  <c r="DX30" i="1"/>
  <c r="DT30" i="1"/>
  <c r="DZ30" i="1"/>
  <c r="EI30" i="1"/>
  <c r="DA30" i="1"/>
  <c r="EB41" i="1"/>
  <c r="DT41" i="1"/>
  <c r="EF41" i="1"/>
  <c r="DY41" i="1"/>
  <c r="DX41" i="1"/>
  <c r="DX47" i="1"/>
  <c r="EF47" i="1"/>
  <c r="DY47" i="1"/>
  <c r="DA47" i="1"/>
  <c r="DZ54" i="1"/>
  <c r="DF54" i="1"/>
  <c r="EA54" i="1"/>
  <c r="DT63" i="1"/>
  <c r="DA63" i="1"/>
  <c r="EI63" i="1"/>
  <c r="DY63" i="1"/>
  <c r="DU63" i="1"/>
  <c r="DA41" i="1"/>
  <c r="EI41" i="1"/>
  <c r="AY132" i="1"/>
  <c r="AZ80" i="1"/>
  <c r="AZ61" i="1"/>
  <c r="DU114" i="1"/>
  <c r="DZ114" i="1"/>
  <c r="EI114" i="1"/>
  <c r="EA114" i="1"/>
  <c r="ED114" i="1"/>
  <c r="DT114" i="1"/>
  <c r="EB114" i="1"/>
  <c r="DX114" i="1"/>
  <c r="DW114" i="1"/>
  <c r="CH122" i="1"/>
  <c r="DU122" i="1" s="1"/>
  <c r="AY74" i="1"/>
  <c r="AY14" i="1"/>
  <c r="EA47" i="1"/>
  <c r="EA15" i="1"/>
  <c r="DX91" i="1"/>
  <c r="EA30" i="1"/>
  <c r="DT18" i="1"/>
  <c r="AZ22" i="1"/>
  <c r="AZ20" i="1"/>
  <c r="AZ33" i="1"/>
  <c r="CD95" i="1"/>
  <c r="BT95" i="1"/>
  <c r="CD20" i="1"/>
  <c r="BT20" i="1"/>
  <c r="CD37" i="1"/>
  <c r="BT37" i="1"/>
  <c r="CD45" i="1"/>
  <c r="BT45" i="1"/>
  <c r="CD60" i="1"/>
  <c r="BT60" i="1"/>
  <c r="DR68" i="1"/>
  <c r="DA68" i="1"/>
  <c r="EI18" i="1"/>
  <c r="EI86" i="1"/>
  <c r="DR86" i="1"/>
  <c r="DA86" i="1"/>
  <c r="AY108" i="1"/>
  <c r="AY45" i="1"/>
  <c r="AY85" i="1"/>
  <c r="DA54" i="1"/>
  <c r="DA49" i="1"/>
  <c r="EI49" i="1"/>
  <c r="DD113" i="1"/>
  <c r="CH113" i="1"/>
  <c r="DU113" i="1" s="1"/>
  <c r="AZ67" i="1"/>
  <c r="EF93" i="1"/>
  <c r="DX93" i="1"/>
  <c r="DZ93" i="1"/>
  <c r="EF85" i="1"/>
  <c r="DX85" i="1"/>
  <c r="EA85" i="1"/>
  <c r="EB77" i="1"/>
  <c r="EC77" i="1"/>
  <c r="ED77" i="1"/>
  <c r="DY11" i="1"/>
  <c r="DZ11" i="1"/>
  <c r="EA11" i="1"/>
  <c r="EC20" i="1"/>
  <c r="DX20" i="1"/>
  <c r="ED20" i="1"/>
  <c r="EF29" i="1"/>
  <c r="DT29" i="1"/>
  <c r="EA29" i="1"/>
  <c r="DU29" i="1"/>
  <c r="DY29" i="1"/>
  <c r="EF37" i="1"/>
  <c r="DX37" i="1"/>
  <c r="DT73" i="1"/>
  <c r="DA73" i="1"/>
  <c r="AX68" i="1"/>
  <c r="BW68" i="1"/>
  <c r="DA53" i="1"/>
  <c r="DA20" i="1"/>
  <c r="DR20" i="1"/>
  <c r="EI9" i="1"/>
  <c r="DA9" i="1"/>
  <c r="DR9" i="1"/>
  <c r="DU130" i="1"/>
  <c r="AY123" i="1"/>
  <c r="AZ123" i="1"/>
  <c r="DY130" i="1"/>
  <c r="EB130" i="1"/>
  <c r="DW130" i="1"/>
  <c r="DT130" i="1"/>
  <c r="EC130" i="1"/>
  <c r="DX130" i="1"/>
  <c r="EF130" i="1"/>
  <c r="AZ8" i="1"/>
  <c r="AZ21" i="1"/>
  <c r="AZ32" i="1"/>
  <c r="AZ59" i="1"/>
  <c r="DX98" i="1"/>
  <c r="DY98" i="1"/>
  <c r="DZ98" i="1"/>
  <c r="DA90" i="1"/>
  <c r="EI90" i="1"/>
  <c r="DX90" i="1"/>
  <c r="DY90" i="1"/>
  <c r="ED82" i="1"/>
  <c r="EI82" i="1"/>
  <c r="DT82" i="1"/>
  <c r="DX82" i="1"/>
  <c r="ED6" i="1"/>
  <c r="EB6" i="1"/>
  <c r="EC6" i="1"/>
  <c r="EF6" i="1"/>
  <c r="EI14" i="1"/>
  <c r="DA14" i="1"/>
  <c r="EB14" i="1"/>
  <c r="EC14" i="1"/>
  <c r="DY24" i="1"/>
  <c r="DX24" i="1"/>
  <c r="DT24" i="1"/>
  <c r="EC24" i="1"/>
  <c r="ED24" i="1"/>
  <c r="EA34" i="1"/>
  <c r="DY34" i="1"/>
  <c r="EC34" i="1"/>
  <c r="DA40" i="1"/>
  <c r="EA40" i="1"/>
  <c r="EB40" i="1"/>
  <c r="EA48" i="1"/>
  <c r="DT48" i="1"/>
  <c r="EB48" i="1"/>
  <c r="DT62" i="1"/>
  <c r="DY62" i="1"/>
  <c r="DT74" i="1"/>
  <c r="EA130" i="1"/>
  <c r="EA106" i="1"/>
  <c r="EB106" i="1"/>
  <c r="ED106" i="1"/>
  <c r="DY106" i="1"/>
  <c r="DZ106" i="1"/>
  <c r="EC106" i="1"/>
  <c r="DX106" i="1"/>
  <c r="DW106" i="1"/>
  <c r="DZ6" i="1"/>
  <c r="DY82" i="1"/>
  <c r="EB98" i="1"/>
  <c r="EC37" i="1"/>
  <c r="EB20" i="1"/>
  <c r="DY77" i="1"/>
  <c r="EB85" i="1"/>
  <c r="DA48" i="1"/>
  <c r="DA82" i="1"/>
  <c r="DT93" i="1"/>
  <c r="DA37" i="1"/>
  <c r="AZ10" i="1"/>
  <c r="AZ15" i="1"/>
  <c r="EB97" i="1"/>
  <c r="ED97" i="1"/>
  <c r="DU97" i="1"/>
  <c r="DT97" i="1"/>
  <c r="DY97" i="1"/>
  <c r="EC97" i="1"/>
  <c r="EB89" i="1"/>
  <c r="EC89" i="1"/>
  <c r="ED89" i="1"/>
  <c r="EC7" i="1"/>
  <c r="EA7" i="1"/>
  <c r="DZ7" i="1"/>
  <c r="DY16" i="1"/>
  <c r="DZ16" i="1"/>
  <c r="EA16" i="1"/>
  <c r="AX70" i="1"/>
  <c r="AW70" i="1"/>
  <c r="EI46" i="1"/>
  <c r="DA46" i="1"/>
  <c r="DA24" i="1"/>
  <c r="DY22" i="1"/>
  <c r="DZ22" i="1"/>
  <c r="EA22" i="1"/>
  <c r="DT106" i="1"/>
  <c r="DW60" i="1"/>
  <c r="DW77" i="1"/>
  <c r="DF93" i="1"/>
  <c r="DY73" i="1"/>
  <c r="DU52" i="1"/>
  <c r="EI60" i="1"/>
  <c r="EA52" i="1"/>
  <c r="DX62" i="1"/>
  <c r="DU40" i="1"/>
  <c r="DU24" i="1"/>
  <c r="EI48" i="1"/>
  <c r="EC40" i="1"/>
  <c r="EB24" i="1"/>
  <c r="DX29" i="1"/>
  <c r="DY6" i="1"/>
  <c r="EF82" i="1"/>
  <c r="EA98" i="1"/>
  <c r="EB37" i="1"/>
  <c r="EF11" i="1"/>
  <c r="EA77" i="1"/>
  <c r="DY85" i="1"/>
  <c r="DT40" i="1"/>
  <c r="DA7" i="1"/>
  <c r="DT90" i="1"/>
  <c r="DA93" i="1"/>
  <c r="DT37" i="1"/>
  <c r="DA85" i="1"/>
  <c r="AZ13" i="1"/>
  <c r="AZ41" i="1"/>
  <c r="AZ50" i="1"/>
  <c r="DA58" i="1"/>
  <c r="DA42" i="1"/>
  <c r="DR42" i="1"/>
  <c r="EI42" i="1"/>
  <c r="EI37" i="1"/>
  <c r="DR31" i="1"/>
  <c r="EI31" i="1"/>
  <c r="DY12" i="1"/>
  <c r="EC12" i="1"/>
  <c r="EI12" i="1"/>
  <c r="EB12" i="1"/>
  <c r="AZ12" i="1"/>
  <c r="DA11" i="1"/>
  <c r="DR8" i="1"/>
  <c r="EI8" i="1"/>
  <c r="AX87" i="1"/>
  <c r="AW87" i="1"/>
  <c r="BM87" i="1"/>
  <c r="AY87" i="1" s="1"/>
  <c r="AY111" i="1"/>
  <c r="CD111" i="1"/>
  <c r="BX120" i="1"/>
  <c r="BX420" i="1" s="1"/>
  <c r="CR416" i="1"/>
  <c r="CH104" i="1"/>
  <c r="EG151" i="1"/>
  <c r="EE151" i="1"/>
  <c r="BT155" i="1"/>
  <c r="EI150" i="1"/>
  <c r="DW150" i="1"/>
  <c r="DE166" i="1"/>
  <c r="DW155" i="1"/>
  <c r="EB155" i="1"/>
  <c r="DX156" i="1"/>
  <c r="EI155" i="1"/>
  <c r="DY140" i="1"/>
  <c r="CD156" i="1"/>
  <c r="DT156" i="1"/>
  <c r="DA155" i="1"/>
  <c r="AZ142" i="1"/>
  <c r="DY154" i="1"/>
  <c r="ED154" i="1"/>
  <c r="DA154" i="1"/>
  <c r="EI140" i="1"/>
  <c r="DA140" i="1"/>
  <c r="BY120" i="1"/>
  <c r="BY421" i="1" s="1"/>
  <c r="BU120" i="1"/>
  <c r="EG150" i="1"/>
  <c r="DY155" i="1"/>
  <c r="BT148" i="1"/>
  <c r="ED155" i="1"/>
  <c r="AZ141" i="1"/>
  <c r="DT141" i="1"/>
  <c r="DW141" i="1"/>
  <c r="DZ141" i="1"/>
  <c r="DF141" i="1"/>
  <c r="DA141" i="1"/>
  <c r="DA144" i="1"/>
  <c r="DT144" i="1"/>
  <c r="DF144" i="1"/>
  <c r="EA144" i="1"/>
  <c r="DY144" i="1"/>
  <c r="DU144" i="1"/>
  <c r="DA136" i="1"/>
  <c r="DR136" i="1"/>
  <c r="DF162" i="1"/>
  <c r="DZ162" i="1"/>
  <c r="ED162" i="1"/>
  <c r="CS162" i="1"/>
  <c r="EB162" i="1"/>
  <c r="DY162" i="1"/>
  <c r="DX162" i="1"/>
  <c r="EA162" i="1"/>
  <c r="DU162" i="1"/>
  <c r="DA162" i="1"/>
  <c r="EF162" i="1"/>
  <c r="EC162" i="1"/>
  <c r="DX173" i="1"/>
  <c r="EF173" i="1"/>
  <c r="DA173" i="1"/>
  <c r="EB173" i="1"/>
  <c r="DY173" i="1"/>
  <c r="DT173" i="1"/>
  <c r="EC173" i="1"/>
  <c r="DU173" i="1"/>
  <c r="DW173" i="1"/>
  <c r="EI173" i="1"/>
  <c r="DF173" i="1"/>
  <c r="AZ189" i="1"/>
  <c r="AY195" i="1"/>
  <c r="AZ195" i="1"/>
  <c r="DY195" i="1"/>
  <c r="DW195" i="1"/>
  <c r="EB195" i="1"/>
  <c r="DT195" i="1"/>
  <c r="EI195" i="1"/>
  <c r="EF195" i="1"/>
  <c r="DF195" i="1"/>
  <c r="DU195" i="1"/>
  <c r="EA195" i="1"/>
  <c r="DA195" i="1"/>
  <c r="DT140" i="1"/>
  <c r="EC140" i="1"/>
  <c r="DW140" i="1"/>
  <c r="DY150" i="1"/>
  <c r="EF150" i="1"/>
  <c r="EC150" i="1"/>
  <c r="DF150" i="1"/>
  <c r="DZ150" i="1"/>
  <c r="EB150" i="1"/>
  <c r="DX151" i="1"/>
  <c r="EC151" i="1"/>
  <c r="DF151" i="1"/>
  <c r="EF151" i="1"/>
  <c r="CS151" i="1"/>
  <c r="DU151" i="1"/>
  <c r="EF155" i="1"/>
  <c r="DU155" i="1"/>
  <c r="DA156" i="1"/>
  <c r="DU156" i="1"/>
  <c r="EB156" i="1"/>
  <c r="CS156" i="1"/>
  <c r="BT211" i="1"/>
  <c r="CD211" i="1"/>
  <c r="EG155" i="1"/>
  <c r="EE156" i="1"/>
  <c r="DR170" i="1"/>
  <c r="EA151" i="1"/>
  <c r="EA156" i="1"/>
  <c r="EE150" i="1"/>
  <c r="DA151" i="1"/>
  <c r="CH180" i="1"/>
  <c r="DD180" i="1"/>
  <c r="DT193" i="1"/>
  <c r="EF193" i="1"/>
  <c r="DA193" i="1"/>
  <c r="DZ193" i="1"/>
  <c r="EB193" i="1"/>
  <c r="CS193" i="1"/>
  <c r="EG193" i="1"/>
  <c r="DF193" i="1"/>
  <c r="DW193" i="1"/>
  <c r="ED193" i="1"/>
  <c r="DY193" i="1"/>
  <c r="EI193" i="1"/>
  <c r="DX193" i="1"/>
  <c r="DU193" i="1"/>
  <c r="EE193" i="1"/>
  <c r="EA193" i="1"/>
  <c r="CD197" i="1"/>
  <c r="BT197" i="1"/>
  <c r="DT150" i="1"/>
  <c r="DR180" i="1"/>
  <c r="DA187" i="1"/>
  <c r="EC187" i="1"/>
  <c r="DZ187" i="1"/>
  <c r="EB187" i="1"/>
  <c r="DF187" i="1"/>
  <c r="DW187" i="1"/>
  <c r="EF187" i="1"/>
  <c r="DT187" i="1"/>
  <c r="DX187" i="1"/>
  <c r="DY187" i="1"/>
  <c r="EF191" i="1"/>
  <c r="DT191" i="1"/>
  <c r="DZ191" i="1"/>
  <c r="ED191" i="1"/>
  <c r="EB191" i="1"/>
  <c r="DU191" i="1"/>
  <c r="DA191" i="1"/>
  <c r="DY191" i="1"/>
  <c r="EA191" i="1"/>
  <c r="DX191" i="1"/>
  <c r="EC191" i="1"/>
  <c r="EI191" i="1"/>
  <c r="EB190" i="1"/>
  <c r="DZ190" i="1"/>
  <c r="EI190" i="1"/>
  <c r="DY190" i="1"/>
  <c r="DT190" i="1"/>
  <c r="DX190" i="1"/>
  <c r="EF190" i="1"/>
  <c r="DU190" i="1"/>
  <c r="EA190" i="1"/>
  <c r="DA190" i="1"/>
  <c r="DF190" i="1"/>
  <c r="EC190" i="1"/>
  <c r="BT192" i="1"/>
  <c r="CD192" i="1"/>
  <c r="EA199" i="1"/>
  <c r="DW199" i="1"/>
  <c r="EF199" i="1"/>
  <c r="DU199" i="1"/>
  <c r="DT199" i="1"/>
  <c r="EB199" i="1"/>
  <c r="EI199" i="1"/>
  <c r="DZ199" i="1"/>
  <c r="DX199" i="1"/>
  <c r="EC199" i="1"/>
  <c r="DA199" i="1"/>
  <c r="DY199" i="1"/>
  <c r="ED199" i="1"/>
  <c r="DF121" i="1"/>
  <c r="DW119" i="1"/>
  <c r="DX111" i="1"/>
  <c r="EC105" i="1"/>
  <c r="DZ111" i="1"/>
  <c r="DX103" i="1"/>
  <c r="DU119" i="1"/>
  <c r="ED120" i="1"/>
  <c r="EC120" i="1"/>
  <c r="EC121" i="1"/>
  <c r="DX127" i="1"/>
  <c r="EA128" i="1"/>
  <c r="DU105" i="1"/>
  <c r="DA120" i="1"/>
  <c r="DT119" i="1"/>
  <c r="BJ120" i="1"/>
  <c r="CC120" i="1"/>
  <c r="CC423" i="1" s="1"/>
  <c r="DW143" i="1"/>
  <c r="EI143" i="1"/>
  <c r="EA155" i="1"/>
  <c r="DW156" i="1"/>
  <c r="DF154" i="1"/>
  <c r="DY141" i="1"/>
  <c r="DU141" i="1"/>
  <c r="AY136" i="1"/>
  <c r="DA150" i="1"/>
  <c r="EI162" i="1"/>
  <c r="AY153" i="1"/>
  <c r="AY184" i="1"/>
  <c r="DX195" i="1"/>
  <c r="DF102" i="1"/>
  <c r="DU102" i="1"/>
  <c r="DY102" i="1"/>
  <c r="ED111" i="1"/>
  <c r="DY105" i="1"/>
  <c r="EF103" i="1"/>
  <c r="DU120" i="1"/>
  <c r="DX120" i="1"/>
  <c r="EB119" i="1"/>
  <c r="EB120" i="1"/>
  <c r="EB121" i="1"/>
  <c r="EA121" i="1"/>
  <c r="EF119" i="1"/>
  <c r="DX112" i="1"/>
  <c r="DF120" i="1"/>
  <c r="DZ128" i="1"/>
  <c r="EB128" i="1"/>
  <c r="ED127" i="1"/>
  <c r="EC127" i="1"/>
  <c r="DU128" i="1"/>
  <c r="DW121" i="1"/>
  <c r="DA119" i="1"/>
  <c r="EF156" i="1"/>
  <c r="EI144" i="1"/>
  <c r="DF140" i="1"/>
  <c r="DX141" i="1"/>
  <c r="AY139" i="1"/>
  <c r="DU150" i="1"/>
  <c r="CS150" i="1"/>
  <c r="AZ135" i="1"/>
  <c r="AZ159" i="1"/>
  <c r="EC102" i="1"/>
  <c r="DF112" i="1"/>
  <c r="BT109" i="1"/>
  <c r="EI109" i="1"/>
  <c r="EB103" i="1"/>
  <c r="EA105" i="1"/>
  <c r="EF105" i="1"/>
  <c r="DU121" i="1"/>
  <c r="EC119" i="1"/>
  <c r="EA119" i="1"/>
  <c r="EE155" i="1"/>
  <c r="DX155" i="1"/>
  <c r="DF155" i="1"/>
  <c r="DY156" i="1"/>
  <c r="EF140" i="1"/>
  <c r="DX140" i="1"/>
  <c r="EB140" i="1"/>
  <c r="DY151" i="1"/>
  <c r="DA143" i="1"/>
  <c r="EC143" i="1"/>
  <c r="ED143" i="1"/>
  <c r="EC155" i="1"/>
  <c r="CH166" i="1"/>
  <c r="DT162" i="1"/>
  <c r="AZ178" i="1"/>
  <c r="AY178" i="1"/>
  <c r="CD178" i="1"/>
  <c r="BT178" i="1"/>
  <c r="DW191" i="1"/>
  <c r="EA187" i="1"/>
  <c r="CS163" i="1"/>
  <c r="CS164" i="1"/>
  <c r="DY164" i="1"/>
  <c r="DZ164" i="1"/>
  <c r="DX160" i="1"/>
  <c r="EB160" i="1"/>
  <c r="DY160" i="1"/>
  <c r="DZ182" i="1"/>
  <c r="EF182" i="1"/>
  <c r="EB182" i="1"/>
  <c r="ED182" i="1"/>
  <c r="DU182" i="1"/>
  <c r="DT182" i="1"/>
  <c r="DY182" i="1"/>
  <c r="AZ182" i="1"/>
  <c r="DA134" i="1"/>
  <c r="DF134" i="1"/>
  <c r="DY134" i="1"/>
  <c r="EB134" i="1"/>
  <c r="EC177" i="1"/>
  <c r="EB177" i="1"/>
  <c r="DA177" i="1"/>
  <c r="EF177" i="1"/>
  <c r="AZ177" i="1"/>
  <c r="AY177" i="1"/>
  <c r="AY203" i="1"/>
  <c r="CD209" i="1"/>
  <c r="BT209" i="1"/>
  <c r="DW165" i="1"/>
  <c r="EB159" i="1"/>
  <c r="DU165" i="1"/>
  <c r="DZ165" i="1"/>
  <c r="EF142" i="1"/>
  <c r="EI163" i="1"/>
  <c r="EI164" i="1"/>
  <c r="DZ160" i="1"/>
  <c r="DU134" i="1"/>
  <c r="EA134" i="1"/>
  <c r="EI134" i="1"/>
  <c r="DX134" i="1"/>
  <c r="DT164" i="1"/>
  <c r="DT134" i="1"/>
  <c r="DF171" i="1"/>
  <c r="EA182" i="1"/>
  <c r="DT177" i="1"/>
  <c r="DA176" i="1"/>
  <c r="DY176" i="1"/>
  <c r="DT176" i="1"/>
  <c r="EI176" i="1"/>
  <c r="DU176" i="1"/>
  <c r="EA176" i="1"/>
  <c r="DW176" i="1"/>
  <c r="CD185" i="1"/>
  <c r="AZ194" i="1"/>
  <c r="AY196" i="1"/>
  <c r="DY203" i="1"/>
  <c r="DT203" i="1"/>
  <c r="ED203" i="1"/>
  <c r="EB203" i="1"/>
  <c r="EI203" i="1"/>
  <c r="DW203" i="1"/>
  <c r="EF203" i="1"/>
  <c r="EC203" i="1"/>
  <c r="DA203" i="1"/>
  <c r="DZ203" i="1"/>
  <c r="EA203" i="1"/>
  <c r="DU203" i="1"/>
  <c r="DF203" i="1"/>
  <c r="EG163" i="1"/>
  <c r="EF163" i="1"/>
  <c r="AZ163" i="1"/>
  <c r="DT161" i="1"/>
  <c r="EB161" i="1"/>
  <c r="DZ161" i="1"/>
  <c r="DF161" i="1"/>
  <c r="EA161" i="1"/>
  <c r="EA153" i="1"/>
  <c r="DU153" i="1"/>
  <c r="CS153" i="1"/>
  <c r="DZ153" i="1"/>
  <c r="CS152" i="1"/>
  <c r="EI152" i="1"/>
  <c r="EA152" i="1"/>
  <c r="EE152" i="1"/>
  <c r="EC152" i="1"/>
  <c r="DY152" i="1"/>
  <c r="DU152" i="1"/>
  <c r="AZ152" i="1"/>
  <c r="DW171" i="1"/>
  <c r="DU171" i="1"/>
  <c r="DX171" i="1"/>
  <c r="DZ171" i="1"/>
  <c r="EB183" i="1"/>
  <c r="DY183" i="1"/>
  <c r="EC183" i="1"/>
  <c r="EA183" i="1"/>
  <c r="EF183" i="1"/>
  <c r="DW183" i="1"/>
  <c r="AZ183" i="1"/>
  <c r="AY183" i="1"/>
  <c r="DA175" i="1"/>
  <c r="DZ175" i="1"/>
  <c r="DY175" i="1"/>
  <c r="AZ175" i="1"/>
  <c r="AY175" i="1"/>
  <c r="DX181" i="1"/>
  <c r="DZ181" i="1"/>
  <c r="EB189" i="1"/>
  <c r="DY194" i="1"/>
  <c r="DW194" i="1"/>
  <c r="EC211" i="1"/>
  <c r="EA211" i="1"/>
  <c r="DA184" i="1"/>
  <c r="EI184" i="1"/>
  <c r="DF217" i="1"/>
  <c r="DY217" i="1"/>
  <c r="EA217" i="1"/>
  <c r="DA217" i="1"/>
  <c r="DW217" i="1"/>
  <c r="DX217" i="1"/>
  <c r="EF217" i="1"/>
  <c r="EI217" i="1"/>
  <c r="BT219" i="1"/>
  <c r="CD219" i="1"/>
  <c r="CD164" i="1"/>
  <c r="DW179" i="1"/>
  <c r="EA179" i="1"/>
  <c r="EA181" i="1"/>
  <c r="DU184" i="1"/>
  <c r="BT189" i="1"/>
  <c r="EC185" i="1"/>
  <c r="DA186" i="1"/>
  <c r="EB186" i="1"/>
  <c r="EI211" i="1"/>
  <c r="AY210" i="1"/>
  <c r="DZ208" i="1"/>
  <c r="DA208" i="1"/>
  <c r="EB208" i="1"/>
  <c r="DX208" i="1"/>
  <c r="EC208" i="1"/>
  <c r="EB194" i="1"/>
  <c r="EI194" i="1"/>
  <c r="AY205" i="1"/>
  <c r="EF189" i="1"/>
  <c r="DF206" i="1"/>
  <c r="DU206" i="1"/>
  <c r="DW206" i="1"/>
  <c r="EB206" i="1"/>
  <c r="DX206" i="1"/>
  <c r="EF206" i="1"/>
  <c r="DY206" i="1"/>
  <c r="DF219" i="1"/>
  <c r="DX219" i="1"/>
  <c r="DX209" i="1"/>
  <c r="DA209" i="1"/>
  <c r="DT209" i="1"/>
  <c r="DZ209" i="1"/>
  <c r="AZ196" i="1"/>
  <c r="EC218" i="1"/>
  <c r="DF218" i="1"/>
  <c r="EA218" i="1"/>
  <c r="DT218" i="1"/>
  <c r="EB218" i="1"/>
  <c r="EF218" i="1"/>
  <c r="DZ218" i="1"/>
  <c r="AZ233" i="1"/>
  <c r="CS196" i="1"/>
  <c r="DY196" i="1"/>
  <c r="EA196" i="1"/>
  <c r="EC201" i="1"/>
  <c r="DW201" i="1"/>
  <c r="DX223" i="1"/>
  <c r="EC234" i="1"/>
  <c r="EA234" i="1"/>
  <c r="DZ234" i="1"/>
  <c r="DA234" i="1"/>
  <c r="DY234" i="1"/>
  <c r="DU234" i="1"/>
  <c r="DT234" i="1"/>
  <c r="EB234" i="1"/>
  <c r="AY236" i="1"/>
  <c r="AZ243" i="1"/>
  <c r="AY250" i="1"/>
  <c r="CD248" i="1"/>
  <c r="BT248" i="1"/>
  <c r="EB207" i="1"/>
  <c r="EC246" i="1"/>
  <c r="EB246" i="1"/>
  <c r="DT246" i="1"/>
  <c r="EF246" i="1"/>
  <c r="DA246" i="1"/>
  <c r="EA246" i="1"/>
  <c r="DZ246" i="1"/>
  <c r="DW246" i="1"/>
  <c r="EI246" i="1"/>
  <c r="EC219" i="1"/>
  <c r="EA219" i="1"/>
  <c r="DY219" i="1"/>
  <c r="EI219" i="1"/>
  <c r="DT219" i="1"/>
  <c r="DZ219" i="1"/>
  <c r="ED219" i="1"/>
  <c r="EB219" i="1"/>
  <c r="DA219" i="1"/>
  <c r="EB209" i="1"/>
  <c r="CD234" i="1"/>
  <c r="EI214" i="1"/>
  <c r="AY216" i="1"/>
  <c r="DG218" i="1"/>
  <c r="AZ224" i="1"/>
  <c r="AZ227" i="1"/>
  <c r="DF246" i="1"/>
  <c r="AY239" i="1"/>
  <c r="EB242" i="1"/>
  <c r="EA242" i="1"/>
  <c r="DZ242" i="1"/>
  <c r="DW242" i="1"/>
  <c r="EC242" i="1"/>
  <c r="DY242" i="1"/>
  <c r="DT242" i="1"/>
  <c r="DX242" i="1"/>
  <c r="DU242" i="1"/>
  <c r="EF242" i="1"/>
  <c r="DG215" i="1"/>
  <c r="DG226" i="1"/>
  <c r="DG212" i="1"/>
  <c r="DX202" i="1"/>
  <c r="EI202" i="1"/>
  <c r="DU207" i="1"/>
  <c r="EF207" i="1"/>
  <c r="DY207" i="1"/>
  <c r="DZ207" i="1"/>
  <c r="DF210" i="1"/>
  <c r="DU210" i="1"/>
  <c r="EA210" i="1"/>
  <c r="EC214" i="1"/>
  <c r="DF214" i="1"/>
  <c r="EF214" i="1"/>
  <c r="DU214" i="1"/>
  <c r="DT214" i="1"/>
  <c r="DX221" i="1"/>
  <c r="DU221" i="1"/>
  <c r="EF221" i="1"/>
  <c r="ED221" i="1"/>
  <c r="BT223" i="1"/>
  <c r="DG223" i="1"/>
  <c r="EF234" i="1"/>
  <c r="EC243" i="1"/>
  <c r="EA243" i="1"/>
  <c r="DU243" i="1"/>
  <c r="DY243" i="1"/>
  <c r="DA243" i="1"/>
  <c r="DZ243" i="1"/>
  <c r="DW243" i="1"/>
  <c r="EA228" i="1"/>
  <c r="DJ228" i="1"/>
  <c r="EB214" i="1"/>
  <c r="EA232" i="1"/>
  <c r="EB248" i="1"/>
  <c r="DY250" i="1"/>
  <c r="EG66" i="1"/>
  <c r="BT214" i="1"/>
  <c r="ED227" i="1"/>
  <c r="DX207" i="1"/>
  <c r="DX235" i="1"/>
  <c r="DX203" i="1"/>
  <c r="DY216" i="1"/>
  <c r="DX224" i="1"/>
  <c r="DA227" i="1"/>
  <c r="DX233" i="1"/>
  <c r="DT240" i="1"/>
  <c r="DZ237" i="1"/>
  <c r="DA237" i="1"/>
  <c r="DF237" i="1"/>
  <c r="EI237" i="1"/>
  <c r="DX237" i="1"/>
  <c r="EA237" i="1"/>
  <c r="EF247" i="1"/>
  <c r="ED247" i="1"/>
  <c r="EC247" i="1"/>
  <c r="EI247" i="1"/>
  <c r="DX247" i="1"/>
  <c r="AZ248" i="1"/>
  <c r="AZ250" i="1"/>
  <c r="DW250" i="1"/>
  <c r="BT252" i="1"/>
  <c r="EB257" i="1"/>
  <c r="DT257" i="1"/>
  <c r="DW257" i="1"/>
  <c r="DA257" i="1"/>
  <c r="DZ257" i="1"/>
  <c r="DU257" i="1"/>
  <c r="EF257" i="1"/>
  <c r="ED257" i="1"/>
  <c r="EI257" i="1"/>
  <c r="EC269" i="1"/>
  <c r="DU269" i="1"/>
  <c r="EI269" i="1"/>
  <c r="EA269" i="1"/>
  <c r="DF269" i="1"/>
  <c r="DT269" i="1"/>
  <c r="DW269" i="1"/>
  <c r="EF269" i="1"/>
  <c r="DA269" i="1"/>
  <c r="EB269" i="1"/>
  <c r="DZ269" i="1"/>
  <c r="DY269" i="1"/>
  <c r="DK239" i="1"/>
  <c r="EB239" i="1"/>
  <c r="CH241" i="1"/>
  <c r="EA241" i="1" s="1"/>
  <c r="DD241" i="1"/>
  <c r="DG243" i="1"/>
  <c r="EI254" i="1"/>
  <c r="EA254" i="1"/>
  <c r="ED254" i="1"/>
  <c r="DF254" i="1"/>
  <c r="EF254" i="1"/>
  <c r="DU254" i="1"/>
  <c r="EC254" i="1"/>
  <c r="DT254" i="1"/>
  <c r="DW254" i="1"/>
  <c r="EC262" i="1"/>
  <c r="DU262" i="1"/>
  <c r="EI262" i="1"/>
  <c r="EA262" i="1"/>
  <c r="ED262" i="1"/>
  <c r="DF262" i="1"/>
  <c r="EF262" i="1"/>
  <c r="DT262" i="1"/>
  <c r="DX262" i="1"/>
  <c r="DW262" i="1"/>
  <c r="EB262" i="1"/>
  <c r="DZ262" i="1"/>
  <c r="DY262" i="1"/>
  <c r="DK241" i="1"/>
  <c r="EB243" i="1"/>
  <c r="DU246" i="1"/>
  <c r="DD246" i="1"/>
  <c r="DX248" i="1"/>
  <c r="CD4" i="1"/>
  <c r="BT4" i="1"/>
  <c r="AZ66" i="1"/>
  <c r="DX254" i="1"/>
  <c r="DX238" i="1"/>
  <c r="DG238" i="1"/>
  <c r="DG240" i="1"/>
  <c r="DJ241" i="1"/>
  <c r="DG246" i="1"/>
  <c r="EG200" i="1"/>
  <c r="DF200" i="1"/>
  <c r="CS200" i="1"/>
  <c r="DW200" i="1"/>
  <c r="EE200" i="1"/>
  <c r="AY251" i="1"/>
  <c r="DY254" i="1"/>
  <c r="DW258" i="1"/>
  <c r="DA258" i="1"/>
  <c r="DZ258" i="1"/>
  <c r="EI258" i="1"/>
  <c r="DX258" i="1"/>
  <c r="EB258" i="1"/>
  <c r="EF258" i="1"/>
  <c r="EC258" i="1"/>
  <c r="DT258" i="1"/>
  <c r="EF232" i="1"/>
  <c r="EI218" i="1"/>
  <c r="EF250" i="1"/>
  <c r="DT250" i="1"/>
  <c r="EC250" i="1"/>
  <c r="EI250" i="1"/>
  <c r="DX250" i="1"/>
  <c r="DF250" i="1"/>
  <c r="DZ254" i="1"/>
  <c r="DZ228" i="1"/>
  <c r="ED228" i="1"/>
  <c r="EI231" i="1"/>
  <c r="DX231" i="1"/>
  <c r="DA231" i="1"/>
  <c r="DA232" i="1"/>
  <c r="DY232" i="1"/>
  <c r="DG233" i="1"/>
  <c r="BT239" i="1"/>
  <c r="CD240" i="1"/>
  <c r="EC240" i="1"/>
  <c r="EB240" i="1"/>
  <c r="EA240" i="1"/>
  <c r="DW240" i="1"/>
  <c r="AY243" i="1"/>
  <c r="DX243" i="1"/>
  <c r="EB254" i="1"/>
  <c r="DY258" i="1"/>
  <c r="CD261" i="1"/>
  <c r="BT261" i="1"/>
  <c r="EB227" i="1"/>
  <c r="DF232" i="1"/>
  <c r="EF227" i="1"/>
  <c r="AZ223" i="1"/>
  <c r="DG225" i="1"/>
  <c r="DF231" i="1"/>
  <c r="DY231" i="1"/>
  <c r="DZ232" i="1"/>
  <c r="AY237" i="1"/>
  <c r="AZ244" i="1"/>
  <c r="EA258" i="1"/>
  <c r="AZ270" i="1"/>
  <c r="EB287" i="1"/>
  <c r="DT287" i="1"/>
  <c r="DW287" i="1"/>
  <c r="DA287" i="1"/>
  <c r="DX287" i="1"/>
  <c r="DF287" i="1"/>
  <c r="EF287" i="1"/>
  <c r="DU287" i="1"/>
  <c r="EI287" i="1"/>
  <c r="DY287" i="1"/>
  <c r="DZ287" i="1"/>
  <c r="EA287" i="1"/>
  <c r="EA244" i="1"/>
  <c r="EA245" i="1"/>
  <c r="DP4" i="1"/>
  <c r="DU255" i="1"/>
  <c r="AY284" i="1"/>
  <c r="CD292" i="1"/>
  <c r="BT292" i="1"/>
  <c r="CD305" i="1"/>
  <c r="BT305" i="1"/>
  <c r="AZ305" i="1"/>
  <c r="DY297" i="1"/>
  <c r="DW297" i="1"/>
  <c r="DA297" i="1"/>
  <c r="DZ297" i="1"/>
  <c r="DX297" i="1"/>
  <c r="DF297" i="1"/>
  <c r="EI297" i="1"/>
  <c r="DU297" i="1"/>
  <c r="EA297" i="1"/>
  <c r="EB297" i="1"/>
  <c r="EC297" i="1"/>
  <c r="DX244" i="1"/>
  <c r="EI244" i="1"/>
  <c r="DT245" i="1"/>
  <c r="DX245" i="1"/>
  <c r="EI245" i="1"/>
  <c r="DY255" i="1"/>
  <c r="EI255" i="1"/>
  <c r="DZ255" i="1"/>
  <c r="DA255" i="1"/>
  <c r="EC255" i="1"/>
  <c r="DT255" i="1"/>
  <c r="CD283" i="1"/>
  <c r="BT283" i="1"/>
  <c r="DZ251" i="1"/>
  <c r="EC251" i="1"/>
  <c r="DU251" i="1"/>
  <c r="AY253" i="1"/>
  <c r="EI264" i="1"/>
  <c r="EA264" i="1"/>
  <c r="DY264" i="1"/>
  <c r="EB264" i="1"/>
  <c r="DT264" i="1"/>
  <c r="DA264" i="1"/>
  <c r="EF264" i="1"/>
  <c r="DU264" i="1"/>
  <c r="EI271" i="1"/>
  <c r="EA271" i="1"/>
  <c r="DZ271" i="1"/>
  <c r="DY271" i="1"/>
  <c r="EB271" i="1"/>
  <c r="DT271" i="1"/>
  <c r="DA271" i="1"/>
  <c r="ED271" i="1"/>
  <c r="DU271" i="1"/>
  <c r="EF271" i="1"/>
  <c r="DW288" i="1"/>
  <c r="DA288" i="1"/>
  <c r="DZ288" i="1"/>
  <c r="DY288" i="1"/>
  <c r="EI288" i="1"/>
  <c r="DX288" i="1"/>
  <c r="DF288" i="1"/>
  <c r="EA288" i="1"/>
  <c r="ED288" i="1"/>
  <c r="EC288" i="1"/>
  <c r="EF288" i="1"/>
  <c r="EB309" i="1"/>
  <c r="DT309" i="1"/>
  <c r="DF309" i="1"/>
  <c r="DZ309" i="1"/>
  <c r="DA309" i="1"/>
  <c r="EI309" i="1"/>
  <c r="DY309" i="1"/>
  <c r="DX309" i="1"/>
  <c r="EA309" i="1"/>
  <c r="DW309" i="1"/>
  <c r="DU309" i="1"/>
  <c r="EC309" i="1"/>
  <c r="DF245" i="1"/>
  <c r="DA244" i="1"/>
  <c r="DW4" i="1"/>
  <c r="EE4" i="1"/>
  <c r="DT251" i="1"/>
  <c r="EE251" i="1"/>
  <c r="AZ257" i="1"/>
  <c r="CD257" i="1"/>
  <c r="BT262" i="1"/>
  <c r="CD262" i="1"/>
  <c r="DX264" i="1"/>
  <c r="ED265" i="1"/>
  <c r="DF265" i="1"/>
  <c r="EB265" i="1"/>
  <c r="DT265" i="1"/>
  <c r="DW265" i="1"/>
  <c r="DA265" i="1"/>
  <c r="EF265" i="1"/>
  <c r="EC265" i="1"/>
  <c r="DU265" i="1"/>
  <c r="BT275" i="1"/>
  <c r="CD275" i="1"/>
  <c r="DZ281" i="1"/>
  <c r="EI281" i="1"/>
  <c r="DY281" i="1"/>
  <c r="DX281" i="1"/>
  <c r="EF281" i="1"/>
  <c r="DW281" i="1"/>
  <c r="DA281" i="1"/>
  <c r="EA281" i="1"/>
  <c r="EC281" i="1"/>
  <c r="DF281" i="1"/>
  <c r="DT297" i="1"/>
  <c r="AZ265" i="1"/>
  <c r="ED272" i="1"/>
  <c r="DF272" i="1"/>
  <c r="EC272" i="1"/>
  <c r="DU272" i="1"/>
  <c r="EB272" i="1"/>
  <c r="DT272" i="1"/>
  <c r="DW272" i="1"/>
  <c r="DA272" i="1"/>
  <c r="EB274" i="1"/>
  <c r="DT274" i="1"/>
  <c r="EI274" i="1"/>
  <c r="EA274" i="1"/>
  <c r="DZ274" i="1"/>
  <c r="EC274" i="1"/>
  <c r="DU274" i="1"/>
  <c r="AZ277" i="1"/>
  <c r="AZ285" i="1"/>
  <c r="BT303" i="1"/>
  <c r="CD303" i="1"/>
  <c r="DZ259" i="1"/>
  <c r="EC259" i="1"/>
  <c r="DU259" i="1"/>
  <c r="AZ264" i="1"/>
  <c r="DY266" i="1"/>
  <c r="DW266" i="1"/>
  <c r="DA266" i="1"/>
  <c r="DZ266" i="1"/>
  <c r="DZ272" i="1"/>
  <c r="DF274" i="1"/>
  <c r="DY274" i="1"/>
  <c r="EC277" i="1"/>
  <c r="DU277" i="1"/>
  <c r="EB277" i="1"/>
  <c r="DT277" i="1"/>
  <c r="EI277" i="1"/>
  <c r="EA277" i="1"/>
  <c r="ED277" i="1"/>
  <c r="DF277" i="1"/>
  <c r="AY286" i="1"/>
  <c r="AY292" i="1"/>
  <c r="DU252" i="1"/>
  <c r="DY259" i="1"/>
  <c r="AY262" i="1"/>
  <c r="DF266" i="1"/>
  <c r="DX266" i="1"/>
  <c r="EI272" i="1"/>
  <c r="DW280" i="1"/>
  <c r="DA280" i="1"/>
  <c r="EB280" i="1"/>
  <c r="EA280" i="1"/>
  <c r="EI280" i="1"/>
  <c r="DZ280" i="1"/>
  <c r="EC280" i="1"/>
  <c r="DT280" i="1"/>
  <c r="AZ284" i="1"/>
  <c r="DZ289" i="1"/>
  <c r="EC289" i="1"/>
  <c r="DU289" i="1"/>
  <c r="EA289" i="1"/>
  <c r="DY289" i="1"/>
  <c r="EI289" i="1"/>
  <c r="DX289" i="1"/>
  <c r="DA289" i="1"/>
  <c r="EB289" i="1"/>
  <c r="AZ295" i="1"/>
  <c r="EB298" i="1"/>
  <c r="DT298" i="1"/>
  <c r="DZ298" i="1"/>
  <c r="EC298" i="1"/>
  <c r="DU298" i="1"/>
  <c r="EF298" i="1"/>
  <c r="EI298" i="1"/>
  <c r="DW298" i="1"/>
  <c r="AZ272" i="1"/>
  <c r="AZ282" i="1"/>
  <c r="BT289" i="1"/>
  <c r="CD289" i="1"/>
  <c r="BT296" i="1"/>
  <c r="CD296" i="1"/>
  <c r="EA313" i="1"/>
  <c r="DF313" i="1"/>
  <c r="EC313" i="1"/>
  <c r="EB313" i="1"/>
  <c r="ED313" i="1"/>
  <c r="DT313" i="1"/>
  <c r="EF313" i="1"/>
  <c r="DZ313" i="1"/>
  <c r="DY313" i="1"/>
  <c r="DX313" i="1"/>
  <c r="DA313" i="1"/>
  <c r="EI313" i="1"/>
  <c r="DU313" i="1"/>
  <c r="BQ261" i="1"/>
  <c r="DC261" i="1"/>
  <c r="DY263" i="1"/>
  <c r="AT269" i="1"/>
  <c r="BL269" i="1"/>
  <c r="AY269" i="1" s="1"/>
  <c r="DZ273" i="1"/>
  <c r="EA276" i="1"/>
  <c r="AT277" i="1"/>
  <c r="BL277" i="1"/>
  <c r="DY278" i="1"/>
  <c r="EB279" i="1"/>
  <c r="DT279" i="1"/>
  <c r="W285" i="1"/>
  <c r="BK285" i="1"/>
  <c r="ED285" i="1"/>
  <c r="DF285" i="1"/>
  <c r="DY285" i="1"/>
  <c r="AY293" i="1"/>
  <c r="BR294" i="1"/>
  <c r="AZ296" i="1"/>
  <c r="DU296" i="1"/>
  <c r="EF296" i="1"/>
  <c r="W302" i="1"/>
  <c r="BQ302" i="1"/>
  <c r="AZ303" i="1"/>
  <c r="W318" i="1"/>
  <c r="DO318" i="1"/>
  <c r="DG318" i="1"/>
  <c r="DE318" i="1"/>
  <c r="BR318" i="1"/>
  <c r="DL318" i="1"/>
  <c r="BN318" i="1"/>
  <c r="AT318" i="1"/>
  <c r="DK318" i="1"/>
  <c r="BM318" i="1"/>
  <c r="AS318" i="1"/>
  <c r="DC318" i="1"/>
  <c r="BO318" i="1"/>
  <c r="BL318" i="1"/>
  <c r="DD318" i="1"/>
  <c r="BK318" i="1"/>
  <c r="DR318" i="1"/>
  <c r="DN318" i="1"/>
  <c r="AW318" i="1"/>
  <c r="AV318" i="1"/>
  <c r="DH318" i="1"/>
  <c r="BP318" i="1"/>
  <c r="DL310" i="1"/>
  <c r="DD310" i="1"/>
  <c r="BR310" i="1"/>
  <c r="W310" i="1"/>
  <c r="DE310" i="1"/>
  <c r="BP310" i="1"/>
  <c r="AW310" i="1"/>
  <c r="DG310" i="1"/>
  <c r="BS310" i="1"/>
  <c r="DC310" i="1"/>
  <c r="BK310" i="1"/>
  <c r="DO310" i="1"/>
  <c r="AV310" i="1"/>
  <c r="DR310" i="1"/>
  <c r="BL310" i="1"/>
  <c r="DH302" i="1"/>
  <c r="BN302" i="1"/>
  <c r="AV302" i="1"/>
  <c r="DO302" i="1"/>
  <c r="DG302" i="1"/>
  <c r="BM302" i="1"/>
  <c r="BL302" i="1"/>
  <c r="AT302" i="1"/>
  <c r="DI302" i="1"/>
  <c r="BO302" i="1"/>
  <c r="AW302" i="1"/>
  <c r="DH294" i="1"/>
  <c r="BN294" i="1"/>
  <c r="AV294" i="1"/>
  <c r="BL294" i="1"/>
  <c r="AT294" i="1"/>
  <c r="DI294" i="1"/>
  <c r="BO294" i="1"/>
  <c r="AW294" i="1"/>
  <c r="BL285" i="1"/>
  <c r="AT285" i="1"/>
  <c r="DI285" i="1"/>
  <c r="DF263" i="1"/>
  <c r="ED263" i="1"/>
  <c r="BQ269" i="1"/>
  <c r="DC269" i="1"/>
  <c r="DK269" i="1"/>
  <c r="DA273" i="1"/>
  <c r="DW273" i="1"/>
  <c r="BQ277" i="1"/>
  <c r="DC277" i="1"/>
  <c r="DK277" i="1"/>
  <c r="DF278" i="1"/>
  <c r="EA279" i="1"/>
  <c r="BQ285" i="1"/>
  <c r="DE285" i="1"/>
  <c r="DZ285" i="1"/>
  <c r="CS286" i="1"/>
  <c r="EC293" i="1"/>
  <c r="DU293" i="1"/>
  <c r="EI293" i="1"/>
  <c r="EA293" i="1"/>
  <c r="ED293" i="1"/>
  <c r="DF293" i="1"/>
  <c r="BM294" i="1"/>
  <c r="DE294" i="1"/>
  <c r="EI295" i="1"/>
  <c r="EA295" i="1"/>
  <c r="DY295" i="1"/>
  <c r="EB295" i="1"/>
  <c r="DT295" i="1"/>
  <c r="BT302" i="1"/>
  <c r="DD302" i="1"/>
  <c r="DH310" i="1"/>
  <c r="W277" i="1"/>
  <c r="BR277" i="1"/>
  <c r="DD277" i="1"/>
  <c r="DL277" i="1"/>
  <c r="BR285" i="1"/>
  <c r="DG285" i="1"/>
  <c r="DR285" i="1"/>
  <c r="W294" i="1"/>
  <c r="BP294" i="1"/>
  <c r="DG294" i="1"/>
  <c r="DF296" i="1"/>
  <c r="EB296" i="1"/>
  <c r="DT296" i="1"/>
  <c r="DW296" i="1"/>
  <c r="DA296" i="1"/>
  <c r="AZ298" i="1"/>
  <c r="BT299" i="1"/>
  <c r="BK302" i="1"/>
  <c r="DE302" i="1"/>
  <c r="EC304" i="1"/>
  <c r="DU304" i="1"/>
  <c r="DY304" i="1"/>
  <c r="DA304" i="1"/>
  <c r="DX304" i="1"/>
  <c r="EF304" i="1"/>
  <c r="DW304" i="1"/>
  <c r="DF304" i="1"/>
  <c r="EI304" i="1"/>
  <c r="DZ304" i="1"/>
  <c r="AT310" i="1"/>
  <c r="DI310" i="1"/>
  <c r="DT317" i="1"/>
  <c r="EF317" i="1"/>
  <c r="DZ317" i="1"/>
  <c r="DY317" i="1"/>
  <c r="DA317" i="1"/>
  <c r="EA317" i="1"/>
  <c r="EC317" i="1"/>
  <c r="EB317" i="1"/>
  <c r="DX317" i="1"/>
  <c r="EI317" i="1"/>
  <c r="DI318" i="1"/>
  <c r="DP325" i="1"/>
  <c r="EG325" i="1"/>
  <c r="AS269" i="1"/>
  <c r="BK269" i="1"/>
  <c r="BS269" i="1"/>
  <c r="DY273" i="1"/>
  <c r="AS277" i="1"/>
  <c r="BK277" i="1"/>
  <c r="BS277" i="1"/>
  <c r="DE277" i="1"/>
  <c r="DU279" i="1"/>
  <c r="ED279" i="1"/>
  <c r="EI284" i="1"/>
  <c r="EA284" i="1"/>
  <c r="BS285" i="1"/>
  <c r="DA285" i="1"/>
  <c r="DH285" i="1"/>
  <c r="EB285" i="1"/>
  <c r="AS294" i="1"/>
  <c r="BQ294" i="1"/>
  <c r="DJ294" i="1"/>
  <c r="EC301" i="1"/>
  <c r="DU301" i="1"/>
  <c r="EB301" i="1"/>
  <c r="DT301" i="1"/>
  <c r="EI301" i="1"/>
  <c r="EA301" i="1"/>
  <c r="DF301" i="1"/>
  <c r="BP302" i="1"/>
  <c r="DJ302" i="1"/>
  <c r="EA304" i="1"/>
  <c r="AY307" i="1"/>
  <c r="AZ307" i="1"/>
  <c r="CD307" i="1"/>
  <c r="AU310" i="1"/>
  <c r="BT310" i="1"/>
  <c r="DJ310" i="1"/>
  <c r="DJ318" i="1"/>
  <c r="EE325" i="1"/>
  <c r="DW325" i="1"/>
  <c r="CS325" i="1"/>
  <c r="DY294" i="1"/>
  <c r="DY302" i="1"/>
  <c r="DF303" i="1"/>
  <c r="DX303" i="1"/>
  <c r="DA306" i="1"/>
  <c r="DX306" i="1"/>
  <c r="DA307" i="1"/>
  <c r="DX307" i="1"/>
  <c r="EF307" i="1"/>
  <c r="DF310" i="1"/>
  <c r="DV422" i="1"/>
  <c r="DK319" i="1"/>
  <c r="BO319" i="1"/>
  <c r="DI319" i="1"/>
  <c r="BM319" i="1"/>
  <c r="AS319" i="1"/>
  <c r="DE319" i="1"/>
  <c r="BR319" i="1"/>
  <c r="AV319" i="1"/>
  <c r="DR319" i="1"/>
  <c r="BQ319" i="1"/>
  <c r="DG319" i="1"/>
  <c r="BS319" i="1"/>
  <c r="AW319" i="1"/>
  <c r="DO311" i="1"/>
  <c r="DG311" i="1"/>
  <c r="BM311" i="1"/>
  <c r="BS311" i="1"/>
  <c r="W311" i="1"/>
  <c r="DR311" i="1"/>
  <c r="DI311" i="1"/>
  <c r="BL311" i="1"/>
  <c r="AT311" i="1"/>
  <c r="DR303" i="1"/>
  <c r="DJ303" i="1"/>
  <c r="BP303" i="1"/>
  <c r="EB318" i="1"/>
  <c r="DZ318" i="1"/>
  <c r="EA318" i="1"/>
  <c r="DY318" i="1"/>
  <c r="DA318" i="1"/>
  <c r="EC318" i="1"/>
  <c r="BT326" i="1"/>
  <c r="CD326" i="1"/>
  <c r="DU291" i="1"/>
  <c r="DF294" i="1"/>
  <c r="ED294" i="1"/>
  <c r="DU299" i="1"/>
  <c r="DF302" i="1"/>
  <c r="DU303" i="1"/>
  <c r="ED303" i="1"/>
  <c r="DU307" i="1"/>
  <c r="EB308" i="1"/>
  <c r="DZ310" i="1"/>
  <c r="DZ311" i="1"/>
  <c r="EI315" i="1"/>
  <c r="DX315" i="1"/>
  <c r="DA315" i="1"/>
  <c r="DZ315" i="1"/>
  <c r="DY315" i="1"/>
  <c r="EA315" i="1"/>
  <c r="EI306" i="1"/>
  <c r="EA306" i="1"/>
  <c r="AZ311" i="1"/>
  <c r="DW311" i="1"/>
  <c r="DA311" i="1"/>
  <c r="DY311" i="1"/>
  <c r="DF311" i="1"/>
  <c r="EA311" i="1"/>
  <c r="EI319" i="1"/>
  <c r="DX319" i="1"/>
  <c r="DT319" i="1"/>
  <c r="EC319" i="1"/>
  <c r="EF319" i="1"/>
  <c r="EG328" i="1"/>
  <c r="DP328" i="1"/>
  <c r="CS328" i="1"/>
  <c r="DF306" i="1"/>
  <c r="DW306" i="1"/>
  <c r="EF306" i="1"/>
  <c r="DF307" i="1"/>
  <c r="DY308" i="1"/>
  <c r="EI308" i="1"/>
  <c r="AZ310" i="1"/>
  <c r="EB310" i="1"/>
  <c r="DT310" i="1"/>
  <c r="EF310" i="1"/>
  <c r="DW310" i="1"/>
  <c r="DY310" i="1"/>
  <c r="EC311" i="1"/>
  <c r="EC314" i="1"/>
  <c r="DT314" i="1"/>
  <c r="DA314" i="1"/>
  <c r="EB314" i="1"/>
  <c r="DF314" i="1"/>
  <c r="EA314" i="1"/>
  <c r="DF318" i="1"/>
  <c r="DW318" i="1"/>
  <c r="DT320" i="1"/>
  <c r="DZ320" i="1"/>
  <c r="DF320" i="1"/>
  <c r="EF320" i="1"/>
  <c r="EC320" i="1"/>
  <c r="EB320" i="1"/>
  <c r="EA320" i="1"/>
  <c r="DA320" i="1"/>
  <c r="CD332" i="1"/>
  <c r="BT332" i="1"/>
  <c r="DW332" i="1"/>
  <c r="DF332" i="1"/>
  <c r="W327" i="1"/>
  <c r="AR327" i="1"/>
  <c r="DB327" i="1" s="1"/>
  <c r="W320" i="1"/>
  <c r="DN320" i="1"/>
  <c r="BS320" i="1"/>
  <c r="BK320" i="1"/>
  <c r="DI320" i="1"/>
  <c r="BL320" i="1"/>
  <c r="DR320" i="1"/>
  <c r="DG320" i="1"/>
  <c r="BR320" i="1"/>
  <c r="AW320" i="1"/>
  <c r="BM320" i="1"/>
  <c r="DL320" i="1"/>
  <c r="DO320" i="1"/>
  <c r="DC320" i="1"/>
  <c r="BN320" i="1"/>
  <c r="DL312" i="1"/>
  <c r="DD312" i="1"/>
  <c r="BR312" i="1"/>
  <c r="DK312" i="1"/>
  <c r="DJ312" i="1"/>
  <c r="BN312" i="1"/>
  <c r="AT312" i="1"/>
  <c r="DM312" i="1"/>
  <c r="DC312" i="1"/>
  <c r="BP312" i="1"/>
  <c r="AV312" i="1"/>
  <c r="DE304" i="1"/>
  <c r="BS304" i="1"/>
  <c r="BK304" i="1"/>
  <c r="AZ322" i="1"/>
  <c r="AY324" i="1"/>
  <c r="AZ325" i="1"/>
  <c r="W322" i="1"/>
  <c r="AR314" i="1"/>
  <c r="DB314" i="1" s="1"/>
  <c r="DI314" i="1"/>
  <c r="BN314" i="1"/>
  <c r="AT314" i="1"/>
  <c r="EG326" i="1"/>
  <c r="DP326" i="1"/>
  <c r="DN319" i="1"/>
  <c r="CS326" i="1"/>
  <c r="DP318" i="1"/>
  <c r="AR318" i="1"/>
  <c r="DB318" i="1" s="1"/>
  <c r="AR320" i="1"/>
  <c r="DB320" i="1" s="1"/>
  <c r="DU321" i="1"/>
  <c r="EA321" i="1"/>
  <c r="DX321" i="1"/>
  <c r="EF321" i="1"/>
  <c r="AY331" i="1"/>
  <c r="BZ421" i="1"/>
  <c r="BT327" i="1"/>
  <c r="CD327" i="1"/>
  <c r="CS327" i="1"/>
  <c r="AZ320" i="1"/>
  <c r="BT320" i="1"/>
  <c r="CS321" i="1"/>
  <c r="CU321" i="1" s="1"/>
  <c r="CY321" i="1" s="1"/>
  <c r="EE330" i="1"/>
  <c r="DW330" i="1"/>
  <c r="CS330" i="1"/>
  <c r="DF330" i="1"/>
  <c r="EG330" i="1"/>
  <c r="AZ332" i="1"/>
  <c r="EE323" i="1"/>
  <c r="DW323" i="1"/>
  <c r="CS323" i="1"/>
  <c r="DF323" i="1"/>
  <c r="AY326" i="1"/>
  <c r="BT329" i="1"/>
  <c r="DF329" i="1"/>
  <c r="AZ331" i="1"/>
  <c r="EE332" i="1"/>
  <c r="DP317" i="1"/>
  <c r="DF324" i="1"/>
  <c r="DW324" i="1"/>
  <c r="DW329" i="1"/>
  <c r="EE329" i="1"/>
  <c r="AR321" i="1"/>
  <c r="DB321" i="1" s="1"/>
  <c r="AR313" i="1"/>
  <c r="DB313" i="1" s="1"/>
  <c r="DF327" i="1"/>
  <c r="AR322" i="1"/>
  <c r="DB322" i="1" s="1"/>
  <c r="EG321" i="1"/>
  <c r="DP321" i="1"/>
  <c r="EE321" i="1"/>
  <c r="BT322" i="1"/>
  <c r="AZ321" i="1"/>
  <c r="BT321" i="1"/>
  <c r="EE320" i="1"/>
  <c r="DP320" i="1"/>
  <c r="EG320" i="1"/>
  <c r="CS320" i="1"/>
  <c r="EH320" i="1" s="1"/>
  <c r="BV420" i="1"/>
  <c r="BV421" i="1"/>
  <c r="BV422" i="1"/>
  <c r="BV423" i="1"/>
  <c r="EG319" i="1"/>
  <c r="EE319" i="1"/>
  <c r="DF319" i="1"/>
  <c r="DW319" i="1"/>
  <c r="DV423" i="1"/>
  <c r="DV420" i="1"/>
  <c r="DV421" i="1"/>
  <c r="CD320" i="1"/>
  <c r="AZ319" i="1"/>
  <c r="W319" i="1"/>
  <c r="AR319" i="1"/>
  <c r="DB319" i="1" s="1"/>
  <c r="EE318" i="1"/>
  <c r="DU318" i="1"/>
  <c r="DT318" i="1"/>
  <c r="EG318" i="1"/>
  <c r="CS318" i="1"/>
  <c r="BT319" i="1"/>
  <c r="DN317" i="1"/>
  <c r="DU317" i="1"/>
  <c r="DW317" i="1"/>
  <c r="EE317" i="1"/>
  <c r="DF317" i="1"/>
  <c r="CS317" i="1"/>
  <c r="EG317" i="1"/>
  <c r="BT318" i="1"/>
  <c r="AZ317" i="1"/>
  <c r="BT317" i="1"/>
  <c r="W317" i="1"/>
  <c r="DF316" i="1"/>
  <c r="DW316" i="1"/>
  <c r="AZ316" i="1"/>
  <c r="DW315" i="1"/>
  <c r="DF315" i="1"/>
  <c r="DT315" i="1"/>
  <c r="DU315" i="1"/>
  <c r="BT316" i="1"/>
  <c r="AZ315" i="1"/>
  <c r="AY315" i="1"/>
  <c r="DW314" i="1"/>
  <c r="CD315" i="1"/>
  <c r="AZ314" i="1"/>
  <c r="W314" i="1"/>
  <c r="DW313" i="1"/>
  <c r="BT314" i="1"/>
  <c r="DW312" i="1"/>
  <c r="CD313" i="1"/>
  <c r="AZ312" i="1"/>
  <c r="BT312" i="1"/>
  <c r="DN270" i="1" l="1"/>
  <c r="EE306" i="1"/>
  <c r="DZ282" i="1"/>
  <c r="EA282" i="1"/>
  <c r="EB282" i="1"/>
  <c r="CC422" i="1"/>
  <c r="BW423" i="1"/>
  <c r="BW420" i="1"/>
  <c r="CB423" i="1"/>
  <c r="CB422" i="1"/>
  <c r="CB421" i="1"/>
  <c r="EE275" i="1"/>
  <c r="AY78" i="1"/>
  <c r="DZ256" i="1"/>
  <c r="EB256" i="1"/>
  <c r="DY256" i="1"/>
  <c r="AY109" i="1"/>
  <c r="DN312" i="1"/>
  <c r="AY102" i="1"/>
  <c r="EE312" i="1"/>
  <c r="DU256" i="1"/>
  <c r="DT249" i="1"/>
  <c r="EE269" i="1"/>
  <c r="EA256" i="1"/>
  <c r="EI249" i="1"/>
  <c r="DA256" i="1"/>
  <c r="EF256" i="1"/>
  <c r="DX256" i="1"/>
  <c r="EC256" i="1"/>
  <c r="DF256" i="1"/>
  <c r="DW256" i="1"/>
  <c r="DT256" i="1"/>
  <c r="DA249" i="1"/>
  <c r="DU249" i="1"/>
  <c r="DN267" i="1"/>
  <c r="EA249" i="1"/>
  <c r="EC249" i="1"/>
  <c r="EE49" i="1"/>
  <c r="EE262" i="1"/>
  <c r="DW249" i="1"/>
  <c r="EF282" i="1"/>
  <c r="ED282" i="1"/>
  <c r="EB249" i="1"/>
  <c r="EF249" i="1"/>
  <c r="DN235" i="1"/>
  <c r="DF249" i="1"/>
  <c r="EI282" i="1"/>
  <c r="DN269" i="1"/>
  <c r="EC282" i="1"/>
  <c r="DX249" i="1"/>
  <c r="DX282" i="1"/>
  <c r="DA282" i="1"/>
  <c r="DN294" i="1"/>
  <c r="DY249" i="1"/>
  <c r="DW282" i="1"/>
  <c r="CU149" i="1"/>
  <c r="DS149" i="1" s="1"/>
  <c r="EE258" i="1"/>
  <c r="EE291" i="1"/>
  <c r="AY76" i="1"/>
  <c r="AY91" i="1"/>
  <c r="AY112" i="1"/>
  <c r="AY41" i="1"/>
  <c r="EE301" i="1"/>
  <c r="AY30" i="1"/>
  <c r="AY113" i="1"/>
  <c r="AY49" i="1"/>
  <c r="AY32" i="1"/>
  <c r="AY104" i="1"/>
  <c r="EE297" i="1"/>
  <c r="AY17" i="1"/>
  <c r="AY86" i="1"/>
  <c r="BT70" i="1"/>
  <c r="AY59" i="1"/>
  <c r="EE316" i="1"/>
  <c r="DN293" i="1"/>
  <c r="EE314" i="1"/>
  <c r="EE175" i="1"/>
  <c r="EE287" i="1"/>
  <c r="AY89" i="1"/>
  <c r="AY84" i="1"/>
  <c r="CR301" i="1"/>
  <c r="CS301" i="1" s="1"/>
  <c r="CU301" i="1" s="1"/>
  <c r="AY191" i="1"/>
  <c r="AY82" i="1"/>
  <c r="AY99" i="1"/>
  <c r="DX261" i="1"/>
  <c r="EE313" i="1"/>
  <c r="EE300" i="1"/>
  <c r="DN258" i="1"/>
  <c r="EI261" i="1"/>
  <c r="CR314" i="1"/>
  <c r="CS314" i="1" s="1"/>
  <c r="CU314" i="1" s="1"/>
  <c r="ED261" i="1"/>
  <c r="EE265" i="1"/>
  <c r="DN300" i="1"/>
  <c r="DN305" i="1"/>
  <c r="DN291" i="1"/>
  <c r="EA261" i="1"/>
  <c r="EE119" i="1"/>
  <c r="DA261" i="1"/>
  <c r="EF261" i="1"/>
  <c r="DU261" i="1"/>
  <c r="DW261" i="1"/>
  <c r="DF261" i="1"/>
  <c r="DY261" i="1"/>
  <c r="AY204" i="1"/>
  <c r="EE195" i="1"/>
  <c r="DN313" i="1"/>
  <c r="EB261" i="1"/>
  <c r="DZ261" i="1"/>
  <c r="CR218" i="1"/>
  <c r="DP218" i="1" s="1"/>
  <c r="EE311" i="1"/>
  <c r="EE271" i="1"/>
  <c r="EC261" i="1"/>
  <c r="EE305" i="1"/>
  <c r="AY186" i="1"/>
  <c r="DN304" i="1"/>
  <c r="DN274" i="1"/>
  <c r="EG295" i="1"/>
  <c r="CS295" i="1"/>
  <c r="DQ295" i="1" s="1"/>
  <c r="CR292" i="1"/>
  <c r="DN295" i="1"/>
  <c r="EE13" i="1"/>
  <c r="DN292" i="1"/>
  <c r="AV143" i="1"/>
  <c r="EE295" i="1"/>
  <c r="DY282" i="1"/>
  <c r="DN277" i="1"/>
  <c r="EE31" i="1"/>
  <c r="AY182" i="1"/>
  <c r="DN271" i="1"/>
  <c r="EE277" i="1"/>
  <c r="DF143" i="1"/>
  <c r="DU282" i="1"/>
  <c r="EE107" i="1"/>
  <c r="EE293" i="1"/>
  <c r="DN299" i="1"/>
  <c r="DN278" i="1"/>
  <c r="EE298" i="1"/>
  <c r="EE310" i="1"/>
  <c r="DN310" i="1"/>
  <c r="AY310" i="1"/>
  <c r="DP295" i="1"/>
  <c r="EE116" i="1"/>
  <c r="EE273" i="1"/>
  <c r="CS304" i="1"/>
  <c r="CU304" i="1" s="1"/>
  <c r="CZ304" i="1" s="1"/>
  <c r="DP304" i="1"/>
  <c r="EG304" i="1"/>
  <c r="EE304" i="1"/>
  <c r="EE223" i="1"/>
  <c r="DN223" i="1"/>
  <c r="DN233" i="1"/>
  <c r="EE263" i="1"/>
  <c r="CR253" i="1"/>
  <c r="DN279" i="1"/>
  <c r="EE257" i="1"/>
  <c r="EE268" i="1"/>
  <c r="EE282" i="1"/>
  <c r="EE280" i="1"/>
  <c r="DN280" i="1"/>
  <c r="EE267" i="1"/>
  <c r="EE259" i="1"/>
  <c r="AY100" i="1"/>
  <c r="DZ129" i="1"/>
  <c r="DC143" i="1"/>
  <c r="BJ423" i="1"/>
  <c r="DU178" i="1"/>
  <c r="AR143" i="1"/>
  <c r="DB143" i="1" s="1"/>
  <c r="AY119" i="1"/>
  <c r="EE123" i="1"/>
  <c r="AX423" i="1"/>
  <c r="EE59" i="1"/>
  <c r="EI81" i="1"/>
  <c r="EH149" i="1"/>
  <c r="EB81" i="1"/>
  <c r="DA81" i="1"/>
  <c r="DT81" i="1"/>
  <c r="CV146" i="1"/>
  <c r="EA81" i="1"/>
  <c r="EE189" i="1"/>
  <c r="DN195" i="1"/>
  <c r="AY77" i="1"/>
  <c r="AY141" i="1"/>
  <c r="EE183" i="1"/>
  <c r="CC420" i="1"/>
  <c r="CC421" i="1"/>
  <c r="BY423" i="1"/>
  <c r="AX420" i="1"/>
  <c r="AX422" i="1"/>
  <c r="BY422" i="1"/>
  <c r="BX423" i="1"/>
  <c r="BY420" i="1"/>
  <c r="AX421" i="1"/>
  <c r="BU421" i="1"/>
  <c r="EE7" i="1"/>
  <c r="ED270" i="1"/>
  <c r="DF270" i="1"/>
  <c r="DT270" i="1"/>
  <c r="EE285" i="1"/>
  <c r="DP271" i="1"/>
  <c r="CU271" i="1"/>
  <c r="CZ271" i="1" s="1"/>
  <c r="EG271" i="1"/>
  <c r="DQ271" i="1"/>
  <c r="DN285" i="1"/>
  <c r="EE278" i="1"/>
  <c r="EE201" i="1"/>
  <c r="DY270" i="1"/>
  <c r="DN201" i="1"/>
  <c r="DW81" i="1"/>
  <c r="AY28" i="1"/>
  <c r="EE272" i="1"/>
  <c r="CR283" i="1"/>
  <c r="AY313" i="1"/>
  <c r="ED81" i="1"/>
  <c r="EE203" i="1"/>
  <c r="EE255" i="1"/>
  <c r="DQ160" i="1"/>
  <c r="CU160" i="1"/>
  <c r="CZ160" i="1" s="1"/>
  <c r="DZ226" i="1"/>
  <c r="DN276" i="1"/>
  <c r="EE276" i="1"/>
  <c r="EA226" i="1"/>
  <c r="DU226" i="1"/>
  <c r="EE296" i="1"/>
  <c r="EE140" i="1"/>
  <c r="EE130" i="1"/>
  <c r="DF226" i="1"/>
  <c r="DU81" i="1"/>
  <c r="DA226" i="1"/>
  <c r="DY226" i="1"/>
  <c r="DX226" i="1"/>
  <c r="DT226" i="1"/>
  <c r="DW226" i="1"/>
  <c r="EC226" i="1"/>
  <c r="EE294" i="1"/>
  <c r="DZ81" i="1"/>
  <c r="EE279" i="1"/>
  <c r="EG302" i="1"/>
  <c r="DP302" i="1"/>
  <c r="CS302" i="1"/>
  <c r="CU302" i="1" s="1"/>
  <c r="EG279" i="1"/>
  <c r="CS279" i="1"/>
  <c r="CU279" i="1" s="1"/>
  <c r="DP279" i="1"/>
  <c r="AY92" i="1"/>
  <c r="EH66" i="1"/>
  <c r="CR76" i="1"/>
  <c r="DN302" i="1"/>
  <c r="DF81" i="1"/>
  <c r="EE309" i="1"/>
  <c r="EE302" i="1"/>
  <c r="CS297" i="1"/>
  <c r="CU297" i="1" s="1"/>
  <c r="AZ68" i="1"/>
  <c r="CR309" i="1"/>
  <c r="CS309" i="1" s="1"/>
  <c r="CU309" i="1" s="1"/>
  <c r="CR242" i="1"/>
  <c r="CR123" i="1"/>
  <c r="EG123" i="1" s="1"/>
  <c r="DY81" i="1"/>
  <c r="CR275" i="1"/>
  <c r="CS275" i="1" s="1"/>
  <c r="CR262" i="1"/>
  <c r="CS300" i="1"/>
  <c r="CU300" i="1" s="1"/>
  <c r="DP300" i="1"/>
  <c r="EG300" i="1"/>
  <c r="EG310" i="1"/>
  <c r="DP310" i="1"/>
  <c r="CS310" i="1"/>
  <c r="CU310" i="1" s="1"/>
  <c r="DS310" i="1" s="1"/>
  <c r="CS223" i="1"/>
  <c r="DQ223" i="1" s="1"/>
  <c r="DP223" i="1"/>
  <c r="EG223" i="1"/>
  <c r="DP96" i="1"/>
  <c r="EG96" i="1"/>
  <c r="CR7" i="1"/>
  <c r="EF226" i="1"/>
  <c r="EI226" i="1"/>
  <c r="BS143" i="1"/>
  <c r="EC81" i="1"/>
  <c r="EF81" i="1"/>
  <c r="CR122" i="1"/>
  <c r="DP122" i="1" s="1"/>
  <c r="CR255" i="1"/>
  <c r="EG285" i="1"/>
  <c r="CS285" i="1"/>
  <c r="DQ285" i="1" s="1"/>
  <c r="DP285" i="1"/>
  <c r="DP277" i="1"/>
  <c r="CS277" i="1"/>
  <c r="CU277" i="1" s="1"/>
  <c r="EG277" i="1"/>
  <c r="DP270" i="1"/>
  <c r="EG270" i="1"/>
  <c r="EG273" i="1"/>
  <c r="CS273" i="1"/>
  <c r="EH273" i="1" s="1"/>
  <c r="DP313" i="1"/>
  <c r="EG313" i="1"/>
  <c r="CS313" i="1"/>
  <c r="EH313" i="1" s="1"/>
  <c r="CS298" i="1"/>
  <c r="EH298" i="1" s="1"/>
  <c r="EG298" i="1"/>
  <c r="CS312" i="1"/>
  <c r="CU312" i="1" s="1"/>
  <c r="CZ312" i="1" s="1"/>
  <c r="EG312" i="1"/>
  <c r="CR287" i="1"/>
  <c r="CR316" i="1"/>
  <c r="CS96" i="1"/>
  <c r="DQ96" i="1" s="1"/>
  <c r="DP294" i="1"/>
  <c r="EG294" i="1"/>
  <c r="CS294" i="1"/>
  <c r="DQ294" i="1" s="1"/>
  <c r="DP305" i="1"/>
  <c r="EG305" i="1"/>
  <c r="CS305" i="1"/>
  <c r="CU305" i="1" s="1"/>
  <c r="CY305" i="1" s="1"/>
  <c r="CS274" i="1"/>
  <c r="CU274" i="1" s="1"/>
  <c r="EG274" i="1"/>
  <c r="DP274" i="1"/>
  <c r="EG267" i="1"/>
  <c r="CS267" i="1"/>
  <c r="CU267" i="1" s="1"/>
  <c r="DP267" i="1"/>
  <c r="DP293" i="1"/>
  <c r="EG293" i="1"/>
  <c r="CS293" i="1"/>
  <c r="EH293" i="1" s="1"/>
  <c r="CS280" i="1"/>
  <c r="CU280" i="1" s="1"/>
  <c r="EG280" i="1"/>
  <c r="DP280" i="1"/>
  <c r="DN121" i="1"/>
  <c r="EE121" i="1"/>
  <c r="EE96" i="1"/>
  <c r="DN96" i="1"/>
  <c r="CR121" i="1"/>
  <c r="CR259" i="1"/>
  <c r="BL143" i="1"/>
  <c r="BQ143" i="1"/>
  <c r="DG143" i="1"/>
  <c r="BP143" i="1"/>
  <c r="DI143" i="1"/>
  <c r="BM143" i="1"/>
  <c r="DH143" i="1"/>
  <c r="BN143" i="1"/>
  <c r="DL143" i="1"/>
  <c r="DO143" i="1"/>
  <c r="BR143" i="1"/>
  <c r="AS143" i="1"/>
  <c r="AS421" i="1" s="1"/>
  <c r="AT143" i="1"/>
  <c r="DJ143" i="1"/>
  <c r="AW143" i="1"/>
  <c r="DK143" i="1"/>
  <c r="DD143" i="1"/>
  <c r="DM143" i="1"/>
  <c r="W143" i="1"/>
  <c r="DE143" i="1"/>
  <c r="BT143" i="1"/>
  <c r="BO143" i="1"/>
  <c r="BK143" i="1"/>
  <c r="CR257" i="1"/>
  <c r="CR175" i="1"/>
  <c r="CR107" i="1"/>
  <c r="EE274" i="1"/>
  <c r="CR306" i="1"/>
  <c r="EE93" i="1"/>
  <c r="DN93" i="1"/>
  <c r="EE270" i="1"/>
  <c r="CR282" i="1"/>
  <c r="CR93" i="1"/>
  <c r="DZ204" i="1"/>
  <c r="DU204" i="1"/>
  <c r="DW204" i="1"/>
  <c r="AY295" i="1"/>
  <c r="CY158" i="1"/>
  <c r="EF178" i="1"/>
  <c r="CV158" i="1"/>
  <c r="EB178" i="1"/>
  <c r="DS158" i="1"/>
  <c r="DY45" i="1"/>
  <c r="CU145" i="1"/>
  <c r="DS145" i="1" s="1"/>
  <c r="EH158" i="1"/>
  <c r="DY178" i="1"/>
  <c r="DQ158" i="1"/>
  <c r="EF10" i="1"/>
  <c r="DX10" i="1"/>
  <c r="DQ145" i="1"/>
  <c r="DF10" i="1"/>
  <c r="EH201" i="1"/>
  <c r="DP276" i="1"/>
  <c r="CW158" i="1"/>
  <c r="EI10" i="1"/>
  <c r="EG276" i="1"/>
  <c r="CZ158" i="1"/>
  <c r="EJ158" i="1"/>
  <c r="DW10" i="1"/>
  <c r="EB10" i="1"/>
  <c r="DZ45" i="1"/>
  <c r="DP269" i="1"/>
  <c r="BX422" i="1"/>
  <c r="BJ421" i="1"/>
  <c r="EG269" i="1"/>
  <c r="BJ420" i="1"/>
  <c r="BW422" i="1"/>
  <c r="BX421" i="1"/>
  <c r="T43" i="1"/>
  <c r="DP43" i="1" s="1"/>
  <c r="S423" i="1"/>
  <c r="S422" i="1"/>
  <c r="S420" i="1"/>
  <c r="S421" i="1"/>
  <c r="BU420" i="1"/>
  <c r="BU422" i="1"/>
  <c r="BU423" i="1"/>
  <c r="DA129" i="1"/>
  <c r="DY124" i="1"/>
  <c r="BJ422" i="1"/>
  <c r="CH422" i="1"/>
  <c r="DU129" i="1"/>
  <c r="CH423" i="1"/>
  <c r="BW421" i="1"/>
  <c r="CH421" i="1"/>
  <c r="BT71" i="1"/>
  <c r="DY5" i="1"/>
  <c r="DT5" i="1"/>
  <c r="EC204" i="1"/>
  <c r="CY146" i="1"/>
  <c r="EB124" i="1"/>
  <c r="CX146" i="1"/>
  <c r="EA124" i="1"/>
  <c r="DT124" i="1"/>
  <c r="ED124" i="1"/>
  <c r="EH157" i="1"/>
  <c r="DQ146" i="1"/>
  <c r="DZ124" i="1"/>
  <c r="DU124" i="1"/>
  <c r="CZ157" i="1"/>
  <c r="EH146" i="1"/>
  <c r="DS146" i="1"/>
  <c r="EH155" i="1"/>
  <c r="DU10" i="1"/>
  <c r="EC124" i="1"/>
  <c r="CH420" i="1"/>
  <c r="DW124" i="1"/>
  <c r="DQ157" i="1"/>
  <c r="EJ157" i="1"/>
  <c r="CY157" i="1"/>
  <c r="CX155" i="1"/>
  <c r="CZ146" i="1"/>
  <c r="CW157" i="1"/>
  <c r="DS157" i="1"/>
  <c r="CZ155" i="1"/>
  <c r="CW146" i="1"/>
  <c r="CX157" i="1"/>
  <c r="CY155" i="1"/>
  <c r="EF124" i="1"/>
  <c r="AY263" i="1"/>
  <c r="EG258" i="1"/>
  <c r="CS263" i="1"/>
  <c r="DQ263" i="1" s="1"/>
  <c r="CS258" i="1"/>
  <c r="EH258" i="1" s="1"/>
  <c r="AY279" i="1"/>
  <c r="CZ201" i="1"/>
  <c r="AY271" i="1"/>
  <c r="CX201" i="1"/>
  <c r="AY278" i="1"/>
  <c r="AY321" i="1"/>
  <c r="CU276" i="1"/>
  <c r="EH276" i="1"/>
  <c r="DQ276" i="1"/>
  <c r="DT26" i="1"/>
  <c r="W298" i="1"/>
  <c r="DR298" i="1"/>
  <c r="DE314" i="1"/>
  <c r="BK314" i="1"/>
  <c r="CR288" i="1"/>
  <c r="DN288" i="1"/>
  <c r="CR303" i="1"/>
  <c r="EE303" i="1"/>
  <c r="DN303" i="1"/>
  <c r="DN251" i="1"/>
  <c r="BP270" i="1"/>
  <c r="DH270" i="1"/>
  <c r="AW270" i="1"/>
  <c r="AV270" i="1"/>
  <c r="DI270" i="1"/>
  <c r="AV298" i="1"/>
  <c r="DL298" i="1"/>
  <c r="BS298" i="1"/>
  <c r="DG298" i="1"/>
  <c r="BR298" i="1"/>
  <c r="DO298" i="1"/>
  <c r="AW298" i="1"/>
  <c r="BQ298" i="1"/>
  <c r="DP298" i="1"/>
  <c r="BP298" i="1"/>
  <c r="DD298" i="1"/>
  <c r="DC298" i="1"/>
  <c r="DK298" i="1"/>
  <c r="CR6" i="1"/>
  <c r="DN6" i="1"/>
  <c r="EE6" i="1"/>
  <c r="DO314" i="1"/>
  <c r="CR315" i="1"/>
  <c r="DP315" i="1" s="1"/>
  <c r="DN315" i="1"/>
  <c r="CR289" i="1"/>
  <c r="DN289" i="1"/>
  <c r="EE283" i="1"/>
  <c r="CR68" i="1"/>
  <c r="EE68" i="1"/>
  <c r="DN68" i="1"/>
  <c r="EE233" i="1"/>
  <c r="AY285" i="1"/>
  <c r="DS155" i="1"/>
  <c r="BT68" i="1"/>
  <c r="EE299" i="1"/>
  <c r="BN298" i="1"/>
  <c r="AT270" i="1"/>
  <c r="BQ270" i="1"/>
  <c r="DC314" i="1"/>
  <c r="DN298" i="1"/>
  <c r="BO298" i="1"/>
  <c r="CR308" i="1"/>
  <c r="DN308" i="1"/>
  <c r="DG273" i="1"/>
  <c r="BR273" i="1"/>
  <c r="DP273" i="1"/>
  <c r="DE273" i="1"/>
  <c r="BQ273" i="1"/>
  <c r="DD273" i="1"/>
  <c r="BL273" i="1"/>
  <c r="AY273" i="1" s="1"/>
  <c r="DL273" i="1"/>
  <c r="BS273" i="1"/>
  <c r="DO273" i="1"/>
  <c r="DN273" i="1"/>
  <c r="AW273" i="1"/>
  <c r="W273" i="1"/>
  <c r="DC273" i="1"/>
  <c r="CR23" i="1"/>
  <c r="EE23" i="1"/>
  <c r="DN23" i="1"/>
  <c r="CU66" i="1"/>
  <c r="CY66" i="1" s="1"/>
  <c r="CW155" i="1"/>
  <c r="AT298" i="1"/>
  <c r="DK314" i="1"/>
  <c r="DI298" i="1"/>
  <c r="DJ314" i="1"/>
  <c r="DR314" i="1"/>
  <c r="AU298" i="1"/>
  <c r="DJ273" i="1"/>
  <c r="EI124" i="1"/>
  <c r="DX124" i="1"/>
  <c r="DA124" i="1"/>
  <c r="DQ155" i="1"/>
  <c r="EJ155" i="1"/>
  <c r="AY240" i="1"/>
  <c r="AW314" i="1"/>
  <c r="BM298" i="1"/>
  <c r="AV314" i="1"/>
  <c r="BO314" i="1"/>
  <c r="AY314" i="1" s="1"/>
  <c r="CR284" i="1"/>
  <c r="DN284" i="1"/>
  <c r="AY330" i="1"/>
  <c r="AY268" i="1"/>
  <c r="EH321" i="1"/>
  <c r="AY255" i="1"/>
  <c r="AY329" i="1"/>
  <c r="AY328" i="1"/>
  <c r="AY260" i="1"/>
  <c r="DQ321" i="1"/>
  <c r="AY181" i="1"/>
  <c r="CX148" i="1"/>
  <c r="AY301" i="1"/>
  <c r="DN218" i="1"/>
  <c r="CY148" i="1"/>
  <c r="EJ148" i="1"/>
  <c r="EI129" i="1"/>
  <c r="DX26" i="1"/>
  <c r="DP329" i="1"/>
  <c r="DN263" i="1"/>
  <c r="DN49" i="1"/>
  <c r="DN116" i="1"/>
  <c r="DT10" i="1"/>
  <c r="DA10" i="1"/>
  <c r="DZ10" i="1"/>
  <c r="EA10" i="1"/>
  <c r="EC10" i="1"/>
  <c r="DN266" i="1"/>
  <c r="EE181" i="1"/>
  <c r="DN181" i="1"/>
  <c r="EA26" i="1"/>
  <c r="EF270" i="1"/>
  <c r="DA270" i="1"/>
  <c r="EC270" i="1"/>
  <c r="EB270" i="1"/>
  <c r="EA270" i="1"/>
  <c r="AY252" i="1"/>
  <c r="DN297" i="1"/>
  <c r="DW270" i="1"/>
  <c r="EB204" i="1"/>
  <c r="DN253" i="1"/>
  <c r="DN296" i="1"/>
  <c r="DN281" i="1"/>
  <c r="DN130" i="1"/>
  <c r="DN59" i="1"/>
  <c r="DN307" i="1"/>
  <c r="EE307" i="1"/>
  <c r="DN187" i="1"/>
  <c r="EE169" i="1"/>
  <c r="DN169" i="1"/>
  <c r="DZ26" i="1"/>
  <c r="CZ4" i="1"/>
  <c r="DF129" i="1"/>
  <c r="EF45" i="1"/>
  <c r="AY322" i="1"/>
  <c r="DX270" i="1"/>
  <c r="DT204" i="1"/>
  <c r="DN14" i="1"/>
  <c r="EE14" i="1"/>
  <c r="DN138" i="1"/>
  <c r="EE138" i="1"/>
  <c r="EE90" i="1"/>
  <c r="DN90" i="1"/>
  <c r="DN119" i="1"/>
  <c r="DQ154" i="1"/>
  <c r="CU154" i="1"/>
  <c r="EH154" i="1"/>
  <c r="DP166" i="1"/>
  <c r="DN166" i="1"/>
  <c r="AY312" i="1"/>
  <c r="EE18" i="1"/>
  <c r="DN18" i="1"/>
  <c r="EG297" i="1"/>
  <c r="EE187" i="1"/>
  <c r="EE266" i="1"/>
  <c r="EE281" i="1"/>
  <c r="EG263" i="1"/>
  <c r="EF204" i="1"/>
  <c r="EB45" i="1"/>
  <c r="DF5" i="1"/>
  <c r="EC26" i="1"/>
  <c r="DA45" i="1"/>
  <c r="CP420" i="1"/>
  <c r="AY306" i="1"/>
  <c r="EI270" i="1"/>
  <c r="DN31" i="1"/>
  <c r="DN81" i="1"/>
  <c r="EE81" i="1"/>
  <c r="EE97" i="1"/>
  <c r="DN97" i="1"/>
  <c r="DU270" i="1"/>
  <c r="EG201" i="1"/>
  <c r="DP201" i="1"/>
  <c r="EE124" i="1"/>
  <c r="DN124" i="1"/>
  <c r="CW148" i="1"/>
  <c r="DN268" i="1"/>
  <c r="DN207" i="1"/>
  <c r="EE207" i="1"/>
  <c r="DN103" i="1"/>
  <c r="EE103" i="1"/>
  <c r="ED204" i="1"/>
  <c r="EA204" i="1"/>
  <c r="EI204" i="1"/>
  <c r="DF204" i="1"/>
  <c r="EF129" i="1"/>
  <c r="DY129" i="1"/>
  <c r="EB129" i="1"/>
  <c r="ED129" i="1"/>
  <c r="DT129" i="1"/>
  <c r="EC129" i="1"/>
  <c r="DQ4" i="1"/>
  <c r="AY277" i="1"/>
  <c r="EA45" i="1"/>
  <c r="AY320" i="1"/>
  <c r="DX204" i="1"/>
  <c r="DX129" i="1"/>
  <c r="EA129" i="1"/>
  <c r="DA5" i="1"/>
  <c r="EB26" i="1"/>
  <c r="CP421" i="1"/>
  <c r="CS270" i="1"/>
  <c r="CU270" i="1" s="1"/>
  <c r="CX270" i="1" s="1"/>
  <c r="DA204" i="1"/>
  <c r="EE91" i="1"/>
  <c r="DN91" i="1"/>
  <c r="DN118" i="1"/>
  <c r="EE118" i="1"/>
  <c r="CU324" i="1"/>
  <c r="EH324" i="1"/>
  <c r="DQ324" i="1"/>
  <c r="AY311" i="1"/>
  <c r="EH4" i="1"/>
  <c r="DS201" i="1"/>
  <c r="EI178" i="1"/>
  <c r="DZ5" i="1"/>
  <c r="EE88" i="1"/>
  <c r="DN88" i="1"/>
  <c r="DP291" i="1"/>
  <c r="EG291" i="1"/>
  <c r="DP299" i="1"/>
  <c r="CS299" i="1"/>
  <c r="EG299" i="1"/>
  <c r="DN189" i="1"/>
  <c r="EE22" i="1"/>
  <c r="DN22" i="1"/>
  <c r="DN76" i="1"/>
  <c r="EE210" i="1"/>
  <c r="DN210" i="1"/>
  <c r="DP251" i="1"/>
  <c r="CS251" i="1"/>
  <c r="EG251" i="1"/>
  <c r="AY319" i="1"/>
  <c r="DN265" i="1"/>
  <c r="EE57" i="1"/>
  <c r="DN57" i="1"/>
  <c r="EE101" i="1"/>
  <c r="DN101" i="1"/>
  <c r="EG324" i="1"/>
  <c r="DP324" i="1"/>
  <c r="EE205" i="1"/>
  <c r="DN205" i="1"/>
  <c r="EE79" i="1"/>
  <c r="DN79" i="1"/>
  <c r="DN51" i="1"/>
  <c r="EE51" i="1"/>
  <c r="CS178" i="1"/>
  <c r="DN178" i="1"/>
  <c r="AY270" i="1"/>
  <c r="EE221" i="1"/>
  <c r="DN221" i="1"/>
  <c r="EE86" i="1"/>
  <c r="DN86" i="1"/>
  <c r="EE61" i="1"/>
  <c r="DN61" i="1"/>
  <c r="EE204" i="1"/>
  <c r="DN204" i="1"/>
  <c r="CU197" i="1"/>
  <c r="EH197" i="1"/>
  <c r="DQ197" i="1"/>
  <c r="EJ201" i="1"/>
  <c r="CW201" i="1"/>
  <c r="CV201" i="1"/>
  <c r="CU159" i="1"/>
  <c r="DQ159" i="1"/>
  <c r="EE261" i="1"/>
  <c r="DN261" i="1"/>
  <c r="EE260" i="1"/>
  <c r="DN260" i="1"/>
  <c r="EE136" i="1"/>
  <c r="DN136" i="1"/>
  <c r="EG331" i="1"/>
  <c r="DP331" i="1"/>
  <c r="DN99" i="1"/>
  <c r="EE99" i="1"/>
  <c r="EE125" i="1"/>
  <c r="DN125" i="1"/>
  <c r="DN242" i="1"/>
  <c r="DF178" i="1"/>
  <c r="EC178" i="1"/>
  <c r="EE170" i="1"/>
  <c r="DN170" i="1"/>
  <c r="DP180" i="1"/>
  <c r="DN180" i="1"/>
  <c r="DN140" i="1"/>
  <c r="DN9" i="1"/>
  <c r="EE9" i="1"/>
  <c r="CX4" i="1"/>
  <c r="CW4" i="1"/>
  <c r="CV4" i="1"/>
  <c r="DQ161" i="1"/>
  <c r="EH161" i="1"/>
  <c r="CU161" i="1"/>
  <c r="ED26" i="1"/>
  <c r="DW26" i="1"/>
  <c r="DY26" i="1"/>
  <c r="DU26" i="1"/>
  <c r="EC5" i="1"/>
  <c r="ED5" i="1"/>
  <c r="EF5" i="1"/>
  <c r="EI5" i="1"/>
  <c r="EE111" i="1"/>
  <c r="DN111" i="1"/>
  <c r="DN311" i="1"/>
  <c r="CP423" i="1"/>
  <c r="CP422" i="1"/>
  <c r="DN252" i="1"/>
  <c r="EE252" i="1"/>
  <c r="EE15" i="1"/>
  <c r="DN15" i="1"/>
  <c r="AY318" i="1"/>
  <c r="EJ4" i="1"/>
  <c r="DX178" i="1"/>
  <c r="DW178" i="1"/>
  <c r="DW5" i="1"/>
  <c r="DF26" i="1"/>
  <c r="DN272" i="1"/>
  <c r="DN55" i="1"/>
  <c r="EE55" i="1"/>
  <c r="EE92" i="1"/>
  <c r="DN92" i="1"/>
  <c r="DN143" i="1"/>
  <c r="EE143" i="1"/>
  <c r="DN13" i="1"/>
  <c r="DQ201" i="1"/>
  <c r="CY4" i="1"/>
  <c r="DZ178" i="1"/>
  <c r="EA178" i="1"/>
  <c r="EH159" i="1"/>
  <c r="EB5" i="1"/>
  <c r="DX5" i="1"/>
  <c r="EF26" i="1"/>
  <c r="CS278" i="1"/>
  <c r="DN27" i="1"/>
  <c r="EE27" i="1"/>
  <c r="AY287" i="1"/>
  <c r="EE75" i="1"/>
  <c r="DN75" i="1"/>
  <c r="EE106" i="1"/>
  <c r="DN106" i="1"/>
  <c r="EE177" i="1"/>
  <c r="DN177" i="1"/>
  <c r="EE39" i="1"/>
  <c r="DN39" i="1"/>
  <c r="EE174" i="1"/>
  <c r="DN174" i="1"/>
  <c r="DS148" i="1"/>
  <c r="CZ148" i="1"/>
  <c r="EG278" i="1"/>
  <c r="EE178" i="1"/>
  <c r="DA178" i="1"/>
  <c r="AZ120" i="1"/>
  <c r="EA5" i="1"/>
  <c r="EI26" i="1"/>
  <c r="CS331" i="1"/>
  <c r="EE235" i="1"/>
  <c r="EE43" i="1"/>
  <c r="EE78" i="1"/>
  <c r="DN78" i="1"/>
  <c r="AY296" i="1"/>
  <c r="AY304" i="1"/>
  <c r="DN183" i="1"/>
  <c r="DN73" i="1"/>
  <c r="EE73" i="1"/>
  <c r="CS233" i="1"/>
  <c r="EG233" i="1"/>
  <c r="DP233" i="1"/>
  <c r="DN203" i="1"/>
  <c r="CU134" i="1"/>
  <c r="DQ134" i="1"/>
  <c r="EH134" i="1"/>
  <c r="DX45" i="1"/>
  <c r="DT45" i="1"/>
  <c r="EC45" i="1"/>
  <c r="EI45" i="1"/>
  <c r="DW45" i="1"/>
  <c r="DF45" i="1"/>
  <c r="CU322" i="1"/>
  <c r="DQ322" i="1"/>
  <c r="EH322" i="1"/>
  <c r="DP322" i="1"/>
  <c r="EG322" i="1"/>
  <c r="DS321" i="1"/>
  <c r="CV321" i="1"/>
  <c r="EE236" i="1"/>
  <c r="DN236" i="1"/>
  <c r="EE114" i="1"/>
  <c r="DN114" i="1"/>
  <c r="CZ321" i="1"/>
  <c r="DN254" i="1"/>
  <c r="EE254" i="1"/>
  <c r="EG332" i="1"/>
  <c r="DP332" i="1"/>
  <c r="DQ323" i="1"/>
  <c r="CU323" i="1"/>
  <c r="EH323" i="1"/>
  <c r="DQ286" i="1"/>
  <c r="EH286" i="1"/>
  <c r="CU286" i="1"/>
  <c r="AY302" i="1"/>
  <c r="DN250" i="1"/>
  <c r="EE250" i="1"/>
  <c r="DN232" i="1"/>
  <c r="EE232" i="1"/>
  <c r="EE94" i="1"/>
  <c r="DN94" i="1"/>
  <c r="DN188" i="1"/>
  <c r="EE188" i="1"/>
  <c r="EE26" i="1"/>
  <c r="DN26" i="1"/>
  <c r="EE137" i="1"/>
  <c r="DN137" i="1"/>
  <c r="DN234" i="1"/>
  <c r="EE234" i="1"/>
  <c r="EE58" i="1"/>
  <c r="DN58" i="1"/>
  <c r="EE126" i="1"/>
  <c r="DN126" i="1"/>
  <c r="DN202" i="1"/>
  <c r="EE202" i="1"/>
  <c r="DN38" i="1"/>
  <c r="EE38" i="1"/>
  <c r="DN213" i="1"/>
  <c r="EE213" i="1"/>
  <c r="EE37" i="1"/>
  <c r="DN37" i="1"/>
  <c r="EE142" i="1"/>
  <c r="DN142" i="1"/>
  <c r="DN72" i="1"/>
  <c r="EE72" i="1"/>
  <c r="DQ200" i="1"/>
  <c r="CU200" i="1"/>
  <c r="EH200" i="1"/>
  <c r="DN240" i="1"/>
  <c r="EE240" i="1"/>
  <c r="CU269" i="1"/>
  <c r="EH269" i="1"/>
  <c r="DQ269" i="1"/>
  <c r="EE85" i="1"/>
  <c r="DN85" i="1"/>
  <c r="DN208" i="1"/>
  <c r="EE208" i="1"/>
  <c r="DN226" i="1"/>
  <c r="EE226" i="1"/>
  <c r="CU193" i="1"/>
  <c r="DQ193" i="1"/>
  <c r="EH193" i="1"/>
  <c r="DZ180" i="1"/>
  <c r="DX180" i="1"/>
  <c r="EE180" i="1"/>
  <c r="DW180" i="1"/>
  <c r="DF180" i="1"/>
  <c r="ED180" i="1"/>
  <c r="EF180" i="1"/>
  <c r="EB180" i="1"/>
  <c r="EC180" i="1"/>
  <c r="EI180" i="1"/>
  <c r="EA180" i="1"/>
  <c r="DT180" i="1"/>
  <c r="DY180" i="1"/>
  <c r="CS180" i="1"/>
  <c r="CU156" i="1"/>
  <c r="EH156" i="1"/>
  <c r="DQ156" i="1"/>
  <c r="CS416" i="1"/>
  <c r="EG416" i="1"/>
  <c r="DP416" i="1"/>
  <c r="DN244" i="1"/>
  <c r="EE244" i="1"/>
  <c r="EE10" i="1"/>
  <c r="DN10" i="1"/>
  <c r="DN102" i="1"/>
  <c r="EE102" i="1"/>
  <c r="DN206" i="1"/>
  <c r="EE206" i="1"/>
  <c r="EE28" i="1"/>
  <c r="DN28" i="1"/>
  <c r="DN165" i="1"/>
  <c r="EE165" i="1"/>
  <c r="DN231" i="1"/>
  <c r="EE231" i="1"/>
  <c r="EE60" i="1"/>
  <c r="DN60" i="1"/>
  <c r="EE131" i="1"/>
  <c r="DN131" i="1"/>
  <c r="DN214" i="1"/>
  <c r="EE214" i="1"/>
  <c r="EE40" i="1"/>
  <c r="DN40" i="1"/>
  <c r="DN54" i="1"/>
  <c r="EE54" i="1"/>
  <c r="EE171" i="1"/>
  <c r="DN171" i="1"/>
  <c r="EE83" i="1"/>
  <c r="DN83" i="1"/>
  <c r="EE45" i="1"/>
  <c r="DN45" i="1"/>
  <c r="EE113" i="1"/>
  <c r="DN113" i="1"/>
  <c r="DP195" i="1"/>
  <c r="EG195" i="1"/>
  <c r="BT120" i="1"/>
  <c r="CD120" i="1"/>
  <c r="DQ162" i="1"/>
  <c r="EH162" i="1"/>
  <c r="CU162" i="1"/>
  <c r="CS241" i="1"/>
  <c r="DN241" i="1"/>
  <c r="EE241" i="1"/>
  <c r="EE53" i="1"/>
  <c r="DN53" i="1"/>
  <c r="DN105" i="1"/>
  <c r="EE105" i="1"/>
  <c r="DN211" i="1"/>
  <c r="EE211" i="1"/>
  <c r="EE30" i="1"/>
  <c r="DN30" i="1"/>
  <c r="EE186" i="1"/>
  <c r="DN186" i="1"/>
  <c r="EE11" i="1"/>
  <c r="DN11" i="1"/>
  <c r="EE82" i="1"/>
  <c r="DN82" i="1"/>
  <c r="EE144" i="1"/>
  <c r="DN144" i="1"/>
  <c r="DN227" i="1"/>
  <c r="EE227" i="1"/>
  <c r="EE42" i="1"/>
  <c r="DN42" i="1"/>
  <c r="EE80" i="1"/>
  <c r="DN80" i="1"/>
  <c r="EE199" i="1"/>
  <c r="DN199" i="1"/>
  <c r="EE95" i="1"/>
  <c r="DN95" i="1"/>
  <c r="DN70" i="1"/>
  <c r="EE70" i="1"/>
  <c r="DN135" i="1"/>
  <c r="EE135" i="1"/>
  <c r="EE215" i="1"/>
  <c r="DN215" i="1"/>
  <c r="DQ196" i="1"/>
  <c r="CU196" i="1"/>
  <c r="EH196" i="1"/>
  <c r="DQ152" i="1"/>
  <c r="EH152" i="1"/>
  <c r="CU152" i="1"/>
  <c r="DQ164" i="1"/>
  <c r="CU164" i="1"/>
  <c r="EH164" i="1"/>
  <c r="EF166" i="1"/>
  <c r="DA166" i="1"/>
  <c r="EG166" i="1"/>
  <c r="DY166" i="1"/>
  <c r="DX166" i="1"/>
  <c r="DW166" i="1"/>
  <c r="DT166" i="1"/>
  <c r="EI166" i="1"/>
  <c r="CS166" i="1"/>
  <c r="EA166" i="1"/>
  <c r="DF166" i="1"/>
  <c r="EC166" i="1"/>
  <c r="EE166" i="1"/>
  <c r="EB166" i="1"/>
  <c r="DZ166" i="1"/>
  <c r="EE64" i="1"/>
  <c r="DN64" i="1"/>
  <c r="DN216" i="1"/>
  <c r="EE216" i="1"/>
  <c r="DN62" i="1"/>
  <c r="EE62" i="1"/>
  <c r="DN209" i="1"/>
  <c r="EE209" i="1"/>
  <c r="EE47" i="1"/>
  <c r="DN47" i="1"/>
  <c r="DN87" i="1"/>
  <c r="EE87" i="1"/>
  <c r="DN168" i="1"/>
  <c r="EE168" i="1"/>
  <c r="DN230" i="1"/>
  <c r="EE230" i="1"/>
  <c r="DN44" i="1"/>
  <c r="EE44" i="1"/>
  <c r="EE109" i="1"/>
  <c r="DN109" i="1"/>
  <c r="EE20" i="1"/>
  <c r="DN20" i="1"/>
  <c r="EE220" i="1"/>
  <c r="DN220" i="1"/>
  <c r="EE98" i="1"/>
  <c r="DN98" i="1"/>
  <c r="DN238" i="1"/>
  <c r="EE238" i="1"/>
  <c r="DN248" i="1"/>
  <c r="EE248" i="1"/>
  <c r="DN115" i="1"/>
  <c r="EE115" i="1"/>
  <c r="EE243" i="1"/>
  <c r="DN243" i="1"/>
  <c r="DN173" i="1"/>
  <c r="EE173" i="1"/>
  <c r="CU163" i="1"/>
  <c r="DQ163" i="1"/>
  <c r="EH163" i="1"/>
  <c r="CU150" i="1"/>
  <c r="EH150" i="1"/>
  <c r="DQ150" i="1"/>
  <c r="EE264" i="1"/>
  <c r="DN264" i="1"/>
  <c r="EE225" i="1"/>
  <c r="DN225" i="1"/>
  <c r="DN176" i="1"/>
  <c r="EE176" i="1"/>
  <c r="CU153" i="1"/>
  <c r="EH153" i="1"/>
  <c r="DQ153" i="1"/>
  <c r="EH329" i="1"/>
  <c r="DQ329" i="1"/>
  <c r="CU329" i="1"/>
  <c r="DN247" i="1"/>
  <c r="EE247" i="1"/>
  <c r="EE219" i="1"/>
  <c r="DN219" i="1"/>
  <c r="EE67" i="1"/>
  <c r="DN67" i="1"/>
  <c r="EE100" i="1"/>
  <c r="DN100" i="1"/>
  <c r="DN249" i="1"/>
  <c r="EE249" i="1"/>
  <c r="EE35" i="1"/>
  <c r="DN35" i="1"/>
  <c r="DN132" i="1"/>
  <c r="EE132" i="1"/>
  <c r="CW321" i="1"/>
  <c r="EH326" i="1"/>
  <c r="DQ326" i="1"/>
  <c r="CU326" i="1"/>
  <c r="EE16" i="1"/>
  <c r="DN16" i="1"/>
  <c r="DN245" i="1"/>
  <c r="EE245" i="1"/>
  <c r="EE71" i="1"/>
  <c r="DN71" i="1"/>
  <c r="DN139" i="1"/>
  <c r="EE139" i="1"/>
  <c r="EE224" i="1"/>
  <c r="DN224" i="1"/>
  <c r="EE8" i="1"/>
  <c r="DN8" i="1"/>
  <c r="EE74" i="1"/>
  <c r="DN74" i="1"/>
  <c r="EE50" i="1"/>
  <c r="DN50" i="1"/>
  <c r="DN108" i="1"/>
  <c r="EE108" i="1"/>
  <c r="DN191" i="1"/>
  <c r="EE191" i="1"/>
  <c r="DN32" i="1"/>
  <c r="EE32" i="1"/>
  <c r="DN128" i="1"/>
  <c r="EE128" i="1"/>
  <c r="EE77" i="1"/>
  <c r="DN77" i="1"/>
  <c r="EE217" i="1"/>
  <c r="DN217" i="1"/>
  <c r="EE192" i="1"/>
  <c r="DN192" i="1"/>
  <c r="DZ241" i="1"/>
  <c r="DA241" i="1"/>
  <c r="DY241" i="1"/>
  <c r="DT241" i="1"/>
  <c r="DX241" i="1"/>
  <c r="EC241" i="1"/>
  <c r="DU241" i="1"/>
  <c r="DF241" i="1"/>
  <c r="DW241" i="1"/>
  <c r="EI241" i="1"/>
  <c r="EF241" i="1"/>
  <c r="DN41" i="1"/>
  <c r="EE41" i="1"/>
  <c r="DN179" i="1"/>
  <c r="EE179" i="1"/>
  <c r="EE212" i="1"/>
  <c r="DN212" i="1"/>
  <c r="CS195" i="1"/>
  <c r="DA113" i="1"/>
  <c r="EA113" i="1"/>
  <c r="EB113" i="1"/>
  <c r="DX113" i="1"/>
  <c r="EF113" i="1"/>
  <c r="EI113" i="1"/>
  <c r="EC113" i="1"/>
  <c r="CS113" i="1"/>
  <c r="DF113" i="1"/>
  <c r="ED113" i="1"/>
  <c r="DT113" i="1"/>
  <c r="DY113" i="1"/>
  <c r="DW113" i="1"/>
  <c r="DZ113" i="1"/>
  <c r="EJ321" i="1"/>
  <c r="EE69" i="1"/>
  <c r="DN69" i="1"/>
  <c r="EE48" i="1"/>
  <c r="DN48" i="1"/>
  <c r="EE184" i="1"/>
  <c r="DN184" i="1"/>
  <c r="EE46" i="1"/>
  <c r="DN46" i="1"/>
  <c r="EE127" i="1"/>
  <c r="DN127" i="1"/>
  <c r="EE29" i="1"/>
  <c r="DN29" i="1"/>
  <c r="CX321" i="1"/>
  <c r="CU327" i="1"/>
  <c r="EH327" i="1"/>
  <c r="DQ327" i="1"/>
  <c r="CS332" i="1"/>
  <c r="CU325" i="1"/>
  <c r="DQ325" i="1"/>
  <c r="EH325" i="1"/>
  <c r="EE21" i="1"/>
  <c r="DN21" i="1"/>
  <c r="DN239" i="1"/>
  <c r="EE239" i="1"/>
  <c r="EE84" i="1"/>
  <c r="DN84" i="1"/>
  <c r="EE141" i="1"/>
  <c r="DN141" i="1"/>
  <c r="DN229" i="1"/>
  <c r="EE229" i="1"/>
  <c r="DN19" i="1"/>
  <c r="EE19" i="1"/>
  <c r="DN110" i="1"/>
  <c r="EE110" i="1"/>
  <c r="EE52" i="1"/>
  <c r="DN52" i="1"/>
  <c r="EE117" i="1"/>
  <c r="DN117" i="1"/>
  <c r="EE194" i="1"/>
  <c r="DN194" i="1"/>
  <c r="EE34" i="1"/>
  <c r="DN34" i="1"/>
  <c r="EE167" i="1"/>
  <c r="DN167" i="1"/>
  <c r="DN17" i="1"/>
  <c r="EE17" i="1"/>
  <c r="DN104" i="1"/>
  <c r="EE104" i="1"/>
  <c r="EE12" i="1"/>
  <c r="DN12" i="1"/>
  <c r="DN228" i="1"/>
  <c r="EE228" i="1"/>
  <c r="DN63" i="1"/>
  <c r="EE63" i="1"/>
  <c r="EE182" i="1"/>
  <c r="DN182" i="1"/>
  <c r="DU180" i="1"/>
  <c r="DU166" i="1"/>
  <c r="DP311" i="1"/>
  <c r="EG311" i="1"/>
  <c r="EE5" i="1"/>
  <c r="DN5" i="1"/>
  <c r="EE133" i="1"/>
  <c r="DN133" i="1"/>
  <c r="DN222" i="1"/>
  <c r="EE222" i="1"/>
  <c r="DN246" i="1"/>
  <c r="EE246" i="1"/>
  <c r="EE256" i="1"/>
  <c r="DN256" i="1"/>
  <c r="DQ330" i="1"/>
  <c r="CU330" i="1"/>
  <c r="EH330" i="1"/>
  <c r="DQ328" i="1"/>
  <c r="EH328" i="1"/>
  <c r="CU328" i="1"/>
  <c r="CS311" i="1"/>
  <c r="CU291" i="1"/>
  <c r="DQ291" i="1"/>
  <c r="EH291" i="1"/>
  <c r="AY294" i="1"/>
  <c r="EE237" i="1"/>
  <c r="DN237" i="1"/>
  <c r="EE89" i="1"/>
  <c r="DN89" i="1"/>
  <c r="DN172" i="1"/>
  <c r="EE172" i="1"/>
  <c r="EE24" i="1"/>
  <c r="DN24" i="1"/>
  <c r="EE112" i="1"/>
  <c r="DN112" i="1"/>
  <c r="EE56" i="1"/>
  <c r="DN56" i="1"/>
  <c r="DN120" i="1"/>
  <c r="EE120" i="1"/>
  <c r="DN198" i="1"/>
  <c r="EE198" i="1"/>
  <c r="EE36" i="1"/>
  <c r="DN36" i="1"/>
  <c r="DN190" i="1"/>
  <c r="EE190" i="1"/>
  <c r="DN25" i="1"/>
  <c r="EE25" i="1"/>
  <c r="EE129" i="1"/>
  <c r="DN129" i="1"/>
  <c r="DN33" i="1"/>
  <c r="EE33" i="1"/>
  <c r="EB241" i="1"/>
  <c r="EE65" i="1"/>
  <c r="DN65" i="1"/>
  <c r="DN185" i="1"/>
  <c r="EE185" i="1"/>
  <c r="DA180" i="1"/>
  <c r="CU151" i="1"/>
  <c r="EH151" i="1"/>
  <c r="DQ151" i="1"/>
  <c r="DF104" i="1"/>
  <c r="DZ104" i="1"/>
  <c r="DA104" i="1"/>
  <c r="EA104" i="1"/>
  <c r="ED104" i="1"/>
  <c r="DT104" i="1"/>
  <c r="EF104" i="1"/>
  <c r="DX104" i="1"/>
  <c r="DU104" i="1"/>
  <c r="DW104" i="1"/>
  <c r="EB104" i="1"/>
  <c r="DY104" i="1"/>
  <c r="EC104" i="1"/>
  <c r="EI104" i="1"/>
  <c r="EF122" i="1"/>
  <c r="DX122" i="1"/>
  <c r="EI122" i="1"/>
  <c r="DF122" i="1"/>
  <c r="DY122" i="1"/>
  <c r="DZ122" i="1"/>
  <c r="DT122" i="1"/>
  <c r="EB122" i="1"/>
  <c r="EA122" i="1"/>
  <c r="DW122" i="1"/>
  <c r="EC122" i="1"/>
  <c r="EE122" i="1"/>
  <c r="DA122" i="1"/>
  <c r="ED122" i="1"/>
  <c r="CD88" i="1"/>
  <c r="BT88" i="1"/>
  <c r="CU320" i="1"/>
  <c r="DQ320" i="1"/>
  <c r="CS319" i="1"/>
  <c r="DP319" i="1"/>
  <c r="CU318" i="1"/>
  <c r="EH318" i="1"/>
  <c r="DQ318" i="1"/>
  <c r="EH317" i="1"/>
  <c r="DQ317" i="1"/>
  <c r="CU317" i="1"/>
  <c r="DP312" i="1"/>
  <c r="T420" i="1" l="1"/>
  <c r="T422" i="1"/>
  <c r="T421" i="1"/>
  <c r="T423" i="1"/>
  <c r="CW149" i="1"/>
  <c r="AZ422" i="1"/>
  <c r="EJ149" i="1"/>
  <c r="CS218" i="1"/>
  <c r="CU218" i="1" s="1"/>
  <c r="CD423" i="1"/>
  <c r="CY149" i="1"/>
  <c r="CZ149" i="1"/>
  <c r="CV149" i="1"/>
  <c r="CX149" i="1"/>
  <c r="CU295" i="1"/>
  <c r="EJ295" i="1" s="1"/>
  <c r="AS422" i="1"/>
  <c r="AS423" i="1"/>
  <c r="AS420" i="1"/>
  <c r="EH314" i="1"/>
  <c r="EH297" i="1"/>
  <c r="DQ297" i="1"/>
  <c r="DQ314" i="1"/>
  <c r="EG218" i="1"/>
  <c r="BQ43" i="1"/>
  <c r="BQ423" i="1" s="1"/>
  <c r="EH277" i="1"/>
  <c r="CU293" i="1"/>
  <c r="CY293" i="1" s="1"/>
  <c r="DQ277" i="1"/>
  <c r="CW304" i="1"/>
  <c r="CU294" i="1"/>
  <c r="CW294" i="1" s="1"/>
  <c r="EG301" i="1"/>
  <c r="EH294" i="1"/>
  <c r="DP301" i="1"/>
  <c r="DO43" i="1"/>
  <c r="DO420" i="1" s="1"/>
  <c r="AU43" i="1"/>
  <c r="AU423" i="1" s="1"/>
  <c r="BK43" i="1"/>
  <c r="BK423" i="1" s="1"/>
  <c r="BT43" i="1"/>
  <c r="BT420" i="1" s="1"/>
  <c r="DR43" i="1"/>
  <c r="DR420" i="1" s="1"/>
  <c r="BL43" i="1"/>
  <c r="BL423" i="1" s="1"/>
  <c r="BP43" i="1"/>
  <c r="BP421" i="1" s="1"/>
  <c r="BR43" i="1"/>
  <c r="BR421" i="1" s="1"/>
  <c r="DC43" i="1"/>
  <c r="DC420" i="1" s="1"/>
  <c r="DL43" i="1"/>
  <c r="DL422" i="1" s="1"/>
  <c r="AW43" i="1"/>
  <c r="DD43" i="1"/>
  <c r="BO43" i="1"/>
  <c r="BO423" i="1" s="1"/>
  <c r="CY271" i="1"/>
  <c r="EH280" i="1"/>
  <c r="EG315" i="1"/>
  <c r="AV43" i="1"/>
  <c r="AV421" i="1" s="1"/>
  <c r="CV271" i="1"/>
  <c r="DH43" i="1"/>
  <c r="DH423" i="1" s="1"/>
  <c r="CW271" i="1"/>
  <c r="DS271" i="1"/>
  <c r="EJ271" i="1"/>
  <c r="BS43" i="1"/>
  <c r="BS423" i="1" s="1"/>
  <c r="CX271" i="1"/>
  <c r="DQ280" i="1"/>
  <c r="DF43" i="1"/>
  <c r="DF420" i="1" s="1"/>
  <c r="DG43" i="1"/>
  <c r="EH295" i="1"/>
  <c r="BN43" i="1"/>
  <c r="BN420" i="1" s="1"/>
  <c r="W43" i="1"/>
  <c r="W421" i="1" s="1"/>
  <c r="DQ293" i="1"/>
  <c r="CW310" i="1"/>
  <c r="DI43" i="1"/>
  <c r="DI420" i="1" s="1"/>
  <c r="CW314" i="1"/>
  <c r="CZ314" i="1"/>
  <c r="DS314" i="1"/>
  <c r="CX314" i="1"/>
  <c r="CV314" i="1"/>
  <c r="CX160" i="1"/>
  <c r="DP314" i="1"/>
  <c r="EG314" i="1"/>
  <c r="CZ66" i="1"/>
  <c r="AR43" i="1"/>
  <c r="DB43" i="1" s="1"/>
  <c r="DB421" i="1" s="1"/>
  <c r="DK43" i="1"/>
  <c r="DN43" i="1"/>
  <c r="DN420" i="1" s="1"/>
  <c r="AT43" i="1"/>
  <c r="DM43" i="1"/>
  <c r="DM420" i="1" s="1"/>
  <c r="BM43" i="1"/>
  <c r="BM420" i="1" s="1"/>
  <c r="DP292" i="1"/>
  <c r="EG292" i="1"/>
  <c r="CS292" i="1"/>
  <c r="CX66" i="1"/>
  <c r="CV312" i="1"/>
  <c r="DS312" i="1"/>
  <c r="EJ312" i="1"/>
  <c r="CX312" i="1"/>
  <c r="CW312" i="1"/>
  <c r="CY312" i="1"/>
  <c r="EH312" i="1"/>
  <c r="EJ160" i="1"/>
  <c r="CY304" i="1"/>
  <c r="EH304" i="1"/>
  <c r="DQ304" i="1"/>
  <c r="CX304" i="1"/>
  <c r="DS304" i="1"/>
  <c r="CV304" i="1"/>
  <c r="EJ304" i="1"/>
  <c r="DS305" i="1"/>
  <c r="CU273" i="1"/>
  <c r="CV273" i="1" s="1"/>
  <c r="EH305" i="1"/>
  <c r="DD422" i="1"/>
  <c r="CD422" i="1"/>
  <c r="CD420" i="1"/>
  <c r="CD421" i="1"/>
  <c r="DW421" i="1"/>
  <c r="CS122" i="1"/>
  <c r="EG122" i="1"/>
  <c r="CY160" i="1"/>
  <c r="ED420" i="1"/>
  <c r="DA421" i="1"/>
  <c r="CV160" i="1"/>
  <c r="EF422" i="1"/>
  <c r="ED421" i="1"/>
  <c r="DU421" i="1"/>
  <c r="EC422" i="1"/>
  <c r="DW423" i="1"/>
  <c r="AR420" i="1"/>
  <c r="EJ310" i="1"/>
  <c r="CY314" i="1"/>
  <c r="EH223" i="1"/>
  <c r="CY310" i="1"/>
  <c r="DQ300" i="1"/>
  <c r="EH300" i="1"/>
  <c r="DZ422" i="1"/>
  <c r="DA420" i="1"/>
  <c r="DW422" i="1"/>
  <c r="EH310" i="1"/>
  <c r="CZ145" i="1"/>
  <c r="BP420" i="1"/>
  <c r="DP275" i="1"/>
  <c r="CR423" i="1"/>
  <c r="DQ274" i="1"/>
  <c r="DQ302" i="1"/>
  <c r="EH274" i="1"/>
  <c r="DS66" i="1"/>
  <c r="EJ66" i="1"/>
  <c r="DS160" i="1"/>
  <c r="CV66" i="1"/>
  <c r="BN421" i="1"/>
  <c r="CW160" i="1"/>
  <c r="DQ312" i="1"/>
  <c r="CY145" i="1"/>
  <c r="DR422" i="1"/>
  <c r="EH302" i="1"/>
  <c r="DR423" i="1"/>
  <c r="CU223" i="1"/>
  <c r="DS223" i="1" s="1"/>
  <c r="CU263" i="1"/>
  <c r="CW263" i="1" s="1"/>
  <c r="CU313" i="1"/>
  <c r="CX313" i="1" s="1"/>
  <c r="CU285" i="1"/>
  <c r="CX285" i="1" s="1"/>
  <c r="DQ313" i="1"/>
  <c r="DQ279" i="1"/>
  <c r="EH279" i="1"/>
  <c r="CS283" i="1"/>
  <c r="DP283" i="1"/>
  <c r="EG283" i="1"/>
  <c r="EG275" i="1"/>
  <c r="DP123" i="1"/>
  <c r="CW66" i="1"/>
  <c r="CW305" i="1"/>
  <c r="CS315" i="1"/>
  <c r="CU315" i="1" s="1"/>
  <c r="DQ305" i="1"/>
  <c r="CS123" i="1"/>
  <c r="CU123" i="1" s="1"/>
  <c r="DD421" i="1"/>
  <c r="CX310" i="1"/>
  <c r="EG309" i="1"/>
  <c r="DP309" i="1"/>
  <c r="EH309" i="1"/>
  <c r="CU298" i="1"/>
  <c r="CZ298" i="1" s="1"/>
  <c r="EJ305" i="1"/>
  <c r="DQ309" i="1"/>
  <c r="DQ310" i="1"/>
  <c r="EH285" i="1"/>
  <c r="CZ310" i="1"/>
  <c r="DJ43" i="1"/>
  <c r="DJ422" i="1" s="1"/>
  <c r="DE43" i="1"/>
  <c r="DE422" i="1" s="1"/>
  <c r="CV310" i="1"/>
  <c r="DQ298" i="1"/>
  <c r="DQ267" i="1"/>
  <c r="DP262" i="1"/>
  <c r="EG262" i="1"/>
  <c r="CS262" i="1"/>
  <c r="EH267" i="1"/>
  <c r="AY143" i="1"/>
  <c r="DP7" i="1"/>
  <c r="CS7" i="1"/>
  <c r="EG7" i="1"/>
  <c r="EG255" i="1"/>
  <c r="CS255" i="1"/>
  <c r="DP255" i="1"/>
  <c r="CX145" i="1"/>
  <c r="DQ273" i="1"/>
  <c r="CU96" i="1"/>
  <c r="EH96" i="1"/>
  <c r="CS316" i="1"/>
  <c r="EG316" i="1"/>
  <c r="DP316" i="1"/>
  <c r="CS287" i="1"/>
  <c r="DP287" i="1"/>
  <c r="EG287" i="1"/>
  <c r="DP93" i="1"/>
  <c r="CS93" i="1"/>
  <c r="EG93" i="1"/>
  <c r="CZ305" i="1"/>
  <c r="EG282" i="1"/>
  <c r="DP282" i="1"/>
  <c r="CS282" i="1"/>
  <c r="DP259" i="1"/>
  <c r="EG259" i="1"/>
  <c r="CS259" i="1"/>
  <c r="DP306" i="1"/>
  <c r="EG306" i="1"/>
  <c r="CS306" i="1"/>
  <c r="DP121" i="1"/>
  <c r="EG121" i="1"/>
  <c r="CS121" i="1"/>
  <c r="DP107" i="1"/>
  <c r="CS107" i="1"/>
  <c r="EG107" i="1"/>
  <c r="DP175" i="1"/>
  <c r="CS175" i="1"/>
  <c r="EG175" i="1"/>
  <c r="CV305" i="1"/>
  <c r="CX305" i="1"/>
  <c r="DP257" i="1"/>
  <c r="EG257" i="1"/>
  <c r="CS257" i="1"/>
  <c r="CZ270" i="1"/>
  <c r="EF420" i="1"/>
  <c r="DX421" i="1"/>
  <c r="DW420" i="1"/>
  <c r="BO420" i="1"/>
  <c r="EA422" i="1"/>
  <c r="BQ421" i="1"/>
  <c r="EI422" i="1"/>
  <c r="DZ423" i="1"/>
  <c r="BK420" i="1"/>
  <c r="EJ314" i="1"/>
  <c r="CW145" i="1"/>
  <c r="EJ145" i="1"/>
  <c r="AT420" i="1"/>
  <c r="CV145" i="1"/>
  <c r="DM423" i="1"/>
  <c r="DU422" i="1"/>
  <c r="DA422" i="1"/>
  <c r="ED423" i="1"/>
  <c r="DU420" i="1"/>
  <c r="DZ420" i="1"/>
  <c r="EE421" i="1"/>
  <c r="BP423" i="1"/>
  <c r="AZ420" i="1"/>
  <c r="DB420" i="1"/>
  <c r="DM421" i="1"/>
  <c r="AZ423" i="1"/>
  <c r="DF421" i="1"/>
  <c r="BR420" i="1"/>
  <c r="DU423" i="1"/>
  <c r="EF421" i="1"/>
  <c r="BQ422" i="1"/>
  <c r="BP422" i="1"/>
  <c r="BS420" i="1"/>
  <c r="BN423" i="1"/>
  <c r="EI423" i="1"/>
  <c r="AW421" i="1"/>
  <c r="AT423" i="1"/>
  <c r="DD423" i="1"/>
  <c r="DD420" i="1"/>
  <c r="BO422" i="1"/>
  <c r="DQ258" i="1"/>
  <c r="EA420" i="1"/>
  <c r="EB421" i="1"/>
  <c r="AT421" i="1"/>
  <c r="ED422" i="1"/>
  <c r="EC421" i="1"/>
  <c r="DM422" i="1"/>
  <c r="DY422" i="1"/>
  <c r="BO421" i="1"/>
  <c r="AZ421" i="1"/>
  <c r="BN422" i="1"/>
  <c r="DK422" i="1"/>
  <c r="EA421" i="1"/>
  <c r="DX423" i="1"/>
  <c r="EH263" i="1"/>
  <c r="DT422" i="1"/>
  <c r="DK421" i="1"/>
  <c r="DK420" i="1"/>
  <c r="EE420" i="1"/>
  <c r="DG422" i="1"/>
  <c r="CU258" i="1"/>
  <c r="EJ258" i="1" s="1"/>
  <c r="EE423" i="1"/>
  <c r="BS422" i="1"/>
  <c r="EA423" i="1"/>
  <c r="DZ421" i="1"/>
  <c r="EE422" i="1"/>
  <c r="DY423" i="1"/>
  <c r="AW423" i="1"/>
  <c r="EF423" i="1"/>
  <c r="DG423" i="1"/>
  <c r="DG421" i="1"/>
  <c r="DY420" i="1"/>
  <c r="AW422" i="1"/>
  <c r="EI421" i="1"/>
  <c r="AT422" i="1"/>
  <c r="EB420" i="1"/>
  <c r="EB422" i="1"/>
  <c r="EI420" i="1"/>
  <c r="DY421" i="1"/>
  <c r="AW420" i="1"/>
  <c r="DT420" i="1"/>
  <c r="DT421" i="1"/>
  <c r="DT423" i="1"/>
  <c r="DA423" i="1"/>
  <c r="DG420" i="1"/>
  <c r="EB423" i="1"/>
  <c r="DX422" i="1"/>
  <c r="EC420" i="1"/>
  <c r="DX420" i="1"/>
  <c r="EC423" i="1"/>
  <c r="AY298" i="1"/>
  <c r="CY270" i="1"/>
  <c r="EH270" i="1"/>
  <c r="BR422" i="1"/>
  <c r="BR423" i="1"/>
  <c r="DK423" i="1"/>
  <c r="DS270" i="1"/>
  <c r="DQ270" i="1"/>
  <c r="BQ420" i="1"/>
  <c r="CS284" i="1"/>
  <c r="DP284" i="1"/>
  <c r="EG284" i="1"/>
  <c r="DP23" i="1"/>
  <c r="EG23" i="1"/>
  <c r="CS23" i="1"/>
  <c r="EG308" i="1"/>
  <c r="CS308" i="1"/>
  <c r="DP308" i="1"/>
  <c r="DP68" i="1"/>
  <c r="CS68" i="1"/>
  <c r="EG68" i="1"/>
  <c r="DP303" i="1"/>
  <c r="CS303" i="1"/>
  <c r="EG303" i="1"/>
  <c r="EG6" i="1"/>
  <c r="CS6" i="1"/>
  <c r="DP6" i="1"/>
  <c r="DP288" i="1"/>
  <c r="EG288" i="1"/>
  <c r="CS288" i="1"/>
  <c r="CR422" i="1"/>
  <c r="DP289" i="1"/>
  <c r="EG289" i="1"/>
  <c r="CS289" i="1"/>
  <c r="CW270" i="1"/>
  <c r="EJ270" i="1"/>
  <c r="CY276" i="1"/>
  <c r="DS276" i="1"/>
  <c r="CW276" i="1"/>
  <c r="CZ276" i="1"/>
  <c r="EJ276" i="1"/>
  <c r="CX276" i="1"/>
  <c r="CV276" i="1"/>
  <c r="CV270" i="1"/>
  <c r="DQ178" i="1"/>
  <c r="CU178" i="1"/>
  <c r="CX178" i="1" s="1"/>
  <c r="CZ154" i="1"/>
  <c r="CW154" i="1"/>
  <c r="CY154" i="1"/>
  <c r="CV154" i="1"/>
  <c r="CX154" i="1"/>
  <c r="DS154" i="1"/>
  <c r="EJ154" i="1"/>
  <c r="EG268" i="1"/>
  <c r="DP268" i="1"/>
  <c r="CS268" i="1"/>
  <c r="DP119" i="1"/>
  <c r="EG119" i="1"/>
  <c r="CS119" i="1"/>
  <c r="DP169" i="1"/>
  <c r="EG169" i="1"/>
  <c r="CS169" i="1"/>
  <c r="DP281" i="1"/>
  <c r="CS281" i="1"/>
  <c r="EG281" i="1"/>
  <c r="EG118" i="1"/>
  <c r="DP118" i="1"/>
  <c r="CS118" i="1"/>
  <c r="EG31" i="1"/>
  <c r="DP31" i="1"/>
  <c r="CS31" i="1"/>
  <c r="EG14" i="1"/>
  <c r="DP14" i="1"/>
  <c r="CS14" i="1"/>
  <c r="CY267" i="1"/>
  <c r="DS267" i="1"/>
  <c r="CZ267" i="1"/>
  <c r="CW267" i="1"/>
  <c r="EJ267" i="1"/>
  <c r="CV267" i="1"/>
  <c r="CX267" i="1"/>
  <c r="DP97" i="1"/>
  <c r="EG97" i="1"/>
  <c r="CS97" i="1"/>
  <c r="EG296" i="1"/>
  <c r="CS296" i="1"/>
  <c r="DP296" i="1"/>
  <c r="DP116" i="1"/>
  <c r="EG116" i="1"/>
  <c r="CS116" i="1"/>
  <c r="EG18" i="1"/>
  <c r="DP18" i="1"/>
  <c r="CS18" i="1"/>
  <c r="DP138" i="1"/>
  <c r="EG138" i="1"/>
  <c r="CS138" i="1"/>
  <c r="DP307" i="1"/>
  <c r="CS307" i="1"/>
  <c r="EG307" i="1"/>
  <c r="DP130" i="1"/>
  <c r="CS130" i="1"/>
  <c r="EG130" i="1"/>
  <c r="CR421" i="1"/>
  <c r="EG81" i="1"/>
  <c r="DP81" i="1"/>
  <c r="CS81" i="1"/>
  <c r="EG181" i="1"/>
  <c r="CS181" i="1"/>
  <c r="DP181" i="1"/>
  <c r="CS90" i="1"/>
  <c r="DP90" i="1"/>
  <c r="EG90" i="1"/>
  <c r="DP187" i="1"/>
  <c r="EG187" i="1"/>
  <c r="CS187" i="1"/>
  <c r="DP266" i="1"/>
  <c r="CS266" i="1"/>
  <c r="EG266" i="1"/>
  <c r="CR420" i="1"/>
  <c r="EG103" i="1"/>
  <c r="DP103" i="1"/>
  <c r="CS103" i="1"/>
  <c r="CS91" i="1"/>
  <c r="DP91" i="1"/>
  <c r="EG91" i="1"/>
  <c r="DP207" i="1"/>
  <c r="EG207" i="1"/>
  <c r="CS207" i="1"/>
  <c r="DP124" i="1"/>
  <c r="EG124" i="1"/>
  <c r="CS124" i="1"/>
  <c r="DP59" i="1"/>
  <c r="EG59" i="1"/>
  <c r="CS59" i="1"/>
  <c r="DP253" i="1"/>
  <c r="EG253" i="1"/>
  <c r="CS253" i="1"/>
  <c r="EG49" i="1"/>
  <c r="DP49" i="1"/>
  <c r="CS49" i="1"/>
  <c r="DP203" i="1"/>
  <c r="EG203" i="1"/>
  <c r="CS203" i="1"/>
  <c r="DP183" i="1"/>
  <c r="EG183" i="1"/>
  <c r="CS183" i="1"/>
  <c r="DP143" i="1"/>
  <c r="CS143" i="1"/>
  <c r="EG143" i="1"/>
  <c r="CV159" i="1"/>
  <c r="CW159" i="1"/>
  <c r="CX159" i="1"/>
  <c r="CY159" i="1"/>
  <c r="EJ159" i="1"/>
  <c r="CZ159" i="1"/>
  <c r="DS159" i="1"/>
  <c r="DP178" i="1"/>
  <c r="EG178" i="1"/>
  <c r="EG76" i="1"/>
  <c r="DP76" i="1"/>
  <c r="CS76" i="1"/>
  <c r="DP235" i="1"/>
  <c r="CS235" i="1"/>
  <c r="EG235" i="1"/>
  <c r="EG106" i="1"/>
  <c r="DP106" i="1"/>
  <c r="CS106" i="1"/>
  <c r="CS55" i="1"/>
  <c r="DP55" i="1"/>
  <c r="EG55" i="1"/>
  <c r="CS140" i="1"/>
  <c r="EG140" i="1"/>
  <c r="DP140" i="1"/>
  <c r="EG204" i="1"/>
  <c r="DP204" i="1"/>
  <c r="CS204" i="1"/>
  <c r="DP61" i="1"/>
  <c r="EG61" i="1"/>
  <c r="CS61" i="1"/>
  <c r="CS205" i="1"/>
  <c r="DP205" i="1"/>
  <c r="EG205" i="1"/>
  <c r="CS57" i="1"/>
  <c r="EG57" i="1"/>
  <c r="DP57" i="1"/>
  <c r="CU299" i="1"/>
  <c r="EH299" i="1"/>
  <c r="DQ299" i="1"/>
  <c r="CU331" i="1"/>
  <c r="EH331" i="1"/>
  <c r="DQ331" i="1"/>
  <c r="DP75" i="1"/>
  <c r="EG75" i="1"/>
  <c r="CS75" i="1"/>
  <c r="EG15" i="1"/>
  <c r="DP15" i="1"/>
  <c r="CS15" i="1"/>
  <c r="DP125" i="1"/>
  <c r="EG125" i="1"/>
  <c r="CS125" i="1"/>
  <c r="DP136" i="1"/>
  <c r="CS136" i="1"/>
  <c r="EG136" i="1"/>
  <c r="CU233" i="1"/>
  <c r="EH233" i="1"/>
  <c r="DQ233" i="1"/>
  <c r="CS39" i="1"/>
  <c r="EG39" i="1"/>
  <c r="DP39" i="1"/>
  <c r="CS111" i="1"/>
  <c r="DP111" i="1"/>
  <c r="EG111" i="1"/>
  <c r="DP51" i="1"/>
  <c r="EG51" i="1"/>
  <c r="CS51" i="1"/>
  <c r="DP265" i="1"/>
  <c r="CS265" i="1"/>
  <c r="EG265" i="1"/>
  <c r="CS210" i="1"/>
  <c r="DP210" i="1"/>
  <c r="EG210" i="1"/>
  <c r="CS22" i="1"/>
  <c r="EG22" i="1"/>
  <c r="DP22" i="1"/>
  <c r="CZ279" i="1"/>
  <c r="CX279" i="1"/>
  <c r="CY279" i="1"/>
  <c r="CW279" i="1"/>
  <c r="DS279" i="1"/>
  <c r="CV279" i="1"/>
  <c r="EJ279" i="1"/>
  <c r="CS252" i="1"/>
  <c r="DP252" i="1"/>
  <c r="EG252" i="1"/>
  <c r="CV161" i="1"/>
  <c r="EJ161" i="1"/>
  <c r="CY161" i="1"/>
  <c r="DS161" i="1"/>
  <c r="CX161" i="1"/>
  <c r="CW161" i="1"/>
  <c r="CZ161" i="1"/>
  <c r="DP86" i="1"/>
  <c r="EG86" i="1"/>
  <c r="CS86" i="1"/>
  <c r="CZ300" i="1"/>
  <c r="DS300" i="1"/>
  <c r="CY300" i="1"/>
  <c r="CV300" i="1"/>
  <c r="CW300" i="1"/>
  <c r="CX300" i="1"/>
  <c r="EJ300" i="1"/>
  <c r="EH178" i="1"/>
  <c r="DQ301" i="1"/>
  <c r="EG78" i="1"/>
  <c r="CS78" i="1"/>
  <c r="DP78" i="1"/>
  <c r="DP99" i="1"/>
  <c r="CS99" i="1"/>
  <c r="EG99" i="1"/>
  <c r="DP260" i="1"/>
  <c r="EG260" i="1"/>
  <c r="CS260" i="1"/>
  <c r="DS302" i="1"/>
  <c r="EJ302" i="1"/>
  <c r="CV302" i="1"/>
  <c r="CX302" i="1"/>
  <c r="CZ302" i="1"/>
  <c r="CY302" i="1"/>
  <c r="CW302" i="1"/>
  <c r="DP189" i="1"/>
  <c r="EG189" i="1"/>
  <c r="CS189" i="1"/>
  <c r="EH301" i="1"/>
  <c r="CV134" i="1"/>
  <c r="CY134" i="1"/>
  <c r="CZ134" i="1"/>
  <c r="CX134" i="1"/>
  <c r="DS134" i="1"/>
  <c r="EJ134" i="1"/>
  <c r="CW134" i="1"/>
  <c r="EG73" i="1"/>
  <c r="DP73" i="1"/>
  <c r="CS73" i="1"/>
  <c r="DP177" i="1"/>
  <c r="CS177" i="1"/>
  <c r="EG177" i="1"/>
  <c r="CU275" i="1"/>
  <c r="DQ275" i="1"/>
  <c r="EH275" i="1"/>
  <c r="DP27" i="1"/>
  <c r="EG27" i="1"/>
  <c r="CS27" i="1"/>
  <c r="DP13" i="1"/>
  <c r="EG13" i="1"/>
  <c r="CS13" i="1"/>
  <c r="DP92" i="1"/>
  <c r="EG92" i="1"/>
  <c r="CS92" i="1"/>
  <c r="DP272" i="1"/>
  <c r="EG272" i="1"/>
  <c r="CS272" i="1"/>
  <c r="CS242" i="1"/>
  <c r="DP242" i="1"/>
  <c r="EG242" i="1"/>
  <c r="CZ197" i="1"/>
  <c r="CV197" i="1"/>
  <c r="CW197" i="1"/>
  <c r="DS197" i="1"/>
  <c r="CX197" i="1"/>
  <c r="CY197" i="1"/>
  <c r="EJ197" i="1"/>
  <c r="EG79" i="1"/>
  <c r="DP79" i="1"/>
  <c r="CS79" i="1"/>
  <c r="EG101" i="1"/>
  <c r="CS101" i="1"/>
  <c r="DP101" i="1"/>
  <c r="EG180" i="1"/>
  <c r="EG43" i="1"/>
  <c r="CS43" i="1"/>
  <c r="EG174" i="1"/>
  <c r="DP174" i="1"/>
  <c r="CS174" i="1"/>
  <c r="CU278" i="1"/>
  <c r="EH278" i="1"/>
  <c r="DQ278" i="1"/>
  <c r="DP9" i="1"/>
  <c r="EG9" i="1"/>
  <c r="CS9" i="1"/>
  <c r="EG170" i="1"/>
  <c r="DP170" i="1"/>
  <c r="CS170" i="1"/>
  <c r="EG261" i="1"/>
  <c r="CS261" i="1"/>
  <c r="DP261" i="1"/>
  <c r="DP221" i="1"/>
  <c r="CS221" i="1"/>
  <c r="EG221" i="1"/>
  <c r="DQ251" i="1"/>
  <c r="EH251" i="1"/>
  <c r="CU251" i="1"/>
  <c r="EG88" i="1"/>
  <c r="DP88" i="1"/>
  <c r="CS88" i="1"/>
  <c r="CZ324" i="1"/>
  <c r="CV324" i="1"/>
  <c r="DS324" i="1"/>
  <c r="CY324" i="1"/>
  <c r="CW324" i="1"/>
  <c r="CX324" i="1"/>
  <c r="EJ324" i="1"/>
  <c r="CZ322" i="1"/>
  <c r="CX322" i="1"/>
  <c r="CW322" i="1"/>
  <c r="EJ322" i="1"/>
  <c r="CY322" i="1"/>
  <c r="CV322" i="1"/>
  <c r="DS322" i="1"/>
  <c r="EG19" i="1"/>
  <c r="DP19" i="1"/>
  <c r="CS19" i="1"/>
  <c r="CY325" i="1"/>
  <c r="EJ325" i="1"/>
  <c r="CX325" i="1"/>
  <c r="DS325" i="1"/>
  <c r="CZ325" i="1"/>
  <c r="CW325" i="1"/>
  <c r="CV325" i="1"/>
  <c r="CS16" i="1"/>
  <c r="EG16" i="1"/>
  <c r="DP16" i="1"/>
  <c r="EJ151" i="1"/>
  <c r="CW151" i="1"/>
  <c r="DS151" i="1"/>
  <c r="CV151" i="1"/>
  <c r="CZ151" i="1"/>
  <c r="CY151" i="1"/>
  <c r="CX151" i="1"/>
  <c r="DP190" i="1"/>
  <c r="EG190" i="1"/>
  <c r="CS190" i="1"/>
  <c r="DP112" i="1"/>
  <c r="EG112" i="1"/>
  <c r="CS112" i="1"/>
  <c r="EJ274" i="1"/>
  <c r="CX274" i="1"/>
  <c r="DS274" i="1"/>
  <c r="CW274" i="1"/>
  <c r="CV274" i="1"/>
  <c r="CY274" i="1"/>
  <c r="CZ274" i="1"/>
  <c r="CS133" i="1"/>
  <c r="DP133" i="1"/>
  <c r="EG133" i="1"/>
  <c r="EG172" i="1"/>
  <c r="DP172" i="1"/>
  <c r="CS172" i="1"/>
  <c r="CS65" i="1"/>
  <c r="EG65" i="1"/>
  <c r="DP65" i="1"/>
  <c r="DP36" i="1"/>
  <c r="EG36" i="1"/>
  <c r="CS36" i="1"/>
  <c r="CS89" i="1"/>
  <c r="EG89" i="1"/>
  <c r="DP89" i="1"/>
  <c r="DP222" i="1"/>
  <c r="EG222" i="1"/>
  <c r="CS222" i="1"/>
  <c r="DP182" i="1"/>
  <c r="EG182" i="1"/>
  <c r="CS182" i="1"/>
  <c r="EG110" i="1"/>
  <c r="DP110" i="1"/>
  <c r="CS110" i="1"/>
  <c r="EG184" i="1"/>
  <c r="DP184" i="1"/>
  <c r="CS184" i="1"/>
  <c r="DP41" i="1"/>
  <c r="EG41" i="1"/>
  <c r="CS41" i="1"/>
  <c r="CS77" i="1"/>
  <c r="EG77" i="1"/>
  <c r="DP77" i="1"/>
  <c r="CS50" i="1"/>
  <c r="EG50" i="1"/>
  <c r="DP50" i="1"/>
  <c r="DP245" i="1"/>
  <c r="EG245" i="1"/>
  <c r="CS245" i="1"/>
  <c r="CY277" i="1"/>
  <c r="EJ277" i="1"/>
  <c r="CX277" i="1"/>
  <c r="DS277" i="1"/>
  <c r="CW277" i="1"/>
  <c r="CZ277" i="1"/>
  <c r="CV277" i="1"/>
  <c r="DP219" i="1"/>
  <c r="EG219" i="1"/>
  <c r="CS219" i="1"/>
  <c r="EG264" i="1"/>
  <c r="DP264" i="1"/>
  <c r="CS264" i="1"/>
  <c r="CS115" i="1"/>
  <c r="EG115" i="1"/>
  <c r="DP115" i="1"/>
  <c r="CU166" i="1"/>
  <c r="EH166" i="1"/>
  <c r="DQ166" i="1"/>
  <c r="CW196" i="1"/>
  <c r="CZ196" i="1"/>
  <c r="CV196" i="1"/>
  <c r="CX196" i="1"/>
  <c r="DS196" i="1"/>
  <c r="EJ196" i="1"/>
  <c r="CY196" i="1"/>
  <c r="DP199" i="1"/>
  <c r="EG199" i="1"/>
  <c r="CS199" i="1"/>
  <c r="EG186" i="1"/>
  <c r="CS186" i="1"/>
  <c r="DP186" i="1"/>
  <c r="EG85" i="1"/>
  <c r="DP85" i="1"/>
  <c r="CS85" i="1"/>
  <c r="DP126" i="1"/>
  <c r="EG126" i="1"/>
  <c r="CS126" i="1"/>
  <c r="EG188" i="1"/>
  <c r="DP188" i="1"/>
  <c r="CS188" i="1"/>
  <c r="CY301" i="1"/>
  <c r="EJ301" i="1"/>
  <c r="CX301" i="1"/>
  <c r="DS301" i="1"/>
  <c r="CW301" i="1"/>
  <c r="CZ301" i="1"/>
  <c r="CV301" i="1"/>
  <c r="EG254" i="1"/>
  <c r="DP254" i="1"/>
  <c r="CS254" i="1"/>
  <c r="DP114" i="1"/>
  <c r="EG114" i="1"/>
  <c r="CS114" i="1"/>
  <c r="DP25" i="1"/>
  <c r="CS25" i="1"/>
  <c r="EG25" i="1"/>
  <c r="CS56" i="1"/>
  <c r="DP56" i="1"/>
  <c r="EG56" i="1"/>
  <c r="EG12" i="1"/>
  <c r="DP12" i="1"/>
  <c r="CS12" i="1"/>
  <c r="CS34" i="1"/>
  <c r="DP34" i="1"/>
  <c r="EG34" i="1"/>
  <c r="EG141" i="1"/>
  <c r="CS141" i="1"/>
  <c r="DP141" i="1"/>
  <c r="CZ327" i="1"/>
  <c r="CY327" i="1"/>
  <c r="EJ327" i="1"/>
  <c r="CW327" i="1"/>
  <c r="DS327" i="1"/>
  <c r="CV327" i="1"/>
  <c r="CX327" i="1"/>
  <c r="EG224" i="1"/>
  <c r="DP224" i="1"/>
  <c r="CS224" i="1"/>
  <c r="DP132" i="1"/>
  <c r="EG132" i="1"/>
  <c r="CS132" i="1"/>
  <c r="CV150" i="1"/>
  <c r="CW150" i="1"/>
  <c r="CX150" i="1"/>
  <c r="CY150" i="1"/>
  <c r="EJ150" i="1"/>
  <c r="DS150" i="1"/>
  <c r="CZ150" i="1"/>
  <c r="CS98" i="1"/>
  <c r="EG98" i="1"/>
  <c r="DP98" i="1"/>
  <c r="DP44" i="1"/>
  <c r="EG44" i="1"/>
  <c r="CS44" i="1"/>
  <c r="EG216" i="1"/>
  <c r="CS216" i="1"/>
  <c r="DP216" i="1"/>
  <c r="DP42" i="1"/>
  <c r="CS42" i="1"/>
  <c r="EG42" i="1"/>
  <c r="EG105" i="1"/>
  <c r="DP105" i="1"/>
  <c r="CS105" i="1"/>
  <c r="EG113" i="1"/>
  <c r="DP113" i="1"/>
  <c r="EG171" i="1"/>
  <c r="DP171" i="1"/>
  <c r="CS171" i="1"/>
  <c r="CS40" i="1"/>
  <c r="DP40" i="1"/>
  <c r="EG40" i="1"/>
  <c r="EG60" i="1"/>
  <c r="CS60" i="1"/>
  <c r="DP60" i="1"/>
  <c r="DP206" i="1"/>
  <c r="EG206" i="1"/>
  <c r="CS206" i="1"/>
  <c r="DP240" i="1"/>
  <c r="EG240" i="1"/>
  <c r="CS240" i="1"/>
  <c r="CS137" i="1"/>
  <c r="EG137" i="1"/>
  <c r="DP137" i="1"/>
  <c r="CV297" i="1"/>
  <c r="CY297" i="1"/>
  <c r="EJ297" i="1"/>
  <c r="CX297" i="1"/>
  <c r="CW297" i="1"/>
  <c r="CZ297" i="1"/>
  <c r="DS297" i="1"/>
  <c r="DP117" i="1"/>
  <c r="EG117" i="1"/>
  <c r="CS117" i="1"/>
  <c r="EG21" i="1"/>
  <c r="DP21" i="1"/>
  <c r="CS21" i="1"/>
  <c r="EG127" i="1"/>
  <c r="CS127" i="1"/>
  <c r="DP127" i="1"/>
  <c r="DQ113" i="1"/>
  <c r="EH113" i="1"/>
  <c r="CU113" i="1"/>
  <c r="EG191" i="1"/>
  <c r="DP191" i="1"/>
  <c r="CS191" i="1"/>
  <c r="EG100" i="1"/>
  <c r="CS100" i="1"/>
  <c r="DP100" i="1"/>
  <c r="EG247" i="1"/>
  <c r="DP247" i="1"/>
  <c r="CS247" i="1"/>
  <c r="DP173" i="1"/>
  <c r="EG173" i="1"/>
  <c r="CS173" i="1"/>
  <c r="DP248" i="1"/>
  <c r="CS248" i="1"/>
  <c r="EG248" i="1"/>
  <c r="CS109" i="1"/>
  <c r="EG109" i="1"/>
  <c r="DP109" i="1"/>
  <c r="CS87" i="1"/>
  <c r="EG87" i="1"/>
  <c r="DP87" i="1"/>
  <c r="CW164" i="1"/>
  <c r="EJ164" i="1"/>
  <c r="CY164" i="1"/>
  <c r="CV164" i="1"/>
  <c r="CZ164" i="1"/>
  <c r="DS164" i="1"/>
  <c r="CX164" i="1"/>
  <c r="EG70" i="1"/>
  <c r="CS70" i="1"/>
  <c r="DP70" i="1"/>
  <c r="DP82" i="1"/>
  <c r="EG82" i="1"/>
  <c r="CS82" i="1"/>
  <c r="EG241" i="1"/>
  <c r="DP241" i="1"/>
  <c r="CS28" i="1"/>
  <c r="EG28" i="1"/>
  <c r="DP28" i="1"/>
  <c r="CW156" i="1"/>
  <c r="CZ156" i="1"/>
  <c r="CY156" i="1"/>
  <c r="DS156" i="1"/>
  <c r="CV156" i="1"/>
  <c r="EJ156" i="1"/>
  <c r="CX156" i="1"/>
  <c r="DP226" i="1"/>
  <c r="EG226" i="1"/>
  <c r="CS226" i="1"/>
  <c r="DP142" i="1"/>
  <c r="CS142" i="1"/>
  <c r="EG142" i="1"/>
  <c r="EG38" i="1"/>
  <c r="DP38" i="1"/>
  <c r="CS38" i="1"/>
  <c r="EJ286" i="1"/>
  <c r="CX286" i="1"/>
  <c r="CW286" i="1"/>
  <c r="CV286" i="1"/>
  <c r="CY286" i="1"/>
  <c r="DS286" i="1"/>
  <c r="CZ286" i="1"/>
  <c r="CZ323" i="1"/>
  <c r="CX323" i="1"/>
  <c r="CW323" i="1"/>
  <c r="CY323" i="1"/>
  <c r="DS323" i="1"/>
  <c r="CV323" i="1"/>
  <c r="EJ323" i="1"/>
  <c r="EG63" i="1"/>
  <c r="DP63" i="1"/>
  <c r="CS63" i="1"/>
  <c r="DP48" i="1"/>
  <c r="EG48" i="1"/>
  <c r="CS48" i="1"/>
  <c r="DP176" i="1"/>
  <c r="EG176" i="1"/>
  <c r="CS176" i="1"/>
  <c r="EG209" i="1"/>
  <c r="CS209" i="1"/>
  <c r="DP209" i="1"/>
  <c r="EG80" i="1"/>
  <c r="CS80" i="1"/>
  <c r="DP80" i="1"/>
  <c r="DP30" i="1"/>
  <c r="EG30" i="1"/>
  <c r="CS30" i="1"/>
  <c r="CW162" i="1"/>
  <c r="CV162" i="1"/>
  <c r="CZ162" i="1"/>
  <c r="CY162" i="1"/>
  <c r="CX162" i="1"/>
  <c r="DS162" i="1"/>
  <c r="EJ162" i="1"/>
  <c r="DP45" i="1"/>
  <c r="EG45" i="1"/>
  <c r="CS45" i="1"/>
  <c r="EG214" i="1"/>
  <c r="CS214" i="1"/>
  <c r="DP214" i="1"/>
  <c r="EH180" i="1"/>
  <c r="CU180" i="1"/>
  <c r="DQ180" i="1"/>
  <c r="CY269" i="1"/>
  <c r="DS269" i="1"/>
  <c r="CW269" i="1"/>
  <c r="CZ269" i="1"/>
  <c r="CX269" i="1"/>
  <c r="CV269" i="1"/>
  <c r="EJ269" i="1"/>
  <c r="CX200" i="1"/>
  <c r="CV200" i="1"/>
  <c r="CW200" i="1"/>
  <c r="EJ200" i="1"/>
  <c r="CY200" i="1"/>
  <c r="CZ200" i="1"/>
  <c r="DS200" i="1"/>
  <c r="DP58" i="1"/>
  <c r="EG58" i="1"/>
  <c r="CS58" i="1"/>
  <c r="CS94" i="1"/>
  <c r="DP94" i="1"/>
  <c r="EG94" i="1"/>
  <c r="CS236" i="1"/>
  <c r="DP236" i="1"/>
  <c r="EG236" i="1"/>
  <c r="CS139" i="1"/>
  <c r="EG139" i="1"/>
  <c r="DP139" i="1"/>
  <c r="DP230" i="1"/>
  <c r="CS230" i="1"/>
  <c r="EG230" i="1"/>
  <c r="CS64" i="1"/>
  <c r="EG64" i="1"/>
  <c r="DP64" i="1"/>
  <c r="CX152" i="1"/>
  <c r="CY152" i="1"/>
  <c r="CZ152" i="1"/>
  <c r="DS152" i="1"/>
  <c r="EJ152" i="1"/>
  <c r="CW152" i="1"/>
  <c r="CV152" i="1"/>
  <c r="CS215" i="1"/>
  <c r="EG215" i="1"/>
  <c r="DP215" i="1"/>
  <c r="DP227" i="1"/>
  <c r="CS227" i="1"/>
  <c r="EG227" i="1"/>
  <c r="EG53" i="1"/>
  <c r="DP53" i="1"/>
  <c r="CS53" i="1"/>
  <c r="EG54" i="1"/>
  <c r="CS54" i="1"/>
  <c r="DP54" i="1"/>
  <c r="CS231" i="1"/>
  <c r="EG231" i="1"/>
  <c r="DP231" i="1"/>
  <c r="EG102" i="1"/>
  <c r="DP102" i="1"/>
  <c r="CS102" i="1"/>
  <c r="CZ193" i="1"/>
  <c r="CX193" i="1"/>
  <c r="CW193" i="1"/>
  <c r="CY193" i="1"/>
  <c r="EJ193" i="1"/>
  <c r="CV193" i="1"/>
  <c r="DS193" i="1"/>
  <c r="CS37" i="1"/>
  <c r="EG37" i="1"/>
  <c r="DP37" i="1"/>
  <c r="EG26" i="1"/>
  <c r="DP26" i="1"/>
  <c r="CS26" i="1"/>
  <c r="EH122" i="1"/>
  <c r="DQ122" i="1"/>
  <c r="CU122" i="1"/>
  <c r="DP212" i="1"/>
  <c r="EG212" i="1"/>
  <c r="CS212" i="1"/>
  <c r="DP74" i="1"/>
  <c r="EG74" i="1"/>
  <c r="CS74" i="1"/>
  <c r="DP104" i="1"/>
  <c r="EG104" i="1"/>
  <c r="DP84" i="1"/>
  <c r="CS84" i="1"/>
  <c r="EG84" i="1"/>
  <c r="CU195" i="1"/>
  <c r="EH195" i="1"/>
  <c r="DQ195" i="1"/>
  <c r="DQ241" i="1"/>
  <c r="EH241" i="1"/>
  <c r="CU241" i="1"/>
  <c r="CS108" i="1"/>
  <c r="DP108" i="1"/>
  <c r="EG108" i="1"/>
  <c r="EG67" i="1"/>
  <c r="DP67" i="1"/>
  <c r="CS67" i="1"/>
  <c r="CZ153" i="1"/>
  <c r="EJ153" i="1"/>
  <c r="CX153" i="1"/>
  <c r="CW153" i="1"/>
  <c r="CY153" i="1"/>
  <c r="CV153" i="1"/>
  <c r="DS153" i="1"/>
  <c r="DP243" i="1"/>
  <c r="EG243" i="1"/>
  <c r="CS243" i="1"/>
  <c r="CS238" i="1"/>
  <c r="EG238" i="1"/>
  <c r="DP238" i="1"/>
  <c r="CS47" i="1"/>
  <c r="EG47" i="1"/>
  <c r="DP47" i="1"/>
  <c r="CS95" i="1"/>
  <c r="EG95" i="1"/>
  <c r="DP95" i="1"/>
  <c r="CS11" i="1"/>
  <c r="EG11" i="1"/>
  <c r="DP11" i="1"/>
  <c r="EG244" i="1"/>
  <c r="CS244" i="1"/>
  <c r="DP244" i="1"/>
  <c r="EG208" i="1"/>
  <c r="DP208" i="1"/>
  <c r="CS208" i="1"/>
  <c r="EG202" i="1"/>
  <c r="DP202" i="1"/>
  <c r="CS202" i="1"/>
  <c r="DP237" i="1"/>
  <c r="EG237" i="1"/>
  <c r="CS237" i="1"/>
  <c r="EH311" i="1"/>
  <c r="DQ311" i="1"/>
  <c r="CU311" i="1"/>
  <c r="CS33" i="1"/>
  <c r="DP33" i="1"/>
  <c r="EG33" i="1"/>
  <c r="DP198" i="1"/>
  <c r="EG198" i="1"/>
  <c r="CS198" i="1"/>
  <c r="CZ330" i="1"/>
  <c r="EJ330" i="1"/>
  <c r="CY330" i="1"/>
  <c r="CX330" i="1"/>
  <c r="DS330" i="1"/>
  <c r="CW330" i="1"/>
  <c r="CV330" i="1"/>
  <c r="EG220" i="1"/>
  <c r="DP220" i="1"/>
  <c r="CS220" i="1"/>
  <c r="DP185" i="1"/>
  <c r="EG185" i="1"/>
  <c r="CS185" i="1"/>
  <c r="CY291" i="1"/>
  <c r="CV291" i="1"/>
  <c r="DS291" i="1"/>
  <c r="CW291" i="1"/>
  <c r="EJ291" i="1"/>
  <c r="CZ291" i="1"/>
  <c r="CX291" i="1"/>
  <c r="DS280" i="1"/>
  <c r="CV280" i="1"/>
  <c r="EJ280" i="1"/>
  <c r="CW280" i="1"/>
  <c r="CX280" i="1"/>
  <c r="CZ280" i="1"/>
  <c r="CY280" i="1"/>
  <c r="CS104" i="1"/>
  <c r="EG129" i="1"/>
  <c r="CS129" i="1"/>
  <c r="DP129" i="1"/>
  <c r="DP120" i="1"/>
  <c r="EG120" i="1"/>
  <c r="CS120" i="1"/>
  <c r="DP228" i="1"/>
  <c r="CS228" i="1"/>
  <c r="EG228" i="1"/>
  <c r="CS167" i="1"/>
  <c r="DP167" i="1"/>
  <c r="EG167" i="1"/>
  <c r="CS194" i="1"/>
  <c r="DP194" i="1"/>
  <c r="EG194" i="1"/>
  <c r="DP229" i="1"/>
  <c r="EG229" i="1"/>
  <c r="CS229" i="1"/>
  <c r="EG239" i="1"/>
  <c r="DP239" i="1"/>
  <c r="CS239" i="1"/>
  <c r="CU332" i="1"/>
  <c r="EH332" i="1"/>
  <c r="DQ332" i="1"/>
  <c r="DP69" i="1"/>
  <c r="EG69" i="1"/>
  <c r="CS69" i="1"/>
  <c r="CS8" i="1"/>
  <c r="DP8" i="1"/>
  <c r="EG8" i="1"/>
  <c r="CX223" i="1"/>
  <c r="CZ223" i="1"/>
  <c r="CS225" i="1"/>
  <c r="DP225" i="1"/>
  <c r="EG225" i="1"/>
  <c r="CS62" i="1"/>
  <c r="DP62" i="1"/>
  <c r="EG62" i="1"/>
  <c r="CS211" i="1"/>
  <c r="EG211" i="1"/>
  <c r="DP211" i="1"/>
  <c r="DP83" i="1"/>
  <c r="EG83" i="1"/>
  <c r="CS83" i="1"/>
  <c r="EG131" i="1"/>
  <c r="DP131" i="1"/>
  <c r="CS131" i="1"/>
  <c r="DP234" i="1"/>
  <c r="EG234" i="1"/>
  <c r="CS234" i="1"/>
  <c r="DP232" i="1"/>
  <c r="EG232" i="1"/>
  <c r="CS232" i="1"/>
  <c r="CW295" i="1"/>
  <c r="EG217" i="1"/>
  <c r="DP217" i="1"/>
  <c r="CS217" i="1"/>
  <c r="CS128" i="1"/>
  <c r="EG128" i="1"/>
  <c r="DP128" i="1"/>
  <c r="CS35" i="1"/>
  <c r="DP35" i="1"/>
  <c r="EG35" i="1"/>
  <c r="CZ163" i="1"/>
  <c r="DS163" i="1"/>
  <c r="CY163" i="1"/>
  <c r="CW163" i="1"/>
  <c r="CV163" i="1"/>
  <c r="EJ163" i="1"/>
  <c r="CX163" i="1"/>
  <c r="DP52" i="1"/>
  <c r="EG52" i="1"/>
  <c r="CS52" i="1"/>
  <c r="EG46" i="1"/>
  <c r="DP46" i="1"/>
  <c r="CS46" i="1"/>
  <c r="DP179" i="1"/>
  <c r="EG179" i="1"/>
  <c r="CS179" i="1"/>
  <c r="DP24" i="1"/>
  <c r="EG24" i="1"/>
  <c r="CS24" i="1"/>
  <c r="DS328" i="1"/>
  <c r="CW328" i="1"/>
  <c r="CY328" i="1"/>
  <c r="CX328" i="1"/>
  <c r="EJ328" i="1"/>
  <c r="CZ328" i="1"/>
  <c r="CV328" i="1"/>
  <c r="EG256" i="1"/>
  <c r="DP256" i="1"/>
  <c r="CS256" i="1"/>
  <c r="DP246" i="1"/>
  <c r="EG246" i="1"/>
  <c r="CS246" i="1"/>
  <c r="CS5" i="1"/>
  <c r="EG5" i="1"/>
  <c r="DP5" i="1"/>
  <c r="CS17" i="1"/>
  <c r="EG17" i="1"/>
  <c r="DP17" i="1"/>
  <c r="DP29" i="1"/>
  <c r="EG29" i="1"/>
  <c r="CS29" i="1"/>
  <c r="CS192" i="1"/>
  <c r="DP192" i="1"/>
  <c r="EG192" i="1"/>
  <c r="CS32" i="1"/>
  <c r="DP32" i="1"/>
  <c r="EG32" i="1"/>
  <c r="DP71" i="1"/>
  <c r="EG71" i="1"/>
  <c r="CS71" i="1"/>
  <c r="DS326" i="1"/>
  <c r="CW326" i="1"/>
  <c r="CV326" i="1"/>
  <c r="CX326" i="1"/>
  <c r="EJ326" i="1"/>
  <c r="CZ326" i="1"/>
  <c r="CY326" i="1"/>
  <c r="DP249" i="1"/>
  <c r="EG249" i="1"/>
  <c r="CS249" i="1"/>
  <c r="EJ329" i="1"/>
  <c r="CX329" i="1"/>
  <c r="DS329" i="1"/>
  <c r="CW329" i="1"/>
  <c r="CZ329" i="1"/>
  <c r="CV329" i="1"/>
  <c r="CY329" i="1"/>
  <c r="DP20" i="1"/>
  <c r="EG20" i="1"/>
  <c r="CS20" i="1"/>
  <c r="CS168" i="1"/>
  <c r="DP168" i="1"/>
  <c r="EG168" i="1"/>
  <c r="CS135" i="1"/>
  <c r="EG135" i="1"/>
  <c r="DP135" i="1"/>
  <c r="DP144" i="1"/>
  <c r="EG144" i="1"/>
  <c r="CS144" i="1"/>
  <c r="EG165" i="1"/>
  <c r="DP165" i="1"/>
  <c r="CS165" i="1"/>
  <c r="CS10" i="1"/>
  <c r="EG10" i="1"/>
  <c r="DP10" i="1"/>
  <c r="CU416" i="1"/>
  <c r="DQ416" i="1"/>
  <c r="EH416" i="1"/>
  <c r="EG72" i="1"/>
  <c r="DP72" i="1"/>
  <c r="CS72" i="1"/>
  <c r="CS213" i="1"/>
  <c r="EG213" i="1"/>
  <c r="DP213" i="1"/>
  <c r="EG250" i="1"/>
  <c r="DP250" i="1"/>
  <c r="CS250" i="1"/>
  <c r="CX309" i="1"/>
  <c r="CZ309" i="1"/>
  <c r="EJ309" i="1"/>
  <c r="CY309" i="1"/>
  <c r="CW309" i="1"/>
  <c r="CV309" i="1"/>
  <c r="DS309" i="1"/>
  <c r="CX320" i="1"/>
  <c r="CW320" i="1"/>
  <c r="CV320" i="1"/>
  <c r="EJ320" i="1"/>
  <c r="DS320" i="1"/>
  <c r="CY320" i="1"/>
  <c r="CZ320" i="1"/>
  <c r="EH319" i="1"/>
  <c r="DQ319" i="1"/>
  <c r="CU319" i="1"/>
  <c r="CY318" i="1"/>
  <c r="CX318" i="1"/>
  <c r="CV318" i="1"/>
  <c r="EJ318" i="1"/>
  <c r="DS318" i="1"/>
  <c r="CZ318" i="1"/>
  <c r="CW318" i="1"/>
  <c r="EJ317" i="1"/>
  <c r="DS317" i="1"/>
  <c r="CZ317" i="1"/>
  <c r="CX317" i="1"/>
  <c r="CV317" i="1"/>
  <c r="CY317" i="1"/>
  <c r="CW317" i="1"/>
  <c r="DS295" i="1" l="1"/>
  <c r="CV295" i="1"/>
  <c r="CY295" i="1"/>
  <c r="CZ295" i="1"/>
  <c r="CX295" i="1"/>
  <c r="CY223" i="1"/>
  <c r="CV223" i="1"/>
  <c r="EJ223" i="1"/>
  <c r="CW223" i="1"/>
  <c r="AU421" i="1"/>
  <c r="BS421" i="1"/>
  <c r="EH218" i="1"/>
  <c r="DQ218" i="1"/>
  <c r="BL421" i="1"/>
  <c r="DJ420" i="1"/>
  <c r="DJ423" i="1"/>
  <c r="AR423" i="1"/>
  <c r="BT422" i="1"/>
  <c r="DJ421" i="1"/>
  <c r="DR421" i="1"/>
  <c r="DL423" i="1"/>
  <c r="DF422" i="1"/>
  <c r="DF423" i="1"/>
  <c r="DL421" i="1"/>
  <c r="DL420" i="1"/>
  <c r="BL420" i="1"/>
  <c r="BL422" i="1"/>
  <c r="DC422" i="1"/>
  <c r="DE421" i="1"/>
  <c r="DE420" i="1"/>
  <c r="DC421" i="1"/>
  <c r="DC423" i="1"/>
  <c r="BK422" i="1"/>
  <c r="BK421" i="1"/>
  <c r="CW293" i="1"/>
  <c r="DS293" i="1"/>
  <c r="CY298" i="1"/>
  <c r="EH315" i="1"/>
  <c r="DN422" i="1"/>
  <c r="AU422" i="1"/>
  <c r="BT423" i="1"/>
  <c r="AU420" i="1"/>
  <c r="DE423" i="1"/>
  <c r="W423" i="1"/>
  <c r="DN423" i="1"/>
  <c r="DN421" i="1"/>
  <c r="W422" i="1"/>
  <c r="BT421" i="1"/>
  <c r="AR421" i="1"/>
  <c r="W420" i="1"/>
  <c r="AR422" i="1"/>
  <c r="EH123" i="1"/>
  <c r="DO423" i="1"/>
  <c r="AV420" i="1"/>
  <c r="DI421" i="1"/>
  <c r="DO421" i="1"/>
  <c r="DO422" i="1"/>
  <c r="DI423" i="1"/>
  <c r="AV422" i="1"/>
  <c r="DI422" i="1"/>
  <c r="BM423" i="1"/>
  <c r="DB422" i="1"/>
  <c r="DB423" i="1"/>
  <c r="AV423" i="1"/>
  <c r="BM422" i="1"/>
  <c r="BM421" i="1"/>
  <c r="DH421" i="1"/>
  <c r="DH420" i="1"/>
  <c r="DH422" i="1"/>
  <c r="CX293" i="1"/>
  <c r="CV293" i="1"/>
  <c r="EJ293" i="1"/>
  <c r="CZ293" i="1"/>
  <c r="CX294" i="1"/>
  <c r="CZ294" i="1"/>
  <c r="EJ294" i="1"/>
  <c r="CY294" i="1"/>
  <c r="CV294" i="1"/>
  <c r="DS294" i="1"/>
  <c r="EJ273" i="1"/>
  <c r="DQ315" i="1"/>
  <c r="EJ285" i="1"/>
  <c r="DS285" i="1"/>
  <c r="CZ285" i="1"/>
  <c r="CY285" i="1"/>
  <c r="CV285" i="1"/>
  <c r="CY313" i="1"/>
  <c r="CW285" i="1"/>
  <c r="DS258" i="1"/>
  <c r="AY43" i="1"/>
  <c r="AY421" i="1" s="1"/>
  <c r="DS313" i="1"/>
  <c r="CV313" i="1"/>
  <c r="CZ313" i="1"/>
  <c r="EJ313" i="1"/>
  <c r="CW313" i="1"/>
  <c r="CU292" i="1"/>
  <c r="DQ292" i="1"/>
  <c r="EH292" i="1"/>
  <c r="CX258" i="1"/>
  <c r="CW258" i="1"/>
  <c r="CW273" i="1"/>
  <c r="CX273" i="1"/>
  <c r="CY273" i="1"/>
  <c r="CZ273" i="1"/>
  <c r="DS273" i="1"/>
  <c r="EJ298" i="1"/>
  <c r="DS298" i="1"/>
  <c r="CV298" i="1"/>
  <c r="CX298" i="1"/>
  <c r="DQ123" i="1"/>
  <c r="CX263" i="1"/>
  <c r="CZ258" i="1"/>
  <c r="EJ263" i="1"/>
  <c r="CZ263" i="1"/>
  <c r="CY263" i="1"/>
  <c r="CV258" i="1"/>
  <c r="DS263" i="1"/>
  <c r="CV263" i="1"/>
  <c r="CY258" i="1"/>
  <c r="DQ283" i="1"/>
  <c r="EH283" i="1"/>
  <c r="CU283" i="1"/>
  <c r="CW298" i="1"/>
  <c r="DQ262" i="1"/>
  <c r="CU262" i="1"/>
  <c r="EH262" i="1"/>
  <c r="DQ255" i="1"/>
  <c r="EH255" i="1"/>
  <c r="CU255" i="1"/>
  <c r="EH7" i="1"/>
  <c r="CU7" i="1"/>
  <c r="DQ7" i="1"/>
  <c r="CU287" i="1"/>
  <c r="EH287" i="1"/>
  <c r="DQ287" i="1"/>
  <c r="CU316" i="1"/>
  <c r="EH316" i="1"/>
  <c r="DQ316" i="1"/>
  <c r="DS96" i="1"/>
  <c r="CZ96" i="1"/>
  <c r="CV96" i="1"/>
  <c r="EJ96" i="1"/>
  <c r="CW96" i="1"/>
  <c r="CX96" i="1"/>
  <c r="CY96" i="1"/>
  <c r="DQ121" i="1"/>
  <c r="EH121" i="1"/>
  <c r="CU121" i="1"/>
  <c r="DQ257" i="1"/>
  <c r="CU257" i="1"/>
  <c r="EH257" i="1"/>
  <c r="CU306" i="1"/>
  <c r="DQ306" i="1"/>
  <c r="EH306" i="1"/>
  <c r="EH259" i="1"/>
  <c r="CU259" i="1"/>
  <c r="DQ259" i="1"/>
  <c r="DS123" i="1"/>
  <c r="CV123" i="1"/>
  <c r="CX123" i="1"/>
  <c r="CY123" i="1"/>
  <c r="CZ123" i="1"/>
  <c r="CW123" i="1"/>
  <c r="EJ123" i="1"/>
  <c r="DQ282" i="1"/>
  <c r="EH282" i="1"/>
  <c r="CU282" i="1"/>
  <c r="CU175" i="1"/>
  <c r="DQ175" i="1"/>
  <c r="EH175" i="1"/>
  <c r="EH107" i="1"/>
  <c r="DQ107" i="1"/>
  <c r="CU107" i="1"/>
  <c r="EH93" i="1"/>
  <c r="DQ93" i="1"/>
  <c r="CU93" i="1"/>
  <c r="CW178" i="1"/>
  <c r="CY178" i="1"/>
  <c r="CZ178" i="1"/>
  <c r="EJ178" i="1"/>
  <c r="DS178" i="1"/>
  <c r="DP423" i="1"/>
  <c r="DP421" i="1"/>
  <c r="DP422" i="1"/>
  <c r="DP420" i="1"/>
  <c r="CV178" i="1"/>
  <c r="EG423" i="1"/>
  <c r="EG422" i="1"/>
  <c r="DQ308" i="1"/>
  <c r="EH308" i="1"/>
  <c r="CU308" i="1"/>
  <c r="CU288" i="1"/>
  <c r="DQ288" i="1"/>
  <c r="EH288" i="1"/>
  <c r="CU303" i="1"/>
  <c r="EH303" i="1"/>
  <c r="DQ303" i="1"/>
  <c r="CU23" i="1"/>
  <c r="EH23" i="1"/>
  <c r="DQ23" i="1"/>
  <c r="EH289" i="1"/>
  <c r="CU289" i="1"/>
  <c r="DQ289" i="1"/>
  <c r="CU68" i="1"/>
  <c r="DQ68" i="1"/>
  <c r="EH68" i="1"/>
  <c r="EH6" i="1"/>
  <c r="DQ6" i="1"/>
  <c r="CU6" i="1"/>
  <c r="EH284" i="1"/>
  <c r="DQ284" i="1"/>
  <c r="CU284" i="1"/>
  <c r="DQ18" i="1"/>
  <c r="CU18" i="1"/>
  <c r="EH18" i="1"/>
  <c r="CU31" i="1"/>
  <c r="EH31" i="1"/>
  <c r="DQ31" i="1"/>
  <c r="CU181" i="1"/>
  <c r="EH181" i="1"/>
  <c r="DQ181" i="1"/>
  <c r="CU90" i="1"/>
  <c r="DQ90" i="1"/>
  <c r="EH90" i="1"/>
  <c r="CU266" i="1"/>
  <c r="EH266" i="1"/>
  <c r="DQ266" i="1"/>
  <c r="EH268" i="1"/>
  <c r="CU268" i="1"/>
  <c r="DQ268" i="1"/>
  <c r="EH116" i="1"/>
  <c r="DQ116" i="1"/>
  <c r="CU116" i="1"/>
  <c r="EH59" i="1"/>
  <c r="DQ59" i="1"/>
  <c r="CU59" i="1"/>
  <c r="EH296" i="1"/>
  <c r="CU296" i="1"/>
  <c r="DQ296" i="1"/>
  <c r="CS420" i="1"/>
  <c r="EG420" i="1"/>
  <c r="CU124" i="1"/>
  <c r="DQ124" i="1"/>
  <c r="EH124" i="1"/>
  <c r="EH307" i="1"/>
  <c r="DQ307" i="1"/>
  <c r="CU307" i="1"/>
  <c r="DQ253" i="1"/>
  <c r="EH253" i="1"/>
  <c r="CU253" i="1"/>
  <c r="DQ103" i="1"/>
  <c r="CU103" i="1"/>
  <c r="EH103" i="1"/>
  <c r="EH187" i="1"/>
  <c r="CU187" i="1"/>
  <c r="DQ187" i="1"/>
  <c r="DQ138" i="1"/>
  <c r="EH138" i="1"/>
  <c r="CU138" i="1"/>
  <c r="DQ97" i="1"/>
  <c r="CU97" i="1"/>
  <c r="EH97" i="1"/>
  <c r="CU14" i="1"/>
  <c r="EH14" i="1"/>
  <c r="DQ14" i="1"/>
  <c r="CU169" i="1"/>
  <c r="EH169" i="1"/>
  <c r="DQ169" i="1"/>
  <c r="DQ130" i="1"/>
  <c r="CU130" i="1"/>
  <c r="EH130" i="1"/>
  <c r="DQ119" i="1"/>
  <c r="CU119" i="1"/>
  <c r="EH119" i="1"/>
  <c r="EG421" i="1"/>
  <c r="EH49" i="1"/>
  <c r="CU49" i="1"/>
  <c r="DQ49" i="1"/>
  <c r="EH118" i="1"/>
  <c r="DQ118" i="1"/>
  <c r="CU118" i="1"/>
  <c r="EH207" i="1"/>
  <c r="DQ207" i="1"/>
  <c r="CU207" i="1"/>
  <c r="CS423" i="1"/>
  <c r="DQ91" i="1"/>
  <c r="EH91" i="1"/>
  <c r="CU91" i="1"/>
  <c r="EH81" i="1"/>
  <c r="CU81" i="1"/>
  <c r="DQ81" i="1"/>
  <c r="CU281" i="1"/>
  <c r="DQ281" i="1"/>
  <c r="EH281" i="1"/>
  <c r="CS421" i="1"/>
  <c r="CS422" i="1"/>
  <c r="CU73" i="1"/>
  <c r="EH73" i="1"/>
  <c r="DQ73" i="1"/>
  <c r="CU210" i="1"/>
  <c r="DQ210" i="1"/>
  <c r="EH210" i="1"/>
  <c r="CU15" i="1"/>
  <c r="EH15" i="1"/>
  <c r="DQ15" i="1"/>
  <c r="DQ205" i="1"/>
  <c r="EH205" i="1"/>
  <c r="CU205" i="1"/>
  <c r="DQ140" i="1"/>
  <c r="EH140" i="1"/>
  <c r="CU140" i="1"/>
  <c r="DQ76" i="1"/>
  <c r="EH76" i="1"/>
  <c r="CU76" i="1"/>
  <c r="EH221" i="1"/>
  <c r="DQ221" i="1"/>
  <c r="CU221" i="1"/>
  <c r="EH9" i="1"/>
  <c r="DQ9" i="1"/>
  <c r="CU9" i="1"/>
  <c r="DQ79" i="1"/>
  <c r="EH79" i="1"/>
  <c r="CU79" i="1"/>
  <c r="DQ92" i="1"/>
  <c r="EH92" i="1"/>
  <c r="CU92" i="1"/>
  <c r="DQ99" i="1"/>
  <c r="CU99" i="1"/>
  <c r="EH99" i="1"/>
  <c r="DQ111" i="1"/>
  <c r="CU111" i="1"/>
  <c r="EH111" i="1"/>
  <c r="EH61" i="1"/>
  <c r="DQ61" i="1"/>
  <c r="CU61" i="1"/>
  <c r="DS218" i="1"/>
  <c r="CX218" i="1"/>
  <c r="CV218" i="1"/>
  <c r="CW218" i="1"/>
  <c r="CY218" i="1"/>
  <c r="EJ218" i="1"/>
  <c r="CZ218" i="1"/>
  <c r="CU88" i="1"/>
  <c r="EH88" i="1"/>
  <c r="DQ88" i="1"/>
  <c r="EH43" i="1"/>
  <c r="CU43" i="1"/>
  <c r="DQ43" i="1"/>
  <c r="DQ265" i="1"/>
  <c r="EH265" i="1"/>
  <c r="CU265" i="1"/>
  <c r="CY299" i="1"/>
  <c r="CZ299" i="1"/>
  <c r="CX299" i="1"/>
  <c r="EJ299" i="1"/>
  <c r="CW299" i="1"/>
  <c r="DS299" i="1"/>
  <c r="CV299" i="1"/>
  <c r="EH55" i="1"/>
  <c r="CU55" i="1"/>
  <c r="DQ55" i="1"/>
  <c r="CU183" i="1"/>
  <c r="DQ183" i="1"/>
  <c r="EH183" i="1"/>
  <c r="DQ189" i="1"/>
  <c r="CU189" i="1"/>
  <c r="EH189" i="1"/>
  <c r="CU252" i="1"/>
  <c r="EH252" i="1"/>
  <c r="DQ252" i="1"/>
  <c r="EH39" i="1"/>
  <c r="DQ39" i="1"/>
  <c r="CU39" i="1"/>
  <c r="EH136" i="1"/>
  <c r="CU136" i="1"/>
  <c r="DQ136" i="1"/>
  <c r="DQ75" i="1"/>
  <c r="EH75" i="1"/>
  <c r="CU75" i="1"/>
  <c r="EH106" i="1"/>
  <c r="DQ106" i="1"/>
  <c r="CU106" i="1"/>
  <c r="DQ261" i="1"/>
  <c r="EH261" i="1"/>
  <c r="CU261" i="1"/>
  <c r="DQ13" i="1"/>
  <c r="CU13" i="1"/>
  <c r="EH13" i="1"/>
  <c r="DS275" i="1"/>
  <c r="CZ275" i="1"/>
  <c r="EJ275" i="1"/>
  <c r="CY275" i="1"/>
  <c r="CW275" i="1"/>
  <c r="CX275" i="1"/>
  <c r="CV275" i="1"/>
  <c r="CU78" i="1"/>
  <c r="DQ78" i="1"/>
  <c r="EH78" i="1"/>
  <c r="CU51" i="1"/>
  <c r="DQ51" i="1"/>
  <c r="EH51" i="1"/>
  <c r="EH204" i="1"/>
  <c r="DQ204" i="1"/>
  <c r="CU204" i="1"/>
  <c r="CV251" i="1"/>
  <c r="CW251" i="1"/>
  <c r="CY251" i="1"/>
  <c r="CX251" i="1"/>
  <c r="DS251" i="1"/>
  <c r="CZ251" i="1"/>
  <c r="EJ251" i="1"/>
  <c r="EH242" i="1"/>
  <c r="DQ242" i="1"/>
  <c r="CU242" i="1"/>
  <c r="CU260" i="1"/>
  <c r="DQ260" i="1"/>
  <c r="EH260" i="1"/>
  <c r="DQ22" i="1"/>
  <c r="EH22" i="1"/>
  <c r="CU22" i="1"/>
  <c r="CU125" i="1"/>
  <c r="EH125" i="1"/>
  <c r="DQ125" i="1"/>
  <c r="CU57" i="1"/>
  <c r="EH57" i="1"/>
  <c r="DQ57" i="1"/>
  <c r="CU143" i="1"/>
  <c r="EH143" i="1"/>
  <c r="DQ143" i="1"/>
  <c r="EH203" i="1"/>
  <c r="CU203" i="1"/>
  <c r="DQ203" i="1"/>
  <c r="DQ170" i="1"/>
  <c r="EH170" i="1"/>
  <c r="CU170" i="1"/>
  <c r="EJ278" i="1"/>
  <c r="CX278" i="1"/>
  <c r="CY278" i="1"/>
  <c r="CZ278" i="1"/>
  <c r="DS278" i="1"/>
  <c r="CW278" i="1"/>
  <c r="CV278" i="1"/>
  <c r="CU272" i="1"/>
  <c r="EH272" i="1"/>
  <c r="DQ272" i="1"/>
  <c r="EH177" i="1"/>
  <c r="DQ177" i="1"/>
  <c r="CU177" i="1"/>
  <c r="CZ233" i="1"/>
  <c r="DS233" i="1"/>
  <c r="EJ233" i="1"/>
  <c r="CV233" i="1"/>
  <c r="CY233" i="1"/>
  <c r="CX233" i="1"/>
  <c r="CW233" i="1"/>
  <c r="CU174" i="1"/>
  <c r="DQ174" i="1"/>
  <c r="EH174" i="1"/>
  <c r="EH101" i="1"/>
  <c r="CU101" i="1"/>
  <c r="DQ101" i="1"/>
  <c r="DQ27" i="1"/>
  <c r="CU27" i="1"/>
  <c r="EH27" i="1"/>
  <c r="DQ86" i="1"/>
  <c r="EH86" i="1"/>
  <c r="CU86" i="1"/>
  <c r="CY331" i="1"/>
  <c r="CW331" i="1"/>
  <c r="CV331" i="1"/>
  <c r="DS331" i="1"/>
  <c r="CX331" i="1"/>
  <c r="CZ331" i="1"/>
  <c r="EJ331" i="1"/>
  <c r="CU235" i="1"/>
  <c r="DQ235" i="1"/>
  <c r="EH235" i="1"/>
  <c r="DQ256" i="1"/>
  <c r="EH256" i="1"/>
  <c r="CU256" i="1"/>
  <c r="EH69" i="1"/>
  <c r="DQ69" i="1"/>
  <c r="CU69" i="1"/>
  <c r="DQ213" i="1"/>
  <c r="CU213" i="1"/>
  <c r="EH213" i="1"/>
  <c r="EH244" i="1"/>
  <c r="CU244" i="1"/>
  <c r="DQ244" i="1"/>
  <c r="CU72" i="1"/>
  <c r="EH72" i="1"/>
  <c r="DQ72" i="1"/>
  <c r="DQ135" i="1"/>
  <c r="CU135" i="1"/>
  <c r="EH135" i="1"/>
  <c r="EH249" i="1"/>
  <c r="CU249" i="1"/>
  <c r="DQ249" i="1"/>
  <c r="DQ185" i="1"/>
  <c r="CU185" i="1"/>
  <c r="EH185" i="1"/>
  <c r="EH144" i="1"/>
  <c r="DQ144" i="1"/>
  <c r="CU144" i="1"/>
  <c r="DQ29" i="1"/>
  <c r="EH29" i="1"/>
  <c r="CU29" i="1"/>
  <c r="DQ246" i="1"/>
  <c r="EH246" i="1"/>
  <c r="CU246" i="1"/>
  <c r="EH232" i="1"/>
  <c r="CU232" i="1"/>
  <c r="DQ232" i="1"/>
  <c r="CY332" i="1"/>
  <c r="EJ332" i="1"/>
  <c r="CX332" i="1"/>
  <c r="CZ332" i="1"/>
  <c r="DS332" i="1"/>
  <c r="CV332" i="1"/>
  <c r="CW332" i="1"/>
  <c r="EH120" i="1"/>
  <c r="CU120" i="1"/>
  <c r="DQ120" i="1"/>
  <c r="EH33" i="1"/>
  <c r="CU33" i="1"/>
  <c r="DQ33" i="1"/>
  <c r="CY311" i="1"/>
  <c r="EJ311" i="1"/>
  <c r="DS311" i="1"/>
  <c r="CV311" i="1"/>
  <c r="CX311" i="1"/>
  <c r="CW311" i="1"/>
  <c r="CZ311" i="1"/>
  <c r="DQ243" i="1"/>
  <c r="EH243" i="1"/>
  <c r="CU243" i="1"/>
  <c r="EH53" i="1"/>
  <c r="CU53" i="1"/>
  <c r="DQ53" i="1"/>
  <c r="CU236" i="1"/>
  <c r="EH236" i="1"/>
  <c r="DQ236" i="1"/>
  <c r="CU214" i="1"/>
  <c r="EH214" i="1"/>
  <c r="DQ214" i="1"/>
  <c r="DQ80" i="1"/>
  <c r="CU80" i="1"/>
  <c r="EH80" i="1"/>
  <c r="EH109" i="1"/>
  <c r="DQ109" i="1"/>
  <c r="CU109" i="1"/>
  <c r="CU216" i="1"/>
  <c r="EH216" i="1"/>
  <c r="DQ216" i="1"/>
  <c r="CU34" i="1"/>
  <c r="EH34" i="1"/>
  <c r="DQ34" i="1"/>
  <c r="CU131" i="1"/>
  <c r="EH131" i="1"/>
  <c r="DQ131" i="1"/>
  <c r="EH167" i="1"/>
  <c r="DQ167" i="1"/>
  <c r="CU167" i="1"/>
  <c r="CZ195" i="1"/>
  <c r="EJ195" i="1"/>
  <c r="CY195" i="1"/>
  <c r="CX195" i="1"/>
  <c r="CW195" i="1"/>
  <c r="DS195" i="1"/>
  <c r="CV195" i="1"/>
  <c r="CU231" i="1"/>
  <c r="DQ231" i="1"/>
  <c r="EH231" i="1"/>
  <c r="CU168" i="1"/>
  <c r="DQ168" i="1"/>
  <c r="EH168" i="1"/>
  <c r="EH20" i="1"/>
  <c r="DQ20" i="1"/>
  <c r="CU20" i="1"/>
  <c r="CU179" i="1"/>
  <c r="EH179" i="1"/>
  <c r="DQ179" i="1"/>
  <c r="DQ225" i="1"/>
  <c r="EH225" i="1"/>
  <c r="CU225" i="1"/>
  <c r="EH239" i="1"/>
  <c r="DQ239" i="1"/>
  <c r="CU239" i="1"/>
  <c r="EH194" i="1"/>
  <c r="CU194" i="1"/>
  <c r="DQ194" i="1"/>
  <c r="DQ220" i="1"/>
  <c r="EH220" i="1"/>
  <c r="CU220" i="1"/>
  <c r="DQ208" i="1"/>
  <c r="CU208" i="1"/>
  <c r="EH208" i="1"/>
  <c r="DQ95" i="1"/>
  <c r="EH95" i="1"/>
  <c r="CU95" i="1"/>
  <c r="CU64" i="1"/>
  <c r="EH64" i="1"/>
  <c r="DQ64" i="1"/>
  <c r="CU226" i="1"/>
  <c r="DQ226" i="1"/>
  <c r="EH226" i="1"/>
  <c r="DQ60" i="1"/>
  <c r="CU60" i="1"/>
  <c r="EH60" i="1"/>
  <c r="DQ12" i="1"/>
  <c r="EH12" i="1"/>
  <c r="CU12" i="1"/>
  <c r="EH50" i="1"/>
  <c r="DQ50" i="1"/>
  <c r="CU50" i="1"/>
  <c r="CU110" i="1"/>
  <c r="DQ110" i="1"/>
  <c r="EH110" i="1"/>
  <c r="EH67" i="1"/>
  <c r="CU67" i="1"/>
  <c r="DQ67" i="1"/>
  <c r="DQ74" i="1"/>
  <c r="EH74" i="1"/>
  <c r="CU74" i="1"/>
  <c r="EH26" i="1"/>
  <c r="CU26" i="1"/>
  <c r="DQ26" i="1"/>
  <c r="CU45" i="1"/>
  <c r="EH45" i="1"/>
  <c r="DQ45" i="1"/>
  <c r="DQ63" i="1"/>
  <c r="EH63" i="1"/>
  <c r="CU63" i="1"/>
  <c r="CU70" i="1"/>
  <c r="DQ70" i="1"/>
  <c r="EH70" i="1"/>
  <c r="CU248" i="1"/>
  <c r="EH248" i="1"/>
  <c r="DQ248" i="1"/>
  <c r="CU100" i="1"/>
  <c r="DQ100" i="1"/>
  <c r="EH100" i="1"/>
  <c r="CU127" i="1"/>
  <c r="DQ127" i="1"/>
  <c r="EH127" i="1"/>
  <c r="CU137" i="1"/>
  <c r="DQ137" i="1"/>
  <c r="EH137" i="1"/>
  <c r="EH105" i="1"/>
  <c r="DQ105" i="1"/>
  <c r="CU105" i="1"/>
  <c r="EH44" i="1"/>
  <c r="DQ44" i="1"/>
  <c r="CU44" i="1"/>
  <c r="DQ224" i="1"/>
  <c r="CU224" i="1"/>
  <c r="EH224" i="1"/>
  <c r="EH254" i="1"/>
  <c r="CU254" i="1"/>
  <c r="DQ254" i="1"/>
  <c r="EH85" i="1"/>
  <c r="DQ85" i="1"/>
  <c r="CU85" i="1"/>
  <c r="EH219" i="1"/>
  <c r="DQ219" i="1"/>
  <c r="CU219" i="1"/>
  <c r="DQ65" i="1"/>
  <c r="CU65" i="1"/>
  <c r="EH65" i="1"/>
  <c r="EH172" i="1"/>
  <c r="DQ172" i="1"/>
  <c r="CU172" i="1"/>
  <c r="DQ190" i="1"/>
  <c r="EH190" i="1"/>
  <c r="CU190" i="1"/>
  <c r="EH230" i="1"/>
  <c r="CU230" i="1"/>
  <c r="DQ230" i="1"/>
  <c r="CU94" i="1"/>
  <c r="EH94" i="1"/>
  <c r="DQ94" i="1"/>
  <c r="CU209" i="1"/>
  <c r="DQ209" i="1"/>
  <c r="EH209" i="1"/>
  <c r="EH38" i="1"/>
  <c r="DQ38" i="1"/>
  <c r="CU38" i="1"/>
  <c r="DQ240" i="1"/>
  <c r="EH240" i="1"/>
  <c r="CU240" i="1"/>
  <c r="EH56" i="1"/>
  <c r="CU56" i="1"/>
  <c r="DQ56" i="1"/>
  <c r="CY166" i="1"/>
  <c r="DS166" i="1"/>
  <c r="EJ166" i="1"/>
  <c r="CV166" i="1"/>
  <c r="CW166" i="1"/>
  <c r="CZ166" i="1"/>
  <c r="CX166" i="1"/>
  <c r="DQ77" i="1"/>
  <c r="EH77" i="1"/>
  <c r="CU77" i="1"/>
  <c r="DQ41" i="1"/>
  <c r="CU41" i="1"/>
  <c r="EH41" i="1"/>
  <c r="EH58" i="1"/>
  <c r="CU58" i="1"/>
  <c r="DQ58" i="1"/>
  <c r="CU30" i="1"/>
  <c r="EH30" i="1"/>
  <c r="DQ30" i="1"/>
  <c r="DQ28" i="1"/>
  <c r="CU28" i="1"/>
  <c r="EH28" i="1"/>
  <c r="CU173" i="1"/>
  <c r="EH173" i="1"/>
  <c r="DQ173" i="1"/>
  <c r="DQ191" i="1"/>
  <c r="CU191" i="1"/>
  <c r="EH191" i="1"/>
  <c r="EH21" i="1"/>
  <c r="CU21" i="1"/>
  <c r="DQ21" i="1"/>
  <c r="DQ141" i="1"/>
  <c r="CU141" i="1"/>
  <c r="EH141" i="1"/>
  <c r="CU188" i="1"/>
  <c r="DQ188" i="1"/>
  <c r="EH188" i="1"/>
  <c r="CU245" i="1"/>
  <c r="EH245" i="1"/>
  <c r="DQ245" i="1"/>
  <c r="CU182" i="1"/>
  <c r="EH182" i="1"/>
  <c r="DQ182" i="1"/>
  <c r="CU89" i="1"/>
  <c r="DQ89" i="1"/>
  <c r="EH89" i="1"/>
  <c r="EH40" i="1"/>
  <c r="CU40" i="1"/>
  <c r="DQ40" i="1"/>
  <c r="CU25" i="1"/>
  <c r="EH25" i="1"/>
  <c r="DQ25" i="1"/>
  <c r="CU186" i="1"/>
  <c r="EH186" i="1"/>
  <c r="DQ186" i="1"/>
  <c r="DQ36" i="1"/>
  <c r="CU36" i="1"/>
  <c r="EH36" i="1"/>
  <c r="EH16" i="1"/>
  <c r="DQ16" i="1"/>
  <c r="CU16" i="1"/>
  <c r="DQ19" i="1"/>
  <c r="EH19" i="1"/>
  <c r="CU19" i="1"/>
  <c r="CU35" i="1"/>
  <c r="EH35" i="1"/>
  <c r="DQ35" i="1"/>
  <c r="DQ234" i="1"/>
  <c r="CU234" i="1"/>
  <c r="EH234" i="1"/>
  <c r="DQ8" i="1"/>
  <c r="CU8" i="1"/>
  <c r="EH8" i="1"/>
  <c r="EH198" i="1"/>
  <c r="DQ198" i="1"/>
  <c r="CU198" i="1"/>
  <c r="DQ24" i="1"/>
  <c r="EH24" i="1"/>
  <c r="CU24" i="1"/>
  <c r="DQ17" i="1"/>
  <c r="EH17" i="1"/>
  <c r="CU17" i="1"/>
  <c r="EH212" i="1"/>
  <c r="CU212" i="1"/>
  <c r="DQ212" i="1"/>
  <c r="CU139" i="1"/>
  <c r="EH139" i="1"/>
  <c r="DQ139" i="1"/>
  <c r="CU206" i="1"/>
  <c r="EH206" i="1"/>
  <c r="DQ206" i="1"/>
  <c r="CU165" i="1"/>
  <c r="DQ165" i="1"/>
  <c r="EH165" i="1"/>
  <c r="EH128" i="1"/>
  <c r="DQ128" i="1"/>
  <c r="CU128" i="1"/>
  <c r="EH228" i="1"/>
  <c r="CU228" i="1"/>
  <c r="DQ228" i="1"/>
  <c r="EH104" i="1"/>
  <c r="DQ104" i="1"/>
  <c r="CU104" i="1"/>
  <c r="EH202" i="1"/>
  <c r="CU202" i="1"/>
  <c r="DQ202" i="1"/>
  <c r="DQ11" i="1"/>
  <c r="EH11" i="1"/>
  <c r="CU11" i="1"/>
  <c r="EH108" i="1"/>
  <c r="DQ108" i="1"/>
  <c r="CU108" i="1"/>
  <c r="CU84" i="1"/>
  <c r="EH84" i="1"/>
  <c r="DQ84" i="1"/>
  <c r="DQ54" i="1"/>
  <c r="EH54" i="1"/>
  <c r="CU54" i="1"/>
  <c r="CZ180" i="1"/>
  <c r="CW180" i="1"/>
  <c r="CY180" i="1"/>
  <c r="DS180" i="1"/>
  <c r="CX180" i="1"/>
  <c r="CV180" i="1"/>
  <c r="EJ180" i="1"/>
  <c r="EH82" i="1"/>
  <c r="DQ82" i="1"/>
  <c r="CU82" i="1"/>
  <c r="EH247" i="1"/>
  <c r="CU247" i="1"/>
  <c r="DQ247" i="1"/>
  <c r="EJ113" i="1"/>
  <c r="CX113" i="1"/>
  <c r="CW113" i="1"/>
  <c r="CV113" i="1"/>
  <c r="CZ113" i="1"/>
  <c r="CY113" i="1"/>
  <c r="DS113" i="1"/>
  <c r="CU171" i="1"/>
  <c r="EH171" i="1"/>
  <c r="DQ171" i="1"/>
  <c r="CU42" i="1"/>
  <c r="EH42" i="1"/>
  <c r="DQ42" i="1"/>
  <c r="EH115" i="1"/>
  <c r="DQ115" i="1"/>
  <c r="CU115" i="1"/>
  <c r="EH184" i="1"/>
  <c r="DQ184" i="1"/>
  <c r="CU184" i="1"/>
  <c r="CW416" i="1"/>
  <c r="DS416" i="1"/>
  <c r="CV416" i="1"/>
  <c r="CX416" i="1"/>
  <c r="EJ416" i="1"/>
  <c r="CZ416" i="1"/>
  <c r="CY416" i="1"/>
  <c r="CU237" i="1"/>
  <c r="DQ237" i="1"/>
  <c r="EH237" i="1"/>
  <c r="DQ32" i="1"/>
  <c r="CU32" i="1"/>
  <c r="EH32" i="1"/>
  <c r="CU46" i="1"/>
  <c r="EH46" i="1"/>
  <c r="DQ46" i="1"/>
  <c r="EH211" i="1"/>
  <c r="DQ211" i="1"/>
  <c r="CU211" i="1"/>
  <c r="EH229" i="1"/>
  <c r="DQ229" i="1"/>
  <c r="CU229" i="1"/>
  <c r="DQ129" i="1"/>
  <c r="CU129" i="1"/>
  <c r="EH129" i="1"/>
  <c r="DQ47" i="1"/>
  <c r="EH47" i="1"/>
  <c r="CU47" i="1"/>
  <c r="CU227" i="1"/>
  <c r="DQ227" i="1"/>
  <c r="EH227" i="1"/>
  <c r="EH10" i="1"/>
  <c r="CU10" i="1"/>
  <c r="DQ10" i="1"/>
  <c r="CU176" i="1"/>
  <c r="DQ176" i="1"/>
  <c r="EH176" i="1"/>
  <c r="DQ87" i="1"/>
  <c r="CU87" i="1"/>
  <c r="EH87" i="1"/>
  <c r="DQ250" i="1"/>
  <c r="CU250" i="1"/>
  <c r="EH250" i="1"/>
  <c r="CU71" i="1"/>
  <c r="EH71" i="1"/>
  <c r="DQ71" i="1"/>
  <c r="DQ192" i="1"/>
  <c r="EH192" i="1"/>
  <c r="CU192" i="1"/>
  <c r="EH5" i="1"/>
  <c r="CU5" i="1"/>
  <c r="DQ5" i="1"/>
  <c r="CU52" i="1"/>
  <c r="EH52" i="1"/>
  <c r="DQ52" i="1"/>
  <c r="DQ217" i="1"/>
  <c r="EH217" i="1"/>
  <c r="CU217" i="1"/>
  <c r="CU83" i="1"/>
  <c r="EH83" i="1"/>
  <c r="DQ83" i="1"/>
  <c r="EH62" i="1"/>
  <c r="CU62" i="1"/>
  <c r="DQ62" i="1"/>
  <c r="DQ238" i="1"/>
  <c r="CU238" i="1"/>
  <c r="EH238" i="1"/>
  <c r="CV241" i="1"/>
  <c r="CY241" i="1"/>
  <c r="EJ241" i="1"/>
  <c r="CZ241" i="1"/>
  <c r="CX241" i="1"/>
  <c r="DS241" i="1"/>
  <c r="CW241" i="1"/>
  <c r="CZ122" i="1"/>
  <c r="CX122" i="1"/>
  <c r="CV122" i="1"/>
  <c r="CY122" i="1"/>
  <c r="EJ122" i="1"/>
  <c r="DS122" i="1"/>
  <c r="CW122" i="1"/>
  <c r="EH37" i="1"/>
  <c r="CU37" i="1"/>
  <c r="DQ37" i="1"/>
  <c r="DQ102" i="1"/>
  <c r="EH102" i="1"/>
  <c r="CU102" i="1"/>
  <c r="CU215" i="1"/>
  <c r="EH215" i="1"/>
  <c r="DQ215" i="1"/>
  <c r="DQ48" i="1"/>
  <c r="CU48" i="1"/>
  <c r="EH48" i="1"/>
  <c r="EH142" i="1"/>
  <c r="CU142" i="1"/>
  <c r="DQ142" i="1"/>
  <c r="DQ117" i="1"/>
  <c r="CU117" i="1"/>
  <c r="EH117" i="1"/>
  <c r="CU98" i="1"/>
  <c r="DQ98" i="1"/>
  <c r="EH98" i="1"/>
  <c r="EH132" i="1"/>
  <c r="DQ132" i="1"/>
  <c r="CU132" i="1"/>
  <c r="CU114" i="1"/>
  <c r="DQ114" i="1"/>
  <c r="EH114" i="1"/>
  <c r="DQ126" i="1"/>
  <c r="CU126" i="1"/>
  <c r="EH126" i="1"/>
  <c r="CU199" i="1"/>
  <c r="DQ199" i="1"/>
  <c r="EH199" i="1"/>
  <c r="DQ264" i="1"/>
  <c r="EH264" i="1"/>
  <c r="CU264" i="1"/>
  <c r="CU222" i="1"/>
  <c r="EH222" i="1"/>
  <c r="DQ222" i="1"/>
  <c r="EH133" i="1"/>
  <c r="DQ133" i="1"/>
  <c r="CU133" i="1"/>
  <c r="CU112" i="1"/>
  <c r="EH112" i="1"/>
  <c r="DQ112" i="1"/>
  <c r="CW319" i="1"/>
  <c r="CY319" i="1"/>
  <c r="CZ319" i="1"/>
  <c r="CX319" i="1"/>
  <c r="CV319" i="1"/>
  <c r="EJ319" i="1"/>
  <c r="DS319" i="1"/>
  <c r="CZ315" i="1"/>
  <c r="CV315" i="1"/>
  <c r="EJ315" i="1"/>
  <c r="DS315" i="1"/>
  <c r="CY315" i="1"/>
  <c r="CW315" i="1"/>
  <c r="CX315" i="1"/>
  <c r="AY423" i="1" l="1"/>
  <c r="AY420" i="1"/>
  <c r="AY422" i="1"/>
  <c r="DS292" i="1"/>
  <c r="EJ292" i="1"/>
  <c r="CY292" i="1"/>
  <c r="CZ292" i="1"/>
  <c r="CW292" i="1"/>
  <c r="CV292" i="1"/>
  <c r="CX292" i="1"/>
  <c r="CW283" i="1"/>
  <c r="EJ283" i="1"/>
  <c r="DS283" i="1"/>
  <c r="CV283" i="1"/>
  <c r="CZ283" i="1"/>
  <c r="CY283" i="1"/>
  <c r="CX283" i="1"/>
  <c r="EJ262" i="1"/>
  <c r="CY262" i="1"/>
  <c r="CX262" i="1"/>
  <c r="CV262" i="1"/>
  <c r="CZ262" i="1"/>
  <c r="DS262" i="1"/>
  <c r="CW262" i="1"/>
  <c r="CX7" i="1"/>
  <c r="EJ7" i="1"/>
  <c r="CW7" i="1"/>
  <c r="DS7" i="1"/>
  <c r="CY7" i="1"/>
  <c r="CZ7" i="1"/>
  <c r="CV7" i="1"/>
  <c r="CV255" i="1"/>
  <c r="CZ255" i="1"/>
  <c r="DS255" i="1"/>
  <c r="CX255" i="1"/>
  <c r="CW255" i="1"/>
  <c r="EJ255" i="1"/>
  <c r="CY255" i="1"/>
  <c r="CY316" i="1"/>
  <c r="CX316" i="1"/>
  <c r="CW316" i="1"/>
  <c r="EJ316" i="1"/>
  <c r="CZ316" i="1"/>
  <c r="CV316" i="1"/>
  <c r="DS316" i="1"/>
  <c r="CZ287" i="1"/>
  <c r="DS287" i="1"/>
  <c r="EJ287" i="1"/>
  <c r="CX287" i="1"/>
  <c r="CY287" i="1"/>
  <c r="CW287" i="1"/>
  <c r="CV287" i="1"/>
  <c r="EJ93" i="1"/>
  <c r="CZ93" i="1"/>
  <c r="CW93" i="1"/>
  <c r="CX93" i="1"/>
  <c r="DS93" i="1"/>
  <c r="CY93" i="1"/>
  <c r="CV93" i="1"/>
  <c r="CZ107" i="1"/>
  <c r="CV107" i="1"/>
  <c r="CY107" i="1"/>
  <c r="DS107" i="1"/>
  <c r="EJ107" i="1"/>
  <c r="CW107" i="1"/>
  <c r="CX107" i="1"/>
  <c r="DS259" i="1"/>
  <c r="CY259" i="1"/>
  <c r="CX259" i="1"/>
  <c r="EJ259" i="1"/>
  <c r="CV259" i="1"/>
  <c r="CZ259" i="1"/>
  <c r="CW259" i="1"/>
  <c r="DS175" i="1"/>
  <c r="CZ175" i="1"/>
  <c r="CY175" i="1"/>
  <c r="CW175" i="1"/>
  <c r="CX175" i="1"/>
  <c r="EJ175" i="1"/>
  <c r="CV175" i="1"/>
  <c r="CZ306" i="1"/>
  <c r="CY306" i="1"/>
  <c r="CX306" i="1"/>
  <c r="CV306" i="1"/>
  <c r="EJ306" i="1"/>
  <c r="DS306" i="1"/>
  <c r="CW306" i="1"/>
  <c r="CY282" i="1"/>
  <c r="CZ282" i="1"/>
  <c r="CX282" i="1"/>
  <c r="EJ282" i="1"/>
  <c r="CV282" i="1"/>
  <c r="DS282" i="1"/>
  <c r="CW282" i="1"/>
  <c r="CW257" i="1"/>
  <c r="DS257" i="1"/>
  <c r="CZ257" i="1"/>
  <c r="CY257" i="1"/>
  <c r="CV257" i="1"/>
  <c r="EJ257" i="1"/>
  <c r="CX257" i="1"/>
  <c r="CX121" i="1"/>
  <c r="CW121" i="1"/>
  <c r="CV121" i="1"/>
  <c r="CY121" i="1"/>
  <c r="CZ121" i="1"/>
  <c r="EJ121" i="1"/>
  <c r="DS121" i="1"/>
  <c r="EH421" i="1"/>
  <c r="EH422" i="1"/>
  <c r="DQ422" i="1"/>
  <c r="CU423" i="1"/>
  <c r="EH423" i="1"/>
  <c r="CY284" i="1"/>
  <c r="EJ284" i="1"/>
  <c r="CX284" i="1"/>
  <c r="CV284" i="1"/>
  <c r="CZ284" i="1"/>
  <c r="DS284" i="1"/>
  <c r="CW284" i="1"/>
  <c r="EJ68" i="1"/>
  <c r="CV68" i="1"/>
  <c r="CX68" i="1"/>
  <c r="CY68" i="1"/>
  <c r="DS68" i="1"/>
  <c r="CW68" i="1"/>
  <c r="CZ68" i="1"/>
  <c r="CZ303" i="1"/>
  <c r="CX303" i="1"/>
  <c r="EJ303" i="1"/>
  <c r="DS303" i="1"/>
  <c r="CV303" i="1"/>
  <c r="CY303" i="1"/>
  <c r="CW303" i="1"/>
  <c r="DS289" i="1"/>
  <c r="CZ289" i="1"/>
  <c r="CV289" i="1"/>
  <c r="CY289" i="1"/>
  <c r="CX289" i="1"/>
  <c r="CW289" i="1"/>
  <c r="EJ289" i="1"/>
  <c r="DS6" i="1"/>
  <c r="CX6" i="1"/>
  <c r="CY6" i="1"/>
  <c r="EJ6" i="1"/>
  <c r="CV6" i="1"/>
  <c r="CZ6" i="1"/>
  <c r="CW6" i="1"/>
  <c r="EJ288" i="1"/>
  <c r="CZ288" i="1"/>
  <c r="DS288" i="1"/>
  <c r="CY288" i="1"/>
  <c r="CW288" i="1"/>
  <c r="CX288" i="1"/>
  <c r="CV288" i="1"/>
  <c r="DS308" i="1"/>
  <c r="CX308" i="1"/>
  <c r="EJ308" i="1"/>
  <c r="CW308" i="1"/>
  <c r="CY308" i="1"/>
  <c r="CZ308" i="1"/>
  <c r="CV308" i="1"/>
  <c r="EH420" i="1"/>
  <c r="DS23" i="1"/>
  <c r="CZ23" i="1"/>
  <c r="CV23" i="1"/>
  <c r="CW23" i="1"/>
  <c r="CX23" i="1"/>
  <c r="CY23" i="1"/>
  <c r="EJ23" i="1"/>
  <c r="DQ421" i="1"/>
  <c r="EJ266" i="1"/>
  <c r="CX266" i="1"/>
  <c r="CV266" i="1"/>
  <c r="DS266" i="1"/>
  <c r="CZ266" i="1"/>
  <c r="CY266" i="1"/>
  <c r="CW266" i="1"/>
  <c r="DQ423" i="1"/>
  <c r="CZ49" i="1"/>
  <c r="CV49" i="1"/>
  <c r="CW49" i="1"/>
  <c r="CY49" i="1"/>
  <c r="CX49" i="1"/>
  <c r="EJ49" i="1"/>
  <c r="DS49" i="1"/>
  <c r="CZ97" i="1"/>
  <c r="EJ97" i="1"/>
  <c r="CV97" i="1"/>
  <c r="CX97" i="1"/>
  <c r="CY97" i="1"/>
  <c r="DS97" i="1"/>
  <c r="CW97" i="1"/>
  <c r="CV31" i="1"/>
  <c r="DS31" i="1"/>
  <c r="CZ31" i="1"/>
  <c r="EJ31" i="1"/>
  <c r="CX31" i="1"/>
  <c r="CY31" i="1"/>
  <c r="CW31" i="1"/>
  <c r="EJ14" i="1"/>
  <c r="CY14" i="1"/>
  <c r="CV14" i="1"/>
  <c r="DS14" i="1"/>
  <c r="CZ14" i="1"/>
  <c r="CX14" i="1"/>
  <c r="CW14" i="1"/>
  <c r="DS307" i="1"/>
  <c r="CV307" i="1"/>
  <c r="CX307" i="1"/>
  <c r="EJ307" i="1"/>
  <c r="CZ307" i="1"/>
  <c r="CY307" i="1"/>
  <c r="CW307" i="1"/>
  <c r="DS130" i="1"/>
  <c r="CV130" i="1"/>
  <c r="CX130" i="1"/>
  <c r="CY130" i="1"/>
  <c r="EJ130" i="1"/>
  <c r="CZ130" i="1"/>
  <c r="CW130" i="1"/>
  <c r="CW281" i="1"/>
  <c r="CX281" i="1"/>
  <c r="CV281" i="1"/>
  <c r="CZ281" i="1"/>
  <c r="DS281" i="1"/>
  <c r="EJ281" i="1"/>
  <c r="CY281" i="1"/>
  <c r="CV207" i="1"/>
  <c r="CX207" i="1"/>
  <c r="EJ207" i="1"/>
  <c r="DS207" i="1"/>
  <c r="CW207" i="1"/>
  <c r="CZ207" i="1"/>
  <c r="CY207" i="1"/>
  <c r="CZ103" i="1"/>
  <c r="CY103" i="1"/>
  <c r="CW103" i="1"/>
  <c r="CV103" i="1"/>
  <c r="CX103" i="1"/>
  <c r="DS103" i="1"/>
  <c r="EJ103" i="1"/>
  <c r="CW59" i="1"/>
  <c r="CY59" i="1"/>
  <c r="EJ59" i="1"/>
  <c r="CV59" i="1"/>
  <c r="CX59" i="1"/>
  <c r="DS59" i="1"/>
  <c r="CZ59" i="1"/>
  <c r="CZ119" i="1"/>
  <c r="CW119" i="1"/>
  <c r="CX119" i="1"/>
  <c r="EJ119" i="1"/>
  <c r="DS119" i="1"/>
  <c r="CV119" i="1"/>
  <c r="CY119" i="1"/>
  <c r="CX181" i="1"/>
  <c r="CY181" i="1"/>
  <c r="CV181" i="1"/>
  <c r="DS181" i="1"/>
  <c r="EJ181" i="1"/>
  <c r="CW181" i="1"/>
  <c r="CZ181" i="1"/>
  <c r="CV116" i="1"/>
  <c r="CW116" i="1"/>
  <c r="EJ116" i="1"/>
  <c r="CX116" i="1"/>
  <c r="DS116" i="1"/>
  <c r="CZ116" i="1"/>
  <c r="CY116" i="1"/>
  <c r="DQ420" i="1"/>
  <c r="CX138" i="1"/>
  <c r="DS138" i="1"/>
  <c r="CY138" i="1"/>
  <c r="CW138" i="1"/>
  <c r="CV138" i="1"/>
  <c r="EJ138" i="1"/>
  <c r="CZ138" i="1"/>
  <c r="CZ90" i="1"/>
  <c r="EJ90" i="1"/>
  <c r="CW90" i="1"/>
  <c r="CX90" i="1"/>
  <c r="CV90" i="1"/>
  <c r="CY90" i="1"/>
  <c r="DS90" i="1"/>
  <c r="CY18" i="1"/>
  <c r="DS18" i="1"/>
  <c r="CV18" i="1"/>
  <c r="EJ18" i="1"/>
  <c r="CW18" i="1"/>
  <c r="CZ18" i="1"/>
  <c r="CX18" i="1"/>
  <c r="CW118" i="1"/>
  <c r="CY118" i="1"/>
  <c r="CX118" i="1"/>
  <c r="EJ118" i="1"/>
  <c r="DS118" i="1"/>
  <c r="CZ118" i="1"/>
  <c r="CV118" i="1"/>
  <c r="CW91" i="1"/>
  <c r="CV91" i="1"/>
  <c r="EJ91" i="1"/>
  <c r="DS91" i="1"/>
  <c r="CY91" i="1"/>
  <c r="CZ91" i="1"/>
  <c r="CX91" i="1"/>
  <c r="CW187" i="1"/>
  <c r="CV187" i="1"/>
  <c r="DS187" i="1"/>
  <c r="CY187" i="1"/>
  <c r="CZ187" i="1"/>
  <c r="EJ187" i="1"/>
  <c r="CX187" i="1"/>
  <c r="CW296" i="1"/>
  <c r="CV296" i="1"/>
  <c r="DS296" i="1"/>
  <c r="CY296" i="1"/>
  <c r="CZ296" i="1"/>
  <c r="EJ296" i="1"/>
  <c r="CX296" i="1"/>
  <c r="CU422" i="1"/>
  <c r="CU421" i="1"/>
  <c r="CU420" i="1"/>
  <c r="DS81" i="1"/>
  <c r="CV81" i="1"/>
  <c r="CZ81" i="1"/>
  <c r="CW81" i="1"/>
  <c r="CY81" i="1"/>
  <c r="CX81" i="1"/>
  <c r="EJ81" i="1"/>
  <c r="CX169" i="1"/>
  <c r="CV169" i="1"/>
  <c r="EJ169" i="1"/>
  <c r="CY169" i="1"/>
  <c r="CZ169" i="1"/>
  <c r="CW169" i="1"/>
  <c r="DS169" i="1"/>
  <c r="CX253" i="1"/>
  <c r="DS253" i="1"/>
  <c r="CW253" i="1"/>
  <c r="CY253" i="1"/>
  <c r="EJ253" i="1"/>
  <c r="CZ253" i="1"/>
  <c r="CV253" i="1"/>
  <c r="CW124" i="1"/>
  <c r="EJ124" i="1"/>
  <c r="CY124" i="1"/>
  <c r="CZ124" i="1"/>
  <c r="CV124" i="1"/>
  <c r="DS124" i="1"/>
  <c r="CX124" i="1"/>
  <c r="CV268" i="1"/>
  <c r="DS268" i="1"/>
  <c r="CZ268" i="1"/>
  <c r="CW268" i="1"/>
  <c r="CY268" i="1"/>
  <c r="CX268" i="1"/>
  <c r="EJ268" i="1"/>
  <c r="CY235" i="1"/>
  <c r="DS235" i="1"/>
  <c r="CX235" i="1"/>
  <c r="CZ235" i="1"/>
  <c r="CW235" i="1"/>
  <c r="EJ235" i="1"/>
  <c r="CV235" i="1"/>
  <c r="CV86" i="1"/>
  <c r="CY86" i="1"/>
  <c r="CX86" i="1"/>
  <c r="DS86" i="1"/>
  <c r="CW86" i="1"/>
  <c r="CZ86" i="1"/>
  <c r="EJ86" i="1"/>
  <c r="EJ125" i="1"/>
  <c r="DS125" i="1"/>
  <c r="CX125" i="1"/>
  <c r="CW125" i="1"/>
  <c r="CZ125" i="1"/>
  <c r="CY125" i="1"/>
  <c r="CV125" i="1"/>
  <c r="DS39" i="1"/>
  <c r="CZ39" i="1"/>
  <c r="CW39" i="1"/>
  <c r="CV39" i="1"/>
  <c r="CX39" i="1"/>
  <c r="EJ39" i="1"/>
  <c r="CY39" i="1"/>
  <c r="CV221" i="1"/>
  <c r="CZ221" i="1"/>
  <c r="CW221" i="1"/>
  <c r="EJ221" i="1"/>
  <c r="CY221" i="1"/>
  <c r="CX221" i="1"/>
  <c r="DS221" i="1"/>
  <c r="CY272" i="1"/>
  <c r="EJ272" i="1"/>
  <c r="CX272" i="1"/>
  <c r="DS272" i="1"/>
  <c r="CZ272" i="1"/>
  <c r="CV272" i="1"/>
  <c r="CW272" i="1"/>
  <c r="CZ170" i="1"/>
  <c r="CY170" i="1"/>
  <c r="CV170" i="1"/>
  <c r="CW170" i="1"/>
  <c r="EJ170" i="1"/>
  <c r="DS170" i="1"/>
  <c r="CX170" i="1"/>
  <c r="EJ22" i="1"/>
  <c r="CW22" i="1"/>
  <c r="DS22" i="1"/>
  <c r="CV22" i="1"/>
  <c r="CY22" i="1"/>
  <c r="CZ22" i="1"/>
  <c r="CX22" i="1"/>
  <c r="EJ204" i="1"/>
  <c r="CZ204" i="1"/>
  <c r="DS204" i="1"/>
  <c r="CV204" i="1"/>
  <c r="CY204" i="1"/>
  <c r="CX204" i="1"/>
  <c r="CW204" i="1"/>
  <c r="CZ78" i="1"/>
  <c r="DS78" i="1"/>
  <c r="CX78" i="1"/>
  <c r="CY78" i="1"/>
  <c r="EJ78" i="1"/>
  <c r="CV78" i="1"/>
  <c r="CW78" i="1"/>
  <c r="CY205" i="1"/>
  <c r="CV205" i="1"/>
  <c r="EJ205" i="1"/>
  <c r="CX205" i="1"/>
  <c r="DS205" i="1"/>
  <c r="CZ205" i="1"/>
  <c r="CW205" i="1"/>
  <c r="CZ143" i="1"/>
  <c r="CX143" i="1"/>
  <c r="CY143" i="1"/>
  <c r="CV143" i="1"/>
  <c r="CW143" i="1"/>
  <c r="DS143" i="1"/>
  <c r="EJ143" i="1"/>
  <c r="CY13" i="1"/>
  <c r="CX13" i="1"/>
  <c r="DS13" i="1"/>
  <c r="EJ13" i="1"/>
  <c r="CW13" i="1"/>
  <c r="CZ13" i="1"/>
  <c r="CV13" i="1"/>
  <c r="CZ75" i="1"/>
  <c r="CX75" i="1"/>
  <c r="CW75" i="1"/>
  <c r="CY75" i="1"/>
  <c r="EJ75" i="1"/>
  <c r="DS75" i="1"/>
  <c r="CV75" i="1"/>
  <c r="EJ43" i="1"/>
  <c r="CX43" i="1"/>
  <c r="CV43" i="1"/>
  <c r="CZ43" i="1"/>
  <c r="DS43" i="1"/>
  <c r="CW43" i="1"/>
  <c r="CY43" i="1"/>
  <c r="EJ111" i="1"/>
  <c r="CW111" i="1"/>
  <c r="CY111" i="1"/>
  <c r="DS111" i="1"/>
  <c r="CX111" i="1"/>
  <c r="CZ111" i="1"/>
  <c r="CV111" i="1"/>
  <c r="CZ79" i="1"/>
  <c r="CW79" i="1"/>
  <c r="CV79" i="1"/>
  <c r="EJ79" i="1"/>
  <c r="CX79" i="1"/>
  <c r="DS79" i="1"/>
  <c r="CY79" i="1"/>
  <c r="CX174" i="1"/>
  <c r="CY174" i="1"/>
  <c r="EJ174" i="1"/>
  <c r="DS174" i="1"/>
  <c r="CZ174" i="1"/>
  <c r="CW174" i="1"/>
  <c r="CV174" i="1"/>
  <c r="CZ183" i="1"/>
  <c r="DS183" i="1"/>
  <c r="CW183" i="1"/>
  <c r="CV183" i="1"/>
  <c r="CX183" i="1"/>
  <c r="EJ183" i="1"/>
  <c r="CY183" i="1"/>
  <c r="CW76" i="1"/>
  <c r="DS76" i="1"/>
  <c r="EJ76" i="1"/>
  <c r="CX76" i="1"/>
  <c r="CZ76" i="1"/>
  <c r="CV76" i="1"/>
  <c r="CY76" i="1"/>
  <c r="CZ177" i="1"/>
  <c r="DS177" i="1"/>
  <c r="CX177" i="1"/>
  <c r="CY177" i="1"/>
  <c r="CW177" i="1"/>
  <c r="EJ177" i="1"/>
  <c r="CV177" i="1"/>
  <c r="EJ261" i="1"/>
  <c r="DS261" i="1"/>
  <c r="CY261" i="1"/>
  <c r="CW261" i="1"/>
  <c r="CX261" i="1"/>
  <c r="CZ261" i="1"/>
  <c r="CV261" i="1"/>
  <c r="CW210" i="1"/>
  <c r="CZ210" i="1"/>
  <c r="EJ210" i="1"/>
  <c r="CV210" i="1"/>
  <c r="DS210" i="1"/>
  <c r="CY210" i="1"/>
  <c r="CX210" i="1"/>
  <c r="CW57" i="1"/>
  <c r="DS57" i="1"/>
  <c r="EJ57" i="1"/>
  <c r="CZ57" i="1"/>
  <c r="CX57" i="1"/>
  <c r="CV57" i="1"/>
  <c r="CY57" i="1"/>
  <c r="CY252" i="1"/>
  <c r="CV252" i="1"/>
  <c r="EJ252" i="1"/>
  <c r="CZ252" i="1"/>
  <c r="CX252" i="1"/>
  <c r="CW252" i="1"/>
  <c r="DS252" i="1"/>
  <c r="DS55" i="1"/>
  <c r="CW55" i="1"/>
  <c r="CV55" i="1"/>
  <c r="CY55" i="1"/>
  <c r="CZ55" i="1"/>
  <c r="EJ55" i="1"/>
  <c r="CX55" i="1"/>
  <c r="EJ99" i="1"/>
  <c r="DS99" i="1"/>
  <c r="CY99" i="1"/>
  <c r="CW99" i="1"/>
  <c r="CZ99" i="1"/>
  <c r="CV99" i="1"/>
  <c r="CX99" i="1"/>
  <c r="CZ9" i="1"/>
  <c r="CW9" i="1"/>
  <c r="CY9" i="1"/>
  <c r="CV9" i="1"/>
  <c r="DS9" i="1"/>
  <c r="CX9" i="1"/>
  <c r="EJ9" i="1"/>
  <c r="CW27" i="1"/>
  <c r="CX27" i="1"/>
  <c r="CZ27" i="1"/>
  <c r="CY27" i="1"/>
  <c r="CV27" i="1"/>
  <c r="EJ27" i="1"/>
  <c r="DS27" i="1"/>
  <c r="CV203" i="1"/>
  <c r="EJ203" i="1"/>
  <c r="CY203" i="1"/>
  <c r="CW203" i="1"/>
  <c r="DS203" i="1"/>
  <c r="CX203" i="1"/>
  <c r="CZ203" i="1"/>
  <c r="DS260" i="1"/>
  <c r="CZ260" i="1"/>
  <c r="CV260" i="1"/>
  <c r="EJ260" i="1"/>
  <c r="CY260" i="1"/>
  <c r="CX260" i="1"/>
  <c r="CW260" i="1"/>
  <c r="CX51" i="1"/>
  <c r="DS51" i="1"/>
  <c r="CW51" i="1"/>
  <c r="EJ51" i="1"/>
  <c r="CZ51" i="1"/>
  <c r="CY51" i="1"/>
  <c r="CV51" i="1"/>
  <c r="CY136" i="1"/>
  <c r="CX136" i="1"/>
  <c r="DS136" i="1"/>
  <c r="EJ136" i="1"/>
  <c r="CW136" i="1"/>
  <c r="CV136" i="1"/>
  <c r="CZ136" i="1"/>
  <c r="CV265" i="1"/>
  <c r="EJ265" i="1"/>
  <c r="CZ265" i="1"/>
  <c r="CX265" i="1"/>
  <c r="DS265" i="1"/>
  <c r="CY265" i="1"/>
  <c r="CW265" i="1"/>
  <c r="DS88" i="1"/>
  <c r="CX88" i="1"/>
  <c r="CY88" i="1"/>
  <c r="EJ88" i="1"/>
  <c r="CV88" i="1"/>
  <c r="CW88" i="1"/>
  <c r="CZ88" i="1"/>
  <c r="CW61" i="1"/>
  <c r="EJ61" i="1"/>
  <c r="CV61" i="1"/>
  <c r="CY61" i="1"/>
  <c r="DS61" i="1"/>
  <c r="CX61" i="1"/>
  <c r="CZ61" i="1"/>
  <c r="CV140" i="1"/>
  <c r="CZ140" i="1"/>
  <c r="CX140" i="1"/>
  <c r="DS140" i="1"/>
  <c r="CY140" i="1"/>
  <c r="CW140" i="1"/>
  <c r="EJ140" i="1"/>
  <c r="CX15" i="1"/>
  <c r="DS15" i="1"/>
  <c r="CV15" i="1"/>
  <c r="CZ15" i="1"/>
  <c r="CW15" i="1"/>
  <c r="CY15" i="1"/>
  <c r="EJ15" i="1"/>
  <c r="CW101" i="1"/>
  <c r="DS101" i="1"/>
  <c r="CY101" i="1"/>
  <c r="CV101" i="1"/>
  <c r="CX101" i="1"/>
  <c r="CZ101" i="1"/>
  <c r="EJ101" i="1"/>
  <c r="CV242" i="1"/>
  <c r="CW242" i="1"/>
  <c r="DS242" i="1"/>
  <c r="CZ242" i="1"/>
  <c r="CX242" i="1"/>
  <c r="CY242" i="1"/>
  <c r="EJ242" i="1"/>
  <c r="CZ106" i="1"/>
  <c r="CV106" i="1"/>
  <c r="CY106" i="1"/>
  <c r="CW106" i="1"/>
  <c r="DS106" i="1"/>
  <c r="EJ106" i="1"/>
  <c r="CX106" i="1"/>
  <c r="CX189" i="1"/>
  <c r="CV189" i="1"/>
  <c r="EJ189" i="1"/>
  <c r="DS189" i="1"/>
  <c r="CZ189" i="1"/>
  <c r="CW189" i="1"/>
  <c r="CY189" i="1"/>
  <c r="CV92" i="1"/>
  <c r="CY92" i="1"/>
  <c r="EJ92" i="1"/>
  <c r="CX92" i="1"/>
  <c r="CZ92" i="1"/>
  <c r="CW92" i="1"/>
  <c r="DS92" i="1"/>
  <c r="CY73" i="1"/>
  <c r="CX73" i="1"/>
  <c r="CW73" i="1"/>
  <c r="CZ73" i="1"/>
  <c r="EJ73" i="1"/>
  <c r="DS73" i="1"/>
  <c r="CV73" i="1"/>
  <c r="CV112" i="1"/>
  <c r="CZ112" i="1"/>
  <c r="CY112" i="1"/>
  <c r="CX112" i="1"/>
  <c r="CW112" i="1"/>
  <c r="DS112" i="1"/>
  <c r="EJ112" i="1"/>
  <c r="CW48" i="1"/>
  <c r="CZ48" i="1"/>
  <c r="CV48" i="1"/>
  <c r="DS48" i="1"/>
  <c r="CY48" i="1"/>
  <c r="EJ48" i="1"/>
  <c r="CX48" i="1"/>
  <c r="CX171" i="1"/>
  <c r="CV171" i="1"/>
  <c r="CY171" i="1"/>
  <c r="EJ171" i="1"/>
  <c r="CW171" i="1"/>
  <c r="CZ171" i="1"/>
  <c r="DS171" i="1"/>
  <c r="CW228" i="1"/>
  <c r="CZ228" i="1"/>
  <c r="CY228" i="1"/>
  <c r="DS228" i="1"/>
  <c r="EJ228" i="1"/>
  <c r="CV228" i="1"/>
  <c r="CX228" i="1"/>
  <c r="CZ5" i="1"/>
  <c r="CX5" i="1"/>
  <c r="EJ5" i="1"/>
  <c r="CY5" i="1"/>
  <c r="DS5" i="1"/>
  <c r="CV5" i="1"/>
  <c r="CW5" i="1"/>
  <c r="CW247" i="1"/>
  <c r="EJ247" i="1"/>
  <c r="DS247" i="1"/>
  <c r="CY247" i="1"/>
  <c r="CZ247" i="1"/>
  <c r="CV247" i="1"/>
  <c r="CX247" i="1"/>
  <c r="CY198" i="1"/>
  <c r="CW198" i="1"/>
  <c r="EJ198" i="1"/>
  <c r="CX198" i="1"/>
  <c r="DS198" i="1"/>
  <c r="CZ198" i="1"/>
  <c r="CV198" i="1"/>
  <c r="CY211" i="1"/>
  <c r="CX211" i="1"/>
  <c r="DS211" i="1"/>
  <c r="CW211" i="1"/>
  <c r="EJ211" i="1"/>
  <c r="CV211" i="1"/>
  <c r="CZ211" i="1"/>
  <c r="CV222" i="1"/>
  <c r="CY222" i="1"/>
  <c r="CZ222" i="1"/>
  <c r="DS222" i="1"/>
  <c r="EJ222" i="1"/>
  <c r="CX222" i="1"/>
  <c r="CW222" i="1"/>
  <c r="DS126" i="1"/>
  <c r="CV126" i="1"/>
  <c r="EJ126" i="1"/>
  <c r="CY126" i="1"/>
  <c r="CZ126" i="1"/>
  <c r="CX126" i="1"/>
  <c r="CW126" i="1"/>
  <c r="EJ87" i="1"/>
  <c r="CV87" i="1"/>
  <c r="CY87" i="1"/>
  <c r="DS87" i="1"/>
  <c r="CW87" i="1"/>
  <c r="CX87" i="1"/>
  <c r="CZ87" i="1"/>
  <c r="CY11" i="1"/>
  <c r="CX11" i="1"/>
  <c r="DS11" i="1"/>
  <c r="CV11" i="1"/>
  <c r="CZ11" i="1"/>
  <c r="CW11" i="1"/>
  <c r="EJ11" i="1"/>
  <c r="CV139" i="1"/>
  <c r="DS139" i="1"/>
  <c r="CW139" i="1"/>
  <c r="CY139" i="1"/>
  <c r="CX139" i="1"/>
  <c r="CZ139" i="1"/>
  <c r="EJ139" i="1"/>
  <c r="CZ24" i="1"/>
  <c r="EJ24" i="1"/>
  <c r="CX24" i="1"/>
  <c r="DS24" i="1"/>
  <c r="CY24" i="1"/>
  <c r="CW24" i="1"/>
  <c r="CV24" i="1"/>
  <c r="CZ173" i="1"/>
  <c r="CV173" i="1"/>
  <c r="DS173" i="1"/>
  <c r="CX173" i="1"/>
  <c r="EJ173" i="1"/>
  <c r="CW173" i="1"/>
  <c r="CY173" i="1"/>
  <c r="EJ58" i="1"/>
  <c r="DS58" i="1"/>
  <c r="CW58" i="1"/>
  <c r="CV58" i="1"/>
  <c r="CZ58" i="1"/>
  <c r="CX58" i="1"/>
  <c r="CY58" i="1"/>
  <c r="CV56" i="1"/>
  <c r="CX56" i="1"/>
  <c r="CZ56" i="1"/>
  <c r="EJ56" i="1"/>
  <c r="CW56" i="1"/>
  <c r="CY56" i="1"/>
  <c r="DS56" i="1"/>
  <c r="CW65" i="1"/>
  <c r="CV65" i="1"/>
  <c r="CX65" i="1"/>
  <c r="CY65" i="1"/>
  <c r="CZ65" i="1"/>
  <c r="EJ65" i="1"/>
  <c r="DS65" i="1"/>
  <c r="EJ45" i="1"/>
  <c r="CV45" i="1"/>
  <c r="CY45" i="1"/>
  <c r="CX45" i="1"/>
  <c r="DS45" i="1"/>
  <c r="CW45" i="1"/>
  <c r="CZ45" i="1"/>
  <c r="CV67" i="1"/>
  <c r="EJ67" i="1"/>
  <c r="CW67" i="1"/>
  <c r="DS67" i="1"/>
  <c r="CZ67" i="1"/>
  <c r="CX67" i="1"/>
  <c r="CY67" i="1"/>
  <c r="EJ12" i="1"/>
  <c r="DS12" i="1"/>
  <c r="CY12" i="1"/>
  <c r="CX12" i="1"/>
  <c r="CV12" i="1"/>
  <c r="CZ12" i="1"/>
  <c r="CW12" i="1"/>
  <c r="DS226" i="1"/>
  <c r="CX226" i="1"/>
  <c r="CW226" i="1"/>
  <c r="CY226" i="1"/>
  <c r="EJ226" i="1"/>
  <c r="CZ226" i="1"/>
  <c r="CV226" i="1"/>
  <c r="CV208" i="1"/>
  <c r="EJ208" i="1"/>
  <c r="CY208" i="1"/>
  <c r="DS208" i="1"/>
  <c r="CZ208" i="1"/>
  <c r="CW208" i="1"/>
  <c r="CX208" i="1"/>
  <c r="CX239" i="1"/>
  <c r="CY239" i="1"/>
  <c r="CW239" i="1"/>
  <c r="EJ239" i="1"/>
  <c r="CZ239" i="1"/>
  <c r="DS239" i="1"/>
  <c r="CV239" i="1"/>
  <c r="CW179" i="1"/>
  <c r="CV179" i="1"/>
  <c r="CX179" i="1"/>
  <c r="DS179" i="1"/>
  <c r="EJ179" i="1"/>
  <c r="CZ179" i="1"/>
  <c r="CY179" i="1"/>
  <c r="CW236" i="1"/>
  <c r="DS236" i="1"/>
  <c r="EJ236" i="1"/>
  <c r="CX236" i="1"/>
  <c r="CV236" i="1"/>
  <c r="CY236" i="1"/>
  <c r="CZ236" i="1"/>
  <c r="CV185" i="1"/>
  <c r="CZ185" i="1"/>
  <c r="EJ185" i="1"/>
  <c r="CX185" i="1"/>
  <c r="CW185" i="1"/>
  <c r="CY185" i="1"/>
  <c r="DS185" i="1"/>
  <c r="EJ245" i="1"/>
  <c r="CZ245" i="1"/>
  <c r="CX245" i="1"/>
  <c r="DS245" i="1"/>
  <c r="CY245" i="1"/>
  <c r="CW245" i="1"/>
  <c r="CV245" i="1"/>
  <c r="CX21" i="1"/>
  <c r="CZ21" i="1"/>
  <c r="CW21" i="1"/>
  <c r="CY21" i="1"/>
  <c r="EJ21" i="1"/>
  <c r="DS21" i="1"/>
  <c r="CV21" i="1"/>
  <c r="CV190" i="1"/>
  <c r="CW190" i="1"/>
  <c r="CZ190" i="1"/>
  <c r="DS190" i="1"/>
  <c r="EJ190" i="1"/>
  <c r="CY190" i="1"/>
  <c r="CX190" i="1"/>
  <c r="DS254" i="1"/>
  <c r="CW254" i="1"/>
  <c r="CZ254" i="1"/>
  <c r="CV254" i="1"/>
  <c r="CY254" i="1"/>
  <c r="CX254" i="1"/>
  <c r="EJ254" i="1"/>
  <c r="CW105" i="1"/>
  <c r="CZ105" i="1"/>
  <c r="CY105" i="1"/>
  <c r="CV105" i="1"/>
  <c r="EJ105" i="1"/>
  <c r="DS105" i="1"/>
  <c r="CX105" i="1"/>
  <c r="CZ127" i="1"/>
  <c r="DS127" i="1"/>
  <c r="EJ127" i="1"/>
  <c r="CW127" i="1"/>
  <c r="CY127" i="1"/>
  <c r="CX127" i="1"/>
  <c r="CV127" i="1"/>
  <c r="CZ20" i="1"/>
  <c r="CY20" i="1"/>
  <c r="CX20" i="1"/>
  <c r="EJ20" i="1"/>
  <c r="CW20" i="1"/>
  <c r="CV20" i="1"/>
  <c r="DS20" i="1"/>
  <c r="CZ231" i="1"/>
  <c r="CW231" i="1"/>
  <c r="EJ231" i="1"/>
  <c r="CY231" i="1"/>
  <c r="CX231" i="1"/>
  <c r="CV231" i="1"/>
  <c r="DS231" i="1"/>
  <c r="CZ167" i="1"/>
  <c r="EJ167" i="1"/>
  <c r="DS167" i="1"/>
  <c r="CW167" i="1"/>
  <c r="CX167" i="1"/>
  <c r="CY167" i="1"/>
  <c r="CV167" i="1"/>
  <c r="CY34" i="1"/>
  <c r="CV34" i="1"/>
  <c r="CZ34" i="1"/>
  <c r="EJ34" i="1"/>
  <c r="DS34" i="1"/>
  <c r="CW34" i="1"/>
  <c r="CX34" i="1"/>
  <c r="CV80" i="1"/>
  <c r="CY80" i="1"/>
  <c r="DS80" i="1"/>
  <c r="CX80" i="1"/>
  <c r="EJ80" i="1"/>
  <c r="CW80" i="1"/>
  <c r="CZ80" i="1"/>
  <c r="CY29" i="1"/>
  <c r="CZ29" i="1"/>
  <c r="CV29" i="1"/>
  <c r="CW29" i="1"/>
  <c r="EJ29" i="1"/>
  <c r="CX29" i="1"/>
  <c r="DS29" i="1"/>
  <c r="DS115" i="1"/>
  <c r="CV115" i="1"/>
  <c r="CX115" i="1"/>
  <c r="CY115" i="1"/>
  <c r="CW115" i="1"/>
  <c r="CZ115" i="1"/>
  <c r="EJ115" i="1"/>
  <c r="CZ234" i="1"/>
  <c r="CY234" i="1"/>
  <c r="DS234" i="1"/>
  <c r="CV234" i="1"/>
  <c r="EJ234" i="1"/>
  <c r="CW234" i="1"/>
  <c r="CX234" i="1"/>
  <c r="CW16" i="1"/>
  <c r="EJ16" i="1"/>
  <c r="CZ16" i="1"/>
  <c r="CY16" i="1"/>
  <c r="CX16" i="1"/>
  <c r="DS16" i="1"/>
  <c r="CV16" i="1"/>
  <c r="EJ186" i="1"/>
  <c r="CX186" i="1"/>
  <c r="DS186" i="1"/>
  <c r="CV186" i="1"/>
  <c r="CY186" i="1"/>
  <c r="CW186" i="1"/>
  <c r="CZ186" i="1"/>
  <c r="CW28" i="1"/>
  <c r="EJ28" i="1"/>
  <c r="CV28" i="1"/>
  <c r="CY28" i="1"/>
  <c r="DS28" i="1"/>
  <c r="CX28" i="1"/>
  <c r="CZ28" i="1"/>
  <c r="CV240" i="1"/>
  <c r="CY240" i="1"/>
  <c r="CZ240" i="1"/>
  <c r="DS240" i="1"/>
  <c r="EJ240" i="1"/>
  <c r="CW240" i="1"/>
  <c r="CX240" i="1"/>
  <c r="CW209" i="1"/>
  <c r="CV209" i="1"/>
  <c r="CX209" i="1"/>
  <c r="CY209" i="1"/>
  <c r="CZ209" i="1"/>
  <c r="EJ209" i="1"/>
  <c r="DS209" i="1"/>
  <c r="DS219" i="1"/>
  <c r="CV219" i="1"/>
  <c r="CX219" i="1"/>
  <c r="CW219" i="1"/>
  <c r="CY219" i="1"/>
  <c r="CZ219" i="1"/>
  <c r="EJ219" i="1"/>
  <c r="CW70" i="1"/>
  <c r="DS70" i="1"/>
  <c r="CZ70" i="1"/>
  <c r="EJ70" i="1"/>
  <c r="CV70" i="1"/>
  <c r="CX70" i="1"/>
  <c r="CY70" i="1"/>
  <c r="CY26" i="1"/>
  <c r="EJ26" i="1"/>
  <c r="DS26" i="1"/>
  <c r="CX26" i="1"/>
  <c r="CV26" i="1"/>
  <c r="CW26" i="1"/>
  <c r="CZ26" i="1"/>
  <c r="CZ220" i="1"/>
  <c r="CY220" i="1"/>
  <c r="CX220" i="1"/>
  <c r="CW220" i="1"/>
  <c r="CV220" i="1"/>
  <c r="DS220" i="1"/>
  <c r="EJ220" i="1"/>
  <c r="CZ53" i="1"/>
  <c r="EJ53" i="1"/>
  <c r="CV53" i="1"/>
  <c r="CW53" i="1"/>
  <c r="DS53" i="1"/>
  <c r="CY53" i="1"/>
  <c r="CX53" i="1"/>
  <c r="CX120" i="1"/>
  <c r="CW120" i="1"/>
  <c r="CV120" i="1"/>
  <c r="DS120" i="1"/>
  <c r="CZ120" i="1"/>
  <c r="CY120" i="1"/>
  <c r="EJ120" i="1"/>
  <c r="CX72" i="1"/>
  <c r="CZ72" i="1"/>
  <c r="DS72" i="1"/>
  <c r="CW72" i="1"/>
  <c r="CV72" i="1"/>
  <c r="CY72" i="1"/>
  <c r="EJ72" i="1"/>
  <c r="CZ69" i="1"/>
  <c r="EJ69" i="1"/>
  <c r="CV69" i="1"/>
  <c r="CW69" i="1"/>
  <c r="CX69" i="1"/>
  <c r="CY69" i="1"/>
  <c r="DS69" i="1"/>
  <c r="CV41" i="1"/>
  <c r="CZ41" i="1"/>
  <c r="EJ41" i="1"/>
  <c r="CX41" i="1"/>
  <c r="DS41" i="1"/>
  <c r="CY41" i="1"/>
  <c r="CW41" i="1"/>
  <c r="CW63" i="1"/>
  <c r="DS63" i="1"/>
  <c r="CX63" i="1"/>
  <c r="CV63" i="1"/>
  <c r="CZ63" i="1"/>
  <c r="CY63" i="1"/>
  <c r="EJ63" i="1"/>
  <c r="DS64" i="1"/>
  <c r="EJ64" i="1"/>
  <c r="CX64" i="1"/>
  <c r="CY64" i="1"/>
  <c r="CZ64" i="1"/>
  <c r="CV64" i="1"/>
  <c r="CW64" i="1"/>
  <c r="CZ225" i="1"/>
  <c r="CY225" i="1"/>
  <c r="CW225" i="1"/>
  <c r="DS225" i="1"/>
  <c r="EJ225" i="1"/>
  <c r="CV225" i="1"/>
  <c r="CX225" i="1"/>
  <c r="CY249" i="1"/>
  <c r="CX249" i="1"/>
  <c r="EJ249" i="1"/>
  <c r="CZ249" i="1"/>
  <c r="CW249" i="1"/>
  <c r="DS249" i="1"/>
  <c r="CV249" i="1"/>
  <c r="CW95" i="1"/>
  <c r="CY95" i="1"/>
  <c r="CZ95" i="1"/>
  <c r="DS95" i="1"/>
  <c r="CV95" i="1"/>
  <c r="EJ95" i="1"/>
  <c r="CX95" i="1"/>
  <c r="CX216" i="1"/>
  <c r="CV216" i="1"/>
  <c r="CY216" i="1"/>
  <c r="CW216" i="1"/>
  <c r="DS216" i="1"/>
  <c r="EJ216" i="1"/>
  <c r="CZ216" i="1"/>
  <c r="CV243" i="1"/>
  <c r="CW243" i="1"/>
  <c r="DS243" i="1"/>
  <c r="CY243" i="1"/>
  <c r="EJ243" i="1"/>
  <c r="CZ243" i="1"/>
  <c r="CX243" i="1"/>
  <c r="EJ232" i="1"/>
  <c r="CZ232" i="1"/>
  <c r="CY232" i="1"/>
  <c r="DS232" i="1"/>
  <c r="CV232" i="1"/>
  <c r="CW232" i="1"/>
  <c r="CX232" i="1"/>
  <c r="CV144" i="1"/>
  <c r="CZ144" i="1"/>
  <c r="EJ144" i="1"/>
  <c r="DS144" i="1"/>
  <c r="CX144" i="1"/>
  <c r="CW144" i="1"/>
  <c r="CY144" i="1"/>
  <c r="CZ244" i="1"/>
  <c r="CY244" i="1"/>
  <c r="CX244" i="1"/>
  <c r="EJ244" i="1"/>
  <c r="DS244" i="1"/>
  <c r="CW244" i="1"/>
  <c r="CV244" i="1"/>
  <c r="DS264" i="1"/>
  <c r="CW264" i="1"/>
  <c r="EJ264" i="1"/>
  <c r="CX264" i="1"/>
  <c r="CV264" i="1"/>
  <c r="CZ264" i="1"/>
  <c r="CY264" i="1"/>
  <c r="CY229" i="1"/>
  <c r="CW229" i="1"/>
  <c r="CZ229" i="1"/>
  <c r="DS229" i="1"/>
  <c r="CX229" i="1"/>
  <c r="EJ229" i="1"/>
  <c r="CV229" i="1"/>
  <c r="CZ46" i="1"/>
  <c r="CV46" i="1"/>
  <c r="CW46" i="1"/>
  <c r="CX46" i="1"/>
  <c r="EJ46" i="1"/>
  <c r="DS46" i="1"/>
  <c r="CY46" i="1"/>
  <c r="CW37" i="1"/>
  <c r="CX37" i="1"/>
  <c r="DS37" i="1"/>
  <c r="CY37" i="1"/>
  <c r="EJ37" i="1"/>
  <c r="CZ37" i="1"/>
  <c r="CV37" i="1"/>
  <c r="CV83" i="1"/>
  <c r="DS83" i="1"/>
  <c r="EJ83" i="1"/>
  <c r="CX83" i="1"/>
  <c r="CW83" i="1"/>
  <c r="CZ83" i="1"/>
  <c r="CY83" i="1"/>
  <c r="CV47" i="1"/>
  <c r="CW47" i="1"/>
  <c r="EJ47" i="1"/>
  <c r="CX47" i="1"/>
  <c r="DS47" i="1"/>
  <c r="CY47" i="1"/>
  <c r="CZ47" i="1"/>
  <c r="CX32" i="1"/>
  <c r="CY32" i="1"/>
  <c r="CV32" i="1"/>
  <c r="CZ32" i="1"/>
  <c r="CW32" i="1"/>
  <c r="EJ32" i="1"/>
  <c r="DS32" i="1"/>
  <c r="CW89" i="1"/>
  <c r="CZ89" i="1"/>
  <c r="EJ89" i="1"/>
  <c r="CY89" i="1"/>
  <c r="DS89" i="1"/>
  <c r="CX89" i="1"/>
  <c r="CV89" i="1"/>
  <c r="CV217" i="1"/>
  <c r="DS217" i="1"/>
  <c r="EJ217" i="1"/>
  <c r="CZ217" i="1"/>
  <c r="CW217" i="1"/>
  <c r="CY217" i="1"/>
  <c r="CX217" i="1"/>
  <c r="CZ176" i="1"/>
  <c r="CX176" i="1"/>
  <c r="CY176" i="1"/>
  <c r="DS176" i="1"/>
  <c r="CW176" i="1"/>
  <c r="EJ176" i="1"/>
  <c r="CV176" i="1"/>
  <c r="CV202" i="1"/>
  <c r="CX202" i="1"/>
  <c r="CZ202" i="1"/>
  <c r="CY202" i="1"/>
  <c r="EJ202" i="1"/>
  <c r="DS202" i="1"/>
  <c r="CW202" i="1"/>
  <c r="CY17" i="1"/>
  <c r="DS17" i="1"/>
  <c r="CZ17" i="1"/>
  <c r="CX17" i="1"/>
  <c r="CV17" i="1"/>
  <c r="CW17" i="1"/>
  <c r="EJ17" i="1"/>
  <c r="CW188" i="1"/>
  <c r="EJ188" i="1"/>
  <c r="CY188" i="1"/>
  <c r="CX188" i="1"/>
  <c r="DS188" i="1"/>
  <c r="CV188" i="1"/>
  <c r="CZ188" i="1"/>
  <c r="CW191" i="1"/>
  <c r="EJ191" i="1"/>
  <c r="CX191" i="1"/>
  <c r="DS191" i="1"/>
  <c r="CY191" i="1"/>
  <c r="CZ191" i="1"/>
  <c r="CV191" i="1"/>
  <c r="CX172" i="1"/>
  <c r="EJ172" i="1"/>
  <c r="CV172" i="1"/>
  <c r="CY172" i="1"/>
  <c r="CZ172" i="1"/>
  <c r="CW172" i="1"/>
  <c r="DS172" i="1"/>
  <c r="CW100" i="1"/>
  <c r="CV100" i="1"/>
  <c r="CY100" i="1"/>
  <c r="EJ100" i="1"/>
  <c r="CZ100" i="1"/>
  <c r="DS100" i="1"/>
  <c r="CX100" i="1"/>
  <c r="CY74" i="1"/>
  <c r="EJ74" i="1"/>
  <c r="CW74" i="1"/>
  <c r="CX74" i="1"/>
  <c r="CV74" i="1"/>
  <c r="CZ74" i="1"/>
  <c r="DS74" i="1"/>
  <c r="CX110" i="1"/>
  <c r="CY110" i="1"/>
  <c r="CZ110" i="1"/>
  <c r="CW110" i="1"/>
  <c r="DS110" i="1"/>
  <c r="EJ110" i="1"/>
  <c r="CV110" i="1"/>
  <c r="CV60" i="1"/>
  <c r="CY60" i="1"/>
  <c r="DS60" i="1"/>
  <c r="CW60" i="1"/>
  <c r="CZ60" i="1"/>
  <c r="EJ60" i="1"/>
  <c r="CX60" i="1"/>
  <c r="CZ132" i="1"/>
  <c r="CX132" i="1"/>
  <c r="CV132" i="1"/>
  <c r="DS132" i="1"/>
  <c r="CY132" i="1"/>
  <c r="CW132" i="1"/>
  <c r="EJ132" i="1"/>
  <c r="CV192" i="1"/>
  <c r="DS192" i="1"/>
  <c r="CY192" i="1"/>
  <c r="CZ192" i="1"/>
  <c r="CW192" i="1"/>
  <c r="EJ192" i="1"/>
  <c r="CX192" i="1"/>
  <c r="CZ82" i="1"/>
  <c r="EJ82" i="1"/>
  <c r="CY82" i="1"/>
  <c r="CX82" i="1"/>
  <c r="CV82" i="1"/>
  <c r="CW82" i="1"/>
  <c r="DS82" i="1"/>
  <c r="CV108" i="1"/>
  <c r="CY108" i="1"/>
  <c r="DS108" i="1"/>
  <c r="EJ108" i="1"/>
  <c r="CW108" i="1"/>
  <c r="CZ108" i="1"/>
  <c r="CX108" i="1"/>
  <c r="CX206" i="1"/>
  <c r="DS206" i="1"/>
  <c r="CW206" i="1"/>
  <c r="EJ206" i="1"/>
  <c r="CY206" i="1"/>
  <c r="CV206" i="1"/>
  <c r="CZ206" i="1"/>
  <c r="CZ25" i="1"/>
  <c r="EJ25" i="1"/>
  <c r="CV25" i="1"/>
  <c r="DS25" i="1"/>
  <c r="CX25" i="1"/>
  <c r="CY25" i="1"/>
  <c r="CW25" i="1"/>
  <c r="CZ77" i="1"/>
  <c r="CY77" i="1"/>
  <c r="EJ77" i="1"/>
  <c r="DS77" i="1"/>
  <c r="CV77" i="1"/>
  <c r="CW77" i="1"/>
  <c r="CX77" i="1"/>
  <c r="CY38" i="1"/>
  <c r="CX38" i="1"/>
  <c r="CZ38" i="1"/>
  <c r="EJ38" i="1"/>
  <c r="DS38" i="1"/>
  <c r="CW38" i="1"/>
  <c r="CV38" i="1"/>
  <c r="CW94" i="1"/>
  <c r="EJ94" i="1"/>
  <c r="DS94" i="1"/>
  <c r="CX94" i="1"/>
  <c r="CY94" i="1"/>
  <c r="CV94" i="1"/>
  <c r="CZ94" i="1"/>
  <c r="CV85" i="1"/>
  <c r="CW85" i="1"/>
  <c r="CZ85" i="1"/>
  <c r="CX85" i="1"/>
  <c r="EJ85" i="1"/>
  <c r="DS85" i="1"/>
  <c r="CY85" i="1"/>
  <c r="CZ50" i="1"/>
  <c r="CV50" i="1"/>
  <c r="EJ50" i="1"/>
  <c r="CX50" i="1"/>
  <c r="CY50" i="1"/>
  <c r="DS50" i="1"/>
  <c r="CW50" i="1"/>
  <c r="CV109" i="1"/>
  <c r="CY109" i="1"/>
  <c r="CX109" i="1"/>
  <c r="DS109" i="1"/>
  <c r="EJ109" i="1"/>
  <c r="CW109" i="1"/>
  <c r="CZ109" i="1"/>
  <c r="CX214" i="1"/>
  <c r="EJ214" i="1"/>
  <c r="CV214" i="1"/>
  <c r="CY214" i="1"/>
  <c r="CZ214" i="1"/>
  <c r="CW214" i="1"/>
  <c r="DS214" i="1"/>
  <c r="EJ256" i="1"/>
  <c r="CX256" i="1"/>
  <c r="CV256" i="1"/>
  <c r="DS256" i="1"/>
  <c r="CZ256" i="1"/>
  <c r="CY256" i="1"/>
  <c r="CW256" i="1"/>
  <c r="CW98" i="1"/>
  <c r="CY98" i="1"/>
  <c r="CX98" i="1"/>
  <c r="CV98" i="1"/>
  <c r="DS98" i="1"/>
  <c r="EJ98" i="1"/>
  <c r="CZ98" i="1"/>
  <c r="CW71" i="1"/>
  <c r="CY71" i="1"/>
  <c r="CZ71" i="1"/>
  <c r="EJ71" i="1"/>
  <c r="DS71" i="1"/>
  <c r="CX71" i="1"/>
  <c r="CV71" i="1"/>
  <c r="CV227" i="1"/>
  <c r="DS227" i="1"/>
  <c r="CY227" i="1"/>
  <c r="EJ227" i="1"/>
  <c r="CZ227" i="1"/>
  <c r="CX227" i="1"/>
  <c r="CW227" i="1"/>
  <c r="CX212" i="1"/>
  <c r="DS212" i="1"/>
  <c r="CZ212" i="1"/>
  <c r="CY212" i="1"/>
  <c r="CV212" i="1"/>
  <c r="EJ212" i="1"/>
  <c r="CW212" i="1"/>
  <c r="CV133" i="1"/>
  <c r="CW133" i="1"/>
  <c r="CZ133" i="1"/>
  <c r="DS133" i="1"/>
  <c r="CY133" i="1"/>
  <c r="EJ133" i="1"/>
  <c r="CX133" i="1"/>
  <c r="DS114" i="1"/>
  <c r="CX114" i="1"/>
  <c r="EJ114" i="1"/>
  <c r="CY114" i="1"/>
  <c r="CV114" i="1"/>
  <c r="CZ114" i="1"/>
  <c r="CW114" i="1"/>
  <c r="EJ199" i="1"/>
  <c r="DS199" i="1"/>
  <c r="CZ199" i="1"/>
  <c r="CW199" i="1"/>
  <c r="CV199" i="1"/>
  <c r="CX199" i="1"/>
  <c r="CY199" i="1"/>
  <c r="CX215" i="1"/>
  <c r="CY215" i="1"/>
  <c r="DS215" i="1"/>
  <c r="CZ215" i="1"/>
  <c r="EJ215" i="1"/>
  <c r="CW215" i="1"/>
  <c r="CV215" i="1"/>
  <c r="CW10" i="1"/>
  <c r="CV10" i="1"/>
  <c r="CX10" i="1"/>
  <c r="CZ10" i="1"/>
  <c r="EJ10" i="1"/>
  <c r="CY10" i="1"/>
  <c r="DS10" i="1"/>
  <c r="CW104" i="1"/>
  <c r="CV104" i="1"/>
  <c r="CZ104" i="1"/>
  <c r="CX104" i="1"/>
  <c r="EJ104" i="1"/>
  <c r="CY104" i="1"/>
  <c r="DS104" i="1"/>
  <c r="CV35" i="1"/>
  <c r="DS35" i="1"/>
  <c r="CW35" i="1"/>
  <c r="EJ35" i="1"/>
  <c r="CX35" i="1"/>
  <c r="CZ35" i="1"/>
  <c r="CY35" i="1"/>
  <c r="CZ36" i="1"/>
  <c r="CV36" i="1"/>
  <c r="EJ36" i="1"/>
  <c r="CX36" i="1"/>
  <c r="CW36" i="1"/>
  <c r="DS36" i="1"/>
  <c r="CY36" i="1"/>
  <c r="CW182" i="1"/>
  <c r="EJ182" i="1"/>
  <c r="DS182" i="1"/>
  <c r="CV182" i="1"/>
  <c r="CY182" i="1"/>
  <c r="CX182" i="1"/>
  <c r="CZ182" i="1"/>
  <c r="DS141" i="1"/>
  <c r="CX141" i="1"/>
  <c r="CZ141" i="1"/>
  <c r="CW141" i="1"/>
  <c r="CY141" i="1"/>
  <c r="CV141" i="1"/>
  <c r="EJ141" i="1"/>
  <c r="CY30" i="1"/>
  <c r="CZ30" i="1"/>
  <c r="DS30" i="1"/>
  <c r="CW30" i="1"/>
  <c r="CV30" i="1"/>
  <c r="CX30" i="1"/>
  <c r="EJ30" i="1"/>
  <c r="CV44" i="1"/>
  <c r="EJ44" i="1"/>
  <c r="CZ44" i="1"/>
  <c r="DS44" i="1"/>
  <c r="CX44" i="1"/>
  <c r="CW44" i="1"/>
  <c r="CY44" i="1"/>
  <c r="CV137" i="1"/>
  <c r="EJ137" i="1"/>
  <c r="CZ137" i="1"/>
  <c r="DS137" i="1"/>
  <c r="CX137" i="1"/>
  <c r="CW137" i="1"/>
  <c r="CY137" i="1"/>
  <c r="CV194" i="1"/>
  <c r="DS194" i="1"/>
  <c r="EJ194" i="1"/>
  <c r="CX194" i="1"/>
  <c r="CY194" i="1"/>
  <c r="CW194" i="1"/>
  <c r="CZ194" i="1"/>
  <c r="CX168" i="1"/>
  <c r="CW168" i="1"/>
  <c r="CZ168" i="1"/>
  <c r="EJ168" i="1"/>
  <c r="CY168" i="1"/>
  <c r="DS168" i="1"/>
  <c r="CV168" i="1"/>
  <c r="CY131" i="1"/>
  <c r="CX131" i="1"/>
  <c r="CW131" i="1"/>
  <c r="DS131" i="1"/>
  <c r="CV131" i="1"/>
  <c r="EJ131" i="1"/>
  <c r="CZ131" i="1"/>
  <c r="EJ246" i="1"/>
  <c r="CY246" i="1"/>
  <c r="CW246" i="1"/>
  <c r="CV246" i="1"/>
  <c r="CZ246" i="1"/>
  <c r="DS246" i="1"/>
  <c r="CX246" i="1"/>
  <c r="CZ135" i="1"/>
  <c r="DS135" i="1"/>
  <c r="EJ135" i="1"/>
  <c r="CW135" i="1"/>
  <c r="CV135" i="1"/>
  <c r="CX135" i="1"/>
  <c r="CY135" i="1"/>
  <c r="CY52" i="1"/>
  <c r="CX52" i="1"/>
  <c r="CW52" i="1"/>
  <c r="CZ52" i="1"/>
  <c r="DS52" i="1"/>
  <c r="CV52" i="1"/>
  <c r="EJ52" i="1"/>
  <c r="CV165" i="1"/>
  <c r="CW165" i="1"/>
  <c r="CZ165" i="1"/>
  <c r="CX165" i="1"/>
  <c r="CY165" i="1"/>
  <c r="DS165" i="1"/>
  <c r="EJ165" i="1"/>
  <c r="EJ117" i="1"/>
  <c r="CV117" i="1"/>
  <c r="CW117" i="1"/>
  <c r="CX117" i="1"/>
  <c r="CY117" i="1"/>
  <c r="CZ117" i="1"/>
  <c r="DS117" i="1"/>
  <c r="CW238" i="1"/>
  <c r="CY238" i="1"/>
  <c r="DS238" i="1"/>
  <c r="EJ238" i="1"/>
  <c r="CV238" i="1"/>
  <c r="CX238" i="1"/>
  <c r="CZ238" i="1"/>
  <c r="CY250" i="1"/>
  <c r="CZ250" i="1"/>
  <c r="DS250" i="1"/>
  <c r="CV250" i="1"/>
  <c r="CX250" i="1"/>
  <c r="EJ250" i="1"/>
  <c r="CW250" i="1"/>
  <c r="CZ84" i="1"/>
  <c r="CW84" i="1"/>
  <c r="DS84" i="1"/>
  <c r="CY84" i="1"/>
  <c r="CV84" i="1"/>
  <c r="CX84" i="1"/>
  <c r="EJ84" i="1"/>
  <c r="CX128" i="1"/>
  <c r="EJ128" i="1"/>
  <c r="CW128" i="1"/>
  <c r="DS128" i="1"/>
  <c r="CV128" i="1"/>
  <c r="CZ128" i="1"/>
  <c r="CY128" i="1"/>
  <c r="CY224" i="1"/>
  <c r="CX224" i="1"/>
  <c r="CW224" i="1"/>
  <c r="DS224" i="1"/>
  <c r="CV224" i="1"/>
  <c r="CZ224" i="1"/>
  <c r="EJ224" i="1"/>
  <c r="CW142" i="1"/>
  <c r="EJ142" i="1"/>
  <c r="CX142" i="1"/>
  <c r="DS142" i="1"/>
  <c r="CZ142" i="1"/>
  <c r="CY142" i="1"/>
  <c r="CV142" i="1"/>
  <c r="EJ102" i="1"/>
  <c r="CV102" i="1"/>
  <c r="CW102" i="1"/>
  <c r="CY102" i="1"/>
  <c r="DS102" i="1"/>
  <c r="CZ102" i="1"/>
  <c r="CX102" i="1"/>
  <c r="CZ62" i="1"/>
  <c r="CX62" i="1"/>
  <c r="CY62" i="1"/>
  <c r="CW62" i="1"/>
  <c r="EJ62" i="1"/>
  <c r="CV62" i="1"/>
  <c r="DS62" i="1"/>
  <c r="CV129" i="1"/>
  <c r="EJ129" i="1"/>
  <c r="CY129" i="1"/>
  <c r="DS129" i="1"/>
  <c r="CZ129" i="1"/>
  <c r="CW129" i="1"/>
  <c r="CX129" i="1"/>
  <c r="CX237" i="1"/>
  <c r="CW237" i="1"/>
  <c r="CY237" i="1"/>
  <c r="CZ237" i="1"/>
  <c r="DS237" i="1"/>
  <c r="CV237" i="1"/>
  <c r="EJ237" i="1"/>
  <c r="CX184" i="1"/>
  <c r="CW184" i="1"/>
  <c r="DS184" i="1"/>
  <c r="CV184" i="1"/>
  <c r="CY184" i="1"/>
  <c r="CZ184" i="1"/>
  <c r="EJ184" i="1"/>
  <c r="DS42" i="1"/>
  <c r="CW42" i="1"/>
  <c r="CX42" i="1"/>
  <c r="EJ42" i="1"/>
  <c r="CV42" i="1"/>
  <c r="CY42" i="1"/>
  <c r="CZ42" i="1"/>
  <c r="CW54" i="1"/>
  <c r="CY54" i="1"/>
  <c r="CX54" i="1"/>
  <c r="CZ54" i="1"/>
  <c r="EJ54" i="1"/>
  <c r="CV54" i="1"/>
  <c r="DS54" i="1"/>
  <c r="CX8" i="1"/>
  <c r="CW8" i="1"/>
  <c r="CV8" i="1"/>
  <c r="CZ8" i="1"/>
  <c r="CY8" i="1"/>
  <c r="EJ8" i="1"/>
  <c r="DS8" i="1"/>
  <c r="CV19" i="1"/>
  <c r="CZ19" i="1"/>
  <c r="CX19" i="1"/>
  <c r="CY19" i="1"/>
  <c r="EJ19" i="1"/>
  <c r="CW19" i="1"/>
  <c r="DS19" i="1"/>
  <c r="CX40" i="1"/>
  <c r="CW40" i="1"/>
  <c r="CV40" i="1"/>
  <c r="CZ40" i="1"/>
  <c r="CY40" i="1"/>
  <c r="DS40" i="1"/>
  <c r="EJ40" i="1"/>
  <c r="CY230" i="1"/>
  <c r="CW230" i="1"/>
  <c r="CX230" i="1"/>
  <c r="CV230" i="1"/>
  <c r="EJ230" i="1"/>
  <c r="DS230" i="1"/>
  <c r="CZ230" i="1"/>
  <c r="CZ248" i="1"/>
  <c r="DS248" i="1"/>
  <c r="CX248" i="1"/>
  <c r="EJ248" i="1"/>
  <c r="CW248" i="1"/>
  <c r="CV248" i="1"/>
  <c r="CY248" i="1"/>
  <c r="CZ33" i="1"/>
  <c r="CW33" i="1"/>
  <c r="CV33" i="1"/>
  <c r="EJ33" i="1"/>
  <c r="CY33" i="1"/>
  <c r="DS33" i="1"/>
  <c r="CX33" i="1"/>
  <c r="CX213" i="1"/>
  <c r="CW213" i="1"/>
  <c r="CZ213" i="1"/>
  <c r="CV213" i="1"/>
  <c r="DS213" i="1"/>
  <c r="EJ213" i="1"/>
  <c r="CY213" i="1"/>
  <c r="CZ420" i="1" l="1"/>
  <c r="CV423" i="1"/>
  <c r="CY423" i="1"/>
  <c r="CW421" i="1"/>
  <c r="CY420" i="1"/>
  <c r="CZ421" i="1"/>
  <c r="CW422" i="1"/>
  <c r="CZ422" i="1"/>
  <c r="CX422" i="1"/>
  <c r="EJ423" i="1"/>
  <c r="CY422" i="1"/>
  <c r="CY421" i="1"/>
  <c r="CW423" i="1"/>
  <c r="CZ423" i="1"/>
  <c r="DS421" i="1"/>
  <c r="DS420" i="1"/>
  <c r="CW420" i="1"/>
  <c r="CX420" i="1"/>
  <c r="CV420" i="1"/>
  <c r="EJ421" i="1"/>
  <c r="DS423" i="1"/>
  <c r="CV422" i="1"/>
  <c r="EJ422" i="1"/>
  <c r="CX421" i="1"/>
  <c r="EJ420" i="1"/>
  <c r="DS422" i="1"/>
  <c r="CX423" i="1"/>
  <c r="CV4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Burich, Joshua R</author>
  </authors>
  <commentList>
    <comment ref="I249" authorId="0" shapeId="0" xr:uid="{5336EFD7-F8E8-0E40-AA94-358F6EB4AD21}">
      <text>
        <r>
          <rPr>
            <b/>
            <sz val="10"/>
            <color rgb="FF000000"/>
            <rFont val="Tahoma"/>
            <family val="2"/>
          </rPr>
          <t>Burich, Joshua 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They are using 45L Energy Credits</t>
        </r>
      </text>
    </comment>
  </commentList>
</comments>
</file>

<file path=xl/sharedStrings.xml><?xml version="1.0" encoding="utf-8"?>
<sst xmlns="http://schemas.openxmlformats.org/spreadsheetml/2006/main" count="6194" uniqueCount="1820">
  <si>
    <t>Static Information</t>
  </si>
  <si>
    <t>Property Information</t>
  </si>
  <si>
    <t>Construciton Loan Information</t>
  </si>
  <si>
    <t>Permanent Sources Information</t>
  </si>
  <si>
    <t>Hard Costs Before Contingency &amp; Fees</t>
  </si>
  <si>
    <t>Hard Costs All In Information From Inputs</t>
  </si>
  <si>
    <t>Uses Information</t>
  </si>
  <si>
    <t>Uses Information - Per Unit</t>
  </si>
  <si>
    <t>Uses Information - PSF</t>
  </si>
  <si>
    <t>Operating Information</t>
  </si>
  <si>
    <t>Bonner Carrington Operating Metrics</t>
  </si>
  <si>
    <t>Operating Information - Per Unit Per Year</t>
  </si>
  <si>
    <t>Operating Information - % of EGI</t>
  </si>
  <si>
    <t>Date of UW Report</t>
  </si>
  <si>
    <t>Application Number</t>
  </si>
  <si>
    <t>Development Name</t>
  </si>
  <si>
    <t>Developer</t>
  </si>
  <si>
    <t>Guarantor</t>
  </si>
  <si>
    <t>General Contractor</t>
  </si>
  <si>
    <t>Lender / Loan Type</t>
  </si>
  <si>
    <t>Equity Partner</t>
  </si>
  <si>
    <t>City</t>
  </si>
  <si>
    <t>County</t>
  </si>
  <si>
    <t>Region</t>
  </si>
  <si>
    <t>Area</t>
  </si>
  <si>
    <t>Population</t>
  </si>
  <si>
    <t>Set-Aside</t>
  </si>
  <si>
    <t>Activity</t>
  </si>
  <si>
    <t>9% or 4%?</t>
  </si>
  <si>
    <t>LIHTC Units</t>
  </si>
  <si>
    <t>Market Units</t>
  </si>
  <si>
    <t>Total Units</t>
  </si>
  <si>
    <t>Total Unit SF - NRA</t>
  </si>
  <si>
    <t>Development Site Size (Acres)</t>
  </si>
  <si>
    <t>Density (Units / Acre)</t>
  </si>
  <si>
    <t>Year Constructed (If Acq. Rehab)</t>
  </si>
  <si>
    <t>Scattered Site?</t>
  </si>
  <si>
    <t>Construction Loan Principal</t>
  </si>
  <si>
    <t>Construction Loan Interest Rate
(Weighted)</t>
  </si>
  <si>
    <t>Loan (1) Term</t>
  </si>
  <si>
    <t>Loan (1) Amortization</t>
  </si>
  <si>
    <t>Loan (1) Interest Rate</t>
  </si>
  <si>
    <t>Loan (1) Principal</t>
  </si>
  <si>
    <t>Debt Coverage Ratio</t>
  </si>
  <si>
    <t>Loan (2) Term</t>
  </si>
  <si>
    <t>Loan (2) Amortization</t>
  </si>
  <si>
    <t>Loan (2) Interest Rate</t>
  </si>
  <si>
    <t>Loan (2) Principal</t>
  </si>
  <si>
    <t>Total Debt</t>
  </si>
  <si>
    <t>Total Soft Soures</t>
  </si>
  <si>
    <t>Source of Soft Funds</t>
  </si>
  <si>
    <t>Equity Price Per Credit</t>
  </si>
  <si>
    <t>Total Equity</t>
  </si>
  <si>
    <t>Income From Operations</t>
  </si>
  <si>
    <t>Deferred Developer Fee</t>
  </si>
  <si>
    <t>Debt Per Unit</t>
  </si>
  <si>
    <t>Soft Sources Per Unit</t>
  </si>
  <si>
    <t>Equity Per Unit</t>
  </si>
  <si>
    <t>Income From Operations Per Unit</t>
  </si>
  <si>
    <t>Deferred Developer Fee Per Unit</t>
  </si>
  <si>
    <t>Hard Costs All In Per Unit</t>
  </si>
  <si>
    <t>Hard Costs All In PSF</t>
  </si>
  <si>
    <t>Hard Costs All In Per Unit2</t>
  </si>
  <si>
    <t>Hard Costs All In PSF3</t>
  </si>
  <si>
    <t>Acquisition Cost</t>
  </si>
  <si>
    <t>Off-Site + Site Work Cost</t>
  </si>
  <si>
    <t>Building Hard Costs</t>
  </si>
  <si>
    <t>Hard Cost Contingeny</t>
  </si>
  <si>
    <t>Contractor Fee</t>
  </si>
  <si>
    <t>Soft Costs</t>
  </si>
  <si>
    <t>Financing Costs</t>
  </si>
  <si>
    <t>Developer Fee</t>
  </si>
  <si>
    <t>Reserves</t>
  </si>
  <si>
    <t>Total Development Cost</t>
  </si>
  <si>
    <t>Acquisition Cost Per Unit</t>
  </si>
  <si>
    <t>Off-Site + Site Work Cost Per Unit</t>
  </si>
  <si>
    <t>Building Cost Per Unit</t>
  </si>
  <si>
    <t>Hard Cost Contingeny Per Unit</t>
  </si>
  <si>
    <t>Contractor Fee Per Unit</t>
  </si>
  <si>
    <t>Soft Costs Per Unit</t>
  </si>
  <si>
    <t>Financing Costs Per Unit</t>
  </si>
  <si>
    <t>Developer Fee Per Unit</t>
  </si>
  <si>
    <t>Reserves Per Unit</t>
  </si>
  <si>
    <t>Total Development Cost Per Unit</t>
  </si>
  <si>
    <t>Acquisition Cost PSF</t>
  </si>
  <si>
    <t>Off-Site + Site Work Cost PSF</t>
  </si>
  <si>
    <t>Building Cost PSF</t>
  </si>
  <si>
    <t>Hard Cost Contingeny PSF</t>
  </si>
  <si>
    <t>Contractor Fee PSF</t>
  </si>
  <si>
    <t>Soft Costs PSF</t>
  </si>
  <si>
    <t>Financing Costs PSF</t>
  </si>
  <si>
    <t>Developer Fee PSF</t>
  </si>
  <si>
    <t>Reserves PSF</t>
  </si>
  <si>
    <t>Total Development Cost PSF</t>
  </si>
  <si>
    <t>Potential Gross Rent</t>
  </si>
  <si>
    <t>Other Income</t>
  </si>
  <si>
    <t>Vacancy + Concessions</t>
  </si>
  <si>
    <t>Effective Gross Income (EGI)</t>
  </si>
  <si>
    <t>General &amp; Administrative + Supportive Services + Compliance Fees</t>
  </si>
  <si>
    <t>Management Fee</t>
  </si>
  <si>
    <t>Payroll</t>
  </si>
  <si>
    <t>Repairs &amp; Maintenance + Security</t>
  </si>
  <si>
    <t>Utilities</t>
  </si>
  <si>
    <t>Insurance</t>
  </si>
  <si>
    <t>Property Taxes</t>
  </si>
  <si>
    <t>Total OPEX Before Reserves</t>
  </si>
  <si>
    <t>Replacement Reserve Deposits</t>
  </si>
  <si>
    <t>Total Operating Expenses</t>
  </si>
  <si>
    <t>Net Operating Income</t>
  </si>
  <si>
    <t>Hard Debt Service</t>
  </si>
  <si>
    <t>Net Cash Flow From Operations</t>
  </si>
  <si>
    <t>Operating Ratio</t>
  </si>
  <si>
    <t>Total Operating Expenses Per Unit Per Year</t>
  </si>
  <si>
    <t>Total Operating Expenses as % of EGI
(Income / Expense Ratio)</t>
  </si>
  <si>
    <t>Net Cash Flow Per Unit Per Year</t>
  </si>
  <si>
    <t>Net Cash Flow as % of EGI</t>
  </si>
  <si>
    <t>Hard Debt as % of EGI</t>
  </si>
  <si>
    <t>Hard Debt Per Unit</t>
  </si>
  <si>
    <t>Potential Gross Rent - Per Unit Per Year</t>
  </si>
  <si>
    <t>Other Income - Per Unit Per Year</t>
  </si>
  <si>
    <t>Vacancy + Concessions - Per Unit Per Year</t>
  </si>
  <si>
    <t>Effective Gross Income (EGI) - Per Unit Per Year</t>
  </si>
  <si>
    <t>General &amp; Administrative + Supportive Services + Compliance Fees - Per Unit Per Year</t>
  </si>
  <si>
    <t>Management Fee - Per Unit Per Year</t>
  </si>
  <si>
    <t>Payroll - Per Unit Per Year</t>
  </si>
  <si>
    <t>Repairs &amp; Maintenance + Security - Per Unit Per Year</t>
  </si>
  <si>
    <t>Utilities - Per Unit Per Year</t>
  </si>
  <si>
    <t>Insurance - Per Unit Per Year</t>
  </si>
  <si>
    <t>Property Taxes - Per Unit Per Year</t>
  </si>
  <si>
    <t>Total OPEX Before Reserves - Per Unit Per Year</t>
  </si>
  <si>
    <t>Replacement Reserve Deposits - Per Unit Per Year</t>
  </si>
  <si>
    <t>Total Operating Expenses - Per Unit Per Year</t>
  </si>
  <si>
    <t>Net Operating Income - Per Unit Per Year</t>
  </si>
  <si>
    <t>Hard Debt Service - Per Unit Per Year</t>
  </si>
  <si>
    <t>Net Cash Flow From Operations - Per Unit Per Year</t>
  </si>
  <si>
    <t>Potential Gross Rent - % of EGI</t>
  </si>
  <si>
    <t>Other Income - % of EGI</t>
  </si>
  <si>
    <t>Vacancy + Concessions - % of EGI</t>
  </si>
  <si>
    <t>Effective Gross Income (EGI) - % of EGI</t>
  </si>
  <si>
    <t>General &amp; Administrative + Supportive Services + Compliance Fees - % of EGI</t>
  </si>
  <si>
    <t>Management Fee - % of EGI</t>
  </si>
  <si>
    <t>Payroll - % of EGI</t>
  </si>
  <si>
    <t>Repairs &amp; Maintenance + Security - % of EGI</t>
  </si>
  <si>
    <t>Utilities - % of EGI</t>
  </si>
  <si>
    <t>Insurance - % of EGI</t>
  </si>
  <si>
    <t>Property Taxes - % of EGI</t>
  </si>
  <si>
    <t>Total OPEX Before Reserves - % of EGI</t>
  </si>
  <si>
    <t>Replacement Reserve Deposits - % of EGI</t>
  </si>
  <si>
    <t>Total Operating Expenses - % of EGI</t>
  </si>
  <si>
    <t>Net Operating Income - % of EGI</t>
  </si>
  <si>
    <t>Hard Debt Service - % of EGI</t>
  </si>
  <si>
    <t>Net Cash Flow From Operations - % of EGI</t>
  </si>
  <si>
    <t>Sandy Creek</t>
  </si>
  <si>
    <t>Dominium Holdings 1, LLC</t>
  </si>
  <si>
    <t>Not Listed</t>
  </si>
  <si>
    <t>Bellwether</t>
  </si>
  <si>
    <t>Polaris Capital</t>
  </si>
  <si>
    <t>Bryan</t>
  </si>
  <si>
    <t>Brazos</t>
  </si>
  <si>
    <t>Urban</t>
  </si>
  <si>
    <t>General</t>
  </si>
  <si>
    <t>Acquisition / Rehab</t>
  </si>
  <si>
    <t>No</t>
  </si>
  <si>
    <t>N/A</t>
  </si>
  <si>
    <t>Champions Crossing</t>
  </si>
  <si>
    <t>Envolve Communities</t>
  </si>
  <si>
    <t>BWE - Freddie Mac TEL</t>
  </si>
  <si>
    <t>Affordable Equity Partners</t>
  </si>
  <si>
    <t>San Marcos</t>
  </si>
  <si>
    <t>Hays</t>
  </si>
  <si>
    <t>800 Middle Apartments</t>
  </si>
  <si>
    <t>NRP Lone Star Development, LLC</t>
  </si>
  <si>
    <t>Debra Guerrero &amp; Nick Walsh</t>
  </si>
  <si>
    <t>Berkadia</t>
  </si>
  <si>
    <t>Hudson Housing Capital</t>
  </si>
  <si>
    <t>Houston</t>
  </si>
  <si>
    <t>Harris</t>
  </si>
  <si>
    <t>New Construction</t>
  </si>
  <si>
    <t>Country Club Village</t>
  </si>
  <si>
    <t>VDC Development</t>
  </si>
  <si>
    <t>Manish Verma</t>
  </si>
  <si>
    <t>PNC Real Estate</t>
  </si>
  <si>
    <t>PNC</t>
  </si>
  <si>
    <t>San Antonio</t>
  </si>
  <si>
    <t>Bexar</t>
  </si>
  <si>
    <t>Elderly Preference</t>
  </si>
  <si>
    <t>Marine Park</t>
  </si>
  <si>
    <t>Think Housing Development</t>
  </si>
  <si>
    <t>Christian Szymczack</t>
  </si>
  <si>
    <t>Lument Capital</t>
  </si>
  <si>
    <t>Affordable Housing Partners, Inc.</t>
  </si>
  <si>
    <t>Fort Worth</t>
  </si>
  <si>
    <t>Tarrant</t>
  </si>
  <si>
    <t>Lakeside Manor</t>
  </si>
  <si>
    <t>Dominium, Inc.</t>
  </si>
  <si>
    <t>Paul Sween &amp; Mark Moorhouse</t>
  </si>
  <si>
    <t>Merchants Capital Corporation</t>
  </si>
  <si>
    <t>Merchants Capital Investments</t>
  </si>
  <si>
    <t>Little Elm</t>
  </si>
  <si>
    <t>Denton</t>
  </si>
  <si>
    <t>Lakeside Pointe</t>
  </si>
  <si>
    <t>Dominium Holdings</t>
  </si>
  <si>
    <t>Ryan Lunderby</t>
  </si>
  <si>
    <t>Dominium Construction</t>
  </si>
  <si>
    <t>Pearland</t>
  </si>
  <si>
    <t>Brazoria</t>
  </si>
  <si>
    <t>Cattleman Square Lofts Apartments</t>
  </si>
  <si>
    <t>ACG Cattleman Square, LP</t>
  </si>
  <si>
    <t>Harper Capital Partners - FHA 221(d)(4)</t>
  </si>
  <si>
    <t>Enterprise Housing Credit Invest</t>
  </si>
  <si>
    <t>Parkside Place</t>
  </si>
  <si>
    <t>Southeast Texas Multifamily Resources Inc</t>
  </si>
  <si>
    <t>H. Elizabeth Young &amp; Vernon Young</t>
  </si>
  <si>
    <t>Inland General Construction</t>
  </si>
  <si>
    <t>Mason Joseph</t>
  </si>
  <si>
    <t>Hunt Capital Partners</t>
  </si>
  <si>
    <t>Pasadena</t>
  </si>
  <si>
    <t>Historic Oaks at Allen Parkway</t>
  </si>
  <si>
    <t>APV Historic Oaks, LP</t>
  </si>
  <si>
    <t>APV Historic Oaks GP, LLC</t>
  </si>
  <si>
    <t>Citibank</t>
  </si>
  <si>
    <t>1944/1999</t>
  </si>
  <si>
    <t>Allen Parkway Village</t>
  </si>
  <si>
    <t>APV ReDevelopment</t>
  </si>
  <si>
    <t>Allen Parkway Village, LP</t>
  </si>
  <si>
    <t>Citi - Construction Bridge</t>
  </si>
  <si>
    <t>Hudson Housing</t>
  </si>
  <si>
    <t>Highpoint at Wynnewood</t>
  </si>
  <si>
    <t>Auxano Development, LLC/MVAH Development, LLC</t>
  </si>
  <si>
    <t>PNC Bank</t>
  </si>
  <si>
    <t>Dallas</t>
  </si>
  <si>
    <t>Reconstruction</t>
  </si>
  <si>
    <t>21521-20400</t>
  </si>
  <si>
    <t>Palladium West Francis</t>
  </si>
  <si>
    <t>Palladium/Compass Pointe GP PFC</t>
  </si>
  <si>
    <t>Tom Huth</t>
  </si>
  <si>
    <t>PNC Bank - 221(d)(4)</t>
  </si>
  <si>
    <t>Midland</t>
  </si>
  <si>
    <t>22971-21509-20205</t>
  </si>
  <si>
    <t>Ella Grand</t>
  </si>
  <si>
    <t>DMA Development Company</t>
  </si>
  <si>
    <t>Diana McIver, Janine Sisak, &amp; JoEllen Smith</t>
  </si>
  <si>
    <t>JPMorgan Chase Bank</t>
  </si>
  <si>
    <t>Redstone Capital</t>
  </si>
  <si>
    <t>Elderly Limitation</t>
  </si>
  <si>
    <t>Sunset Gardens</t>
  </si>
  <si>
    <t>Sunset Gardens Developer, LLC</t>
  </si>
  <si>
    <t>Jacob Levy</t>
  </si>
  <si>
    <t>CREA</t>
  </si>
  <si>
    <t>Yes</t>
  </si>
  <si>
    <t>Ware Meadows</t>
  </si>
  <si>
    <t>LEDG Capital &amp; Structure Development</t>
  </si>
  <si>
    <t>Jacob Levy &amp; Sarah Andre</t>
  </si>
  <si>
    <t>Merchants Bank</t>
  </si>
  <si>
    <t>Longview</t>
  </si>
  <si>
    <t>Gregg</t>
  </si>
  <si>
    <t>Vintage Ranch</t>
  </si>
  <si>
    <t>LDG Development</t>
  </si>
  <si>
    <t>Mark Lechner &amp; Chris Dischinger</t>
  </si>
  <si>
    <t>Key Bank</t>
  </si>
  <si>
    <t>USB</t>
  </si>
  <si>
    <t>Rosemont at Baytown</t>
  </si>
  <si>
    <t>Jeff Spicer</t>
  </si>
  <si>
    <t>Baytown</t>
  </si>
  <si>
    <t>21506-20042</t>
  </si>
  <si>
    <t>Commons at St. Anthony's</t>
  </si>
  <si>
    <t>KRS Housing, LLC</t>
  </si>
  <si>
    <t>Kent Hance</t>
  </si>
  <si>
    <t>Commonwealth Development Corp</t>
  </si>
  <si>
    <t>Walker and Dunlop</t>
  </si>
  <si>
    <t>Redsone Equity Partners</t>
  </si>
  <si>
    <t>Amarillo</t>
  </si>
  <si>
    <t>Potter</t>
  </si>
  <si>
    <t>Adaptive Re-Use</t>
  </si>
  <si>
    <t>1928/1971</t>
  </si>
  <si>
    <t>1800 Apartments</t>
  </si>
  <si>
    <t>James Aspery</t>
  </si>
  <si>
    <t>Legacy Senior Residences</t>
  </si>
  <si>
    <t>Cornerstone Housing Group, LLC</t>
  </si>
  <si>
    <t>Lawrence A. Mazzotta &amp; Bobbi Jo Lucas</t>
  </si>
  <si>
    <t>Fallbrook Loan Fund</t>
  </si>
  <si>
    <t>Lockhart</t>
  </si>
  <si>
    <t>Caldwell</t>
  </si>
  <si>
    <t>Rural</t>
  </si>
  <si>
    <t>Summit at Renaissance Park</t>
  </si>
  <si>
    <t>Lee Zieben</t>
  </si>
  <si>
    <t>Cedar Rapids Bank and Trust - Conventional</t>
  </si>
  <si>
    <t>21522-20506</t>
  </si>
  <si>
    <t>Manor Town Apartments Phase II</t>
  </si>
  <si>
    <t>Housing Authority of Travis County</t>
  </si>
  <si>
    <t>Robert Onion &amp; Patrick Howard</t>
  </si>
  <si>
    <t>TBD</t>
  </si>
  <si>
    <t>Multifamily Direct Loan - Deferred Forgivable</t>
  </si>
  <si>
    <t>Manor</t>
  </si>
  <si>
    <t>Travis</t>
  </si>
  <si>
    <t>22954-21505-20212</t>
  </si>
  <si>
    <t>Vernon Pioneer Crossing</t>
  </si>
  <si>
    <t>Accent Development, LLC</t>
  </si>
  <si>
    <t>Noor Jooma</t>
  </si>
  <si>
    <t>Steams Bank</t>
  </si>
  <si>
    <t>Vernon</t>
  </si>
  <si>
    <t>Wilbarger</t>
  </si>
  <si>
    <t>Gateway at Lake Jackson</t>
  </si>
  <si>
    <t>Fairstead Affordable, LLC</t>
  </si>
  <si>
    <t>Jeffrey Goldberg &amp; Stuart Feldman</t>
  </si>
  <si>
    <t>Berkadia Commercial Mortgage</t>
  </si>
  <si>
    <t>Boston Financial</t>
  </si>
  <si>
    <t>Lake Jackson</t>
  </si>
  <si>
    <t>Mill Pond at Robstown</t>
  </si>
  <si>
    <t>Fish Pond Development</t>
  </si>
  <si>
    <t>Community Bank of Texas</t>
  </si>
  <si>
    <t>Robstown</t>
  </si>
  <si>
    <t>Nueces</t>
  </si>
  <si>
    <t>22505-21006</t>
  </si>
  <si>
    <t>Westheimer Garden Villas</t>
  </si>
  <si>
    <t>Texas Inter-Faith Development, LLC &amp; IFG Legacy Development, LLC</t>
  </si>
  <si>
    <t>Russ Michaels &amp; JOT Couch</t>
  </si>
  <si>
    <t>Citi Community Capital</t>
  </si>
  <si>
    <t>Non-Profit</t>
  </si>
  <si>
    <t>Burkburnett Royal Gardens</t>
  </si>
  <si>
    <t>Target Builders, LLC</t>
  </si>
  <si>
    <t>Raymond James</t>
  </si>
  <si>
    <t>Burkburnett</t>
  </si>
  <si>
    <t>Wichita</t>
  </si>
  <si>
    <t>Retirement Living for Seniors</t>
  </si>
  <si>
    <t>Commonwealth Development, Inc</t>
  </si>
  <si>
    <t>Elaina Glockzin</t>
  </si>
  <si>
    <t>TDHCA - Repayable</t>
  </si>
  <si>
    <t>WNC</t>
  </si>
  <si>
    <t>Stephenville</t>
  </si>
  <si>
    <t>Erath</t>
  </si>
  <si>
    <t>Serene Falls</t>
  </si>
  <si>
    <t>THF Housing Development Corporation</t>
  </si>
  <si>
    <t>Mark Mayfield</t>
  </si>
  <si>
    <t>Marble Falls</t>
  </si>
  <si>
    <t>Burnet</t>
  </si>
  <si>
    <t>Legacy Trails of Plainview</t>
  </si>
  <si>
    <t>Salem Clark Development, LLC</t>
  </si>
  <si>
    <t>Kelly Garrett</t>
  </si>
  <si>
    <t>Multifamily Direct Loan: Const. to Perm (Repayable)</t>
  </si>
  <si>
    <t>AHP</t>
  </si>
  <si>
    <t>Plainview</t>
  </si>
  <si>
    <t>Hale</t>
  </si>
  <si>
    <t>South Plains</t>
  </si>
  <si>
    <t>LEDG Capital, LLC &amp; KDG Partners, LLC</t>
  </si>
  <si>
    <t>Jacob Levy &amp; Dmitry Gourkine</t>
  </si>
  <si>
    <t>Merchants 221(d)(4) Loan Forward</t>
  </si>
  <si>
    <t>Lubbock</t>
  </si>
  <si>
    <t>1973/1978</t>
  </si>
  <si>
    <t>Bluff View Apartments</t>
  </si>
  <si>
    <t>Roers Boerne Apartments Developer</t>
  </si>
  <si>
    <t>Roers Companies Project Holdings LLC</t>
  </si>
  <si>
    <t>Fortify Construction</t>
  </si>
  <si>
    <t>Redstone - Series A</t>
  </si>
  <si>
    <t>Boerne</t>
  </si>
  <si>
    <t>Kendall</t>
  </si>
  <si>
    <t>Balcones Terrace</t>
  </si>
  <si>
    <t>Foundation Communities</t>
  </si>
  <si>
    <t>Walter Moreau</t>
  </si>
  <si>
    <t>City of Austin</t>
  </si>
  <si>
    <t>Austin</t>
  </si>
  <si>
    <t>Supportive Housing</t>
  </si>
  <si>
    <t>Airport Gateway Apartments</t>
  </si>
  <si>
    <t>Richman Southwest Development, LLC</t>
  </si>
  <si>
    <t>Will Cureton</t>
  </si>
  <si>
    <t>Wells Fargo - Taxable Exempt Tail</t>
  </si>
  <si>
    <t>The Richman Group Affordable Housing Corp</t>
  </si>
  <si>
    <t>1518 Apartments</t>
  </si>
  <si>
    <t>NRP</t>
  </si>
  <si>
    <t>Key Bank - Freddie Mac TEL</t>
  </si>
  <si>
    <t>Schertz</t>
  </si>
  <si>
    <t>Southton Apartments</t>
  </si>
  <si>
    <t>Southton Oz &amp; Stuart Falkin</t>
  </si>
  <si>
    <t>White-Conlee Builders</t>
  </si>
  <si>
    <t>FHA 221 (d)(4)</t>
  </si>
  <si>
    <t>Opportunity Zone Fund</t>
  </si>
  <si>
    <t>Logan's Pointe</t>
  </si>
  <si>
    <t>Envolve Communitites, LLC</t>
  </si>
  <si>
    <t>W. Daniel Hughes, Jr</t>
  </si>
  <si>
    <t>Key Community Dev Corporation</t>
  </si>
  <si>
    <t>Mount Vernon</t>
  </si>
  <si>
    <t>Franklin</t>
  </si>
  <si>
    <t>22975-21508-20192</t>
  </si>
  <si>
    <t>Arbor Park</t>
  </si>
  <si>
    <t>DMA Community Ventures, LLC</t>
  </si>
  <si>
    <t>Diana McIver</t>
  </si>
  <si>
    <t>RBC Community Investments</t>
  </si>
  <si>
    <t>Arbors at Creekside</t>
  </si>
  <si>
    <t>National Church Residences</t>
  </si>
  <si>
    <t>Tracey Fine</t>
  </si>
  <si>
    <t>Berkadia - Fannie MTEB</t>
  </si>
  <si>
    <t>NEF</t>
  </si>
  <si>
    <t>Northwind Apartments</t>
  </si>
  <si>
    <t>Kittle Property Group</t>
  </si>
  <si>
    <t>Carly Gast</t>
  </si>
  <si>
    <t>Truist - Conventional Loan</t>
  </si>
  <si>
    <t>Merchants Capital</t>
  </si>
  <si>
    <t>Easton Park Apartments</t>
  </si>
  <si>
    <t>TRG Easton Park Member, LLC</t>
  </si>
  <si>
    <t>Richard Paul Richman &amp; Kristin M. Miller</t>
  </si>
  <si>
    <t>Grandbridge Real Estate Capital, LLC</t>
  </si>
  <si>
    <t>Richman Group Affordable Housing Co</t>
  </si>
  <si>
    <t>Ostry Ranch</t>
  </si>
  <si>
    <t>US Bancorp - Conventional Loan</t>
  </si>
  <si>
    <t>US Bancorp</t>
  </si>
  <si>
    <t>Converse</t>
  </si>
  <si>
    <t>Villages at Meadowbend</t>
  </si>
  <si>
    <t>Freddie Mac TEL</t>
  </si>
  <si>
    <t>Berkadia Proprietary Holding</t>
  </si>
  <si>
    <t>Temple</t>
  </si>
  <si>
    <t>Bell</t>
  </si>
  <si>
    <t>2003/2006</t>
  </si>
  <si>
    <t>Hughes House</t>
  </si>
  <si>
    <t>McCormack Baron Salazar</t>
  </si>
  <si>
    <t>Monique Chavoya</t>
  </si>
  <si>
    <t>Mason Joseph - FHA 221(d)(4)</t>
  </si>
  <si>
    <t>La Vista de Lopez</t>
  </si>
  <si>
    <t>Guadalupe Neighborhood Development Corp</t>
  </si>
  <si>
    <t>Bellweather - HUD 221(d)4</t>
  </si>
  <si>
    <t>National Equity Fund, Inc.</t>
  </si>
  <si>
    <t>21502-20077</t>
  </si>
  <si>
    <t>Lockwood South</t>
  </si>
  <si>
    <t>Brinshore Development</t>
  </si>
  <si>
    <t>Richard Sciortino</t>
  </si>
  <si>
    <t>Amegy Bank</t>
  </si>
  <si>
    <t>21503-20082</t>
  </si>
  <si>
    <t>Connect South</t>
  </si>
  <si>
    <t>Anne Whitlock &amp; Richard Sciortino</t>
  </si>
  <si>
    <t>Viento Apartments</t>
  </si>
  <si>
    <t>Nick Walsh</t>
  </si>
  <si>
    <t>Berkadia/Las Varas PFC</t>
  </si>
  <si>
    <t>Palladium East Berry</t>
  </si>
  <si>
    <t>Thomas E. Huth</t>
  </si>
  <si>
    <t>Cedar Rapids Bank and Trust</t>
  </si>
  <si>
    <t>23434-22466</t>
  </si>
  <si>
    <t>Park at Humble</t>
  </si>
  <si>
    <t>Michael Volz, Evan J. Hunden, &amp; David B. Ratliff</t>
  </si>
  <si>
    <t>Regions Bank - Freddie Immediate TEL</t>
  </si>
  <si>
    <t>Regions Bank</t>
  </si>
  <si>
    <t>Live Make Apartments</t>
  </si>
  <si>
    <t>Citrine Development, LLC</t>
  </si>
  <si>
    <t>Jacob Mooney &amp; Daniel Sailler, III</t>
  </si>
  <si>
    <t>Bellwether Enterprise - Conventional Loan</t>
  </si>
  <si>
    <t>Rosemont at Mayfield Villas</t>
  </si>
  <si>
    <t>Jeffrey Spicer</t>
  </si>
  <si>
    <t>Merchants Capital - Freddie Immediate TEL</t>
  </si>
  <si>
    <t>Arlington</t>
  </si>
  <si>
    <t>Airport Crossing</t>
  </si>
  <si>
    <t>Berkadia - Austin Affordable PFC</t>
  </si>
  <si>
    <t>22977-21520-20186</t>
  </si>
  <si>
    <t>The Residence at Ridgehill</t>
  </si>
  <si>
    <t>Overland Property Group, LLC</t>
  </si>
  <si>
    <t>Pat Beatty, Rex Vanier, Brett Johnson, &amp; Kit Sarai</t>
  </si>
  <si>
    <t>PNC - FHA 221(d)(4)</t>
  </si>
  <si>
    <t>Redstone &amp; Overland Property Group</t>
  </si>
  <si>
    <t>Kerville</t>
  </si>
  <si>
    <t>Kerr</t>
  </si>
  <si>
    <t>Meridian at Wylie</t>
  </si>
  <si>
    <t>Roers Companies Project Holdings, LLC</t>
  </si>
  <si>
    <t>Brian &amp; Kent Roers</t>
  </si>
  <si>
    <t>RedStone Tax-Exempt Mortgage</t>
  </si>
  <si>
    <t>Wylie</t>
  </si>
  <si>
    <t>Collin</t>
  </si>
  <si>
    <t>Hog Eye Apartments</t>
  </si>
  <si>
    <t>22722-20504</t>
  </si>
  <si>
    <t>Burnet Place</t>
  </si>
  <si>
    <t>Project Transitions, Inc.</t>
  </si>
  <si>
    <t>Multifamily Direct Loan (Soft Repayable)</t>
  </si>
  <si>
    <t>AGC Development</t>
  </si>
  <si>
    <t>?</t>
  </si>
  <si>
    <t>Palladium Oak Grove</t>
  </si>
  <si>
    <t>Brownstone Construction, Ltd</t>
  </si>
  <si>
    <t>FWHFC</t>
  </si>
  <si>
    <t>Coppertree Village</t>
  </si>
  <si>
    <t>Fairstead</t>
  </si>
  <si>
    <t>Jeffrey Goldberg</t>
  </si>
  <si>
    <t>Houston Housing Finance Corp</t>
  </si>
  <si>
    <t>Salazar Apartments</t>
  </si>
  <si>
    <t>Franklin Development</t>
  </si>
  <si>
    <t>Gerald Cichon &amp; Ryan Wilson</t>
  </si>
  <si>
    <t>Lument - Freddie TEL</t>
  </si>
  <si>
    <t>El Paso</t>
  </si>
  <si>
    <t>22506-21064</t>
  </si>
  <si>
    <t>Fiesta Trails</t>
  </si>
  <si>
    <t>Jason Arechiga</t>
  </si>
  <si>
    <t>Mill Stream Apartment Homes</t>
  </si>
  <si>
    <t>Pedcor</t>
  </si>
  <si>
    <t>Merchants Capital - 221d4 FHA Loan</t>
  </si>
  <si>
    <t>McKinney</t>
  </si>
  <si>
    <t>Libertad Austin at Gardner</t>
  </si>
  <si>
    <t>Vecino Bond Group</t>
  </si>
  <si>
    <t>J. Matthew Miller &amp; Richard Manzardo</t>
  </si>
  <si>
    <t>6900 Matlock</t>
  </si>
  <si>
    <t>Berkadia - Freddie Mac TEL</t>
  </si>
  <si>
    <t>Columbia Apartments</t>
  </si>
  <si>
    <t>Vitus Development</t>
  </si>
  <si>
    <t>Evan Laws</t>
  </si>
  <si>
    <t>Whitestone</t>
  </si>
  <si>
    <t>Regions Bank - 221d4 FHA Loan</t>
  </si>
  <si>
    <t>Regions Affordable Housing</t>
  </si>
  <si>
    <t>Socorro Village</t>
  </si>
  <si>
    <t>MFRG ICON Construction</t>
  </si>
  <si>
    <t>Lument - FHA 21 (D)(4)</t>
  </si>
  <si>
    <t>Socorro</t>
  </si>
  <si>
    <t>Corona Del Valle</t>
  </si>
  <si>
    <t>CDV 34, LLC</t>
  </si>
  <si>
    <t>Lument - FHA 221(d)(4)</t>
  </si>
  <si>
    <t>Cantibury Pointe Apartments</t>
  </si>
  <si>
    <t>Birge and Held Asset Management, LLC</t>
  </si>
  <si>
    <t>Merchants Capital - FHA 221(d)(4)</t>
  </si>
  <si>
    <t>The Portofino</t>
  </si>
  <si>
    <t>Polaris Holdings</t>
  </si>
  <si>
    <t>Berkadia - Tax Exempt First Mortgage</t>
  </si>
  <si>
    <t>23909-22510-21039</t>
  </si>
  <si>
    <t>Uvalde Villas</t>
  </si>
  <si>
    <t>Texas Gre Oaks, LLC</t>
  </si>
  <si>
    <t>Steve Lollis</t>
  </si>
  <si>
    <t>RBC</t>
  </si>
  <si>
    <t>McAllen</t>
  </si>
  <si>
    <t>Hildago</t>
  </si>
  <si>
    <t>23938-21158</t>
  </si>
  <si>
    <t>Juniper Pointe</t>
  </si>
  <si>
    <t>Albatross Development, LLC</t>
  </si>
  <si>
    <t>Sandra Watson &amp; Justin M. Zimmerman</t>
  </si>
  <si>
    <t>Kaufman</t>
  </si>
  <si>
    <t>23942-21177</t>
  </si>
  <si>
    <t>Carver Ridge Apartments</t>
  </si>
  <si>
    <t>BOK Financial</t>
  </si>
  <si>
    <t>Hutto</t>
  </si>
  <si>
    <t>Williamson</t>
  </si>
  <si>
    <t>23923-21101</t>
  </si>
  <si>
    <t>Longview Crossing</t>
  </si>
  <si>
    <t>Trinity Housing Development</t>
  </si>
  <si>
    <t>J. Ryan Hamilton</t>
  </si>
  <si>
    <t>Hamilton Builders</t>
  </si>
  <si>
    <t>23951-21228</t>
  </si>
  <si>
    <t>El Jardin</t>
  </si>
  <si>
    <t>The Housing Authority of the City of Brownsville</t>
  </si>
  <si>
    <t>Carla Mancha &amp; Miguel Herrera</t>
  </si>
  <si>
    <t>International Bank of Commerce</t>
  </si>
  <si>
    <t>42 Equity Partners</t>
  </si>
  <si>
    <t>Brownsville</t>
  </si>
  <si>
    <t>Cameron</t>
  </si>
  <si>
    <t>23954-21274</t>
  </si>
  <si>
    <t>Avanti Legacy Violet Parc</t>
  </si>
  <si>
    <t>Madhouse Development</t>
  </si>
  <si>
    <t>Enrique Flores</t>
  </si>
  <si>
    <t>RBC Capital Markets</t>
  </si>
  <si>
    <t>Hidalgo</t>
  </si>
  <si>
    <t>23960-21317</t>
  </si>
  <si>
    <t>San Angelo Terrace</t>
  </si>
  <si>
    <t>San Angelo</t>
  </si>
  <si>
    <t>Tom Green</t>
  </si>
  <si>
    <t>23933-21131</t>
  </si>
  <si>
    <t>Boulevard 61</t>
  </si>
  <si>
    <t>Diana McIver &amp; Janine Sisak</t>
  </si>
  <si>
    <t>RBC Capital</t>
  </si>
  <si>
    <t>23901-21004</t>
  </si>
  <si>
    <t>Skyline at Cedar Crest</t>
  </si>
  <si>
    <t>Brompton Community Development Corporation</t>
  </si>
  <si>
    <t>Eleanor M.C. Fanning</t>
  </si>
  <si>
    <t>Regions</t>
  </si>
  <si>
    <t>23935-21136</t>
  </si>
  <si>
    <t>Oaklawn Place</t>
  </si>
  <si>
    <t>Resource Center of Dallas, Inc</t>
  </si>
  <si>
    <t>Cece Cox</t>
  </si>
  <si>
    <t>BBVA Compass</t>
  </si>
  <si>
    <t>23902-21017</t>
  </si>
  <si>
    <t>23945-21186</t>
  </si>
  <si>
    <t>Palms at Bulcher Park</t>
  </si>
  <si>
    <t>Prospera Housing Community Services TG 110, Inc</t>
  </si>
  <si>
    <t>Gilbert M. Piette</t>
  </si>
  <si>
    <t>Wells Fargo - FHA 221(d)4</t>
  </si>
  <si>
    <t>Wells Fargo</t>
  </si>
  <si>
    <t>Corpus Christi</t>
  </si>
  <si>
    <t>23949-21220</t>
  </si>
  <si>
    <t>Longview Square</t>
  </si>
  <si>
    <t>ITEX Group, LLC &amp; Nautical Affordable Housing, Inc</t>
  </si>
  <si>
    <t>Chris Akbari &amp; Donald Ball</t>
  </si>
  <si>
    <t>Hudson</t>
  </si>
  <si>
    <t>At-Risk</t>
  </si>
  <si>
    <t>23937-21145</t>
  </si>
  <si>
    <t>Mariposa Communications Park</t>
  </si>
  <si>
    <t>Bonner Carrington</t>
  </si>
  <si>
    <t>Stuart Shaw</t>
  </si>
  <si>
    <t>Bonner Carrington Construction</t>
  </si>
  <si>
    <t>Bellwether Enterprise Perm Loan</t>
  </si>
  <si>
    <t>RBC Tax Credit Equity</t>
  </si>
  <si>
    <t>Plano</t>
  </si>
  <si>
    <t>23924-21104</t>
  </si>
  <si>
    <t>Heritage at Abilene</t>
  </si>
  <si>
    <t>Mathew Gillam &amp; Patrick Beatty</t>
  </si>
  <si>
    <t>MHDF</t>
  </si>
  <si>
    <t>MHEG</t>
  </si>
  <si>
    <t>Abilene</t>
  </si>
  <si>
    <t>Taylor</t>
  </si>
  <si>
    <t>23912-21052</t>
  </si>
  <si>
    <t>Del Rio Lofts</t>
  </si>
  <si>
    <t>DS Ventures, LLC</t>
  </si>
  <si>
    <t>Daniel Sailler</t>
  </si>
  <si>
    <t>Del Rio</t>
  </si>
  <si>
    <t>Val Verde</t>
  </si>
  <si>
    <t>23925-21113</t>
  </si>
  <si>
    <t>San Angelo Crossing</t>
  </si>
  <si>
    <t>23931-21121</t>
  </si>
  <si>
    <t>Paige Estates</t>
  </si>
  <si>
    <t>JES Dev Co, Inc</t>
  </si>
  <si>
    <t>Brian Kimes &amp; Jim Markel</t>
  </si>
  <si>
    <t>Sterling Bank</t>
  </si>
  <si>
    <t>Waco</t>
  </si>
  <si>
    <t>McLennan</t>
  </si>
  <si>
    <t>23920-21093</t>
  </si>
  <si>
    <t>Parkside on Carrier</t>
  </si>
  <si>
    <t>Grand Prairie</t>
  </si>
  <si>
    <t>23947-21208</t>
  </si>
  <si>
    <t>Parmore Jupiter Road</t>
  </si>
  <si>
    <t>Prudentia Development, LLC</t>
  </si>
  <si>
    <t>Ryan Combs</t>
  </si>
  <si>
    <t>JPI Construction, LLC</t>
  </si>
  <si>
    <t>Citi</t>
  </si>
  <si>
    <t>23959-21312</t>
  </si>
  <si>
    <t>Savannah Park of Keene</t>
  </si>
  <si>
    <t>Belmont Development Company, LLC</t>
  </si>
  <si>
    <t>Ryan Hudspeth</t>
  </si>
  <si>
    <t>Keene</t>
  </si>
  <si>
    <t>Johnson</t>
  </si>
  <si>
    <t>USDA</t>
  </si>
  <si>
    <t>23948-21219</t>
  </si>
  <si>
    <t>Eagles Gate Apartments</t>
  </si>
  <si>
    <t>VCZ Development</t>
  </si>
  <si>
    <t>Vaughn C. Zimmerman</t>
  </si>
  <si>
    <t>Eagle Pass</t>
  </si>
  <si>
    <t>Maverick</t>
  </si>
  <si>
    <t>23943-21181</t>
  </si>
  <si>
    <t>The Heights at MacArthur</t>
  </si>
  <si>
    <t>GHT Development</t>
  </si>
  <si>
    <t>Adrien Iglesias, Chris Applequist, &amp; Hill Tide Partners</t>
  </si>
  <si>
    <t>M1 Bank</t>
  </si>
  <si>
    <t>Irving</t>
  </si>
  <si>
    <t>23910-21048</t>
  </si>
  <si>
    <t>Price Lofts</t>
  </si>
  <si>
    <t>JCM Ventures</t>
  </si>
  <si>
    <t>Jacob Mooney</t>
  </si>
  <si>
    <t>23916-21070</t>
  </si>
  <si>
    <t>Saison North</t>
  </si>
  <si>
    <t>Travis County Housing Finance Corp</t>
  </si>
  <si>
    <t>Megan Lasch</t>
  </si>
  <si>
    <t>23917-21075</t>
  </si>
  <si>
    <t>June West</t>
  </si>
  <si>
    <t>Saigebrook Development</t>
  </si>
  <si>
    <t>Lisa Stephens</t>
  </si>
  <si>
    <t>Citi Bank</t>
  </si>
  <si>
    <t>Hudson Capital</t>
  </si>
  <si>
    <t>23919-21081</t>
  </si>
  <si>
    <t>Kiva East</t>
  </si>
  <si>
    <t>23903-21024</t>
  </si>
  <si>
    <t>Freedom's Path at Waco</t>
  </si>
  <si>
    <t>SFV Development, LLC</t>
  </si>
  <si>
    <t>Craig Taylor</t>
  </si>
  <si>
    <t>23922-21100</t>
  </si>
  <si>
    <t>Hawthorn Terrace</t>
  </si>
  <si>
    <t>Enore Residential / JFB Properties</t>
  </si>
  <si>
    <t>J. Steve Ford &amp; Jeremy Bartholomew</t>
  </si>
  <si>
    <t>23932-21130</t>
  </si>
  <si>
    <t>Sun Pointe Apartments</t>
  </si>
  <si>
    <t>Housing Authority of the City of El Paso</t>
  </si>
  <si>
    <t>Gerald Cichon</t>
  </si>
  <si>
    <t>PNC - Freddie Mac Forward</t>
  </si>
  <si>
    <t>PNC Tax Credit Capital</t>
  </si>
  <si>
    <t>23929-21118</t>
  </si>
  <si>
    <t>Cherry Village</t>
  </si>
  <si>
    <t>Texas Housing Developers</t>
  </si>
  <si>
    <t>Redstone</t>
  </si>
  <si>
    <t>Belton</t>
  </si>
  <si>
    <t>23930-21119</t>
  </si>
  <si>
    <t>Cedar Grove</t>
  </si>
  <si>
    <t>Buckholts</t>
  </si>
  <si>
    <t>Milam</t>
  </si>
  <si>
    <t>1970/1986</t>
  </si>
  <si>
    <t>23921-21099</t>
  </si>
  <si>
    <t>Marshall Crossing</t>
  </si>
  <si>
    <t>Cobblestone Development</t>
  </si>
  <si>
    <t>J Douglass Hamilton</t>
  </si>
  <si>
    <t>Marshall</t>
  </si>
  <si>
    <t>Harrison</t>
  </si>
  <si>
    <t>23934-21132</t>
  </si>
  <si>
    <t>Ost Lofts</t>
  </si>
  <si>
    <t>DWR Development</t>
  </si>
  <si>
    <t>Donna Rickenbacker</t>
  </si>
  <si>
    <t>23946-21187</t>
  </si>
  <si>
    <t>Village at Perrin Beitel</t>
  </si>
  <si>
    <t>Versa Development</t>
  </si>
  <si>
    <t>23961-21318</t>
  </si>
  <si>
    <t>Cypress Creek at Temple</t>
  </si>
  <si>
    <t>Bellwether Enterprise</t>
  </si>
  <si>
    <t>23958-21292</t>
  </si>
  <si>
    <t>Campanile on Minimax</t>
  </si>
  <si>
    <t>Kilday Partners LLC</t>
  </si>
  <si>
    <t>Les Kilday &amp; R.R. Kilday</t>
  </si>
  <si>
    <t>Davis Penn - 221(d)4</t>
  </si>
  <si>
    <t>23964-21245</t>
  </si>
  <si>
    <t>The Rushmore</t>
  </si>
  <si>
    <t>Housing Trust Group</t>
  </si>
  <si>
    <t>Randy Rieger &amp; Valentin DeLeon</t>
  </si>
  <si>
    <t>23908-21038</t>
  </si>
  <si>
    <t>Houston 150 Bayou Apartments</t>
  </si>
  <si>
    <t>Eureka Holdings</t>
  </si>
  <si>
    <t>Rene Campos</t>
  </si>
  <si>
    <t>Guaranty Bank</t>
  </si>
  <si>
    <t>Aegon</t>
  </si>
  <si>
    <t>23915-21061</t>
  </si>
  <si>
    <t>Magnolia Lofts</t>
  </si>
  <si>
    <t>23905-21032</t>
  </si>
  <si>
    <t>Royal Gardens Lufkin</t>
  </si>
  <si>
    <t>Noor &amp; Khairunissa Jooma</t>
  </si>
  <si>
    <t>Lufkin</t>
  </si>
  <si>
    <t>Angelina</t>
  </si>
  <si>
    <t>23927-21116</t>
  </si>
  <si>
    <t>Sweetwater Station</t>
  </si>
  <si>
    <t>Sweetwater</t>
  </si>
  <si>
    <t>Nolan</t>
  </si>
  <si>
    <t>23956-21289</t>
  </si>
  <si>
    <t>Snowden Apartments</t>
  </si>
  <si>
    <t>Ana M. "Cha" Guzman &amp; Jessica Weaver</t>
  </si>
  <si>
    <t>JP Morgan Chase</t>
  </si>
  <si>
    <t>23911-21051</t>
  </si>
  <si>
    <t>Canyon Lofts</t>
  </si>
  <si>
    <t>Canyon</t>
  </si>
  <si>
    <t>Randall</t>
  </si>
  <si>
    <t>23900-21003</t>
  </si>
  <si>
    <t>Tomball Senior Village</t>
  </si>
  <si>
    <t>Legacy Bank and Trust</t>
  </si>
  <si>
    <t>Tomball</t>
  </si>
  <si>
    <t>23944-21185</t>
  </si>
  <si>
    <t>Weslaco Village Apartments</t>
  </si>
  <si>
    <t>Prospera HCS</t>
  </si>
  <si>
    <t>Wells Fargo - F221(d)(4)</t>
  </si>
  <si>
    <t>Weslaco</t>
  </si>
  <si>
    <t>23955-21283</t>
  </si>
  <si>
    <t>Hemley Palms</t>
  </si>
  <si>
    <t>Tropicana Properties</t>
  </si>
  <si>
    <t>Bobby Bowling</t>
  </si>
  <si>
    <t>Richman Group</t>
  </si>
  <si>
    <t>Vinton</t>
  </si>
  <si>
    <t>23940-21175</t>
  </si>
  <si>
    <t>Wells Manor</t>
  </si>
  <si>
    <t>LCJ Development, Inc.</t>
  </si>
  <si>
    <t>James E. Washburn &amp; Charles C. Washburn</t>
  </si>
  <si>
    <t>Bellwether Enterprises - USDA 538</t>
  </si>
  <si>
    <t>WNC &amp; Associates</t>
  </si>
  <si>
    <t>Wells</t>
  </si>
  <si>
    <t>Cherokee</t>
  </si>
  <si>
    <t>23941-21176</t>
  </si>
  <si>
    <t>Mill Run</t>
  </si>
  <si>
    <t>Elkhart</t>
  </si>
  <si>
    <t>Anderson</t>
  </si>
  <si>
    <t>23926-21114</t>
  </si>
  <si>
    <t>Reserves at Holdsworth</t>
  </si>
  <si>
    <t>MEHG</t>
  </si>
  <si>
    <t>23939-21166</t>
  </si>
  <si>
    <t>Mountain View Estates</t>
  </si>
  <si>
    <t>Investment Builders, Inc</t>
  </si>
  <si>
    <t>Ike J. Monty</t>
  </si>
  <si>
    <t>23904-21027</t>
  </si>
  <si>
    <t>NHH Ennis</t>
  </si>
  <si>
    <t>Houston Area Community Development Corporation</t>
  </si>
  <si>
    <t>Joy Horak-Brown</t>
  </si>
  <si>
    <t>BBVA</t>
  </si>
  <si>
    <t>Summerdale Apartments</t>
  </si>
  <si>
    <t>Woodway Square</t>
  </si>
  <si>
    <t>Austin Leased Housing Associates IV</t>
  </si>
  <si>
    <t>Juniper Landing</t>
  </si>
  <si>
    <t>Carolyn Bilski</t>
  </si>
  <si>
    <t>Texas City</t>
  </si>
  <si>
    <t>Galveston</t>
  </si>
  <si>
    <t>Rosemont at University Park</t>
  </si>
  <si>
    <t>R4</t>
  </si>
  <si>
    <t>Roers San Antonio Apartments</t>
  </si>
  <si>
    <t>NHH Berry</t>
  </si>
  <si>
    <t>LaRence Snowden</t>
  </si>
  <si>
    <t>HACDC</t>
  </si>
  <si>
    <t>Ellison Apartments</t>
  </si>
  <si>
    <t>Ellison Apartments Developer LLC</t>
  </si>
  <si>
    <t>Russel Condas</t>
  </si>
  <si>
    <t>Galaxy Builders</t>
  </si>
  <si>
    <t>Boston Capital Finance LLC</t>
  </si>
  <si>
    <t>US Bancorp Community Development</t>
  </si>
  <si>
    <t>Ellison Apartments LAC LLC</t>
  </si>
  <si>
    <t>Palladium McKinney</t>
  </si>
  <si>
    <t>Thomas E Huth</t>
  </si>
  <si>
    <t>Osiola Henderson</t>
  </si>
  <si>
    <t>CRB&amp;T</t>
  </si>
  <si>
    <t>McKinney CDC</t>
  </si>
  <si>
    <t>Cairn Point at Cameron</t>
  </si>
  <si>
    <t>Caritas Cairn Point Austin, LLC</t>
  </si>
  <si>
    <t>Jo Kathryn Quinn &amp; Richard Maznardo</t>
  </si>
  <si>
    <t>Redstone Equity</t>
  </si>
  <si>
    <t>Austin Housing Corporation</t>
  </si>
  <si>
    <t>The Life at Brighton Estates</t>
  </si>
  <si>
    <t>Olive Tree Affordable Development LLC</t>
  </si>
  <si>
    <t>Michael Rosenfeld, Yurly Gelfman, &amp; Ian Bel</t>
  </si>
  <si>
    <t>Greystone</t>
  </si>
  <si>
    <t>Alliant Capital</t>
  </si>
  <si>
    <t>130 Aldine Bender Road Houston LLC</t>
  </si>
  <si>
    <t>Eden Court</t>
  </si>
  <si>
    <t>Mark Ricketts</t>
  </si>
  <si>
    <t>Seguin</t>
  </si>
  <si>
    <t>Guadalupe</t>
  </si>
  <si>
    <t>HUD 202 Capital</t>
  </si>
  <si>
    <t>Culebra Road</t>
  </si>
  <si>
    <t>Tirol Housing, LLC</t>
  </si>
  <si>
    <t>Derek Mannelin &amp; Brian Gerritz</t>
  </si>
  <si>
    <t>Collier Mortgage</t>
  </si>
  <si>
    <t>Letter of Credit</t>
  </si>
  <si>
    <t>Northhill Manor</t>
  </si>
  <si>
    <t>ELOM LLC</t>
  </si>
  <si>
    <t>Jon Lalanne</t>
  </si>
  <si>
    <t>Interim Cash Flow</t>
  </si>
  <si>
    <t>Juniper Creek</t>
  </si>
  <si>
    <t>Wells Fargo Equity</t>
  </si>
  <si>
    <t>COA/AHFC</t>
  </si>
  <si>
    <t>23918-21078</t>
  </si>
  <si>
    <t>Clifton Riverside</t>
  </si>
  <si>
    <t>Overland Communities Group</t>
  </si>
  <si>
    <t>Matt Gillam</t>
  </si>
  <si>
    <t>Red Stone</t>
  </si>
  <si>
    <t>City of Fort Worth</t>
  </si>
  <si>
    <t>PDV Mariposa</t>
  </si>
  <si>
    <t>Texas Housing Development Coporation Group / PDV Group</t>
  </si>
  <si>
    <t>Mark Pavicek, Dimitrios Delengos, &amp; Woody Victor</t>
  </si>
  <si>
    <t>N Cherry Builder LLS</t>
  </si>
  <si>
    <t>M&amp;T Reality Capital Corporation</t>
  </si>
  <si>
    <t>Fredricksburg</t>
  </si>
  <si>
    <t>Gillespie</t>
  </si>
  <si>
    <t>N Cherry Builders LLC</t>
  </si>
  <si>
    <t>21510-20171</t>
  </si>
  <si>
    <t>Avanti Viking Hills</t>
  </si>
  <si>
    <t>Enrique Flores IV</t>
  </si>
  <si>
    <t>Avanti Viking Hills Development LLC</t>
  </si>
  <si>
    <t>City of Waco</t>
  </si>
  <si>
    <t>The Rebekah</t>
  </si>
  <si>
    <t>Janine Sisak</t>
  </si>
  <si>
    <t>Chase</t>
  </si>
  <si>
    <t>Austin Geriatric Center</t>
  </si>
  <si>
    <t xml:space="preserve">Oakwood Trails Aprtments </t>
  </si>
  <si>
    <t>APV Redevelopment Corporation</t>
  </si>
  <si>
    <t>Jeremy Bronfman</t>
  </si>
  <si>
    <t>Spring</t>
  </si>
  <si>
    <t>Oakwood Trails Limited Partnership</t>
  </si>
  <si>
    <t>The Terrace at Highland Hills</t>
  </si>
  <si>
    <t>LDG Multifamily, LLC</t>
  </si>
  <si>
    <t>Chris Dischinger</t>
  </si>
  <si>
    <t>R4 Capital Funding</t>
  </si>
  <si>
    <t>general</t>
  </si>
  <si>
    <t>Palladium Crestway</t>
  </si>
  <si>
    <t>Palladium Development</t>
  </si>
  <si>
    <t xml:space="preserve">San Antonio Housing Trust </t>
  </si>
  <si>
    <t>City of San Antonio</t>
  </si>
  <si>
    <t>NHH Gray</t>
  </si>
  <si>
    <t>Kenneth J. Valach</t>
  </si>
  <si>
    <t>TDHCA Home ARP (Repayable)</t>
  </si>
  <si>
    <t>Houston Area Community Development  Corp</t>
  </si>
  <si>
    <t>Kensington Apartments</t>
  </si>
  <si>
    <t>Elizabeth Property Group</t>
  </si>
  <si>
    <t xml:space="preserve">Austin Travis County Mental Health &amp; Mental Retardation Center </t>
  </si>
  <si>
    <t>Merchant Bank LIHTC</t>
  </si>
  <si>
    <t>NOI During Construction</t>
  </si>
  <si>
    <t>Hillside Village Apartments</t>
  </si>
  <si>
    <t>Steele Properties</t>
  </si>
  <si>
    <t>Andrew Bennett</t>
  </si>
  <si>
    <t>KeyBank Real Estate Capital</t>
  </si>
  <si>
    <t>Tigoni Villas</t>
  </si>
  <si>
    <t>Tigoni Developer, LLC</t>
  </si>
  <si>
    <t>Evan J. Hunden</t>
  </si>
  <si>
    <t>CitiBank</t>
  </si>
  <si>
    <t>US Bank</t>
  </si>
  <si>
    <t xml:space="preserve">San Antonio </t>
  </si>
  <si>
    <t>DevCo Acquisition Note</t>
  </si>
  <si>
    <t>The Crossing at Clear Creek</t>
  </si>
  <si>
    <t>R4 Capital LLC</t>
  </si>
  <si>
    <t>Aspen Park</t>
  </si>
  <si>
    <t>Envolve Affordable Communities</t>
  </si>
  <si>
    <t>Managin Members</t>
  </si>
  <si>
    <t>Bellwether / Freddie Mac</t>
  </si>
  <si>
    <t>Oaks of Bandera</t>
  </si>
  <si>
    <t>Bandera</t>
  </si>
  <si>
    <t>Envolve Communities, LLC</t>
  </si>
  <si>
    <t>Trails at River Road</t>
  </si>
  <si>
    <t>Rosemont at Ashe Creek</t>
  </si>
  <si>
    <t>DevCo, LLC</t>
  </si>
  <si>
    <t>Evan Hunden, David Ratliff &amp; Michael Volz</t>
  </si>
  <si>
    <t>Greystone HUD 221 (d)(4)</t>
  </si>
  <si>
    <t>Costa Almadena</t>
  </si>
  <si>
    <t xml:space="preserve">Urban </t>
  </si>
  <si>
    <t>Costa Almadena, LTD</t>
  </si>
  <si>
    <t>2306-23923-21101</t>
  </si>
  <si>
    <t xml:space="preserve">Trinity Housing Development </t>
  </si>
  <si>
    <t>City of Longview</t>
  </si>
  <si>
    <t>23504-23933-21131</t>
  </si>
  <si>
    <t>DMA Development Company, LLC</t>
  </si>
  <si>
    <t>HEDK</t>
  </si>
  <si>
    <t>23712-22297</t>
  </si>
  <si>
    <t>Lapiz Flats</t>
  </si>
  <si>
    <t>22721-20501</t>
  </si>
  <si>
    <t>Samano</t>
  </si>
  <si>
    <t>Community Development Corporation of Brownsville</t>
  </si>
  <si>
    <t>Charles Mitchell</t>
  </si>
  <si>
    <t>Valley Baptist Legacy Foundation</t>
  </si>
  <si>
    <t>CDCB</t>
  </si>
  <si>
    <t>The Preserve at Mustang Creek</t>
  </si>
  <si>
    <t>LS Black Development</t>
  </si>
  <si>
    <t>Willy Boulay</t>
  </si>
  <si>
    <t>Redstone Tax Exempt Funding</t>
  </si>
  <si>
    <t>Round Rock</t>
  </si>
  <si>
    <t>Reinvestment Income</t>
  </si>
  <si>
    <t>Seabrook Square</t>
  </si>
  <si>
    <t>NHP Foundation</t>
  </si>
  <si>
    <t>John Welsh</t>
  </si>
  <si>
    <t>City of Austin RHDA</t>
  </si>
  <si>
    <t>Sandy Creek Apartments</t>
  </si>
  <si>
    <t>Dominuium Inc.</t>
  </si>
  <si>
    <t>Jeffry Spicer</t>
  </si>
  <si>
    <t>Colliers Securities</t>
  </si>
  <si>
    <t>Acquisition/ Rehab</t>
  </si>
  <si>
    <t>Cash Flow from Operations</t>
  </si>
  <si>
    <t>Tobias Place</t>
  </si>
  <si>
    <t>Standard Residential LLC</t>
  </si>
  <si>
    <t>Shawn Rosenzweig</t>
  </si>
  <si>
    <t>The Positano</t>
  </si>
  <si>
    <t>Positano Manager, LLC</t>
  </si>
  <si>
    <t>Michael Volz</t>
  </si>
  <si>
    <t>Sponsor/Seller Loan</t>
  </si>
  <si>
    <t>Daffan Flats</t>
  </si>
  <si>
    <t>Elmington Capital</t>
  </si>
  <si>
    <t>Hunter Nelson &amp; Mark McCord</t>
  </si>
  <si>
    <t>Capital One - Fannie MTEB</t>
  </si>
  <si>
    <t>Bissonnet Apartments</t>
  </si>
  <si>
    <t>Bissonnet Apartments Developer</t>
  </si>
  <si>
    <t>Russell Condas</t>
  </si>
  <si>
    <t>Bissonnet LP</t>
  </si>
  <si>
    <t>Palladium San Antonio</t>
  </si>
  <si>
    <t>Palladium USA International, Inc</t>
  </si>
  <si>
    <t>Specialty Finance Group</t>
  </si>
  <si>
    <t>PNC Tax Credit Solutions</t>
  </si>
  <si>
    <t>The Life at Forest View</t>
  </si>
  <si>
    <t>Northway Capital Partners</t>
  </si>
  <si>
    <t>Michael Rosenfeld &amp; Afton Rosenfeld</t>
  </si>
  <si>
    <t>Alliant</t>
  </si>
  <si>
    <t>Clute</t>
  </si>
  <si>
    <t>201 Hackberry Street Clute LLC</t>
  </si>
  <si>
    <t>Norman Commons</t>
  </si>
  <si>
    <t>FHLB Dallas</t>
  </si>
  <si>
    <t>Santiago Estates</t>
  </si>
  <si>
    <t>Pedcor Investments, LLC</t>
  </si>
  <si>
    <t>Gerald K. Pedigo</t>
  </si>
  <si>
    <t>Merchants Capital FHA 221(d)(4)</t>
  </si>
  <si>
    <t>Pedcor Funding Corp</t>
  </si>
  <si>
    <t>Estates at Ferguson</t>
  </si>
  <si>
    <t>Generation Housing Partners</t>
  </si>
  <si>
    <t>Adrian Iglesias &amp; Chris Applequist</t>
  </si>
  <si>
    <t>Bellwether - Freddie Mac</t>
  </si>
  <si>
    <t>City of Dallas</t>
  </si>
  <si>
    <t>Palladium E Lancaster Avenue</t>
  </si>
  <si>
    <t>Palladium E Lancaster Avenue Development, LLC</t>
  </si>
  <si>
    <t>Regions - FHA 221(d)(4)</t>
  </si>
  <si>
    <t>Ft Worth TBD Funds</t>
  </si>
  <si>
    <t>Brookside Gardens</t>
  </si>
  <si>
    <t>Broookside Gardens Manager</t>
  </si>
  <si>
    <t>Keybank</t>
  </si>
  <si>
    <t>Sponsor Note</t>
  </si>
  <si>
    <t>Landmark 301</t>
  </si>
  <si>
    <t>Matthew Gilliam</t>
  </si>
  <si>
    <t>ARCO</t>
  </si>
  <si>
    <t>Conroe</t>
  </si>
  <si>
    <t>Montgomery</t>
  </si>
  <si>
    <t>City of Conroe</t>
  </si>
  <si>
    <t>Rio Manor</t>
  </si>
  <si>
    <t>Prospera Housing Community Services</t>
  </si>
  <si>
    <t>Wells Fargo - FHA 221(d)(4)</t>
  </si>
  <si>
    <t xml:space="preserve">3.15%
</t>
  </si>
  <si>
    <t>TG 109</t>
  </si>
  <si>
    <t>23707-22231</t>
  </si>
  <si>
    <t>Woodcrest Apartments</t>
  </si>
  <si>
    <t>Rise Residential Management</t>
  </si>
  <si>
    <t>IBC Perm Loan Option</t>
  </si>
  <si>
    <t>Odessa</t>
  </si>
  <si>
    <t>Ector</t>
  </si>
  <si>
    <t>City of Odessa</t>
  </si>
  <si>
    <t>Wellington Park</t>
  </si>
  <si>
    <t>Resolution Developers, LLC</t>
  </si>
  <si>
    <t>Carrie F. Compton &amp; Jeremy Bartholomew</t>
  </si>
  <si>
    <t>Houston ETJ</t>
  </si>
  <si>
    <t>Northside Village</t>
  </si>
  <si>
    <t>Capital Area Multi-Housing, Inc</t>
  </si>
  <si>
    <t>James E. Shaw</t>
  </si>
  <si>
    <t>Georgetown</t>
  </si>
  <si>
    <t>Laurel at Blackhawk</t>
  </si>
  <si>
    <t>Resolution Companies</t>
  </si>
  <si>
    <t>Jeremy Bartholomew</t>
  </si>
  <si>
    <t>City of Houston</t>
  </si>
  <si>
    <t>Gala at Ridgemar</t>
  </si>
  <si>
    <t>MG Investment Holdings LLC</t>
  </si>
  <si>
    <t>Michael Gardener</t>
  </si>
  <si>
    <t>Hunt Capital</t>
  </si>
  <si>
    <t>The Works III</t>
  </si>
  <si>
    <t>LifeWorks Affordable Housing Corporation</t>
  </si>
  <si>
    <t>Susan McDowell &amp; James Hopke</t>
  </si>
  <si>
    <t>TDHCA HOME ARP</t>
  </si>
  <si>
    <t>Blue Ridge Apartments</t>
  </si>
  <si>
    <t>C. Hunter Nelson</t>
  </si>
  <si>
    <t>Emington Capital</t>
  </si>
  <si>
    <t>Hillside Crossing</t>
  </si>
  <si>
    <t>Brownstone Affordable Housing</t>
  </si>
  <si>
    <t>Doak Brown, Wil Brown, Jed Brown, William Brown Trust</t>
  </si>
  <si>
    <t>Laredo</t>
  </si>
  <si>
    <t>Webb</t>
  </si>
  <si>
    <t>23508-23958-21292</t>
  </si>
  <si>
    <t>Les &amp; R.R. Kilday</t>
  </si>
  <si>
    <t>The Life at Timber Ridge</t>
  </si>
  <si>
    <t>Olive Tree Affordable Holdings</t>
  </si>
  <si>
    <t>5350 Aeropark Drive Houston LP</t>
  </si>
  <si>
    <t>Kingswood</t>
  </si>
  <si>
    <t>Enterprise</t>
  </si>
  <si>
    <t>Heritage Estates at Edmonds</t>
  </si>
  <si>
    <t>South Creek Ventures, LLC</t>
  </si>
  <si>
    <t>Charles Heritage &amp; Audey Martin</t>
  </si>
  <si>
    <t>Monarch Private Capital</t>
  </si>
  <si>
    <t>Lewisville</t>
  </si>
  <si>
    <t>City of Lewiville Fee Waiver</t>
  </si>
  <si>
    <t>380 Villas</t>
  </si>
  <si>
    <t>Sphinx Development Company</t>
  </si>
  <si>
    <t>Tekevwe Okobiah</t>
  </si>
  <si>
    <t>Sphinx Development</t>
  </si>
  <si>
    <t>Affordable Housing Partners</t>
  </si>
  <si>
    <t>Housing Services Inc.</t>
  </si>
  <si>
    <t>23828-22227</t>
  </si>
  <si>
    <t>Lalita Senior Living</t>
  </si>
  <si>
    <t>PNC Multifamily Capital</t>
  </si>
  <si>
    <t>City of Brownsville</t>
  </si>
  <si>
    <t>23509-23950-21221</t>
  </si>
  <si>
    <t>Providence on Park</t>
  </si>
  <si>
    <t>The ITEX Group, LLC</t>
  </si>
  <si>
    <t>Christopher Akbari</t>
  </si>
  <si>
    <t>Lumberton</t>
  </si>
  <si>
    <t>Hardin</t>
  </si>
  <si>
    <t>23511-22331</t>
  </si>
  <si>
    <t>Pinehurst Villas</t>
  </si>
  <si>
    <t>Pinehurst</t>
  </si>
  <si>
    <t>Orange</t>
  </si>
  <si>
    <t>City of Pinehurst</t>
  </si>
  <si>
    <t>The Life at Beverly Palms</t>
  </si>
  <si>
    <t>Olive Bel Holdings II LLC</t>
  </si>
  <si>
    <t>Ian Bell</t>
  </si>
  <si>
    <t>Greystone FHA 223(f)</t>
  </si>
  <si>
    <t>23502-23914-21054</t>
  </si>
  <si>
    <t>Reserve at Palestine</t>
  </si>
  <si>
    <t>MVAH Partners</t>
  </si>
  <si>
    <t>Brian McGeady</t>
  </si>
  <si>
    <t>Palestine</t>
  </si>
  <si>
    <t>City of Palestine</t>
  </si>
  <si>
    <t>23709-22274</t>
  </si>
  <si>
    <t xml:space="preserve">Cady Lofts </t>
  </si>
  <si>
    <t>SGI Ventures INC</t>
  </si>
  <si>
    <t>Sally Gaskin</t>
  </si>
  <si>
    <t>Natinal Equity Fund</t>
  </si>
  <si>
    <t>23710-22278</t>
  </si>
  <si>
    <t>Lydle Ridge</t>
  </si>
  <si>
    <t>O-SDA Industries</t>
  </si>
  <si>
    <t>Summit at Bennington</t>
  </si>
  <si>
    <t>Merchants Capital - HUD 223(f)</t>
  </si>
  <si>
    <t>Merchants</t>
  </si>
  <si>
    <t>23510-23952-21235</t>
  </si>
  <si>
    <t>Inn Town Lofts</t>
  </si>
  <si>
    <t>23711-22285</t>
  </si>
  <si>
    <t>Jaipur Lofts</t>
  </si>
  <si>
    <t>Income Averaging</t>
  </si>
  <si>
    <t>EMLI at Mesa Gardens</t>
  </si>
  <si>
    <t>Liberty Multifamily LLC</t>
  </si>
  <si>
    <t>Tyler Weir</t>
  </si>
  <si>
    <t>NewPoint - Series A-1</t>
  </si>
  <si>
    <t>Seller Contribution - Land</t>
  </si>
  <si>
    <t>Creedmoor Farms</t>
  </si>
  <si>
    <t>Streamline Advisory Partners, LLC</t>
  </si>
  <si>
    <t>Mark Gregg</t>
  </si>
  <si>
    <t>Cedar Rapids</t>
  </si>
  <si>
    <t>Creedmoor</t>
  </si>
  <si>
    <t>Houston at Ella Boulevard</t>
  </si>
  <si>
    <t>Riva Switzerland, Inc</t>
  </si>
  <si>
    <t>Cody Hunt &amp; Michael Saks</t>
  </si>
  <si>
    <t>PNC HUD 221(d)4</t>
  </si>
  <si>
    <t>City of Houstom</t>
  </si>
  <si>
    <t>Astoria Park</t>
  </si>
  <si>
    <t>Cohen-Esrey Development Group</t>
  </si>
  <si>
    <t>R. Lee Harris &amp; Robert E. Esrey</t>
  </si>
  <si>
    <t>The Mondello</t>
  </si>
  <si>
    <t>Mondello Apartments, LLC</t>
  </si>
  <si>
    <t>The Lancaster</t>
  </si>
  <si>
    <t>SAFE Alliance Affordable Housing Corporation</t>
  </si>
  <si>
    <t>Julia Spann</t>
  </si>
  <si>
    <t>The SAFE Affordable Housing Corporation</t>
  </si>
  <si>
    <t>Travis County / City of Austin</t>
  </si>
  <si>
    <t>The Cesera</t>
  </si>
  <si>
    <t>Deutsche Bank</t>
  </si>
  <si>
    <t>Garland</t>
  </si>
  <si>
    <t>Landing on Orem</t>
  </si>
  <si>
    <t>Cedar Rapids Bank &amp; Trust</t>
  </si>
  <si>
    <t>23500-23903-21024</t>
  </si>
  <si>
    <t>The Remnant at Greenwood</t>
  </si>
  <si>
    <t>Franklin Development Properties</t>
  </si>
  <si>
    <t>Susan Franklin</t>
  </si>
  <si>
    <t>22503-23907-21035</t>
  </si>
  <si>
    <t>Manson Place</t>
  </si>
  <si>
    <t>Richard Sciortino &amp; David Brint</t>
  </si>
  <si>
    <t>Meadowbrook Plaza</t>
  </si>
  <si>
    <t>Wilhoit Properties</t>
  </si>
  <si>
    <t>Justin Zimmerman</t>
  </si>
  <si>
    <t>Harris County</t>
  </si>
  <si>
    <t>Yale Village</t>
  </si>
  <si>
    <t>Rainbow Housing Texas, Inc</t>
  </si>
  <si>
    <t>Flynann Janisse &amp; Gary Silversmith</t>
  </si>
  <si>
    <t>Palladium USA, Inc</t>
  </si>
  <si>
    <t>PNC FHA 221 d4</t>
  </si>
  <si>
    <t>Union Park Apartments</t>
  </si>
  <si>
    <t>Flynann Janisse</t>
  </si>
  <si>
    <t>Merchants Capital - Freddie TEL</t>
  </si>
  <si>
    <t>Sponsor Loan</t>
  </si>
  <si>
    <t>Huntington Place Senior Living</t>
  </si>
  <si>
    <t>Natalie Combs</t>
  </si>
  <si>
    <t>Bellwether - Series A Bonds</t>
  </si>
  <si>
    <t>Travis Park</t>
  </si>
  <si>
    <t>TCC Hill Country Development Corporation</t>
  </si>
  <si>
    <t>Avanti Legacy Rosewood</t>
  </si>
  <si>
    <t>H4 Development, Inc.</t>
  </si>
  <si>
    <t>Enrique Flores, IV</t>
  </si>
  <si>
    <t>Regions Bank - FHA 221(d)(4)</t>
  </si>
  <si>
    <t>City of Laredo</t>
  </si>
  <si>
    <t>Union Pines Apartments</t>
  </si>
  <si>
    <t>Union Pines Apartments Developers</t>
  </si>
  <si>
    <t>Abel Landazuri</t>
  </si>
  <si>
    <t>Palladium Carver Living</t>
  </si>
  <si>
    <t>Mesquite</t>
  </si>
  <si>
    <t>River Point</t>
  </si>
  <si>
    <t>KCG Development</t>
  </si>
  <si>
    <t>Karla Burck</t>
  </si>
  <si>
    <t>Seller Note</t>
  </si>
  <si>
    <t>Eagle's Landing</t>
  </si>
  <si>
    <t>8000 Decker Lane (TX) GP LLC</t>
  </si>
  <si>
    <t>Brian Kim, John Prete, &amp; Tom Jack</t>
  </si>
  <si>
    <t>Centerpoint Commons</t>
  </si>
  <si>
    <t>NRP Group</t>
  </si>
  <si>
    <t>Travis Whitling</t>
  </si>
  <si>
    <t>Gershman - 221d4</t>
  </si>
  <si>
    <t>Sageland Flats</t>
  </si>
  <si>
    <t>SAHT Brooks Family GP, LLC</t>
  </si>
  <si>
    <t>Antoinette Brumfield, Nicole Collazo, &amp; Pedro Alanis</t>
  </si>
  <si>
    <t>Cordova Apartments</t>
  </si>
  <si>
    <t>Kittle Property Group, Inc</t>
  </si>
  <si>
    <t>SFG/CRBT</t>
  </si>
  <si>
    <t>23803-22038</t>
  </si>
  <si>
    <t>Avanti Legacy Parkview</t>
  </si>
  <si>
    <t>Crimson Bulldog Development</t>
  </si>
  <si>
    <t>Killeen</t>
  </si>
  <si>
    <t>City of Killeen</t>
  </si>
  <si>
    <t>Celebration Paris</t>
  </si>
  <si>
    <t>Javelin Development Partners</t>
  </si>
  <si>
    <t>Alan Naul</t>
  </si>
  <si>
    <t>AEP, Inc</t>
  </si>
  <si>
    <t>Paris</t>
  </si>
  <si>
    <t>Lamar</t>
  </si>
  <si>
    <t>NHH Avenue C</t>
  </si>
  <si>
    <t>New Hope Housing</t>
  </si>
  <si>
    <t>Ron Lastimosa</t>
  </si>
  <si>
    <t>The Katy</t>
  </si>
  <si>
    <t>The Katy Elgin Developer, LLC</t>
  </si>
  <si>
    <t>Miranda Sprague</t>
  </si>
  <si>
    <t>Churchill Stateside Group</t>
  </si>
  <si>
    <t>Elgin</t>
  </si>
  <si>
    <t>Bastrop</t>
  </si>
  <si>
    <t>Palladium Old PM 471</t>
  </si>
  <si>
    <t>San Antonio ETJ</t>
  </si>
  <si>
    <t>Palladium E Lancaster Avenue, Ltd.</t>
  </si>
  <si>
    <t>Cedar Ridge Terrace</t>
  </si>
  <si>
    <t>San Antonio Housing Trust PFC</t>
  </si>
  <si>
    <t>Adriana Rocha Garcia</t>
  </si>
  <si>
    <t>Walker &amp; Dunlop - Alliant Capital, Ltd.</t>
  </si>
  <si>
    <t>Grim Hotel Apartments</t>
  </si>
  <si>
    <t>Tom Anderson</t>
  </si>
  <si>
    <t>TDHCA</t>
  </si>
  <si>
    <t>Affordable Housing Partners, LLC</t>
  </si>
  <si>
    <t>Texarkana</t>
  </si>
  <si>
    <t>Bowie</t>
  </si>
  <si>
    <t>Escuala Nueva</t>
  </si>
  <si>
    <t>Gulfway Manor</t>
  </si>
  <si>
    <t>Vitus Development III, LLC</t>
  </si>
  <si>
    <t>Scott O. Langan &amp; Stephen R. Whyte</t>
  </si>
  <si>
    <t>Merchants - FHA 221(d)(4)</t>
  </si>
  <si>
    <t>Aureus at Whisper Hill</t>
  </si>
  <si>
    <t>Mission Development Partners</t>
  </si>
  <si>
    <t>Mark Tolley &amp; John Latham</t>
  </si>
  <si>
    <t>Wooded Lake Apartments</t>
  </si>
  <si>
    <t>NRP Master LP</t>
  </si>
  <si>
    <t>J. David Heller</t>
  </si>
  <si>
    <t>Village at Baytown</t>
  </si>
  <si>
    <t>TGA GP TX Holdco LLC</t>
  </si>
  <si>
    <t>Patrick Li &amp; Michael T. Gilmartin</t>
  </si>
  <si>
    <t>West Virginia Apartments</t>
  </si>
  <si>
    <t>AH LIHTC Developer Holdco LLC</t>
  </si>
  <si>
    <t>Bay Terrace Apartments</t>
  </si>
  <si>
    <t>Atrium Development LLC</t>
  </si>
  <si>
    <t>Andy Fritzshall</t>
  </si>
  <si>
    <t>Four25 San Pedro</t>
  </si>
  <si>
    <t>Ryan Wilson</t>
  </si>
  <si>
    <t>OUR SA</t>
  </si>
  <si>
    <t>Hunt</t>
  </si>
  <si>
    <t>Solano Apartments</t>
  </si>
  <si>
    <t>Lone Star Capital Group</t>
  </si>
  <si>
    <t>Kent Piotrkowski</t>
  </si>
  <si>
    <t>Webster</t>
  </si>
  <si>
    <t>Heritage Pointe Senior Apartments</t>
  </si>
  <si>
    <t>April Housing</t>
  </si>
  <si>
    <t>Brad Fisher</t>
  </si>
  <si>
    <t>The Tidwell</t>
  </si>
  <si>
    <t>Cesar Chavez Foundation</t>
  </si>
  <si>
    <t>Liberty Hill Apartments</t>
  </si>
  <si>
    <t>Liberty Hill Housing Development</t>
  </si>
  <si>
    <t>Neal Route</t>
  </si>
  <si>
    <t>WD Construction</t>
  </si>
  <si>
    <t>Wells Fargo / Freddie Mac</t>
  </si>
  <si>
    <t>Liberty Hill</t>
  </si>
  <si>
    <t>The Meridian Apartments</t>
  </si>
  <si>
    <t>Aztec RE Parent LLC</t>
  </si>
  <si>
    <t>Brian Kim</t>
  </si>
  <si>
    <t>Regions Bank - TEL/Permanent Loan</t>
  </si>
  <si>
    <t>Sun Valley</t>
  </si>
  <si>
    <t>Patrick Beatty &amp; Matthew Gillam</t>
  </si>
  <si>
    <t>Wells Fargo / Freddie Mac TEL</t>
  </si>
  <si>
    <t>Wichita Falls</t>
  </si>
  <si>
    <t>Cedar Rapids B&amp;T</t>
  </si>
  <si>
    <t>Village at Collinwood</t>
  </si>
  <si>
    <t>Bradley Fisher</t>
  </si>
  <si>
    <t>The Springs Apartments</t>
  </si>
  <si>
    <t>C2 Group, LLC</t>
  </si>
  <si>
    <t>April Gregg</t>
  </si>
  <si>
    <t>Gershman - Cont. to 221d4</t>
  </si>
  <si>
    <t>AHP &amp; Streamline Advisory Partners</t>
  </si>
  <si>
    <t>Real Gardens</t>
  </si>
  <si>
    <t>Capital A. Housing, Inc</t>
  </si>
  <si>
    <t>Conner Kenny, Fayez Kazi, Eyad Kasemi</t>
  </si>
  <si>
    <t>TDHCA MDL</t>
  </si>
  <si>
    <t>Real St. Supportive Housing</t>
  </si>
  <si>
    <t>Burleson Studio</t>
  </si>
  <si>
    <t>Travis County / Capital Magnet Funds</t>
  </si>
  <si>
    <t>22956-19216</t>
  </si>
  <si>
    <t>Heritage Heights at Abilene</t>
  </si>
  <si>
    <t>Generation Housing Development, LLC</t>
  </si>
  <si>
    <t>BGO Architects &amp; City of Abilene</t>
  </si>
  <si>
    <t>Hill View Heights</t>
  </si>
  <si>
    <t>Jeffrey L Kittle</t>
  </si>
  <si>
    <t>Tower Road Apartments</t>
  </si>
  <si>
    <t>Manor Leased Housing Associates LP I, LLC</t>
  </si>
  <si>
    <t>Wildwood Apartments</t>
  </si>
  <si>
    <t>Bradley Fisher &amp; Jospeh Baclit</t>
  </si>
  <si>
    <t>PNC/SNMA Perm Loan</t>
  </si>
  <si>
    <t>Oso Apartments</t>
  </si>
  <si>
    <t>Bexar County - Home Loan</t>
  </si>
  <si>
    <t>Crystal Ben Apartments</t>
  </si>
  <si>
    <t>AMTEX Development LLC</t>
  </si>
  <si>
    <t>Arjun Nagarkatti</t>
  </si>
  <si>
    <t>AMTEX Construction LLC</t>
  </si>
  <si>
    <t>Pflugerville</t>
  </si>
  <si>
    <t>Shady Acres</t>
  </si>
  <si>
    <t>Winterhark Developer LLC</t>
  </si>
  <si>
    <t>Kirk Regian, James Meeks, Jana Haney &amp; Linda Meeks</t>
  </si>
  <si>
    <t>Sage at Franklin Park</t>
  </si>
  <si>
    <t>Dominium</t>
  </si>
  <si>
    <t>KeyBank Real Estate Capital - Freddie Mac</t>
  </si>
  <si>
    <t>Bibb Senior Living</t>
  </si>
  <si>
    <t>JCM Ventures, LLC</t>
  </si>
  <si>
    <t>City of Eagle Pass</t>
  </si>
  <si>
    <t>Bird Creek Senior Living</t>
  </si>
  <si>
    <t>City of Temple</t>
  </si>
  <si>
    <t>Waterford at Goldmark</t>
  </si>
  <si>
    <t>PNC Multifamily - Fannie Mae</t>
  </si>
  <si>
    <t>April Housing / MN Goldmark Ltd</t>
  </si>
  <si>
    <t>Avanti Legacy del Sol</t>
  </si>
  <si>
    <t>Buena Vida Supportive Housing</t>
  </si>
  <si>
    <t>Buena Vida SH BHOC Dev, LLC</t>
  </si>
  <si>
    <t>Carla Mancha</t>
  </si>
  <si>
    <t>City of Brownsville &amp; Housing Authority COB</t>
  </si>
  <si>
    <t>Buena Vida Apartments</t>
  </si>
  <si>
    <t>At-Risk/Non-Profit</t>
  </si>
  <si>
    <t>Buena Vida Senior Living</t>
  </si>
  <si>
    <t>Creek Bend Apartment Homes</t>
  </si>
  <si>
    <t>Thomas G. Crowe</t>
  </si>
  <si>
    <t>Pedcor Construction Management</t>
  </si>
  <si>
    <t>Pedcor Investments LLC</t>
  </si>
  <si>
    <t>24511-23007</t>
  </si>
  <si>
    <t>305 E Round Grove Living</t>
  </si>
  <si>
    <t>Cody Hunt</t>
  </si>
  <si>
    <t>Regions Bank - HUD 221(d)(4)</t>
  </si>
  <si>
    <t>City of Lewisville</t>
  </si>
  <si>
    <t>Culebra Apartments</t>
  </si>
  <si>
    <t>Melissa Fisher &amp; Lisa Fisher</t>
  </si>
  <si>
    <t>IBC Loan</t>
  </si>
  <si>
    <t>24502-23906-21033</t>
  </si>
  <si>
    <t>Beaumont Pioneer Crossing</t>
  </si>
  <si>
    <t>Beaumont</t>
  </si>
  <si>
    <t>Jefferson</t>
  </si>
  <si>
    <t>Culbreath</t>
  </si>
  <si>
    <t>North Texas Housing Partners, Inc</t>
  </si>
  <si>
    <t>Debbit Quitugua, Laurin Comption, &amp; Chetana Chaphekar</t>
  </si>
  <si>
    <t>Lument Real Estate, LLC</t>
  </si>
  <si>
    <t>FHLB Dallas AHP, DHA, VOANS Private Loan</t>
  </si>
  <si>
    <t>Ed Bluestein</t>
  </si>
  <si>
    <t>The Richman Group</t>
  </si>
  <si>
    <t>Enclave on Louetta</t>
  </si>
  <si>
    <t>SLM Louetta DevCo LLC</t>
  </si>
  <si>
    <t>Mark &amp; April Gregg, Joel &amp; Liz Pollack, Pierre Perry, &amp; Matt Maimquist</t>
  </si>
  <si>
    <t>Boston Capital Private Placement</t>
  </si>
  <si>
    <t>Walnut Springs</t>
  </si>
  <si>
    <t>LDG</t>
  </si>
  <si>
    <t>Xpert Design - Chris Dischinger &amp; Mark Lechner</t>
  </si>
  <si>
    <t>New Point &amp; TDHCA MDL</t>
  </si>
  <si>
    <t>PNC + LDG Multifamily LLC</t>
  </si>
  <si>
    <t>New Point &amp; Rickhaus Design</t>
  </si>
  <si>
    <t>Avanti Legacy Lyon</t>
  </si>
  <si>
    <t>Avanit Legacy Development LLC</t>
  </si>
  <si>
    <t>Regions Bank HUD 221(d)(4)</t>
  </si>
  <si>
    <t>Decker Lane Apartments</t>
  </si>
  <si>
    <t>Lincoln Holdings</t>
  </si>
  <si>
    <t>Blake Hopkins</t>
  </si>
  <si>
    <t>Citibank, N.A.</t>
  </si>
  <si>
    <t>24503-23152</t>
  </si>
  <si>
    <t>Pioneer Crossing</t>
  </si>
  <si>
    <t>KeyBank</t>
  </si>
  <si>
    <t>Brownwood</t>
  </si>
  <si>
    <t>Brown</t>
  </si>
  <si>
    <t>Loyola Flats</t>
  </si>
  <si>
    <t>ECG Loyola Developer LLC</t>
  </si>
  <si>
    <t>Citibank Tranche A</t>
  </si>
  <si>
    <t>Cairn Point Montopolis</t>
  </si>
  <si>
    <t>Val Deleon &amp; Richard Manzardo</t>
  </si>
  <si>
    <t>City of Austin (GO Bonds &amp; RHDA)</t>
  </si>
  <si>
    <t>Maxwell Hwy 21 Apartments</t>
  </si>
  <si>
    <t>Polaris Holdings &amp; Dominium Holdings</t>
  </si>
  <si>
    <t>Mark Moorhouse &amp; Paul Sween</t>
  </si>
  <si>
    <t>JLL</t>
  </si>
  <si>
    <t>Maxwell</t>
  </si>
  <si>
    <t>Piedmont Apartments</t>
  </si>
  <si>
    <t>Pillar Piedmont GP LLC</t>
  </si>
  <si>
    <t>Jeremy Bartholomew &amp; Carrie Ford Compton</t>
  </si>
  <si>
    <t>Acquisition/Rehab</t>
  </si>
  <si>
    <t>The Commons at Acequia Trails</t>
  </si>
  <si>
    <t>Nikisha J. Baker</t>
  </si>
  <si>
    <t>Bexar County ARPA, SAHT Land Loan, &amp; City of San Antonio (GO Bonds &amp; ARPA)</t>
  </si>
  <si>
    <t>Santa Fe Place</t>
  </si>
  <si>
    <t>Kent Hance, Susan Sorrells, &amp; Aubrea Hance</t>
  </si>
  <si>
    <t>City of Lubbock</t>
  </si>
  <si>
    <t>The Ridge at Loop 12</t>
  </si>
  <si>
    <t>Chris Dischinger &amp; Mark Lechner</t>
  </si>
  <si>
    <t>NewPoint &amp; TDHCA MDL</t>
  </si>
  <si>
    <t>24507-22212</t>
  </si>
  <si>
    <t>FishPond at Victoria</t>
  </si>
  <si>
    <t>David Fournier</t>
  </si>
  <si>
    <t>Victoria</t>
  </si>
  <si>
    <t>City of Victoria</t>
  </si>
  <si>
    <t>Rundberg Flats</t>
  </si>
  <si>
    <t>C. Hunter Nelson &amp; Donnell McGhee</t>
  </si>
  <si>
    <t>Citibank Tax Exempt - Tranche A</t>
  </si>
  <si>
    <t>Paradise Gardens</t>
  </si>
  <si>
    <t>KDG Partners LLC</t>
  </si>
  <si>
    <t>Dmitry Gourkine</t>
  </si>
  <si>
    <t>CBRE Multifamily Capital</t>
  </si>
  <si>
    <t>Walker &amp; Dunlop Affordable Equity</t>
  </si>
  <si>
    <t>Seller Notes</t>
  </si>
  <si>
    <t>24506-22208</t>
  </si>
  <si>
    <t>FishPond at Walker</t>
  </si>
  <si>
    <t>Huntsville</t>
  </si>
  <si>
    <t>Walker</t>
  </si>
  <si>
    <t>City of Huntsville</t>
  </si>
  <si>
    <t>Royal Crest</t>
  </si>
  <si>
    <t>Fairstead Affordable Development</t>
  </si>
  <si>
    <t>Capital One</t>
  </si>
  <si>
    <t>Royal Crest Preservation LLC &amp; HUD GRRP Leading Edge</t>
  </si>
  <si>
    <t>24505-22159</t>
  </si>
  <si>
    <t>Riverview Manor</t>
  </si>
  <si>
    <t>RR Developer Partnerships</t>
  </si>
  <si>
    <t>Riverview LLC</t>
  </si>
  <si>
    <t>Kerrville</t>
  </si>
  <si>
    <t>City of Kerville</t>
  </si>
  <si>
    <t>24510-22153</t>
  </si>
  <si>
    <t>Estacado Estates</t>
  </si>
  <si>
    <t>JES Dev Co Inc</t>
  </si>
  <si>
    <t>Jeffrey Walker Smith</t>
  </si>
  <si>
    <t>JES Partnerships-Estacado LLC</t>
  </si>
  <si>
    <t>Tenison Lofts</t>
  </si>
  <si>
    <t>Generation Housing Partners &amp; Hill Tide Development II</t>
  </si>
  <si>
    <t>City of Dallas - CDBG &amp; CDBG-DR</t>
  </si>
  <si>
    <t>Riverbreeze Apartments</t>
  </si>
  <si>
    <t>CRBT - Tax Exempt Loan</t>
  </si>
  <si>
    <t>Key CDC</t>
  </si>
  <si>
    <t>Independence Heights II Apartments</t>
  </si>
  <si>
    <t>Victory Redevelopment Corporation</t>
  </si>
  <si>
    <t>Jennine Hovell-Cox</t>
  </si>
  <si>
    <t>Houston Housing Authority &amp; HHA FEMA Loan</t>
  </si>
  <si>
    <t>Georgian Oaks</t>
  </si>
  <si>
    <t>Regency Park</t>
  </si>
  <si>
    <t>Pillar Residential</t>
  </si>
  <si>
    <t>Carrie F. Compton, Joseph Proler, J. Steve Ford, &amp; Jeremy Bartholomew</t>
  </si>
  <si>
    <t>Hughes House II</t>
  </si>
  <si>
    <t>Louis Bernardy</t>
  </si>
  <si>
    <t>KeyBanc Capital Markets</t>
  </si>
  <si>
    <t>FWHFC, City of Fort Worth, &amp; FWHS</t>
  </si>
  <si>
    <t>Payton Gin</t>
  </si>
  <si>
    <t>Roers Austin Apartments Owner IV</t>
  </si>
  <si>
    <t>Logan Schmidt</t>
  </si>
  <si>
    <t>Ready Capital / RedStone</t>
  </si>
  <si>
    <t>24508-22228</t>
  </si>
  <si>
    <t>Trailside Estates</t>
  </si>
  <si>
    <t>Tyler</t>
  </si>
  <si>
    <t>Smith</t>
  </si>
  <si>
    <t>City of Tyler &amp; JES Partnerships</t>
  </si>
  <si>
    <t>Sugar Creek</t>
  </si>
  <si>
    <t>HiLine Illinois</t>
  </si>
  <si>
    <t>Chris Applequist &amp; Adrian Inglesias</t>
  </si>
  <si>
    <t>R4 Capital</t>
  </si>
  <si>
    <t>Sunflower Terrace</t>
  </si>
  <si>
    <t>National Community Renaissance of Texas Inc</t>
  </si>
  <si>
    <t>Jeffrey Byrum</t>
  </si>
  <si>
    <t>LUMENT</t>
  </si>
  <si>
    <t>Belmont Apartments</t>
  </si>
  <si>
    <t>T. Richard Bailey &amp; J. David Heller</t>
  </si>
  <si>
    <t>Travis County Facilities Corp</t>
  </si>
  <si>
    <t>Columbia Renaissance Square III</t>
  </si>
  <si>
    <t>Columbia Residential Communities, LLC</t>
  </si>
  <si>
    <t>Carmen Chubb &amp; James Grauley</t>
  </si>
  <si>
    <t>HOME, ARPA, ERA2, &amp; Renaissance Heights Foundation</t>
  </si>
  <si>
    <t>Lancaster Apartments</t>
  </si>
  <si>
    <t>Katy</t>
  </si>
  <si>
    <t>Fairlake Cove</t>
  </si>
  <si>
    <t>PNC &amp; AH Housing Fund 1285 LP</t>
  </si>
  <si>
    <t>THF Huntington Place Senior Living Little Elm</t>
  </si>
  <si>
    <t>Cross Heritage Partners</t>
  </si>
  <si>
    <t>Nations Construction</t>
  </si>
  <si>
    <t>NewPoint</t>
  </si>
  <si>
    <t>Bloom at Lamar Square</t>
  </si>
  <si>
    <t>Wells Fargo Construction Loan</t>
  </si>
  <si>
    <t>Austin HFC &amp; TX Health and Human Services</t>
  </si>
  <si>
    <t>Covington Acres</t>
  </si>
  <si>
    <t>Allison Millorn, Susan Hamm, &amp; Grif Morris</t>
  </si>
  <si>
    <t>Palladium Buckner Station</t>
  </si>
  <si>
    <t>Palladium USA</t>
  </si>
  <si>
    <t>Thomas Huth</t>
  </si>
  <si>
    <t>City of Dallas - Gap Loan</t>
  </si>
  <si>
    <t>Bridge at Treeline</t>
  </si>
  <si>
    <t>JCI Apartments LP</t>
  </si>
  <si>
    <t>Sam Kumar</t>
  </si>
  <si>
    <t>Wyndham Park</t>
  </si>
  <si>
    <t>Manor Apartments</t>
  </si>
  <si>
    <t>AMTEX Multi-Housing LLC</t>
  </si>
  <si>
    <t xml:space="preserve">Hudson Housing </t>
  </si>
  <si>
    <t>AHFC - "GO Bonds"</t>
  </si>
  <si>
    <t>Waters at Stone Creek</t>
  </si>
  <si>
    <t>Atlantic Housing Foundation Inc</t>
  </si>
  <si>
    <t>Michael N Nguyen</t>
  </si>
  <si>
    <t>Greyston Real Estate Capital</t>
  </si>
  <si>
    <t>Seville</t>
  </si>
  <si>
    <t>Stuart Heller</t>
  </si>
  <si>
    <t>Ready Capital</t>
  </si>
  <si>
    <t>TCAP Loans</t>
  </si>
  <si>
    <t>Torrington Briarwood</t>
  </si>
  <si>
    <t>JPI Affordable Development</t>
  </si>
  <si>
    <t>Payton Mayes &amp; Mollie Fadule</t>
  </si>
  <si>
    <t>Pleasant Hill Village</t>
  </si>
  <si>
    <t>Joseph Profer</t>
  </si>
  <si>
    <t>PNC / FHA 221 (d)4</t>
  </si>
  <si>
    <t>Enclave at Crosby</t>
  </si>
  <si>
    <t>Meridiem Development Grouop LLC</t>
  </si>
  <si>
    <t>Pierre Perry, Matt Malmquist</t>
  </si>
  <si>
    <t>Boston Capital</t>
  </si>
  <si>
    <t>Crosby</t>
  </si>
  <si>
    <t>Brittons Place</t>
  </si>
  <si>
    <t>Pleasant Hill CDC</t>
  </si>
  <si>
    <t>Harvey Clemons</t>
  </si>
  <si>
    <t>PNC &amp;Pleasant Hill CDC</t>
  </si>
  <si>
    <t>no</t>
  </si>
  <si>
    <t>Cash Flow Seller Note</t>
  </si>
  <si>
    <t>Supportive Husing</t>
  </si>
  <si>
    <t>Austin HFC, TX Health and Human Services, FC Sponsor Loan</t>
  </si>
  <si>
    <t>The Foundry</t>
  </si>
  <si>
    <t>Capital Area Multi-Housing, Inc &amp; Streamline Advisory Partners LLC</t>
  </si>
  <si>
    <t>Jim Shaw, Mark Gregg, Joel Pollack</t>
  </si>
  <si>
    <t>Citibank &amp; Streamline Advisory Partners</t>
  </si>
  <si>
    <t>Mesa Hills I</t>
  </si>
  <si>
    <t xml:space="preserve">Paisano Housing Redevelopment Corporation </t>
  </si>
  <si>
    <t>Gerald Cicon, Satish Bhaskar, El Paso Housing Authority</t>
  </si>
  <si>
    <t>Hillcrest Manor</t>
  </si>
  <si>
    <t>Envolve LLC</t>
  </si>
  <si>
    <t>Tyler Hunt</t>
  </si>
  <si>
    <t>Enterprise Housing Credit Inv.</t>
  </si>
  <si>
    <t>24502_23906_21033</t>
  </si>
  <si>
    <t>TDHCA MFDL TCAP RF</t>
  </si>
  <si>
    <t>Raymond James, Target Builders, LLC</t>
  </si>
  <si>
    <t>24501_23905_21032</t>
  </si>
  <si>
    <t>TDHCA MFDL - HOME</t>
  </si>
  <si>
    <t>City of Lufkin, Watermark Construction</t>
  </si>
  <si>
    <t>Steve Anderson &amp; Andy Fritzshall</t>
  </si>
  <si>
    <t>CRBT</t>
  </si>
  <si>
    <t>Redstone Equity Partners &amp; AH Fund, LLC</t>
  </si>
  <si>
    <t>AH Fund, LLC</t>
  </si>
  <si>
    <t>Coolwood Oaks</t>
  </si>
  <si>
    <t>Fairstead Residential</t>
  </si>
  <si>
    <t>Allan Izzo</t>
  </si>
  <si>
    <t>PNC Fannie MTEB Immediate Loan</t>
  </si>
  <si>
    <t xml:space="preserve">Houston </t>
  </si>
  <si>
    <t>Cash Flow During Construction</t>
  </si>
  <si>
    <t>Palms Breeze Village</t>
  </si>
  <si>
    <t>AMD Development LLC</t>
  </si>
  <si>
    <t>Noel Munoz, Luis Garcia, Gavino Sotelo</t>
  </si>
  <si>
    <t>Integrity Builders LLC, Interim Income</t>
  </si>
  <si>
    <t>Baypointe Apartments</t>
  </si>
  <si>
    <t>PNC Debt</t>
  </si>
  <si>
    <t>AH Housing Fund</t>
  </si>
  <si>
    <t>Sycamores at Pleasant Valley</t>
  </si>
  <si>
    <t>Structure Texas</t>
  </si>
  <si>
    <t>Sarah Andre, Sallie Burchett</t>
  </si>
  <si>
    <t>RHDA Funds- COA Go Bond, St Davids Fund- AHFC</t>
  </si>
  <si>
    <t>Roselawn Village</t>
  </si>
  <si>
    <t>NRP Roselawn Village SLP LLC</t>
  </si>
  <si>
    <t>David Heller</t>
  </si>
  <si>
    <t>Truist Bank</t>
  </si>
  <si>
    <t>Truist Community Capital</t>
  </si>
  <si>
    <t>GP Equity</t>
  </si>
  <si>
    <t>Tuscany at Goldmark</t>
  </si>
  <si>
    <t>M-N Midpark, Ltd</t>
  </si>
  <si>
    <t>Lafayette Village</t>
  </si>
  <si>
    <t>Pillar Residential Development</t>
  </si>
  <si>
    <t>Stones Crossing Apartments</t>
  </si>
  <si>
    <t>Jean Latsha</t>
  </si>
  <si>
    <t xml:space="preserve">San Antonio  </t>
  </si>
  <si>
    <t>Waterford at Spencer</t>
  </si>
  <si>
    <t>2100 Spencer Road Developer LLC</t>
  </si>
  <si>
    <t>PNC- Freddie TEL</t>
  </si>
  <si>
    <t xml:space="preserve">PNC </t>
  </si>
  <si>
    <t>Acquistion/Rehab</t>
  </si>
  <si>
    <t>Emberstone Apartments</t>
  </si>
  <si>
    <t>Jeffrey Kittle</t>
  </si>
  <si>
    <t>The Orion Apartment Homes</t>
  </si>
  <si>
    <t>Palo Alto Housing Company</t>
  </si>
  <si>
    <t>Jared M. Houser</t>
  </si>
  <si>
    <t>Cameron HiLine</t>
  </si>
  <si>
    <t>Haverstock Hills East</t>
  </si>
  <si>
    <t>Haverstock Hills Preservation East MM LLC</t>
  </si>
  <si>
    <t>Lument - Freddie Mac Immediate Tel</t>
  </si>
  <si>
    <t>Haverstock Hills West</t>
  </si>
  <si>
    <t>Idlewild Apartments</t>
  </si>
  <si>
    <t>Pillar Residentail Development</t>
  </si>
  <si>
    <t>Sacred Heart Villas</t>
  </si>
  <si>
    <t>Paul S. Park</t>
  </si>
  <si>
    <t>Lofts at Creekview</t>
  </si>
  <si>
    <t>Jon Atlas, Jesus Rojas, Lauren Cano</t>
  </si>
  <si>
    <t>Piper Sadler</t>
  </si>
  <si>
    <t>Cohen Esry</t>
  </si>
  <si>
    <t>24506_22208</t>
  </si>
  <si>
    <t>Fishpond at Walkers</t>
  </si>
  <si>
    <t>Pine Creek Apartments</t>
  </si>
  <si>
    <t>Tisha Vaidya, Moira Concannon</t>
  </si>
  <si>
    <t>Odem Victoia</t>
  </si>
  <si>
    <t>RBM Victoria LLC</t>
  </si>
  <si>
    <t>David Roth, Taylor Brown</t>
  </si>
  <si>
    <t>Autumn Parc</t>
  </si>
  <si>
    <t>OM Housting LLC</t>
  </si>
  <si>
    <t>Deepak P. Sulakhe</t>
  </si>
  <si>
    <t>Colliers-HUD 221</t>
  </si>
  <si>
    <t xml:space="preserve">Arlington </t>
  </si>
  <si>
    <t xml:space="preserve">Tarrant </t>
  </si>
  <si>
    <t>Landmark on Cypress</t>
  </si>
  <si>
    <t>April Engstrom</t>
  </si>
  <si>
    <t>Adoptive Re-Use</t>
  </si>
  <si>
    <t>City of Abilene</t>
  </si>
  <si>
    <t>25504_24023</t>
  </si>
  <si>
    <t>930 Military Parkway Living</t>
  </si>
  <si>
    <t>City of Mesquie</t>
  </si>
  <si>
    <t>St. Georges Court</t>
  </si>
  <si>
    <t>Tracy Fine</t>
  </si>
  <si>
    <t>The Gateway at Trinity Forest</t>
  </si>
  <si>
    <t>Jason Trevino</t>
  </si>
  <si>
    <t>North Crest Apartments</t>
  </si>
  <si>
    <t>HUD Loan Assumption</t>
  </si>
  <si>
    <t>1982, 1997</t>
  </si>
  <si>
    <t>Lofts at Birdwell</t>
  </si>
  <si>
    <t>G2 Equity Inc</t>
  </si>
  <si>
    <t>Kanwarji Ronnie Gyani</t>
  </si>
  <si>
    <t>Big Spring</t>
  </si>
  <si>
    <t>Howard</t>
  </si>
  <si>
    <t>Lofts at Birdwell Development</t>
  </si>
  <si>
    <t>Taylor RAD</t>
  </si>
  <si>
    <t>Taylor RAD Family GP</t>
  </si>
  <si>
    <t>Shea Goltzman</t>
  </si>
  <si>
    <t>Taylor Housing Authority</t>
  </si>
  <si>
    <t>Westmoreland Townhomes</t>
  </si>
  <si>
    <t>Westmoreland Properties</t>
  </si>
  <si>
    <t>Citibank N.A</t>
  </si>
  <si>
    <t>Westmoreland Townhomes LP</t>
  </si>
  <si>
    <t>25505_24146</t>
  </si>
  <si>
    <t>Stella Haven</t>
  </si>
  <si>
    <t>AZ Morse Development LLC &amp; Across LLC</t>
  </si>
  <si>
    <t>Abigail Penner &amp; Alice Cruz</t>
  </si>
  <si>
    <t>Stellar Bank</t>
  </si>
  <si>
    <t>Hudson - LIHTC</t>
  </si>
  <si>
    <t>LISC</t>
  </si>
  <si>
    <t>Seville Place</t>
  </si>
  <si>
    <t>Carrie Ford Compton</t>
  </si>
  <si>
    <t>La Porte</t>
  </si>
  <si>
    <t>Tabor Village</t>
  </si>
  <si>
    <t>Lincoln Avenue Capital Management LLC</t>
  </si>
  <si>
    <t>Tabor Village LP</t>
  </si>
  <si>
    <t>Central at Commerce</t>
  </si>
  <si>
    <t>Annex Construction</t>
  </si>
  <si>
    <t>Derek Hays</t>
  </si>
  <si>
    <t>Early Pioneer Crossing</t>
  </si>
  <si>
    <t>Verdite Developments</t>
  </si>
  <si>
    <t>Karim Jooma</t>
  </si>
  <si>
    <t xml:space="preserve">Early </t>
  </si>
  <si>
    <t>Crossroads Development</t>
  </si>
  <si>
    <t>Bank of America</t>
  </si>
  <si>
    <t>Victoria Gardens</t>
  </si>
  <si>
    <t>HUD CFP Funds</t>
  </si>
  <si>
    <t>The Lantern at Robstown</t>
  </si>
  <si>
    <t>City of Robstown</t>
  </si>
  <si>
    <t>Tapestry at Katy</t>
  </si>
  <si>
    <t>Mark Gregg &amp; Joel Pollack</t>
  </si>
  <si>
    <t>R4 Tax Exempt Bonds</t>
  </si>
  <si>
    <t>Lakeside Lofts</t>
  </si>
  <si>
    <t>Investment Income from Bonds</t>
  </si>
  <si>
    <t>24509_23920_21093</t>
  </si>
  <si>
    <t>City of Grand Prairie</t>
  </si>
  <si>
    <t>Cobblestone Manor</t>
  </si>
  <si>
    <t>Neal Route &amp; Halle Birckelbaw</t>
  </si>
  <si>
    <t>Acquisition/rehab</t>
  </si>
  <si>
    <t>Aster Villas</t>
  </si>
  <si>
    <t>Pharr Housing Development Corporation</t>
  </si>
  <si>
    <t>Lazaro Guerra</t>
  </si>
  <si>
    <t>Pharr</t>
  </si>
  <si>
    <t>Avanti Hills</t>
  </si>
  <si>
    <t>RJ Pasquesi</t>
  </si>
  <si>
    <t>Walker &amp; Dunlop</t>
  </si>
  <si>
    <t>Fiji Lofts</t>
  </si>
  <si>
    <t>Sphinx Development Corporation</t>
  </si>
  <si>
    <t>Joseph Agumadu &amp; Jay Oji</t>
  </si>
  <si>
    <t>Torrington Forest</t>
  </si>
  <si>
    <t>Dallas Housing Finance Corp</t>
  </si>
  <si>
    <t>Aaron Eaquinto</t>
  </si>
  <si>
    <t>24504_23927_21116</t>
  </si>
  <si>
    <t>Affodable Equity Partners</t>
  </si>
  <si>
    <t>24505_22159</t>
  </si>
  <si>
    <t>The Ella Apartments</t>
  </si>
  <si>
    <t>Elizabeth Property Texas LLC</t>
  </si>
  <si>
    <t>Pratiksha Vaidya &amp; Moira Concannon</t>
  </si>
  <si>
    <t xml:space="preserve">Mason Joseph  </t>
  </si>
  <si>
    <t xml:space="preserve">Merchants  </t>
  </si>
  <si>
    <t>Heritage Oaks</t>
  </si>
  <si>
    <t>Lisa Toler</t>
  </si>
  <si>
    <t>Bellwether Private Placement</t>
  </si>
  <si>
    <t>Paseo de Paz</t>
  </si>
  <si>
    <t>Lisa Toler &amp; Tyler Hunt</t>
  </si>
  <si>
    <t>Rosemont at Miller's Pond</t>
  </si>
  <si>
    <t>Moira Concannon &amp; Pratiksha Vaidya</t>
  </si>
  <si>
    <t>Mason Joseph HUD 221 (d)4</t>
  </si>
  <si>
    <t>Bexar Management and Development Corp</t>
  </si>
  <si>
    <t>Murdeaux Villas</t>
  </si>
  <si>
    <t>J Ryan Hamilton &amp; Douglas Hamilton</t>
  </si>
  <si>
    <t>Bellweather Enterprise</t>
  </si>
  <si>
    <t>Pearsall Park</t>
  </si>
  <si>
    <t>Pearsall Park Developer LLC</t>
  </si>
  <si>
    <t>24508_22228</t>
  </si>
  <si>
    <t>Bernicia Place</t>
  </si>
  <si>
    <t>Super Urban Realty Ventures</t>
  </si>
  <si>
    <t>Jervon Harris</t>
  </si>
  <si>
    <t>Texas GLO Disaster Fund</t>
  </si>
  <si>
    <t>New Faith Senior Village Apartments</t>
  </si>
  <si>
    <t xml:space="preserve">Houstson </t>
  </si>
  <si>
    <t>Palo Verde Senior Apartments</t>
  </si>
  <si>
    <t>Danco Communities</t>
  </si>
  <si>
    <t>Chris Dart</t>
  </si>
  <si>
    <t>City of Corpus Christi - Home Loan</t>
  </si>
  <si>
    <t>Torrington Willmer</t>
  </si>
  <si>
    <t>Cactus Trails</t>
  </si>
  <si>
    <t>Timbers Edge</t>
  </si>
  <si>
    <t>Itex Development</t>
  </si>
  <si>
    <t>Sterlingshire Apartments</t>
  </si>
  <si>
    <t>Robert Barnard</t>
  </si>
  <si>
    <t>Lument</t>
  </si>
  <si>
    <t>BMRI</t>
  </si>
  <si>
    <t>Mayfield Park Apartments</t>
  </si>
  <si>
    <t>Perica Bell</t>
  </si>
  <si>
    <t>TCR Mayfield LP</t>
  </si>
  <si>
    <t>Terraces at Cibolo</t>
  </si>
  <si>
    <t>Evolve Communities</t>
  </si>
  <si>
    <t>Brickstone Flats</t>
  </si>
  <si>
    <t>Tapestry at Easton Park</t>
  </si>
  <si>
    <t>Streamline Easton DevCo</t>
  </si>
  <si>
    <t>Mark &amp; April Gregg, Joel &amp; Liz Pollack</t>
  </si>
  <si>
    <t>Terrell Family Apartments</t>
  </si>
  <si>
    <t>Terrell Housing Finance Corporation</t>
  </si>
  <si>
    <t>Mark Mills, Denish Simon, E. Rick Carmona</t>
  </si>
  <si>
    <t>JLL Real Estate Capital</t>
  </si>
  <si>
    <t xml:space="preserve">Terrell </t>
  </si>
  <si>
    <t>Mariposa at Reed Road</t>
  </si>
  <si>
    <t>Stuart Shaw Family Management</t>
  </si>
  <si>
    <t>Stuart Shaw &amp; Casey Bump</t>
  </si>
  <si>
    <t>Skyway Villas</t>
  </si>
  <si>
    <t>Sean Choppin &amp; William Moyers</t>
  </si>
  <si>
    <t>Mckinney</t>
  </si>
  <si>
    <t>Average</t>
  </si>
  <si>
    <t>Median</t>
  </si>
  <si>
    <t>Maximum</t>
  </si>
  <si>
    <t>Minimum</t>
  </si>
  <si>
    <t>Vacancy Information</t>
  </si>
  <si>
    <t>Property</t>
  </si>
  <si>
    <t>Montrose Valley</t>
  </si>
  <si>
    <t>4415 Perry</t>
  </si>
  <si>
    <t>The Orchard at Westchase</t>
  </si>
  <si>
    <t>Travis Street Plaza Apartments</t>
  </si>
  <si>
    <t>Allegre Point</t>
  </si>
  <si>
    <t>Silver Glen</t>
  </si>
  <si>
    <t>The Lantana</t>
  </si>
  <si>
    <t>Yager Flats</t>
  </si>
  <si>
    <t>Parmore Arcadia Trails</t>
  </si>
  <si>
    <t>The Element</t>
  </si>
  <si>
    <t>Torrey Chase</t>
  </si>
  <si>
    <t>Coral Hills Apartments</t>
  </si>
  <si>
    <t>North Court Villas</t>
  </si>
  <si>
    <t>Palladium East Foster Crossing</t>
  </si>
  <si>
    <t>Parmore Anna</t>
  </si>
  <si>
    <t>Report Date</t>
  </si>
  <si>
    <t>NRSF</t>
  </si>
  <si>
    <t>Vacant Units</t>
  </si>
  <si>
    <t>Employee or Model Units</t>
  </si>
  <si>
    <t>Vacancy %</t>
  </si>
  <si>
    <t>Total</t>
  </si>
  <si>
    <t>/Unit</t>
  </si>
  <si>
    <t>ANNUAL INCOME</t>
  </si>
  <si>
    <t>Potential Gross Rental Income</t>
  </si>
  <si>
    <t>Secondary Income</t>
  </si>
  <si>
    <t>Other Non-Rental Income</t>
  </si>
  <si>
    <t>Potential Annual Gross Income</t>
  </si>
  <si>
    <t>Vacancy and Collection Loss</t>
  </si>
  <si>
    <t>Rental Concessions</t>
  </si>
  <si>
    <t>Loss from Non-Income / Employee Units</t>
  </si>
  <si>
    <t>Effective Gross Annual Income</t>
  </si>
  <si>
    <t>EXPENSES</t>
  </si>
  <si>
    <t>General and Admin Expenses</t>
  </si>
  <si>
    <t>Accounting</t>
  </si>
  <si>
    <t>Advertising</t>
  </si>
  <si>
    <t>Legal &amp; Consulting</t>
  </si>
  <si>
    <t>Leased Equipment</t>
  </si>
  <si>
    <t>Postage &amp; Office Supplies</t>
  </si>
  <si>
    <t>Telephone</t>
  </si>
  <si>
    <t>License, Meetings, Dues</t>
  </si>
  <si>
    <t>Other Office Expenses</t>
  </si>
  <si>
    <t>Miscellaneous</t>
  </si>
  <si>
    <t>Total General and Admin Expenses</t>
  </si>
  <si>
    <t>Management Fees</t>
  </si>
  <si>
    <t>Total Management Fees</t>
  </si>
  <si>
    <t>Management</t>
  </si>
  <si>
    <t>Maintenance</t>
  </si>
  <si>
    <t>Other</t>
  </si>
  <si>
    <t>Total Payroll</t>
  </si>
  <si>
    <t>Repairs &amp; Maintenance</t>
  </si>
  <si>
    <t>Elevator</t>
  </si>
  <si>
    <t>Exterminating</t>
  </si>
  <si>
    <t>Grounds</t>
  </si>
  <si>
    <t>Make-Ready</t>
  </si>
  <si>
    <t>Repairs</t>
  </si>
  <si>
    <t>Pool</t>
  </si>
  <si>
    <t>Total Repairs &amp; Maintenance</t>
  </si>
  <si>
    <t>Electrical</t>
  </si>
  <si>
    <t>Natural Gas</t>
  </si>
  <si>
    <t>Other Fuel</t>
  </si>
  <si>
    <t>Garbage/Trash</t>
  </si>
  <si>
    <t>Water &amp; Sewer</t>
  </si>
  <si>
    <t>Total Utilities</t>
  </si>
  <si>
    <t>Property Insurance &amp; Taxes</t>
  </si>
  <si>
    <t>Property Insurance</t>
  </si>
  <si>
    <t>Total Taxes</t>
  </si>
  <si>
    <t>Total Property Insurance &amp; Taxes</t>
  </si>
  <si>
    <t>Reserve for Replacements</t>
  </si>
  <si>
    <t>Total Reserve for Replacements</t>
  </si>
  <si>
    <t>Other Expenses</t>
  </si>
  <si>
    <t>Cable TV</t>
  </si>
  <si>
    <t>Support Services Contract Fees</t>
  </si>
  <si>
    <t>TDHCA Compliance Fees</t>
  </si>
  <si>
    <t>TDHCA Asset Management Fees</t>
  </si>
  <si>
    <t>Security Fees</t>
  </si>
  <si>
    <t>Total Other Expenses</t>
  </si>
  <si>
    <t>Total Annual Expenses</t>
  </si>
  <si>
    <t>Debt Service</t>
  </si>
  <si>
    <t>Debt Service 1</t>
  </si>
  <si>
    <t>Debt Service 2</t>
  </si>
  <si>
    <t>Debt Service 3</t>
  </si>
  <si>
    <t>Debt Service 4</t>
  </si>
  <si>
    <t>Debt Service 5</t>
  </si>
  <si>
    <t>Debt Service 6</t>
  </si>
  <si>
    <t>Debt Service Total</t>
  </si>
  <si>
    <t>Net Cash Flow</t>
  </si>
  <si>
    <t>Capital Improvements</t>
  </si>
  <si>
    <t>Total Capital Improvements</t>
  </si>
  <si>
    <t>Below the Line Expenses</t>
  </si>
  <si>
    <t>Other Partnership Expenses</t>
  </si>
  <si>
    <t>Non-TDHCA Asset Mngmt / Compliance Fees</t>
  </si>
  <si>
    <t>Developer Fees</t>
  </si>
  <si>
    <t>Total Below the Line Expenses</t>
  </si>
  <si>
    <t>Reserve Accounts</t>
  </si>
  <si>
    <t>Total Reserve Accounts</t>
  </si>
  <si>
    <t>Other Information</t>
  </si>
  <si>
    <t>Replacement Reserve Account</t>
  </si>
  <si>
    <t>Current Balance</t>
  </si>
  <si>
    <t>Special Reserve Account</t>
  </si>
  <si>
    <t>Last Inspection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</si>
</sst>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"/>
    <numFmt numFmtId="165" formatCode="&quot;$&quot;#,##0.00"/>
    <numFmt numFmtId="166" formatCode="&quot;$&quot;#,##0"/>
    <numFmt numFmtId="167" formatCode="&quot;$&quot;#,##0.000"/>
    <numFmt numFmtId="168" formatCode="m/d/yy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9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2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ck">
        <color auto="1"/>
      </right>
      <top style="medium">
        <color auto="1"/>
      </top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/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/>
      <top/>
      <bottom style="thick">
        <color auto="1"/>
      </bottom>
      <diagonal/>
    </border>
    <border>
      <left style="thick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/>
      <bottom/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hair">
        <color auto="1"/>
      </left>
      <right style="thick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auto="1"/>
      </right>
      <top/>
      <bottom style="double">
        <color indexed="64"/>
      </bottom>
      <diagonal/>
    </border>
    <border>
      <left style="hair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double">
        <color indexed="64"/>
      </bottom>
      <diagonal/>
    </border>
    <border>
      <left style="thin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0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9" fontId="2" fillId="0" borderId="0" xfId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9" fontId="4" fillId="3" borderId="2" xfId="1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1" fontId="4" fillId="4" borderId="12" xfId="0" applyNumberFormat="1" applyFont="1" applyFill="1" applyBorder="1" applyAlignment="1">
      <alignment horizontal="left" vertical="center"/>
    </xf>
    <xf numFmtId="9" fontId="4" fillId="4" borderId="22" xfId="1" applyFont="1" applyFill="1" applyBorder="1" applyAlignment="1">
      <alignment horizontal="left" vertical="center"/>
    </xf>
    <xf numFmtId="1" fontId="5" fillId="4" borderId="2" xfId="0" applyNumberFormat="1" applyFont="1" applyFill="1" applyBorder="1" applyAlignment="1">
      <alignment horizontal="center" vertical="center"/>
    </xf>
    <xf numFmtId="10" fontId="5" fillId="4" borderId="2" xfId="1" applyNumberFormat="1" applyFont="1" applyFill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2" fontId="5" fillId="4" borderId="2" xfId="0" applyNumberFormat="1" applyFont="1" applyFill="1" applyBorder="1" applyAlignment="1">
      <alignment horizontal="center" vertical="center"/>
    </xf>
    <xf numFmtId="166" fontId="5" fillId="4" borderId="22" xfId="0" applyNumberFormat="1" applyFont="1" applyFill="1" applyBorder="1" applyAlignment="1">
      <alignment horizontal="center" vertical="center"/>
    </xf>
    <xf numFmtId="166" fontId="5" fillId="4" borderId="19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6" fontId="5" fillId="4" borderId="16" xfId="0" applyNumberFormat="1" applyFont="1" applyFill="1" applyBorder="1" applyAlignment="1">
      <alignment horizontal="center" vertical="center"/>
    </xf>
    <xf numFmtId="166" fontId="5" fillId="4" borderId="12" xfId="0" applyNumberFormat="1" applyFont="1" applyFill="1" applyBorder="1" applyAlignment="1">
      <alignment horizontal="center" vertical="center"/>
    </xf>
    <xf numFmtId="166" fontId="5" fillId="8" borderId="25" xfId="0" applyNumberFormat="1" applyFont="1" applyFill="1" applyBorder="1" applyAlignment="1">
      <alignment horizontal="left" vertical="center"/>
    </xf>
    <xf numFmtId="166" fontId="5" fillId="8" borderId="26" xfId="0" applyNumberFormat="1" applyFont="1" applyFill="1" applyBorder="1" applyAlignment="1">
      <alignment horizontal="center" vertical="center"/>
    </xf>
    <xf numFmtId="166" fontId="4" fillId="5" borderId="19" xfId="0" applyNumberFormat="1" applyFont="1" applyFill="1" applyBorder="1" applyAlignment="1">
      <alignment horizontal="left" vertical="center"/>
    </xf>
    <xf numFmtId="166" fontId="4" fillId="5" borderId="2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4" fillId="5" borderId="2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166" fontId="4" fillId="6" borderId="19" xfId="0" applyNumberFormat="1" applyFont="1" applyFill="1" applyBorder="1" applyAlignment="1">
      <alignment horizontal="left" vertical="center"/>
    </xf>
    <xf numFmtId="166" fontId="5" fillId="6" borderId="2" xfId="0" applyNumberFormat="1" applyFont="1" applyFill="1" applyBorder="1" applyAlignment="1">
      <alignment horizontal="center" vertical="center"/>
    </xf>
    <xf numFmtId="166" fontId="5" fillId="6" borderId="22" xfId="0" applyNumberFormat="1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6" fontId="2" fillId="0" borderId="23" xfId="0" applyNumberFormat="1" applyFont="1" applyBorder="1" applyAlignment="1">
      <alignment horizontal="center" vertical="center"/>
    </xf>
    <xf numFmtId="166" fontId="2" fillId="0" borderId="20" xfId="0" applyNumberFormat="1" applyFont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vertical="center"/>
    </xf>
    <xf numFmtId="0" fontId="2" fillId="7" borderId="17" xfId="0" applyFont="1" applyFill="1" applyBorder="1" applyAlignment="1">
      <alignment vertical="center"/>
    </xf>
    <xf numFmtId="0" fontId="2" fillId="7" borderId="13" xfId="0" applyFont="1" applyFill="1" applyBorder="1" applyAlignment="1">
      <alignment vertical="center"/>
    </xf>
    <xf numFmtId="9" fontId="2" fillId="7" borderId="5" xfId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2" fillId="7" borderId="9" xfId="0" applyNumberFormat="1" applyFont="1" applyFill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166" fontId="2" fillId="7" borderId="13" xfId="0" applyNumberFormat="1" applyFont="1" applyFill="1" applyBorder="1" applyAlignment="1">
      <alignment horizontal="center" vertical="center"/>
    </xf>
    <xf numFmtId="1" fontId="2" fillId="7" borderId="13" xfId="0" applyNumberFormat="1" applyFont="1" applyFill="1" applyBorder="1" applyAlignment="1">
      <alignment horizontal="center" vertical="center"/>
    </xf>
    <xf numFmtId="1" fontId="2" fillId="7" borderId="5" xfId="0" applyNumberFormat="1" applyFont="1" applyFill="1" applyBorder="1" applyAlignment="1">
      <alignment horizontal="center" vertical="center"/>
    </xf>
    <xf numFmtId="10" fontId="2" fillId="7" borderId="5" xfId="1" applyNumberFormat="1" applyFont="1" applyFill="1" applyBorder="1" applyAlignment="1">
      <alignment horizontal="center" vertical="center"/>
    </xf>
    <xf numFmtId="166" fontId="2" fillId="7" borderId="5" xfId="0" applyNumberFormat="1" applyFont="1" applyFill="1" applyBorder="1" applyAlignment="1">
      <alignment horizontal="center" vertical="center"/>
    </xf>
    <xf numFmtId="2" fontId="2" fillId="7" borderId="5" xfId="0" applyNumberFormat="1" applyFont="1" applyFill="1" applyBorder="1" applyAlignment="1">
      <alignment horizontal="center" vertical="center"/>
    </xf>
    <xf numFmtId="166" fontId="2" fillId="7" borderId="24" xfId="0" applyNumberFormat="1" applyFont="1" applyFill="1" applyBorder="1" applyAlignment="1">
      <alignment horizontal="center" vertical="center"/>
    </xf>
    <xf numFmtId="166" fontId="2" fillId="0" borderId="18" xfId="0" applyNumberFormat="1" applyFont="1" applyBorder="1" applyAlignment="1">
      <alignment horizontal="center" vertical="center"/>
    </xf>
    <xf numFmtId="166" fontId="2" fillId="7" borderId="21" xfId="0" applyNumberFormat="1" applyFont="1" applyFill="1" applyBorder="1" applyAlignment="1">
      <alignment horizontal="center" vertical="center"/>
    </xf>
    <xf numFmtId="165" fontId="2" fillId="7" borderId="5" xfId="0" applyNumberFormat="1" applyFont="1" applyFill="1" applyBorder="1" applyAlignment="1">
      <alignment horizontal="center" vertical="center"/>
    </xf>
    <xf numFmtId="166" fontId="2" fillId="7" borderId="17" xfId="0" applyNumberFormat="1" applyFont="1" applyFill="1" applyBorder="1" applyAlignment="1">
      <alignment horizontal="center" vertical="center"/>
    </xf>
    <xf numFmtId="166" fontId="2" fillId="0" borderId="13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6" fontId="2" fillId="0" borderId="24" xfId="0" applyNumberFormat="1" applyFont="1" applyBorder="1" applyAlignment="1">
      <alignment horizontal="center" vertical="center"/>
    </xf>
    <xf numFmtId="166" fontId="2" fillId="0" borderId="28" xfId="0" applyNumberFormat="1" applyFont="1" applyBorder="1" applyAlignment="1">
      <alignment horizontal="center" vertical="center"/>
    </xf>
    <xf numFmtId="166" fontId="2" fillId="0" borderId="27" xfId="0" applyNumberFormat="1" applyFont="1" applyBorder="1" applyAlignment="1">
      <alignment horizontal="center" vertical="center"/>
    </xf>
    <xf numFmtId="6" fontId="2" fillId="7" borderId="5" xfId="0" applyNumberFormat="1" applyFont="1" applyFill="1" applyBorder="1" applyAlignment="1">
      <alignment horizontal="center" vertical="center"/>
    </xf>
    <xf numFmtId="166" fontId="2" fillId="0" borderId="9" xfId="0" applyNumberFormat="1" applyFont="1" applyBorder="1" applyAlignment="1">
      <alignment horizontal="center" vertical="center"/>
    </xf>
    <xf numFmtId="9" fontId="2" fillId="0" borderId="18" xfId="1" applyFont="1" applyBorder="1" applyAlignment="1">
      <alignment horizontal="center" vertical="center"/>
    </xf>
    <xf numFmtId="9" fontId="2" fillId="0" borderId="9" xfId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9" fontId="2" fillId="0" borderId="2" xfId="1" applyFont="1" applyBorder="1" applyAlignment="1">
      <alignment horizontal="center" vertical="center"/>
    </xf>
    <xf numFmtId="10" fontId="2" fillId="0" borderId="2" xfId="1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9" fontId="2" fillId="0" borderId="5" xfId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0" fontId="2" fillId="0" borderId="5" xfId="1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9" fontId="2" fillId="0" borderId="7" xfId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0" fontId="2" fillId="0" borderId="7" xfId="1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166" fontId="2" fillId="0" borderId="2" xfId="1" applyNumberFormat="1" applyFont="1" applyBorder="1" applyAlignment="1">
      <alignment horizontal="center" vertical="center"/>
    </xf>
    <xf numFmtId="166" fontId="2" fillId="0" borderId="5" xfId="1" applyNumberFormat="1" applyFont="1" applyBorder="1" applyAlignment="1">
      <alignment horizontal="center" vertical="center"/>
    </xf>
    <xf numFmtId="166" fontId="2" fillId="0" borderId="7" xfId="1" applyNumberFormat="1" applyFont="1" applyBorder="1" applyAlignment="1">
      <alignment horizontal="center" vertical="center"/>
    </xf>
    <xf numFmtId="9" fontId="2" fillId="0" borderId="13" xfId="1" applyFont="1" applyBorder="1" applyAlignment="1">
      <alignment horizontal="center" vertical="center"/>
    </xf>
    <xf numFmtId="9" fontId="2" fillId="0" borderId="6" xfId="1" applyFont="1" applyBorder="1" applyAlignment="1">
      <alignment horizontal="center" vertical="center"/>
    </xf>
    <xf numFmtId="9" fontId="2" fillId="0" borderId="8" xfId="1" applyFont="1" applyBorder="1" applyAlignment="1">
      <alignment horizontal="center" vertical="center"/>
    </xf>
    <xf numFmtId="6" fontId="2" fillId="0" borderId="2" xfId="0" applyNumberFormat="1" applyFont="1" applyBorder="1" applyAlignment="1">
      <alignment horizontal="center" vertical="center"/>
    </xf>
    <xf numFmtId="6" fontId="2" fillId="0" borderId="5" xfId="0" applyNumberFormat="1" applyFont="1" applyBorder="1" applyAlignment="1">
      <alignment horizontal="center" vertical="center"/>
    </xf>
    <xf numFmtId="6" fontId="2" fillId="0" borderId="7" xfId="0" applyNumberFormat="1" applyFont="1" applyBorder="1" applyAlignment="1">
      <alignment horizontal="center" vertical="center"/>
    </xf>
    <xf numFmtId="9" fontId="2" fillId="0" borderId="3" xfId="1" applyFont="1" applyBorder="1" applyAlignment="1">
      <alignment horizontal="center" vertical="center"/>
    </xf>
    <xf numFmtId="14" fontId="2" fillId="7" borderId="4" xfId="0" applyNumberFormat="1" applyFont="1" applyFill="1" applyBorder="1" applyAlignment="1">
      <alignment horizontal="center" vertical="center"/>
    </xf>
    <xf numFmtId="10" fontId="2" fillId="7" borderId="24" xfId="1" applyNumberFormat="1" applyFont="1" applyFill="1" applyBorder="1" applyAlignment="1">
      <alignment horizontal="center" vertical="center"/>
    </xf>
    <xf numFmtId="166" fontId="2" fillId="0" borderId="29" xfId="0" applyNumberFormat="1" applyFont="1" applyBorder="1" applyAlignment="1">
      <alignment horizontal="center" vertical="center"/>
    </xf>
    <xf numFmtId="166" fontId="2" fillId="0" borderId="30" xfId="0" applyNumberFormat="1" applyFont="1" applyBorder="1" applyAlignment="1">
      <alignment horizontal="center" vertical="center"/>
    </xf>
    <xf numFmtId="0" fontId="7" fillId="7" borderId="5" xfId="2" applyFont="1" applyFill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167" fontId="2" fillId="0" borderId="5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4" fontId="2" fillId="7" borderId="21" xfId="0" applyNumberFormat="1" applyFont="1" applyFill="1" applyBorder="1" applyAlignment="1">
      <alignment horizontal="center" vertical="center"/>
    </xf>
    <xf numFmtId="9" fontId="2" fillId="0" borderId="17" xfId="1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9" fontId="3" fillId="0" borderId="32" xfId="1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166" fontId="3" fillId="0" borderId="34" xfId="0" applyNumberFormat="1" applyFont="1" applyBorder="1" applyAlignment="1">
      <alignment horizontal="center" vertical="center"/>
    </xf>
    <xf numFmtId="9" fontId="3" fillId="0" borderId="35" xfId="1" applyFont="1" applyBorder="1" applyAlignment="1">
      <alignment horizontal="center" vertical="center" wrapText="1"/>
    </xf>
    <xf numFmtId="1" fontId="3" fillId="0" borderId="34" xfId="0" applyNumberFormat="1" applyFont="1" applyBorder="1" applyAlignment="1">
      <alignment horizontal="center" vertical="center"/>
    </xf>
    <xf numFmtId="1" fontId="3" fillId="0" borderId="32" xfId="0" applyNumberFormat="1" applyFont="1" applyBorder="1" applyAlignment="1">
      <alignment horizontal="center" vertical="center"/>
    </xf>
    <xf numFmtId="10" fontId="3" fillId="0" borderId="32" xfId="1" applyNumberFormat="1" applyFont="1" applyBorder="1" applyAlignment="1">
      <alignment horizontal="center" vertical="center"/>
    </xf>
    <xf numFmtId="166" fontId="3" fillId="0" borderId="32" xfId="0" applyNumberFormat="1" applyFont="1" applyBorder="1" applyAlignment="1">
      <alignment horizontal="center" vertical="center"/>
    </xf>
    <xf numFmtId="2" fontId="3" fillId="0" borderId="32" xfId="0" applyNumberFormat="1" applyFont="1" applyBorder="1" applyAlignment="1">
      <alignment horizontal="center" vertical="center"/>
    </xf>
    <xf numFmtId="166" fontId="3" fillId="0" borderId="35" xfId="0" applyNumberFormat="1" applyFont="1" applyBorder="1" applyAlignment="1">
      <alignment horizontal="center" vertical="center"/>
    </xf>
    <xf numFmtId="166" fontId="3" fillId="0" borderId="31" xfId="0" applyNumberFormat="1" applyFont="1" applyBorder="1" applyAlignment="1">
      <alignment horizontal="center" vertical="center"/>
    </xf>
    <xf numFmtId="165" fontId="3" fillId="0" borderId="32" xfId="0" applyNumberFormat="1" applyFont="1" applyBorder="1" applyAlignment="1">
      <alignment horizontal="center" vertical="center"/>
    </xf>
    <xf numFmtId="166" fontId="3" fillId="0" borderId="33" xfId="0" applyNumberFormat="1" applyFont="1" applyBorder="1" applyAlignment="1">
      <alignment horizontal="center" vertical="center"/>
    </xf>
    <xf numFmtId="166" fontId="3" fillId="0" borderId="36" xfId="0" applyNumberFormat="1" applyFont="1" applyBorder="1" applyAlignment="1">
      <alignment horizontal="center" vertical="center"/>
    </xf>
    <xf numFmtId="166" fontId="3" fillId="0" borderId="37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14" fontId="2" fillId="7" borderId="38" xfId="0" applyNumberFormat="1" applyFont="1" applyFill="1" applyBorder="1" applyAlignment="1">
      <alignment horizontal="center" vertical="center"/>
    </xf>
    <xf numFmtId="0" fontId="2" fillId="7" borderId="39" xfId="0" applyFont="1" applyFill="1" applyBorder="1" applyAlignment="1">
      <alignment vertical="center"/>
    </xf>
    <xf numFmtId="0" fontId="2" fillId="7" borderId="40" xfId="0" applyFont="1" applyFill="1" applyBorder="1" applyAlignment="1">
      <alignment vertical="center"/>
    </xf>
    <xf numFmtId="0" fontId="2" fillId="7" borderId="39" xfId="0" applyFont="1" applyFill="1" applyBorder="1" applyAlignment="1">
      <alignment horizontal="center" vertical="center"/>
    </xf>
    <xf numFmtId="9" fontId="2" fillId="7" borderId="39" xfId="1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3" fontId="2" fillId="7" borderId="41" xfId="0" applyNumberFormat="1" applyFont="1" applyFill="1" applyBorder="1" applyAlignment="1">
      <alignment horizontal="center" vertical="center"/>
    </xf>
    <xf numFmtId="164" fontId="2" fillId="0" borderId="39" xfId="0" applyNumberFormat="1" applyFont="1" applyBorder="1" applyAlignment="1">
      <alignment horizontal="center" vertical="center"/>
    </xf>
    <xf numFmtId="0" fontId="2" fillId="7" borderId="42" xfId="0" applyFont="1" applyFill="1" applyBorder="1" applyAlignment="1">
      <alignment horizontal="center" vertical="center"/>
    </xf>
    <xf numFmtId="166" fontId="2" fillId="7" borderId="40" xfId="0" applyNumberFormat="1" applyFont="1" applyFill="1" applyBorder="1" applyAlignment="1">
      <alignment horizontal="center" vertical="center"/>
    </xf>
    <xf numFmtId="1" fontId="2" fillId="7" borderId="40" xfId="0" applyNumberFormat="1" applyFont="1" applyFill="1" applyBorder="1" applyAlignment="1">
      <alignment horizontal="center" vertical="center"/>
    </xf>
    <xf numFmtId="1" fontId="2" fillId="7" borderId="39" xfId="0" applyNumberFormat="1" applyFont="1" applyFill="1" applyBorder="1" applyAlignment="1">
      <alignment horizontal="center" vertical="center"/>
    </xf>
    <xf numFmtId="10" fontId="2" fillId="7" borderId="39" xfId="1" applyNumberFormat="1" applyFont="1" applyFill="1" applyBorder="1" applyAlignment="1">
      <alignment horizontal="center" vertical="center"/>
    </xf>
    <xf numFmtId="166" fontId="2" fillId="7" borderId="39" xfId="0" applyNumberFormat="1" applyFont="1" applyFill="1" applyBorder="1" applyAlignment="1">
      <alignment horizontal="center" vertical="center"/>
    </xf>
    <xf numFmtId="2" fontId="2" fillId="7" borderId="39" xfId="0" applyNumberFormat="1" applyFont="1" applyFill="1" applyBorder="1" applyAlignment="1">
      <alignment horizontal="center" vertical="center"/>
    </xf>
    <xf numFmtId="166" fontId="2" fillId="7" borderId="43" xfId="0" applyNumberFormat="1" applyFont="1" applyFill="1" applyBorder="1" applyAlignment="1">
      <alignment horizontal="center" vertical="center"/>
    </xf>
    <xf numFmtId="166" fontId="2" fillId="0" borderId="44" xfId="0" applyNumberFormat="1" applyFont="1" applyBorder="1" applyAlignment="1">
      <alignment horizontal="center" vertical="center"/>
    </xf>
    <xf numFmtId="166" fontId="2" fillId="7" borderId="38" xfId="0" applyNumberFormat="1" applyFont="1" applyFill="1" applyBorder="1" applyAlignment="1">
      <alignment horizontal="center" vertical="center"/>
    </xf>
    <xf numFmtId="165" fontId="2" fillId="7" borderId="39" xfId="0" applyNumberFormat="1" applyFont="1" applyFill="1" applyBorder="1" applyAlignment="1">
      <alignment horizontal="center" vertical="center"/>
    </xf>
    <xf numFmtId="166" fontId="2" fillId="7" borderId="42" xfId="0" applyNumberFormat="1" applyFont="1" applyFill="1" applyBorder="1" applyAlignment="1">
      <alignment horizontal="center" vertical="center"/>
    </xf>
    <xf numFmtId="166" fontId="2" fillId="0" borderId="40" xfId="0" applyNumberFormat="1" applyFont="1" applyBorder="1" applyAlignment="1">
      <alignment horizontal="center" vertical="center"/>
    </xf>
    <xf numFmtId="166" fontId="2" fillId="0" borderId="39" xfId="0" applyNumberFormat="1" applyFont="1" applyBorder="1" applyAlignment="1">
      <alignment horizontal="center" vertical="center"/>
    </xf>
    <xf numFmtId="166" fontId="2" fillId="0" borderId="43" xfId="0" applyNumberFormat="1" applyFont="1" applyBorder="1" applyAlignment="1">
      <alignment horizontal="center" vertical="center"/>
    </xf>
    <xf numFmtId="166" fontId="2" fillId="0" borderId="45" xfId="0" applyNumberFormat="1" applyFont="1" applyBorder="1" applyAlignment="1">
      <alignment horizontal="center" vertical="center"/>
    </xf>
    <xf numFmtId="166" fontId="2" fillId="0" borderId="46" xfId="0" applyNumberFormat="1" applyFont="1" applyBorder="1" applyAlignment="1">
      <alignment horizontal="center" vertical="center"/>
    </xf>
    <xf numFmtId="166" fontId="2" fillId="0" borderId="47" xfId="0" applyNumberFormat="1" applyFont="1" applyBorder="1" applyAlignment="1">
      <alignment horizontal="center" vertical="center"/>
    </xf>
    <xf numFmtId="166" fontId="2" fillId="0" borderId="48" xfId="0" applyNumberFormat="1" applyFont="1" applyBorder="1" applyAlignment="1">
      <alignment horizontal="center" vertical="center"/>
    </xf>
    <xf numFmtId="166" fontId="2" fillId="0" borderId="49" xfId="0" applyNumberFormat="1" applyFont="1" applyBorder="1" applyAlignment="1">
      <alignment horizontal="center" vertical="center"/>
    </xf>
    <xf numFmtId="166" fontId="2" fillId="0" borderId="50" xfId="0" applyNumberFormat="1" applyFont="1" applyBorder="1" applyAlignment="1">
      <alignment horizontal="center" vertical="center"/>
    </xf>
    <xf numFmtId="6" fontId="2" fillId="7" borderId="39" xfId="0" applyNumberFormat="1" applyFont="1" applyFill="1" applyBorder="1" applyAlignment="1">
      <alignment horizontal="center" vertical="center"/>
    </xf>
    <xf numFmtId="166" fontId="2" fillId="0" borderId="41" xfId="0" applyNumberFormat="1" applyFont="1" applyBorder="1" applyAlignment="1">
      <alignment horizontal="center" vertical="center"/>
    </xf>
    <xf numFmtId="9" fontId="2" fillId="0" borderId="44" xfId="1" applyFont="1" applyBorder="1" applyAlignment="1">
      <alignment horizontal="center" vertical="center"/>
    </xf>
    <xf numFmtId="9" fontId="2" fillId="0" borderId="41" xfId="1" applyFont="1" applyBorder="1" applyAlignment="1">
      <alignment horizontal="center" vertical="center"/>
    </xf>
    <xf numFmtId="9" fontId="2" fillId="0" borderId="40" xfId="1" applyFont="1" applyBorder="1" applyAlignment="1">
      <alignment horizontal="center" vertical="center"/>
    </xf>
    <xf numFmtId="9" fontId="2" fillId="0" borderId="39" xfId="1" applyFont="1" applyBorder="1" applyAlignment="1">
      <alignment horizontal="center" vertical="center"/>
    </xf>
    <xf numFmtId="9" fontId="2" fillId="0" borderId="42" xfId="1" applyFont="1" applyBorder="1" applyAlignment="1">
      <alignment horizontal="center" vertical="center"/>
    </xf>
    <xf numFmtId="166" fontId="2" fillId="7" borderId="9" xfId="0" applyNumberFormat="1" applyFont="1" applyFill="1" applyBorder="1" applyAlignment="1">
      <alignment horizontal="center" vertical="center"/>
    </xf>
    <xf numFmtId="10" fontId="2" fillId="7" borderId="17" xfId="1" applyNumberFormat="1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/>
    </xf>
    <xf numFmtId="166" fontId="2" fillId="7" borderId="0" xfId="0" applyNumberFormat="1" applyFont="1" applyFill="1" applyAlignment="1">
      <alignment horizontal="center" vertical="center"/>
    </xf>
    <xf numFmtId="165" fontId="2" fillId="7" borderId="0" xfId="0" applyNumberFormat="1" applyFont="1" applyFill="1" applyAlignment="1">
      <alignment horizontal="center" vertical="center"/>
    </xf>
    <xf numFmtId="0" fontId="2" fillId="7" borderId="21" xfId="0" applyFont="1" applyFill="1" applyBorder="1" applyAlignment="1">
      <alignment vertical="center"/>
    </xf>
    <xf numFmtId="0" fontId="2" fillId="7" borderId="24" xfId="0" applyFont="1" applyFill="1" applyBorder="1" applyAlignment="1">
      <alignment horizontal="center" vertical="center"/>
    </xf>
    <xf numFmtId="166" fontId="2" fillId="7" borderId="52" xfId="0" applyNumberFormat="1" applyFont="1" applyFill="1" applyBorder="1" applyAlignment="1">
      <alignment horizontal="center" vertical="center"/>
    </xf>
    <xf numFmtId="1" fontId="2" fillId="7" borderId="21" xfId="0" applyNumberFormat="1" applyFont="1" applyFill="1" applyBorder="1" applyAlignment="1">
      <alignment horizontal="center" vertical="center"/>
    </xf>
    <xf numFmtId="10" fontId="2" fillId="7" borderId="21" xfId="1" applyNumberFormat="1" applyFont="1" applyFill="1" applyBorder="1" applyAlignment="1">
      <alignment horizontal="center" vertical="center"/>
    </xf>
    <xf numFmtId="165" fontId="2" fillId="7" borderId="21" xfId="0" applyNumberFormat="1" applyFont="1" applyFill="1" applyBorder="1" applyAlignment="1">
      <alignment horizontal="center" vertical="center"/>
    </xf>
    <xf numFmtId="0" fontId="2" fillId="7" borderId="50" xfId="0" applyFont="1" applyFill="1" applyBorder="1" applyAlignment="1">
      <alignment horizontal="center" vertical="center"/>
    </xf>
    <xf numFmtId="165" fontId="2" fillId="7" borderId="52" xfId="0" applyNumberFormat="1" applyFont="1" applyFill="1" applyBorder="1" applyAlignment="1">
      <alignment horizontal="center" vertical="center"/>
    </xf>
    <xf numFmtId="166" fontId="2" fillId="7" borderId="41" xfId="0" applyNumberFormat="1" applyFont="1" applyFill="1" applyBorder="1" applyAlignment="1">
      <alignment horizontal="center" vertical="center"/>
    </xf>
    <xf numFmtId="166" fontId="2" fillId="0" borderId="21" xfId="0" applyNumberFormat="1" applyFont="1" applyBorder="1" applyAlignment="1">
      <alignment horizontal="center" vertical="center"/>
    </xf>
    <xf numFmtId="166" fontId="2" fillId="0" borderId="52" xfId="0" applyNumberFormat="1" applyFont="1" applyBorder="1" applyAlignment="1">
      <alignment horizontal="center" vertical="center"/>
    </xf>
    <xf numFmtId="166" fontId="2" fillId="0" borderId="51" xfId="0" applyNumberFormat="1" applyFont="1" applyBorder="1" applyAlignment="1">
      <alignment horizontal="center" vertical="center"/>
    </xf>
    <xf numFmtId="166" fontId="2" fillId="7" borderId="53" xfId="0" applyNumberFormat="1" applyFont="1" applyFill="1" applyBorder="1" applyAlignment="1">
      <alignment horizontal="center" vertical="center"/>
    </xf>
    <xf numFmtId="9" fontId="2" fillId="0" borderId="20" xfId="1" applyFont="1" applyBorder="1" applyAlignment="1">
      <alignment horizontal="center" vertical="center"/>
    </xf>
    <xf numFmtId="166" fontId="2" fillId="0" borderId="17" xfId="0" applyNumberFormat="1" applyFont="1" applyBorder="1" applyAlignment="1">
      <alignment horizontal="center" vertical="center"/>
    </xf>
    <xf numFmtId="9" fontId="2" fillId="0" borderId="21" xfId="1" applyFont="1" applyBorder="1" applyAlignment="1">
      <alignment horizontal="center" vertical="center"/>
    </xf>
    <xf numFmtId="9" fontId="2" fillId="0" borderId="52" xfId="1" applyFont="1" applyBorder="1" applyAlignment="1">
      <alignment horizontal="center" vertical="center"/>
    </xf>
    <xf numFmtId="2" fontId="2" fillId="7" borderId="43" xfId="0" applyNumberFormat="1" applyFont="1" applyFill="1" applyBorder="1" applyAlignment="1">
      <alignment horizontal="center" vertical="center"/>
    </xf>
    <xf numFmtId="2" fontId="2" fillId="7" borderId="24" xfId="0" applyNumberFormat="1" applyFont="1" applyFill="1" applyBorder="1" applyAlignment="1">
      <alignment horizontal="center" vertical="center"/>
    </xf>
    <xf numFmtId="9" fontId="2" fillId="7" borderId="43" xfId="1" applyFont="1" applyFill="1" applyBorder="1" applyAlignment="1">
      <alignment horizontal="center" vertical="center"/>
    </xf>
    <xf numFmtId="0" fontId="2" fillId="7" borderId="30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11" fillId="7" borderId="21" xfId="0" applyFont="1" applyFill="1" applyBorder="1" applyAlignment="1">
      <alignment horizontal="center" vertical="center"/>
    </xf>
    <xf numFmtId="167" fontId="2" fillId="7" borderId="24" xfId="1" applyNumberFormat="1" applyFont="1" applyFill="1" applyBorder="1" applyAlignment="1">
      <alignment horizontal="center" vertical="center"/>
    </xf>
    <xf numFmtId="0" fontId="12" fillId="0" borderId="0" xfId="0" applyFont="1"/>
    <xf numFmtId="0" fontId="13" fillId="2" borderId="57" xfId="0" applyFont="1" applyFill="1" applyBorder="1"/>
    <xf numFmtId="0" fontId="13" fillId="2" borderId="58" xfId="0" applyFont="1" applyFill="1" applyBorder="1"/>
    <xf numFmtId="0" fontId="14" fillId="2" borderId="58" xfId="0" applyFont="1" applyFill="1" applyBorder="1"/>
    <xf numFmtId="0" fontId="14" fillId="2" borderId="59" xfId="0" applyFont="1" applyFill="1" applyBorder="1"/>
    <xf numFmtId="0" fontId="15" fillId="9" borderId="56" xfId="0" applyFont="1" applyFill="1" applyBorder="1"/>
    <xf numFmtId="0" fontId="12" fillId="10" borderId="60" xfId="0" applyFont="1" applyFill="1" applyBorder="1"/>
    <xf numFmtId="0" fontId="12" fillId="10" borderId="61" xfId="0" applyFont="1" applyFill="1" applyBorder="1"/>
    <xf numFmtId="0" fontId="12" fillId="10" borderId="62" xfId="0" applyFont="1" applyFill="1" applyBorder="1"/>
    <xf numFmtId="0" fontId="15" fillId="9" borderId="65" xfId="0" applyFont="1" applyFill="1" applyBorder="1" applyAlignment="1">
      <alignment horizontal="center"/>
    </xf>
    <xf numFmtId="0" fontId="15" fillId="9" borderId="68" xfId="0" applyFont="1" applyFill="1" applyBorder="1" applyAlignment="1">
      <alignment horizontal="center"/>
    </xf>
    <xf numFmtId="0" fontId="15" fillId="9" borderId="67" xfId="0" applyFont="1" applyFill="1" applyBorder="1" applyAlignment="1">
      <alignment horizontal="center"/>
    </xf>
    <xf numFmtId="0" fontId="15" fillId="9" borderId="8" xfId="0" applyFont="1" applyFill="1" applyBorder="1" applyAlignment="1">
      <alignment horizontal="center"/>
    </xf>
    <xf numFmtId="0" fontId="14" fillId="2" borderId="74" xfId="0" applyFont="1" applyFill="1" applyBorder="1" applyAlignment="1">
      <alignment horizontal="center"/>
    </xf>
    <xf numFmtId="0" fontId="14" fillId="2" borderId="75" xfId="0" applyFont="1" applyFill="1" applyBorder="1" applyAlignment="1">
      <alignment horizontal="center"/>
    </xf>
    <xf numFmtId="0" fontId="14" fillId="2" borderId="58" xfId="0" applyFont="1" applyFill="1" applyBorder="1" applyAlignment="1">
      <alignment horizontal="center"/>
    </xf>
    <xf numFmtId="0" fontId="13" fillId="2" borderId="56" xfId="0" applyFont="1" applyFill="1" applyBorder="1" applyAlignment="1">
      <alignment horizontal="left" vertical="center"/>
    </xf>
    <xf numFmtId="0" fontId="15" fillId="10" borderId="61" xfId="0" applyFont="1" applyFill="1" applyBorder="1"/>
    <xf numFmtId="0" fontId="12" fillId="10" borderId="76" xfId="0" applyFont="1" applyFill="1" applyBorder="1"/>
    <xf numFmtId="0" fontId="15" fillId="10" borderId="62" xfId="0" applyFont="1" applyFill="1" applyBorder="1"/>
    <xf numFmtId="0" fontId="12" fillId="11" borderId="63" xfId="0" applyFont="1" applyFill="1" applyBorder="1"/>
    <xf numFmtId="0" fontId="12" fillId="11" borderId="77" xfId="0" applyFont="1" applyFill="1" applyBorder="1"/>
    <xf numFmtId="0" fontId="12" fillId="11" borderId="78" xfId="0" applyFont="1" applyFill="1" applyBorder="1"/>
    <xf numFmtId="0" fontId="12" fillId="11" borderId="79" xfId="0" applyFont="1" applyFill="1" applyBorder="1"/>
    <xf numFmtId="0" fontId="12" fillId="11" borderId="82" xfId="0" applyFont="1" applyFill="1" applyBorder="1"/>
    <xf numFmtId="0" fontId="12" fillId="12" borderId="77" xfId="0" applyFont="1" applyFill="1" applyBorder="1"/>
    <xf numFmtId="0" fontId="12" fillId="12" borderId="79" xfId="0" applyFont="1" applyFill="1" applyBorder="1"/>
    <xf numFmtId="0" fontId="12" fillId="12" borderId="82" xfId="0" applyFont="1" applyFill="1" applyBorder="1"/>
    <xf numFmtId="4" fontId="12" fillId="12" borderId="79" xfId="0" applyNumberFormat="1" applyFont="1" applyFill="1" applyBorder="1"/>
    <xf numFmtId="3" fontId="12" fillId="12" borderId="84" xfId="0" applyNumberFormat="1" applyFont="1" applyFill="1" applyBorder="1"/>
    <xf numFmtId="3" fontId="12" fillId="12" borderId="83" xfId="0" applyNumberFormat="1" applyFont="1" applyFill="1" applyBorder="1"/>
    <xf numFmtId="3" fontId="12" fillId="12" borderId="85" xfId="0" applyNumberFormat="1" applyFont="1" applyFill="1" applyBorder="1"/>
    <xf numFmtId="3" fontId="12" fillId="12" borderId="86" xfId="0" applyNumberFormat="1" applyFont="1" applyFill="1" applyBorder="1"/>
    <xf numFmtId="3" fontId="14" fillId="2" borderId="74" xfId="0" applyNumberFormat="1" applyFont="1" applyFill="1" applyBorder="1" applyAlignment="1">
      <alignment horizontal="center"/>
    </xf>
    <xf numFmtId="4" fontId="12" fillId="12" borderId="77" xfId="0" applyNumberFormat="1" applyFont="1" applyFill="1" applyBorder="1"/>
    <xf numFmtId="4" fontId="12" fillId="12" borderId="81" xfId="0" applyNumberFormat="1" applyFont="1" applyFill="1" applyBorder="1"/>
    <xf numFmtId="4" fontId="14" fillId="2" borderId="75" xfId="0" applyNumberFormat="1" applyFont="1" applyFill="1" applyBorder="1" applyAlignment="1">
      <alignment horizontal="center"/>
    </xf>
    <xf numFmtId="0" fontId="13" fillId="2" borderId="75" xfId="0" applyFont="1" applyFill="1" applyBorder="1"/>
    <xf numFmtId="0" fontId="14" fillId="2" borderId="59" xfId="0" applyFont="1" applyFill="1" applyBorder="1" applyAlignment="1">
      <alignment horizontal="center"/>
    </xf>
    <xf numFmtId="4" fontId="12" fillId="12" borderId="98" xfId="0" applyNumberFormat="1" applyFont="1" applyFill="1" applyBorder="1"/>
    <xf numFmtId="4" fontId="12" fillId="12" borderId="99" xfId="0" applyNumberFormat="1" applyFont="1" applyFill="1" applyBorder="1"/>
    <xf numFmtId="4" fontId="12" fillId="12" borderId="100" xfId="0" applyNumberFormat="1" applyFont="1" applyFill="1" applyBorder="1"/>
    <xf numFmtId="4" fontId="14" fillId="2" borderId="59" xfId="0" applyNumberFormat="1" applyFont="1" applyFill="1" applyBorder="1" applyAlignment="1">
      <alignment horizontal="center"/>
    </xf>
    <xf numFmtId="0" fontId="12" fillId="12" borderId="98" xfId="0" applyFont="1" applyFill="1" applyBorder="1"/>
    <xf numFmtId="0" fontId="12" fillId="12" borderId="99" xfId="0" applyFont="1" applyFill="1" applyBorder="1"/>
    <xf numFmtId="0" fontId="12" fillId="12" borderId="101" xfId="0" applyFont="1" applyFill="1" applyBorder="1"/>
    <xf numFmtId="3" fontId="12" fillId="11" borderId="63" xfId="0" applyNumberFormat="1" applyFont="1" applyFill="1" applyBorder="1"/>
    <xf numFmtId="4" fontId="12" fillId="11" borderId="77" xfId="0" applyNumberFormat="1" applyFont="1" applyFill="1" applyBorder="1"/>
    <xf numFmtId="4" fontId="12" fillId="11" borderId="79" xfId="0" applyNumberFormat="1" applyFont="1" applyFill="1" applyBorder="1"/>
    <xf numFmtId="4" fontId="12" fillId="11" borderId="81" xfId="0" applyNumberFormat="1" applyFont="1" applyFill="1" applyBorder="1"/>
    <xf numFmtId="3" fontId="12" fillId="11" borderId="78" xfId="0" applyNumberFormat="1" applyFont="1" applyFill="1" applyBorder="1"/>
    <xf numFmtId="3" fontId="12" fillId="11" borderId="80" xfId="0" applyNumberFormat="1" applyFont="1" applyFill="1" applyBorder="1"/>
    <xf numFmtId="3" fontId="15" fillId="11" borderId="78" xfId="0" applyNumberFormat="1" applyFont="1" applyFill="1" applyBorder="1"/>
    <xf numFmtId="4" fontId="15" fillId="11" borderId="79" xfId="0" applyNumberFormat="1" applyFont="1" applyFill="1" applyBorder="1"/>
    <xf numFmtId="3" fontId="15" fillId="12" borderId="84" xfId="0" applyNumberFormat="1" applyFont="1" applyFill="1" applyBorder="1"/>
    <xf numFmtId="4" fontId="15" fillId="12" borderId="79" xfId="0" applyNumberFormat="1" applyFont="1" applyFill="1" applyBorder="1"/>
    <xf numFmtId="4" fontId="15" fillId="12" borderId="99" xfId="0" applyNumberFormat="1" applyFont="1" applyFill="1" applyBorder="1"/>
    <xf numFmtId="3" fontId="12" fillId="12" borderId="86" xfId="0" applyNumberFormat="1" applyFont="1" applyFill="1" applyBorder="1" applyAlignment="1">
      <alignment horizontal="center"/>
    </xf>
    <xf numFmtId="2" fontId="12" fillId="11" borderId="64" xfId="0" applyNumberFormat="1" applyFont="1" applyFill="1" applyBorder="1"/>
    <xf numFmtId="168" fontId="2" fillId="7" borderId="21" xfId="0" applyNumberFormat="1" applyFont="1" applyFill="1" applyBorder="1" applyAlignment="1">
      <alignment horizontal="center" vertical="center"/>
    </xf>
    <xf numFmtId="3" fontId="12" fillId="0" borderId="94" xfId="0" applyNumberFormat="1" applyFont="1" applyBorder="1" applyAlignment="1">
      <alignment horizontal="center"/>
    </xf>
    <xf numFmtId="3" fontId="12" fillId="0" borderId="52" xfId="0" applyNumberFormat="1" applyFont="1" applyBorder="1" applyAlignment="1">
      <alignment horizontal="center"/>
    </xf>
    <xf numFmtId="3" fontId="12" fillId="0" borderId="96" xfId="0" applyNumberFormat="1" applyFont="1" applyBorder="1" applyAlignment="1">
      <alignment horizontal="center"/>
    </xf>
    <xf numFmtId="10" fontId="12" fillId="0" borderId="95" xfId="1" applyNumberFormat="1" applyFont="1" applyBorder="1" applyAlignment="1">
      <alignment horizontal="center"/>
    </xf>
    <xf numFmtId="10" fontId="12" fillId="0" borderId="89" xfId="1" applyNumberFormat="1" applyFont="1" applyBorder="1" applyAlignment="1">
      <alignment horizontal="center"/>
    </xf>
    <xf numFmtId="10" fontId="12" fillId="0" borderId="97" xfId="1" applyNumberFormat="1" applyFont="1" applyBorder="1" applyAlignment="1">
      <alignment horizontal="center"/>
    </xf>
    <xf numFmtId="0" fontId="15" fillId="9" borderId="74" xfId="0" applyFont="1" applyFill="1" applyBorder="1" applyAlignment="1">
      <alignment horizontal="center"/>
    </xf>
    <xf numFmtId="0" fontId="15" fillId="9" borderId="58" xfId="0" applyFont="1" applyFill="1" applyBorder="1" applyAlignment="1">
      <alignment horizontal="center"/>
    </xf>
    <xf numFmtId="14" fontId="12" fillId="0" borderId="71" xfId="0" applyNumberFormat="1" applyFont="1" applyBorder="1" applyAlignment="1">
      <alignment horizontal="center"/>
    </xf>
    <xf numFmtId="14" fontId="12" fillId="0" borderId="25" xfId="0" applyNumberFormat="1" applyFont="1" applyBorder="1" applyAlignment="1">
      <alignment horizontal="center"/>
    </xf>
    <xf numFmtId="2" fontId="12" fillId="11" borderId="88" xfId="0" applyNumberFormat="1" applyFont="1" applyFill="1" applyBorder="1" applyAlignment="1">
      <alignment horizontal="center"/>
    </xf>
    <xf numFmtId="2" fontId="12" fillId="11" borderId="92" xfId="0" applyNumberFormat="1" applyFont="1" applyFill="1" applyBorder="1" applyAlignment="1">
      <alignment horizontal="center"/>
    </xf>
    <xf numFmtId="10" fontId="12" fillId="11" borderId="90" xfId="1" applyNumberFormat="1" applyFont="1" applyFill="1" applyBorder="1" applyAlignment="1">
      <alignment horizontal="center"/>
    </xf>
    <xf numFmtId="10" fontId="12" fillId="11" borderId="93" xfId="1" applyNumberFormat="1" applyFont="1" applyFill="1" applyBorder="1" applyAlignment="1">
      <alignment horizontal="center"/>
    </xf>
    <xf numFmtId="0" fontId="15" fillId="9" borderId="87" xfId="0" applyFont="1" applyFill="1" applyBorder="1" applyAlignment="1">
      <alignment horizontal="center"/>
    </xf>
    <xf numFmtId="0" fontId="15" fillId="9" borderId="91" xfId="0" applyFont="1" applyFill="1" applyBorder="1" applyAlignment="1">
      <alignment horizontal="center"/>
    </xf>
    <xf numFmtId="0" fontId="12" fillId="2" borderId="87" xfId="0" applyFont="1" applyFill="1" applyBorder="1" applyAlignment="1">
      <alignment horizontal="center"/>
    </xf>
    <xf numFmtId="0" fontId="12" fillId="2" borderId="91" xfId="0" applyFont="1" applyFill="1" applyBorder="1" applyAlignment="1">
      <alignment horizontal="center"/>
    </xf>
    <xf numFmtId="3" fontId="12" fillId="11" borderId="88" xfId="0" applyNumberFormat="1" applyFont="1" applyFill="1" applyBorder="1" applyAlignment="1">
      <alignment horizontal="center"/>
    </xf>
    <xf numFmtId="3" fontId="12" fillId="11" borderId="92" xfId="0" applyNumberFormat="1" applyFont="1" applyFill="1" applyBorder="1" applyAlignment="1">
      <alignment horizontal="center"/>
    </xf>
    <xf numFmtId="0" fontId="15" fillId="9" borderId="59" xfId="0" applyFont="1" applyFill="1" applyBorder="1" applyAlignment="1">
      <alignment horizontal="center"/>
    </xf>
    <xf numFmtId="14" fontId="12" fillId="0" borderId="73" xfId="0" applyNumberFormat="1" applyFont="1" applyBorder="1" applyAlignment="1">
      <alignment horizontal="center"/>
    </xf>
    <xf numFmtId="0" fontId="15" fillId="9" borderId="19" xfId="0" applyFont="1" applyFill="1" applyBorder="1" applyAlignment="1">
      <alignment horizontal="center"/>
    </xf>
    <xf numFmtId="0" fontId="15" fillId="9" borderId="66" xfId="0" applyFont="1" applyFill="1" applyBorder="1" applyAlignment="1">
      <alignment horizontal="center"/>
    </xf>
    <xf numFmtId="0" fontId="15" fillId="9" borderId="69" xfId="0" applyFont="1" applyFill="1" applyBorder="1" applyAlignment="1">
      <alignment horizontal="left" vertical="center"/>
    </xf>
    <xf numFmtId="0" fontId="15" fillId="9" borderId="70" xfId="0" applyFont="1" applyFill="1" applyBorder="1" applyAlignment="1">
      <alignment horizontal="left" vertical="center"/>
    </xf>
    <xf numFmtId="0" fontId="15" fillId="9" borderId="71" xfId="0" applyFont="1" applyFill="1" applyBorder="1" applyAlignment="1">
      <alignment horizontal="center"/>
    </xf>
    <xf numFmtId="0" fontId="15" fillId="9" borderId="72" xfId="0" applyFont="1" applyFill="1" applyBorder="1" applyAlignment="1">
      <alignment horizontal="center"/>
    </xf>
    <xf numFmtId="0" fontId="15" fillId="9" borderId="73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thick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thick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thick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thick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thick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thick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thick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thick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thick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thick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8" formatCode="m/d/yy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thick">
          <color auto="1"/>
        </bottom>
      </border>
    </dxf>
    <dxf>
      <border outline="0">
        <left style="medium">
          <color auto="1"/>
        </left>
        <right style="medium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9AEDC6-AB74-3844-91D9-FB705B5407EE}" name="Table1" displayName="Table1" ref="B3:EJ415" totalsRowShown="0" headerRowDxfId="142" dataDxfId="141" headerRowBorderDxfId="139" tableBorderDxfId="140" dataCellStyle="Percent">
  <autoFilter ref="B3:EJ415" xr:uid="{4C9AEDC6-AB74-3844-91D9-FB705B5407EE}">
    <filterColumn colId="0">
      <filters blank="1">
        <filter val="2022"/>
        <filter val="2023"/>
        <filter val="2024"/>
        <filter val="2025"/>
        <dateGroupItem year="2025" dateTimeGrouping="year"/>
      </filters>
    </filterColumn>
  </autoFilter>
  <tableColumns count="139">
    <tableColumn id="1" xr3:uid="{7A3B2A02-3BED-0048-BCB1-202367F55967}" name="Date of UW Report" dataDxfId="138"/>
    <tableColumn id="2" xr3:uid="{4B97183D-ED26-5E46-BA04-32A8C8176EF5}" name="Application Number" dataDxfId="137" dataCellStyle="Hyperlink"/>
    <tableColumn id="3" xr3:uid="{5B0900DF-F838-A64E-830B-C612F55196A8}" name="Development Name" dataDxfId="136"/>
    <tableColumn id="4" xr3:uid="{319E66B5-EAB0-9C40-881F-846F2F85028D}" name="Developer" dataDxfId="135"/>
    <tableColumn id="5" xr3:uid="{3CB36535-D8BF-EE45-8539-7E050F3A8891}" name="Guarantor" dataDxfId="134"/>
    <tableColumn id="6" xr3:uid="{28C0D269-FA61-AC47-866C-A40DEF269275}" name="General Contractor" dataDxfId="133"/>
    <tableColumn id="7" xr3:uid="{6186C009-5B47-6048-B78E-B12D444C30C3}" name="Lender / Loan Type" dataDxfId="132"/>
    <tableColumn id="8" xr3:uid="{1D611BC2-DF78-7B45-83AD-6E62F54B9CE2}" name="Equity Partner" dataDxfId="131"/>
    <tableColumn id="9" xr3:uid="{D1AA3404-BEB4-0C43-90E7-C8034C0D041D}" name="City" dataDxfId="130"/>
    <tableColumn id="10" xr3:uid="{8A71F29D-BB8C-5240-A4C3-78E646A610C6}" name="County" dataDxfId="129"/>
    <tableColumn id="11" xr3:uid="{F182C1B2-AA7A-0E44-B1C0-F0A8DA3F4F95}" name="Region" dataDxfId="128"/>
    <tableColumn id="12" xr3:uid="{5E9222F4-9A5A-684D-B1EB-95190369F8F1}" name="Area" dataDxfId="127"/>
    <tableColumn id="13" xr3:uid="{983FCAE0-B4F4-8B46-916C-8AF7DAED5450}" name="Population" dataDxfId="126"/>
    <tableColumn id="14" xr3:uid="{9BBCC4F6-FD0E-1947-A087-AC95D0E6672A}" name="Set-Aside" dataDxfId="125"/>
    <tableColumn id="15" xr3:uid="{09B957B3-53CD-6641-86D9-6A9A8356284C}" name="Activity" dataDxfId="124"/>
    <tableColumn id="16" xr3:uid="{3ED6D9C8-2DFF-EB4A-9579-501C2D8D0C08}" name="9% or 4%?" dataDxfId="123" dataCellStyle="Percent"/>
    <tableColumn id="17" xr3:uid="{A3210546-2167-F148-B588-5E04F249C252}" name="LIHTC Units" dataDxfId="122"/>
    <tableColumn id="18" xr3:uid="{FE9FF39E-5A47-9942-9748-4431EA20C2CE}" name="Market Units" dataDxfId="121"/>
    <tableColumn id="19" xr3:uid="{3AF28156-AD74-854F-AAB8-88FA8B94F5BB}" name="Total Units" dataDxfId="120">
      <calculatedColumnFormula>IFERROR(IF(SUM(R4:S4)&gt;0,SUM(R4:S4),""),"")</calculatedColumnFormula>
    </tableColumn>
    <tableColumn id="20" xr3:uid="{D5FE6FAB-7BA2-0844-9DB0-4BE874E5BDA2}" name="Total Unit SF - NRA" dataDxfId="119"/>
    <tableColumn id="21" xr3:uid="{C8FC17C2-11CB-CF4F-B756-EC4C357C6B9F}" name="Development Site Size (Acres)" dataDxfId="118"/>
    <tableColumn id="22" xr3:uid="{9B881FE2-66AC-594F-ABE6-7D03BD11FC79}" name="Density (Units / Acre)" dataDxfId="117">
      <calculatedColumnFormula>IFERROR(IF(T4&gt;0,T4/V4,""),"")</calculatedColumnFormula>
    </tableColumn>
    <tableColumn id="23" xr3:uid="{C19FA012-77C6-5D43-9C6C-6E18E7E73FBA}" name="Year Constructed (If Acq. Rehab)" dataDxfId="116"/>
    <tableColumn id="24" xr3:uid="{4448E3D2-7445-884F-9D6C-C74E1B399C6D}" name="Scattered Site?" dataDxfId="115"/>
    <tableColumn id="25" xr3:uid="{D90B4037-D0AA-1044-9F75-E86D634F1252}" name="Construction Loan Principal" dataDxfId="114"/>
    <tableColumn id="26" xr3:uid="{07FC30EC-3EE2-764B-B521-21852E63EA2E}" name="Construction Loan Interest Rate_x000a_(Weighted)" dataDxfId="113" dataCellStyle="Percent"/>
    <tableColumn id="27" xr3:uid="{1109F95B-7E8A-A348-8759-78CAB50BBA1F}" name="Loan (1) Term" dataDxfId="112"/>
    <tableColumn id="28" xr3:uid="{D47C282F-AB52-474F-ACC6-51C348432BFE}" name="Loan (1) Amortization" dataDxfId="111"/>
    <tableColumn id="29" xr3:uid="{07AD38F6-B343-CB44-8B5F-5A7F6E645B35}" name="Loan (1) Interest Rate" dataDxfId="110" dataCellStyle="Percent"/>
    <tableColumn id="30" xr3:uid="{BDA981FC-E252-8740-B3B0-BD798216BFA2}" name="Loan (1) Principal" dataDxfId="109"/>
    <tableColumn id="31" xr3:uid="{B93725A4-125C-C649-AAD8-E9F6602C4B8F}" name="Debt Coverage Ratio" dataDxfId="108"/>
    <tableColumn id="32" xr3:uid="{2D65A12E-475B-1341-A686-B5413E3D6B6D}" name="Loan (2) Term" dataDxfId="107"/>
    <tableColumn id="33" xr3:uid="{BAE13465-7DB5-2C40-A4CA-73BEF40FD96E}" name="Loan (2) Amortization" dataDxfId="106"/>
    <tableColumn id="34" xr3:uid="{DD73AE64-B906-424E-9D98-C99807B534D0}" name="Loan (2) Interest Rate" dataDxfId="105" dataCellStyle="Percent"/>
    <tableColumn id="35" xr3:uid="{8CBC5283-E633-4248-B056-25B6826136E9}" name="Loan (2) Principal" dataDxfId="104"/>
    <tableColumn id="36" xr3:uid="{73276DA4-A8C3-AD4D-BC21-C50F122B8819}" name="Total Debt" dataDxfId="103">
      <calculatedColumnFormula>IFERROR(IF(AE4&gt;0,AJ4+AE4,""),"")</calculatedColumnFormula>
    </tableColumn>
    <tableColumn id="37" xr3:uid="{4E4ABD8C-E6BA-984D-B042-97613A061F52}" name="Total Soft Soures" dataDxfId="102"/>
    <tableColumn id="38" xr3:uid="{3BF48651-02AE-F540-97A3-38E2BF31BBE3}" name="Source of Soft Funds" dataDxfId="101"/>
    <tableColumn id="39" xr3:uid="{22390737-0EBE-2C49-83D3-E3D84391FFF0}" name="Equity Price Per Credit" dataDxfId="100"/>
    <tableColumn id="40" xr3:uid="{ED32F3A5-BD10-4B42-98A4-5EBC32FF34A2}" name="Total Equity" dataDxfId="99"/>
    <tableColumn id="41" xr3:uid="{0E846EFA-DD4E-E147-AD4D-E18DA57077FC}" name="Income From Operations" dataDxfId="98"/>
    <tableColumn id="42" xr3:uid="{5766FAE8-4DEF-2941-8D5A-C9211F36108B}" name="Deferred Developer Fee" dataDxfId="97"/>
    <tableColumn id="43" xr3:uid="{798F3CBA-518B-A84F-B935-EFF3119474DF}" name="Debt Per Unit" dataDxfId="96">
      <calculatedColumnFormula>IFERROR(IF(AK4&gt;0,AK4/T4,""),"")</calculatedColumnFormula>
    </tableColumn>
    <tableColumn id="44" xr3:uid="{965E2D2B-1B5B-F141-A085-6E97312C4A06}" name="Soft Sources Per Unit" dataDxfId="95">
      <calculatedColumnFormula>IFERROR(IF(AL4&gt;0,AL4/T4,""),"")</calculatedColumnFormula>
    </tableColumn>
    <tableColumn id="45" xr3:uid="{68634A6D-41DD-4A4C-9E80-8E05B6624557}" name="Equity Per Unit" dataDxfId="94">
      <calculatedColumnFormula>IFERROR(IF(AO4&gt;0,AO4/T4,""),"")</calculatedColumnFormula>
    </tableColumn>
    <tableColumn id="46" xr3:uid="{7F02C47F-C56F-E049-A45F-7BBDF965CD9A}" name="Income From Operations Per Unit" dataDxfId="93">
      <calculatedColumnFormula>IFERROR(IF(AP4&gt;0,AP4/T4,""),"")</calculatedColumnFormula>
    </tableColumn>
    <tableColumn id="47" xr3:uid="{C576A28D-885B-5E48-AC5F-4D09130B363D}" name="Deferred Developer Fee Per Unit" dataDxfId="92">
      <calculatedColumnFormula>IFERROR(IF(AQ4&gt;0,AQ4/T4,""),"")</calculatedColumnFormula>
    </tableColumn>
    <tableColumn id="48" xr3:uid="{09F5231B-E3FC-B54B-B7C4-A8420C13C519}" name="Hard Costs All In Per Unit" dataDxfId="91">
      <calculatedColumnFormula>IFERROR(IF(SUM(BB4:BC4)&gt;0,SUM(BB4:BC4)/T4,""),"")</calculatedColumnFormula>
    </tableColumn>
    <tableColumn id="49" xr3:uid="{EBE9DAE3-DAA9-824E-B713-447E2F9595ED}" name="Hard Costs All In PSF" dataDxfId="90">
      <calculatedColumnFormula>IFERROR(IF(SUM(BB4:BC4)&gt;0,SUM(BB4:BC4)/U4,""),"")</calculatedColumnFormula>
    </tableColumn>
    <tableColumn id="50" xr3:uid="{AEE5EBE7-800D-2946-B6D1-0044C688106A}" name="Hard Costs All In Per Unit2" dataDxfId="89">
      <calculatedColumnFormula>IFERROR(IF(SUM(BL4:BO4)&gt;0,SUM(BL4:BO4),""),"")</calculatedColumnFormula>
    </tableColumn>
    <tableColumn id="51" xr3:uid="{A1E785C0-C294-7549-BE2D-F52A448F05A2}" name="Hard Costs All In PSF3" dataDxfId="88">
      <calculatedColumnFormula>IFERROR(IF(SUM(BV4:BY4)&gt;0,SUM(BV4:BY4),""),"")</calculatedColumnFormula>
    </tableColumn>
    <tableColumn id="52" xr3:uid="{AC82363B-32E4-6F43-8D2B-E3CEDB090FDB}" name="Acquisition Cost" dataDxfId="87"/>
    <tableColumn id="53" xr3:uid="{E1AD179B-0363-3C47-BCBA-9306C73AF7CA}" name="Off-Site + Site Work Cost" dataDxfId="86"/>
    <tableColumn id="54" xr3:uid="{6122B289-5443-5B47-8407-DE463506DCBE}" name="Building Hard Costs" dataDxfId="85"/>
    <tableColumn id="55" xr3:uid="{23E6A07E-674F-EE4C-9AAF-852476179DF3}" name="Hard Cost Contingeny" dataDxfId="84"/>
    <tableColumn id="56" xr3:uid="{E27B8804-306C-E04E-A259-B1B7A1E453AA}" name="Contractor Fee" dataDxfId="83"/>
    <tableColumn id="57" xr3:uid="{A0D85E51-CB70-CE4C-B870-513B43EB57F8}" name="Soft Costs" dataDxfId="82"/>
    <tableColumn id="58" xr3:uid="{33EC66DD-8DCA-F44A-B723-A07041D4C55C}" name="Financing Costs" dataDxfId="81"/>
    <tableColumn id="59" xr3:uid="{1099C64D-B632-3547-A133-E658A805227D}" name="Developer Fee" dataDxfId="80"/>
    <tableColumn id="60" xr3:uid="{D7EF9531-1316-904A-A7FA-5B4A10B3C345}" name="Reserves" dataDxfId="79"/>
    <tableColumn id="61" xr3:uid="{B544F3A3-FFBD-7A47-9A81-81726B74049F}" name="Total Development Cost" dataDxfId="78">
      <calculatedColumnFormula>IFERROR(IF(SUM(BA4:BI4)&gt;0,SUM(BA4:BI4),""),"")</calculatedColumnFormula>
    </tableColumn>
    <tableColumn id="62" xr3:uid="{BD52A237-966F-D742-943E-E622DA34D0B8}" name="Acquisition Cost Per Unit" dataDxfId="77">
      <calculatedColumnFormula>IFERROR(IF(BA4&gt;0,BA4/$T4,""),"")</calculatedColumnFormula>
    </tableColumn>
    <tableColumn id="63" xr3:uid="{A0B15A91-45F5-8E40-8E60-DB0D78FC4105}" name="Off-Site + Site Work Cost Per Unit" dataDxfId="76">
      <calculatedColumnFormula>IFERROR(IF(BB4&gt;0,BB4/$T4,""),"")</calculatedColumnFormula>
    </tableColumn>
    <tableColumn id="64" xr3:uid="{5A53A082-00F2-F14E-940F-3E3109533D61}" name="Building Cost Per Unit" dataDxfId="75">
      <calculatedColumnFormula>IFERROR(IF(BC4&gt;0,BC4/$T4,""),"")</calculatedColumnFormula>
    </tableColumn>
    <tableColumn id="65" xr3:uid="{18BAFA6E-DC24-EA45-BF69-C28D76C86790}" name="Hard Cost Contingeny Per Unit" dataDxfId="74">
      <calculatedColumnFormula>IFERROR(IF(BD4&gt;0,BD4/$T4,""),"")</calculatedColumnFormula>
    </tableColumn>
    <tableColumn id="66" xr3:uid="{77009F93-CC78-6441-B6E4-DC93F4498E7B}" name="Contractor Fee Per Unit" dataDxfId="73">
      <calculatedColumnFormula>IFERROR(IF(BE4&gt;0,BE4/$T4,""),"")</calculatedColumnFormula>
    </tableColumn>
    <tableColumn id="67" xr3:uid="{875F044B-89AC-D24E-AFDB-A5DB900A9AE0}" name="Soft Costs Per Unit" dataDxfId="72">
      <calculatedColumnFormula>IFERROR(IF(BF4&gt;0,BF4/$T4,""),"")</calculatedColumnFormula>
    </tableColumn>
    <tableColumn id="68" xr3:uid="{1D8F521E-D39E-C348-BF1C-20546E48575D}" name="Financing Costs Per Unit" dataDxfId="71">
      <calculatedColumnFormula>IFERROR(IF(BG4&gt;0,BG4/$T4,""),"")</calculatedColumnFormula>
    </tableColumn>
    <tableColumn id="69" xr3:uid="{47F6BE0F-652A-5C49-BEDB-F96F60D78C92}" name="Developer Fee Per Unit" dataDxfId="70">
      <calculatedColumnFormula>IFERROR(IF(BH4&gt;0,BH4/$T4,""),"")</calculatedColumnFormula>
    </tableColumn>
    <tableColumn id="70" xr3:uid="{8E517895-5C51-944D-8212-8493064C561B}" name="Reserves Per Unit" dataDxfId="69">
      <calculatedColumnFormula>IFERROR(IF(BI4&gt;0,BI4/$T4,""),"")</calculatedColumnFormula>
    </tableColumn>
    <tableColumn id="71" xr3:uid="{069884DA-2694-E14A-9C71-1B32805B0E0B}" name="Total Development Cost Per Unit" dataDxfId="68">
      <calculatedColumnFormula>IFERROR(IF(BJ4&gt;0,BJ4/$T4,""),"")</calculatedColumnFormula>
    </tableColumn>
    <tableColumn id="72" xr3:uid="{4F45C902-756D-7542-B131-B5F24C25DF52}" name="Acquisition Cost PSF" dataDxfId="67">
      <calculatedColumnFormula>IFERROR(IF(BA4&gt;0,BA4/$U4,""),"")</calculatedColumnFormula>
    </tableColumn>
    <tableColumn id="73" xr3:uid="{552C8CFE-14FF-C841-A9F1-F1D93A2BCEF3}" name="Off-Site + Site Work Cost PSF" dataDxfId="66">
      <calculatedColumnFormula>IFERROR(IF(BB4&gt;0,BB4/$U4,""),"")</calculatedColumnFormula>
    </tableColumn>
    <tableColumn id="74" xr3:uid="{DE3F3C16-EAD3-EF40-BC1A-411889EAF8FC}" name="Building Cost PSF" dataDxfId="65">
      <calculatedColumnFormula>IFERROR(IF(BC4&gt;0,BC4/$U4,""),"")</calculatedColumnFormula>
    </tableColumn>
    <tableColumn id="75" xr3:uid="{6DA4212B-CC20-3747-B0D3-3541FC225B98}" name="Hard Cost Contingeny PSF" dataDxfId="64">
      <calculatedColumnFormula>IFERROR(IF(BD4&gt;0,BD4/$U4,""),"")</calculatedColumnFormula>
    </tableColumn>
    <tableColumn id="76" xr3:uid="{805EE564-5F7F-2E45-9C70-D34EB24F7B4A}" name="Contractor Fee PSF" dataDxfId="63">
      <calculatedColumnFormula>IFERROR(IF(BE4&gt;0,BE4/$U4,""),"")</calculatedColumnFormula>
    </tableColumn>
    <tableColumn id="77" xr3:uid="{865C46FB-6D9B-3E47-8CCC-DA4D986DDD82}" name="Soft Costs PSF" dataDxfId="62">
      <calculatedColumnFormula>IFERROR(IF(BF4&gt;0,BF4/$U4,""),"")</calculatedColumnFormula>
    </tableColumn>
    <tableColumn id="78" xr3:uid="{17248473-73F7-B44D-92CB-86217684280D}" name="Financing Costs PSF" dataDxfId="61">
      <calculatedColumnFormula>IFERROR(IF(BG4&gt;0,BG4/$U4,""),"")</calculatedColumnFormula>
    </tableColumn>
    <tableColumn id="79" xr3:uid="{E6843EEF-8274-674C-9699-D3C6B1A42F03}" name="Developer Fee PSF" dataDxfId="60">
      <calculatedColumnFormula>IFERROR(IF(BH4&gt;0,BH4/$U4,""),"")</calculatedColumnFormula>
    </tableColumn>
    <tableColumn id="80" xr3:uid="{704FBC51-BD2B-9041-B82E-48B02FED8578}" name="Reserves PSF" dataDxfId="59">
      <calculatedColumnFormula>IFERROR(IF(BI4&gt;0,BI4/$U4,""),"")</calculatedColumnFormula>
    </tableColumn>
    <tableColumn id="81" xr3:uid="{A04FA4BB-D357-9148-B247-798953472B81}" name="Total Development Cost PSF" dataDxfId="58">
      <calculatedColumnFormula>IFERROR(IF(BJ4&gt;0,BJ4/$U4,""),"")</calculatedColumnFormula>
    </tableColumn>
    <tableColumn id="82" xr3:uid="{BB6141D3-9C35-2D47-B7FC-05ABB1A6E39D}" name="Potential Gross Rent" dataDxfId="57"/>
    <tableColumn id="83" xr3:uid="{98B547ED-7784-8F43-8052-8E5D719D2029}" name="Other Income" dataDxfId="56"/>
    <tableColumn id="84" xr3:uid="{AFFB4702-B773-F24B-897A-6949B0CBC707}" name="Vacancy + Concessions" dataDxfId="55"/>
    <tableColumn id="85" xr3:uid="{53677CF0-F94C-2947-AD05-6CBE593E0A87}" name="Effective Gross Income (EGI)" dataDxfId="54">
      <calculatedColumnFormula>IFERROR(IF(SUM(CE4:CG4)&gt;0,SUM(CE4:CG4),""),"")</calculatedColumnFormula>
    </tableColumn>
    <tableColumn id="86" xr3:uid="{BBBE4E12-98A4-A748-85AD-EEE04DAE1757}" name="General &amp; Administrative + Supportive Services + Compliance Fees" dataDxfId="53"/>
    <tableColumn id="87" xr3:uid="{D5E0B170-6744-C742-88D3-B3E9371364BF}" name="Management Fee" dataDxfId="52"/>
    <tableColumn id="88" xr3:uid="{2DD464F2-F6DB-564C-B1C1-A26C8854A903}" name="Payroll" dataDxfId="51"/>
    <tableColumn id="89" xr3:uid="{6FD5E809-682E-DA41-BF30-60DF0A368F2E}" name="Repairs &amp; Maintenance + Security" dataDxfId="50"/>
    <tableColumn id="90" xr3:uid="{63534543-DB82-744E-A179-CAD7D447B123}" name="Utilities" dataDxfId="49"/>
    <tableColumn id="91" xr3:uid="{58D4592D-C88A-A740-ABEF-981FA2B48602}" name="Insurance" dataDxfId="48"/>
    <tableColumn id="92" xr3:uid="{33778832-807A-F448-A82D-CFFC0AE691E2}" name="Property Taxes" dataDxfId="47"/>
    <tableColumn id="93" xr3:uid="{D12D9B6C-3C96-5C47-A3D5-2D3A3223FDFE}" name="Total OPEX Before Reserves" dataDxfId="46">
      <calculatedColumnFormula>IFERROR(IF(SUM(CI4:CO4)&gt;0,SUM(CI4:CO4),""),"")</calculatedColumnFormula>
    </tableColumn>
    <tableColumn id="94" xr3:uid="{4CD676AE-CE81-824D-A05A-04DCC3C89189}" name="Replacement Reserve Deposits" dataDxfId="45"/>
    <tableColumn id="95" xr3:uid="{CE1D86A1-111C-704C-AFE6-2F7AE5F5ACA5}" name="Total Operating Expenses" dataDxfId="44">
      <calculatedColumnFormula>IFERROR(IF(SUM(CP4:CQ4)&gt;0,SUM(CP4:CQ4),""),"")</calculatedColumnFormula>
    </tableColumn>
    <tableColumn id="96" xr3:uid="{E7320340-86C0-F44B-9352-AA49B411DDAB}" name="Net Operating Income" dataDxfId="43">
      <calculatedColumnFormula>IFERROR(IF(CH4-CR4&gt;0,CH4-CP4,""),"")</calculatedColumnFormula>
    </tableColumn>
    <tableColumn id="97" xr3:uid="{A0BAFAF6-4224-8A47-A8F9-D66EE1B4779A}" name="Hard Debt Service" dataDxfId="42"/>
    <tableColumn id="98" xr3:uid="{0993C2CE-0282-FC46-A625-33D90A2AE0D5}" name="Net Cash Flow From Operations" dataDxfId="41">
      <calculatedColumnFormula>IFERROR(IF(CS4-CT4&gt;0,CS4-CT4,""),"")</calculatedColumnFormula>
    </tableColumn>
    <tableColumn id="99" xr3:uid="{DCC670BA-955E-CD4D-AB2D-AB953AEF8746}" name="Operating Ratio" dataDxfId="40" dataCellStyle="Percent">
      <calculatedColumnFormula>IFERROR(IF(CU4&gt;0,CS4/CH4,""),"")</calculatedColumnFormula>
    </tableColumn>
    <tableColumn id="100" xr3:uid="{7BAD1AEB-E58E-5748-86AA-9430D0779632}" name="Total Operating Expenses Per Unit Per Year" dataDxfId="39">
      <calculatedColumnFormula>IFERROR(IF(CU4&gt;0,CR4/T4,""),"")</calculatedColumnFormula>
    </tableColumn>
    <tableColumn id="101" xr3:uid="{A1594B0C-9B7C-2041-B1C2-8113EC214C26}" name="Total Operating Expenses as % of EGI_x000a_(Income / Expense Ratio)" dataDxfId="38" dataCellStyle="Percent">
      <calculatedColumnFormula>IFERROR(IF(CU4&gt;0,CR4/CH4,""),"")</calculatedColumnFormula>
    </tableColumn>
    <tableColumn id="102" xr3:uid="{22BA0068-1225-5B4A-8A86-615A03490C8D}" name="Net Cash Flow Per Unit Per Year" dataDxfId="37">
      <calculatedColumnFormula>IFERROR(IF(CU4&gt;0,CU4/T4,""),"")</calculatedColumnFormula>
    </tableColumn>
    <tableColumn id="103" xr3:uid="{3FC36E1C-2213-2042-B737-494CBF6C4BA0}" name="Net Cash Flow as % of EGI" dataDxfId="36" dataCellStyle="Percent">
      <calculatedColumnFormula>IFERROR(IF(CU4&gt;0,CU4/CH4,""),"")</calculatedColumnFormula>
    </tableColumn>
    <tableColumn id="104" xr3:uid="{994F1B72-33A3-1140-AE1C-E8732BF80DBB}" name="Hard Debt as % of EGI" dataDxfId="35" dataCellStyle="Percent">
      <calculatedColumnFormula>IFERROR(IF(CT4&gt;0,CT4/CH4,""),"")</calculatedColumnFormula>
    </tableColumn>
    <tableColumn id="105" xr3:uid="{D4E1BB04-7D84-204C-98EE-78CAE567196A}" name="Hard Debt Per Unit" dataDxfId="34">
      <calculatedColumnFormula>IFERROR(IF(AR4&gt;0,AR4,""),"")</calculatedColumnFormula>
    </tableColumn>
    <tableColumn id="106" xr3:uid="{237BB9A7-4E4D-D74A-9742-D0D3135767B0}" name="Potential Gross Rent - Per Unit Per Year" dataDxfId="33">
      <calculatedColumnFormula>IFERROR(IF(ABS(CE4)&gt;0,CE4/$T4,""),"")</calculatedColumnFormula>
    </tableColumn>
    <tableColumn id="107" xr3:uid="{8007CC71-1FA5-594D-82B2-02AB405C0759}" name="Other Income - Per Unit Per Year" dataDxfId="32">
      <calculatedColumnFormula>IFERROR(IF(ABS(CF4)&gt;0,CF4/$T4,""),"")</calculatedColumnFormula>
    </tableColumn>
    <tableColumn id="108" xr3:uid="{E2E02AEF-7A4E-ED43-B125-2E90884B6832}" name="Vacancy + Concessions - Per Unit Per Year" dataDxfId="31">
      <calculatedColumnFormula>IFERROR(IF(ABS(CG4)&gt;0,CG4/$T4,""),"")</calculatedColumnFormula>
    </tableColumn>
    <tableColumn id="109" xr3:uid="{1F2C03D1-C2BB-5A43-964B-4F24F7ECDC1F}" name="Effective Gross Income (EGI) - Per Unit Per Year" dataDxfId="30">
      <calculatedColumnFormula>IFERROR(IF(ABS(CH4)&gt;0,CH4/$T4,""),"")</calculatedColumnFormula>
    </tableColumn>
    <tableColumn id="110" xr3:uid="{7C769651-4DAE-9D42-B0B9-68F70EC60D19}" name="General &amp; Administrative + Supportive Services + Compliance Fees - Per Unit Per Year" dataDxfId="29">
      <calculatedColumnFormula>IFERROR(IF(ABS(CI4)&gt;0,CI4/$T4,""),"")</calculatedColumnFormula>
    </tableColumn>
    <tableColumn id="111" xr3:uid="{ECC941DC-91F1-E849-91B1-05A9D36C537F}" name="Management Fee - Per Unit Per Year" dataDxfId="28">
      <calculatedColumnFormula>IFERROR(IF(ABS(CJ4)&gt;0,CJ4/$T4,""),"")</calculatedColumnFormula>
    </tableColumn>
    <tableColumn id="112" xr3:uid="{9726DDD3-7A9E-8141-98A6-FD8CB59FA1DA}" name="Payroll - Per Unit Per Year" dataDxfId="27">
      <calculatedColumnFormula>IFERROR(IF(ABS(CK4)&gt;0,CK4/$T4,""),"")</calculatedColumnFormula>
    </tableColumn>
    <tableColumn id="113" xr3:uid="{D05ED06F-2A42-1A4B-BCF7-2B964AC23502}" name="Repairs &amp; Maintenance + Security - Per Unit Per Year" dataDxfId="26">
      <calculatedColumnFormula>IFERROR(IF(ABS(CL4)&gt;0,CL4/$T4,""),"")</calculatedColumnFormula>
    </tableColumn>
    <tableColumn id="114" xr3:uid="{3AFD1DCD-C6F0-214A-A99E-F6EF0DD433D6}" name="Utilities - Per Unit Per Year" dataDxfId="25">
      <calculatedColumnFormula>IFERROR(IF(ABS(CM4)&gt;0,CM4/$T4,""),"")</calculatedColumnFormula>
    </tableColumn>
    <tableColumn id="115" xr3:uid="{2BB51A34-0EB8-3B40-9CED-D31856A311C6}" name="Insurance - Per Unit Per Year" dataDxfId="24">
      <calculatedColumnFormula>IFERROR(IF(ABS(CN4)&gt;0,CN4/$T4,""),"")</calculatedColumnFormula>
    </tableColumn>
    <tableColumn id="116" xr3:uid="{31B21182-4A94-1443-B2E9-BFC791619CCF}" name="Property Taxes - Per Unit Per Year" dataDxfId="23">
      <calculatedColumnFormula>IFERROR(IF(ABS(CO4)&gt;0,CO4/$T4,""),"")</calculatedColumnFormula>
    </tableColumn>
    <tableColumn id="117" xr3:uid="{515E4129-1A40-A140-92D3-F075FC4A70B0}" name="Total OPEX Before Reserves - Per Unit Per Year" dataDxfId="22">
      <calculatedColumnFormula>IFERROR(IF(ABS(CP4)&gt;0,CP4/$T4,""),"")</calculatedColumnFormula>
    </tableColumn>
    <tableColumn id="118" xr3:uid="{8DF39B1C-D8E1-F649-8ADC-A3D1B6C973EA}" name="Replacement Reserve Deposits - Per Unit Per Year" dataDxfId="21">
      <calculatedColumnFormula>IFERROR(IF(ABS(CQ4)&gt;0,CQ4/$T4,""),"")</calculatedColumnFormula>
    </tableColumn>
    <tableColumn id="119" xr3:uid="{83FFFD77-8F01-D944-90D1-5E29EDBF524A}" name="Total Operating Expenses - Per Unit Per Year" dataDxfId="20">
      <calculatedColumnFormula>IFERROR(IF(ABS(CR4)&gt;0,CR4/$T4,""),"")</calculatedColumnFormula>
    </tableColumn>
    <tableColumn id="120" xr3:uid="{41FED2F0-34A7-1146-9935-8E53985BF3C6}" name="Net Operating Income - Per Unit Per Year" dataDxfId="19">
      <calculatedColumnFormula>IFERROR(IF(ABS(CS4)&gt;0,CS4/$T4,""),"")</calculatedColumnFormula>
    </tableColumn>
    <tableColumn id="121" xr3:uid="{580A96EF-ACDB-7145-874F-479633BBF3F8}" name="Hard Debt Service - Per Unit Per Year" dataDxfId="18">
      <calculatedColumnFormula>IFERROR(IF(ABS(CT4)&gt;0,CT4/$T4,""),"")</calculatedColumnFormula>
    </tableColumn>
    <tableColumn id="122" xr3:uid="{AFBA8F73-3B9A-4145-A4B8-59C99BF8D2A3}" name="Net Cash Flow From Operations - Per Unit Per Year" dataDxfId="17">
      <calculatedColumnFormula>IFERROR(IF(ABS(CU4)&gt;0,CU4/$T4,""),"")</calculatedColumnFormula>
    </tableColumn>
    <tableColumn id="123" xr3:uid="{76B728BA-451A-9143-A38A-F8F7BFD59971}" name="Potential Gross Rent - % of EGI" dataDxfId="16" dataCellStyle="Percent">
      <calculatedColumnFormula>IFERROR(IF(ABS(CE4&gt;0),CE4/$CH4,""),"")</calculatedColumnFormula>
    </tableColumn>
    <tableColumn id="124" xr3:uid="{36EFA4C8-007D-7A4D-8CD2-6A9527FC89E8}" name="Other Income - % of EGI" dataDxfId="15" dataCellStyle="Percent">
      <calculatedColumnFormula>IFERROR(IF(ABS(CF4&gt;0),CF4/$CH4,""),"")</calculatedColumnFormula>
    </tableColumn>
    <tableColumn id="125" xr3:uid="{A03437BA-DF07-B44C-953A-3EF64F102D33}" name="Vacancy + Concessions - % of EGI" dataDxfId="14" dataCellStyle="Percent">
      <calculatedColumnFormula>IFERROR(IF(ABS(CG4&gt;0),CG4/$CH4,""),"")</calculatedColumnFormula>
    </tableColumn>
    <tableColumn id="126" xr3:uid="{EA45C044-9D81-4642-8D79-40EF531AE503}" name="Effective Gross Income (EGI) - % of EGI" dataDxfId="13" dataCellStyle="Percent">
      <calculatedColumnFormula>IFERROR(IF(ABS(CH4&gt;0),CH4/$CH4,""),"")</calculatedColumnFormula>
    </tableColumn>
    <tableColumn id="127" xr3:uid="{DB3FFD72-571C-6D4D-AD7F-444C8E5CA862}" name="General &amp; Administrative + Supportive Services + Compliance Fees - % of EGI" dataDxfId="12" dataCellStyle="Percent">
      <calculatedColumnFormula>IFERROR(IF(ABS(CI4&gt;0),CI4/$CH4,""),"")</calculatedColumnFormula>
    </tableColumn>
    <tableColumn id="128" xr3:uid="{C5E27013-FDD1-FC46-A089-2E6ACDACEC8B}" name="Management Fee - % of EGI" dataDxfId="11" dataCellStyle="Percent">
      <calculatedColumnFormula>IFERROR(IF(ABS(CJ4&gt;0),CJ4/$CH4,""),"")</calculatedColumnFormula>
    </tableColumn>
    <tableColumn id="129" xr3:uid="{4E835978-782C-ED43-843D-8C1A2B308F79}" name="Payroll - % of EGI" dataDxfId="10" dataCellStyle="Percent">
      <calculatedColumnFormula>IFERROR(IF(ABS(CK4&gt;0),CK4/$CH4,""),"")</calculatedColumnFormula>
    </tableColumn>
    <tableColumn id="130" xr3:uid="{4AB5C3C3-322E-3747-862F-EEBB351EE308}" name="Repairs &amp; Maintenance + Security - % of EGI" dataDxfId="9" dataCellStyle="Percent">
      <calculatedColumnFormula>IFERROR(IF(ABS(CL4&gt;0),CL4/$CH4,""),"")</calculatedColumnFormula>
    </tableColumn>
    <tableColumn id="131" xr3:uid="{FB0F7BED-C644-3B40-90AC-01757B964FB6}" name="Utilities - % of EGI" dataDxfId="8" dataCellStyle="Percent">
      <calculatedColumnFormula>IFERROR(IF(ABS(CM4&gt;0),CM4/$CH4,""),"")</calculatedColumnFormula>
    </tableColumn>
    <tableColumn id="132" xr3:uid="{7C9174DC-8643-4046-903E-F4343E759E80}" name="Insurance - % of EGI" dataDxfId="7" dataCellStyle="Percent">
      <calculatedColumnFormula>IFERROR(IF(ABS(CN4&gt;0),CN4/$CH4,""),"")</calculatedColumnFormula>
    </tableColumn>
    <tableColumn id="133" xr3:uid="{AFA7889B-5992-444B-A6D9-DCE1DDB832FC}" name="Property Taxes - % of EGI" dataDxfId="6" dataCellStyle="Percent">
      <calculatedColumnFormula>IFERROR(IF(ABS(CO4&gt;0),CO4/$CH4,""),"")</calculatedColumnFormula>
    </tableColumn>
    <tableColumn id="134" xr3:uid="{5BA24EAA-5EB9-204A-AAB0-3F88FBB3BAC7}" name="Total OPEX Before Reserves - % of EGI" dataDxfId="5" dataCellStyle="Percent">
      <calculatedColumnFormula>IFERROR(IF(ABS(CP4&gt;0),CP4/$CH4,""),"")</calculatedColumnFormula>
    </tableColumn>
    <tableColumn id="135" xr3:uid="{A604E90F-7EDB-944C-8486-F4AB51988233}" name="Replacement Reserve Deposits - % of EGI" dataDxfId="4" dataCellStyle="Percent">
      <calculatedColumnFormula>IFERROR(IF(ABS(CQ4&gt;0),CQ4/$CH4,""),"")</calculatedColumnFormula>
    </tableColumn>
    <tableColumn id="136" xr3:uid="{D9D36C1D-7D6E-6746-8E9A-7D304613E699}" name="Total Operating Expenses - % of EGI" dataDxfId="3" dataCellStyle="Percent">
      <calculatedColumnFormula>IFERROR(IF(ABS(CR4&gt;0),CR4/$CH4,""),"")</calculatedColumnFormula>
    </tableColumn>
    <tableColumn id="137" xr3:uid="{BABD0B23-AF49-CC4E-B7FB-7EDA8936FD12}" name="Net Operating Income - % of EGI" dataDxfId="2" dataCellStyle="Percent">
      <calculatedColumnFormula>IFERROR(IF(ABS(CS4&gt;0),CS4/$CH4,""),"")</calculatedColumnFormula>
    </tableColumn>
    <tableColumn id="138" xr3:uid="{A45C2C21-CB66-2E4B-93AF-C046AE889497}" name="Hard Debt Service - % of EGI" dataDxfId="1" dataCellStyle="Percent">
      <calculatedColumnFormula>IFERROR(IF(ABS(CT4&gt;0),CT4/$CH4,""),"")</calculatedColumnFormula>
    </tableColumn>
    <tableColumn id="139" xr3:uid="{425800B1-C586-AA46-A8C5-C1654C4E4DC2}" name="Net Cash Flow From Operations - % of EGI" dataDxfId="0" dataCellStyle="Percent">
      <calculatedColumnFormula>IFERROR(IF(ABS(CU4&gt;0),CU4/$CH4,""),"")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dhca.state.tx.us/readocs/uwrep/23955_21283.pdf" TargetMode="External"/><Relationship Id="rId299" Type="http://schemas.openxmlformats.org/officeDocument/2006/relationships/hyperlink" Target="chrome-extension://efaidnbmnnnibpcajpcglclefindmkaj/https:/www.tdhca.state.tx.us/readocs/uwrep/25422.pdf" TargetMode="External"/><Relationship Id="rId21" Type="http://schemas.openxmlformats.org/officeDocument/2006/relationships/hyperlink" Target="https://www.tdhca.state.tx.us/readocs/uwrep/22610.pdf" TargetMode="External"/><Relationship Id="rId63" Type="http://schemas.openxmlformats.org/officeDocument/2006/relationships/hyperlink" Target="https://www.tdhca.state.tx.us/readocs/uwrep/22424.pdf" TargetMode="External"/><Relationship Id="rId159" Type="http://schemas.openxmlformats.org/officeDocument/2006/relationships/hyperlink" Target="chrome-extension://efaidnbmnnnibpcajpcglclefindmkaj/https:/www.tdhca.state.tx.us/readocs/uwrep/23421.pdf" TargetMode="External"/><Relationship Id="rId324" Type="http://schemas.openxmlformats.org/officeDocument/2006/relationships/hyperlink" Target="https://www.tdhca.state.tx.us/readocs/uwrep/25107.pdf" TargetMode="External"/><Relationship Id="rId366" Type="http://schemas.openxmlformats.org/officeDocument/2006/relationships/hyperlink" Target="https://www.tdhca.state.tx.us/readocs/uwrep/26418.pdf" TargetMode="External"/><Relationship Id="rId170" Type="http://schemas.openxmlformats.org/officeDocument/2006/relationships/hyperlink" Target="chrome-extension://efaidnbmnnnibpcajpcglclefindmkaj/https:/www.tdhca.state.tx.us/readocs/uwrep/22204.pdf" TargetMode="External"/><Relationship Id="rId226" Type="http://schemas.openxmlformats.org/officeDocument/2006/relationships/hyperlink" Target="chrome-extension://efaidnbmnnnibpcajpcglclefindmkaj/https:/www.tdhca.state.tx.us/readocs/uwrep/24429.pdf" TargetMode="External"/><Relationship Id="rId268" Type="http://schemas.openxmlformats.org/officeDocument/2006/relationships/hyperlink" Target="chrome-extension://efaidnbmnnnibpcajpcglclefindmkaj/https:/www.tdhca.state.tx.us/readocs/uwrep/24488.pdf" TargetMode="External"/><Relationship Id="rId32" Type="http://schemas.openxmlformats.org/officeDocument/2006/relationships/hyperlink" Target="https://www.tdhca.state.tx.us/readocs/uwrep/22975_21508_20192.pdf" TargetMode="External"/><Relationship Id="rId74" Type="http://schemas.openxmlformats.org/officeDocument/2006/relationships/hyperlink" Target="https://www.tdhca.state.tx.us/readocs/uwrep/23923_21101.pdf" TargetMode="External"/><Relationship Id="rId128" Type="http://schemas.openxmlformats.org/officeDocument/2006/relationships/hyperlink" Target="https://www.tdhca.state.tx.us/readocs/uwrep/23423.pdf" TargetMode="External"/><Relationship Id="rId335" Type="http://schemas.openxmlformats.org/officeDocument/2006/relationships/hyperlink" Target="https://www.tdhca.state.tx.us/readocs/uwrep/25187.pdf" TargetMode="External"/><Relationship Id="rId377" Type="http://schemas.openxmlformats.org/officeDocument/2006/relationships/hyperlink" Target="https://www.tdhca.state.tx.us/readocs/uwrep/25456.pdf" TargetMode="External"/><Relationship Id="rId5" Type="http://schemas.openxmlformats.org/officeDocument/2006/relationships/hyperlink" Target="https://www.tdhca.state.tx.us/readocs/uwrep/22604.pdf" TargetMode="External"/><Relationship Id="rId181" Type="http://schemas.openxmlformats.org/officeDocument/2006/relationships/hyperlink" Target="chrome-extension://efaidnbmnnnibpcajpcglclefindmkaj/https:/www.tdhca.state.tx.us/readocs/uwrep/23473.pdf" TargetMode="External"/><Relationship Id="rId237" Type="http://schemas.openxmlformats.org/officeDocument/2006/relationships/hyperlink" Target="chrome-extension://efaidnbmnnnibpcajpcglclefindmkaj/https:/www.tdhca.state.tx.us/readocs/uwrep/24452.pdf" TargetMode="External"/><Relationship Id="rId279" Type="http://schemas.openxmlformats.org/officeDocument/2006/relationships/hyperlink" Target="chrome-extension://efaidnbmnnnibpcajpcglclefindmkaj/https:/www.tdhca.state.tx.us/readocs/uwrep/24487.pdf" TargetMode="External"/><Relationship Id="rId43" Type="http://schemas.openxmlformats.org/officeDocument/2006/relationships/hyperlink" Target="https://www.tdhca.state.tx.us/readocs/uwrep/22224.pdf" TargetMode="External"/><Relationship Id="rId139" Type="http://schemas.openxmlformats.org/officeDocument/2006/relationships/hyperlink" Target="https://www.tdhca.state.tx.us/readocs/uwrep/23440.pdf" TargetMode="External"/><Relationship Id="rId290" Type="http://schemas.openxmlformats.org/officeDocument/2006/relationships/hyperlink" Target="chrome-extension://efaidnbmnnnibpcajpcglclefindmkaj/https:/www.tdhca.state.tx.us/readocs/uwrep/25411.pdf" TargetMode="External"/><Relationship Id="rId304" Type="http://schemas.openxmlformats.org/officeDocument/2006/relationships/hyperlink" Target="chrome-extension://efaidnbmnnnibpcajpcglclefindmkaj/https:/www.tdhca.state.tx.us/readocs/uwrep/25403.pdf" TargetMode="External"/><Relationship Id="rId346" Type="http://schemas.openxmlformats.org/officeDocument/2006/relationships/hyperlink" Target="https://www.tdhca.state.tx.us/readocs/uwrep/24504_23927_21116.pdf" TargetMode="External"/><Relationship Id="rId388" Type="http://schemas.openxmlformats.org/officeDocument/2006/relationships/table" Target="../tables/table1.xml"/><Relationship Id="rId85" Type="http://schemas.openxmlformats.org/officeDocument/2006/relationships/hyperlink" Target="https://www.tdhca.state.tx.us/readocs/uwrep/23924_21104.pdf" TargetMode="External"/><Relationship Id="rId150" Type="http://schemas.openxmlformats.org/officeDocument/2006/relationships/hyperlink" Target="https://www.tdhca.state.tx.us/readocs/uwrep/23443.pdf" TargetMode="External"/><Relationship Id="rId192" Type="http://schemas.openxmlformats.org/officeDocument/2006/relationships/hyperlink" Target="chrome-extension://efaidnbmnnnibpcajpcglclefindmkaj/https:/www.tdhca.state.tx.us/readocs/uwrep/23711_22285.pdf" TargetMode="External"/><Relationship Id="rId206" Type="http://schemas.openxmlformats.org/officeDocument/2006/relationships/hyperlink" Target="chrome-extension://efaidnbmnnnibpcajpcglclefindmkaj/https:/www.tdhca.state.tx.us/readocs/uwrep/24412.pdf" TargetMode="External"/><Relationship Id="rId248" Type="http://schemas.openxmlformats.org/officeDocument/2006/relationships/hyperlink" Target="chrome-extension://efaidnbmnnnibpcajpcglclefindmkaj/https:/www.tdhca.state.tx.us/readocs/uwrep/24437.pdf" TargetMode="External"/><Relationship Id="rId12" Type="http://schemas.openxmlformats.org/officeDocument/2006/relationships/hyperlink" Target="https://www.tdhca.state.tx.us/readocs/uwrep/22474.pdf" TargetMode="External"/><Relationship Id="rId108" Type="http://schemas.openxmlformats.org/officeDocument/2006/relationships/hyperlink" Target="https://www.tdhca.state.tx.us/readocs/uwrep/23964_21245.pdf" TargetMode="External"/><Relationship Id="rId315" Type="http://schemas.openxmlformats.org/officeDocument/2006/relationships/hyperlink" Target="https://www.tdhca.state.tx.us/readocs/uwrep/24501_23905_21032.pdf" TargetMode="External"/><Relationship Id="rId357" Type="http://schemas.openxmlformats.org/officeDocument/2006/relationships/hyperlink" Target="https://www.tdhca.state.tx.us/readocs/uwrep/25013.pdf" TargetMode="External"/><Relationship Id="rId54" Type="http://schemas.openxmlformats.org/officeDocument/2006/relationships/hyperlink" Target="https://www.tdhca.state.tx.us/readocs/uwrep/22422.pdf" TargetMode="External"/><Relationship Id="rId96" Type="http://schemas.openxmlformats.org/officeDocument/2006/relationships/hyperlink" Target="https://www.tdhca.state.tx.us/readocs/uwrep/23917_21075.pdf" TargetMode="External"/><Relationship Id="rId161" Type="http://schemas.openxmlformats.org/officeDocument/2006/relationships/hyperlink" Target="chrome-extension://efaidnbmnnnibpcajpcglclefindmkaj/https:/www.tdhca.state.tx.us/readocs/uwrep/23460.pdf" TargetMode="External"/><Relationship Id="rId217" Type="http://schemas.openxmlformats.org/officeDocument/2006/relationships/hyperlink" Target="chrome-extension://efaidnbmnnnibpcajpcglclefindmkaj/https:/www.tdhca.state.tx.us/readocs/uwrep/24448.pdf" TargetMode="External"/><Relationship Id="rId259" Type="http://schemas.openxmlformats.org/officeDocument/2006/relationships/hyperlink" Target="chrome-extension://efaidnbmnnnibpcajpcglclefindmkaj/https:/www.tdhca.state.tx.us/readocs/uwrep/24478.pdf" TargetMode="External"/><Relationship Id="rId23" Type="http://schemas.openxmlformats.org/officeDocument/2006/relationships/hyperlink" Target="https://www.tdhca.state.tx.us/readocs/uwrep/21503_20082.pdf" TargetMode="External"/><Relationship Id="rId119" Type="http://schemas.openxmlformats.org/officeDocument/2006/relationships/hyperlink" Target="https://www.tdhca.state.tx.us/readocs/uwrep/23941_21176.pdf" TargetMode="External"/><Relationship Id="rId270" Type="http://schemas.openxmlformats.org/officeDocument/2006/relationships/hyperlink" Target="chrome-extension://efaidnbmnnnibpcajpcglclefindmkaj/https:/www.tdhca.state.tx.us/readocs/uwrep/24492.pdf" TargetMode="External"/><Relationship Id="rId326" Type="http://schemas.openxmlformats.org/officeDocument/2006/relationships/hyperlink" Target="https://www.tdhca.state.tx.us/readocs/uwrep/25093.pdf" TargetMode="External"/><Relationship Id="rId65" Type="http://schemas.openxmlformats.org/officeDocument/2006/relationships/hyperlink" Target="https://www.tdhca.state.tx.us/readocs/uwrep/22603.pdf" TargetMode="External"/><Relationship Id="rId130" Type="http://schemas.openxmlformats.org/officeDocument/2006/relationships/hyperlink" Target="https://www.tdhca.state.tx.us/readocs/uwrep/23428.pdf" TargetMode="External"/><Relationship Id="rId368" Type="http://schemas.openxmlformats.org/officeDocument/2006/relationships/hyperlink" Target="https://www.tdhca.state.tx.us/readocs/uwrep/25468.pdf" TargetMode="External"/><Relationship Id="rId172" Type="http://schemas.openxmlformats.org/officeDocument/2006/relationships/hyperlink" Target="chrome-extension://efaidnbmnnnibpcajpcglclefindmkaj/https:/www.tdhca.state.tx.us/readocs/uwrep/23472.pdf" TargetMode="External"/><Relationship Id="rId228" Type="http://schemas.openxmlformats.org/officeDocument/2006/relationships/hyperlink" Target="chrome-extension://efaidnbmnnnibpcajpcglclefindmkaj/https:/www.tdhca.state.tx.us/readocs/uwrep/24445.pdf" TargetMode="External"/><Relationship Id="rId281" Type="http://schemas.openxmlformats.org/officeDocument/2006/relationships/hyperlink" Target="chrome-extension://efaidnbmnnnibpcajpcglclefindmkaj/https:/www.tdhca.state.tx.us/readocs/uwrep/24411.pdf" TargetMode="External"/><Relationship Id="rId337" Type="http://schemas.openxmlformats.org/officeDocument/2006/relationships/hyperlink" Target="https://www.tdhca.state.tx.us/readocs/uwrep/25177.pdf" TargetMode="External"/><Relationship Id="rId34" Type="http://schemas.openxmlformats.org/officeDocument/2006/relationships/hyperlink" Target="https://www.tdhca.state.tx.us/readocs/uwrep/22450.pdf" TargetMode="External"/><Relationship Id="rId76" Type="http://schemas.openxmlformats.org/officeDocument/2006/relationships/hyperlink" Target="https://www.tdhca.state.tx.us/readocs/uwrep/23954_21274.pdf" TargetMode="External"/><Relationship Id="rId141" Type="http://schemas.openxmlformats.org/officeDocument/2006/relationships/hyperlink" Target="https://www.tdhca.state.tx.us/readocs/uwrep/23427.pdf" TargetMode="External"/><Relationship Id="rId379" Type="http://schemas.openxmlformats.org/officeDocument/2006/relationships/hyperlink" Target="https://www.tdhca.state.tx.us/readocs/uwrep/25462.pdf" TargetMode="External"/><Relationship Id="rId7" Type="http://schemas.openxmlformats.org/officeDocument/2006/relationships/hyperlink" Target="https://www.tdhca.state.tx.us/readocs/uwrep/22485.pdf" TargetMode="External"/><Relationship Id="rId183" Type="http://schemas.openxmlformats.org/officeDocument/2006/relationships/hyperlink" Target="chrome-extension://efaidnbmnnnibpcajpcglclefindmkaj/https:/www.tdhca.state.tx.us/readocs/uwrep/22609.pdf" TargetMode="External"/><Relationship Id="rId239" Type="http://schemas.openxmlformats.org/officeDocument/2006/relationships/hyperlink" Target="chrome-extension://efaidnbmnnnibpcajpcglclefindmkaj/https:/www.tdhca.state.tx.us/readocs/uwrep/24462.pdf" TargetMode="External"/><Relationship Id="rId250" Type="http://schemas.openxmlformats.org/officeDocument/2006/relationships/hyperlink" Target="chrome-extension://efaidnbmnnnibpcajpcglclefindmkaj/https:/www.tdhca.state.tx.us/readocs/uwrep/24483.pdf" TargetMode="External"/><Relationship Id="rId292" Type="http://schemas.openxmlformats.org/officeDocument/2006/relationships/hyperlink" Target="chrome-extension://efaidnbmnnnibpcajpcglclefindmkaj/https:/www.tdhca.state.tx.us/readocs/uwrep/25413.pdf" TargetMode="External"/><Relationship Id="rId306" Type="http://schemas.openxmlformats.org/officeDocument/2006/relationships/hyperlink" Target="chrome-extension://efaidnbmnnnibpcajpcglclefindmkaj/https:/www.tdhca.state.tx.us/readocs/uwrep/25404.pdf" TargetMode="External"/><Relationship Id="rId45" Type="http://schemas.openxmlformats.org/officeDocument/2006/relationships/hyperlink" Target="https://www.tdhca.state.tx.us/readocs/uwrep/22505_21006.pdf" TargetMode="External"/><Relationship Id="rId87" Type="http://schemas.openxmlformats.org/officeDocument/2006/relationships/hyperlink" Target="https://www.tdhca.state.tx.us/readocs/uwrep/23925_21113.pdf" TargetMode="External"/><Relationship Id="rId110" Type="http://schemas.openxmlformats.org/officeDocument/2006/relationships/hyperlink" Target="https://www.tdhca.state.tx.us/readocs/uwrep/23915_21061.pdf" TargetMode="External"/><Relationship Id="rId348" Type="http://schemas.openxmlformats.org/officeDocument/2006/relationships/hyperlink" Target="https://www.tdhca.state.tx.us/readocs/uwrep/25484.pdf" TargetMode="External"/><Relationship Id="rId152" Type="http://schemas.openxmlformats.org/officeDocument/2006/relationships/hyperlink" Target="https://www.tdhca.state.tx.us/readocs/uwrep/23712_22297.pdf" TargetMode="External"/><Relationship Id="rId194" Type="http://schemas.openxmlformats.org/officeDocument/2006/relationships/hyperlink" Target="chrome-extension://efaidnbmnnnibpcajpcglclefindmkaj/https:/www.tdhca.state.tx.us/readocs/uwrep/23479.pdf" TargetMode="External"/><Relationship Id="rId208" Type="http://schemas.openxmlformats.org/officeDocument/2006/relationships/hyperlink" Target="chrome-extension://efaidnbmnnnibpcajpcglclefindmkaj/https:/www.tdhca.state.tx.us/readocs/uwrep/24436.pdf" TargetMode="External"/><Relationship Id="rId261" Type="http://schemas.openxmlformats.org/officeDocument/2006/relationships/hyperlink" Target="chrome-extension://efaidnbmnnnibpcajpcglclefindmkaj/https:/www.tdhca.state.tx.us/readocs/uwrep/24244.pdf" TargetMode="External"/><Relationship Id="rId14" Type="http://schemas.openxmlformats.org/officeDocument/2006/relationships/hyperlink" Target="https://www.tdhca.state.tx.us/readocs/uwrep/22478.pdf" TargetMode="External"/><Relationship Id="rId56" Type="http://schemas.openxmlformats.org/officeDocument/2006/relationships/hyperlink" Target="https://www.tdhca.state.tx.us/readocs/uwrep/22452.pdfhttps:/www.tdhca.state.tx.us/readocs/uwrep/22452.pdf" TargetMode="External"/><Relationship Id="rId317" Type="http://schemas.openxmlformats.org/officeDocument/2006/relationships/hyperlink" Target="https://www.tdhca.state.tx.us/readocs/uwrep/25461.pdf" TargetMode="External"/><Relationship Id="rId359" Type="http://schemas.openxmlformats.org/officeDocument/2006/relationships/hyperlink" Target="https://www.tdhca.state.tx.us/readocs/uwrep/26410.pdf" TargetMode="External"/><Relationship Id="rId98" Type="http://schemas.openxmlformats.org/officeDocument/2006/relationships/hyperlink" Target="https://www.tdhca.state.tx.us/readocs/uwrep/23961_21318.pdf" TargetMode="External"/><Relationship Id="rId121" Type="http://schemas.openxmlformats.org/officeDocument/2006/relationships/hyperlink" Target="https://www.tdhca.state.tx.us/readocs/uwrep/23939_21166.pdf" TargetMode="External"/><Relationship Id="rId163" Type="http://schemas.openxmlformats.org/officeDocument/2006/relationships/hyperlink" Target="chrome-extension://efaidnbmnnnibpcajpcglclefindmkaj/https:/www.tdhca.state.tx.us/readocs/uwrep/23453.pdf" TargetMode="External"/><Relationship Id="rId219" Type="http://schemas.openxmlformats.org/officeDocument/2006/relationships/hyperlink" Target="chrome-extension://efaidnbmnnnibpcajpcglclefindmkaj/https:/www.tdhca.state.tx.us/readocs/uwrep/22219.pdf" TargetMode="External"/><Relationship Id="rId370" Type="http://schemas.openxmlformats.org/officeDocument/2006/relationships/hyperlink" Target="https://www.tdhca.state.tx.us/readocs/uwrep/25471.pdf" TargetMode="External"/><Relationship Id="rId230" Type="http://schemas.openxmlformats.org/officeDocument/2006/relationships/hyperlink" Target="chrome-extension://efaidnbmnnnibpcajpcglclefindmkaj/https:/www.tdhca.state.tx.us/readocs/uwrep/24407.pdf" TargetMode="External"/><Relationship Id="rId25" Type="http://schemas.openxmlformats.org/officeDocument/2006/relationships/hyperlink" Target="https://www.tdhca.state.tx.us/readocs/uwrep/21017.pdf" TargetMode="External"/><Relationship Id="rId67" Type="http://schemas.openxmlformats.org/officeDocument/2006/relationships/hyperlink" Target="https://www.tdhca.state.tx.us/readocs/uwrep/22437.pdf" TargetMode="External"/><Relationship Id="rId272" Type="http://schemas.openxmlformats.org/officeDocument/2006/relationships/hyperlink" Target="chrome-extension://efaidnbmnnnibpcajpcglclefindmkaj/https:/www.tdhca.state.tx.us/readocs/uwrep/24474.pdf" TargetMode="External"/><Relationship Id="rId328" Type="http://schemas.openxmlformats.org/officeDocument/2006/relationships/hyperlink" Target="https://www.tdhca.state.tx.us/readocs/uwrep/25443.pdf" TargetMode="External"/><Relationship Id="rId132" Type="http://schemas.openxmlformats.org/officeDocument/2006/relationships/hyperlink" Target="https://www.tdhca.state.tx.us/readocs/uwrep/23401.pdf" TargetMode="External"/><Relationship Id="rId174" Type="http://schemas.openxmlformats.org/officeDocument/2006/relationships/hyperlink" Target="chrome-extension://efaidnbmnnnibpcajpcglclefindmkaj/https:/www.tdhca.state.tx.us/readocs/uwrep/23013.pdf" TargetMode="External"/><Relationship Id="rId381" Type="http://schemas.openxmlformats.org/officeDocument/2006/relationships/hyperlink" Target="https://www.tdhca.state.tx.us/readocs/uwrep/25421.pdf" TargetMode="External"/><Relationship Id="rId241" Type="http://schemas.openxmlformats.org/officeDocument/2006/relationships/hyperlink" Target="chrome-extension://efaidnbmnnnibpcajpcglclefindmkaj/https:/www.tdhca.state.tx.us/readocs/uwrep/24417.pdf" TargetMode="External"/><Relationship Id="rId36" Type="http://schemas.openxmlformats.org/officeDocument/2006/relationships/hyperlink" Target="https://www.tdhca.state.tx.us/readocs/uwrep/21515.pdf" TargetMode="External"/><Relationship Id="rId283" Type="http://schemas.openxmlformats.org/officeDocument/2006/relationships/hyperlink" Target="chrome-extension://efaidnbmnnnibpcajpcglclefindmkaj/https:/www.tdhca.state.tx.us/readocs/uwrep/24510_22153.pdf" TargetMode="External"/><Relationship Id="rId339" Type="http://schemas.openxmlformats.org/officeDocument/2006/relationships/hyperlink" Target="https://www.tdhca.state.tx.us/readocs/uwrep/25494.pdf" TargetMode="External"/><Relationship Id="rId78" Type="http://schemas.openxmlformats.org/officeDocument/2006/relationships/hyperlink" Target="https://www.tdhca.state.tx.us/readocs/uwrep/23933_21131.pdf" TargetMode="External"/><Relationship Id="rId101" Type="http://schemas.openxmlformats.org/officeDocument/2006/relationships/hyperlink" Target="https://www.tdhca.state.tx.us/readocs/uwrep/23921_21099.pdf" TargetMode="External"/><Relationship Id="rId143" Type="http://schemas.openxmlformats.org/officeDocument/2006/relationships/hyperlink" Target="https://www.tdhca.state.tx.us/readocs/uwrep/23424.pdf" TargetMode="External"/><Relationship Id="rId185" Type="http://schemas.openxmlformats.org/officeDocument/2006/relationships/hyperlink" Target="chrome-extension://efaidnbmnnnibpcajpcglclefindmkaj/https:/www.tdhca.state.tx.us/readocs/uwrep/23511_22331.pdf" TargetMode="External"/><Relationship Id="rId350" Type="http://schemas.openxmlformats.org/officeDocument/2006/relationships/hyperlink" Target="https://www.tdhca.state.tx.us/readocs/uwrep/25488.pdf" TargetMode="External"/><Relationship Id="rId9" Type="http://schemas.openxmlformats.org/officeDocument/2006/relationships/hyperlink" Target="https://www.tdhca.state.tx.us/readocs/uwrep/22483.pdf" TargetMode="External"/><Relationship Id="rId210" Type="http://schemas.openxmlformats.org/officeDocument/2006/relationships/hyperlink" Target="chrome-extension://efaidnbmnnnibpcajpcglclefindmkaj/https:/www.tdhca.state.tx.us/readocs/uwrep/22039.pdf" TargetMode="External"/><Relationship Id="rId252" Type="http://schemas.openxmlformats.org/officeDocument/2006/relationships/hyperlink" Target="chrome-extension://efaidnbmnnnibpcajpcglclefindmkaj/https:/www.tdhca.state.tx.us/readocs/uwrep/24451.pdf" TargetMode="External"/><Relationship Id="rId294" Type="http://schemas.openxmlformats.org/officeDocument/2006/relationships/hyperlink" Target="chrome-extension://efaidnbmnnnibpcajpcglclefindmkaj/https:/www.tdhca.state.tx.us/readocs/uwrep/25447.pdf" TargetMode="External"/><Relationship Id="rId308" Type="http://schemas.openxmlformats.org/officeDocument/2006/relationships/hyperlink" Target="https://www.tdhca.state.tx.us/readocs/uwrep/25414.pdf" TargetMode="External"/><Relationship Id="rId47" Type="http://schemas.openxmlformats.org/officeDocument/2006/relationships/hyperlink" Target="https://www.tdhca.state.tx.us/readocs/uwrep/21413.pdf" TargetMode="External"/><Relationship Id="rId89" Type="http://schemas.openxmlformats.org/officeDocument/2006/relationships/hyperlink" Target="https://www.tdhca.state.tx.us/readocs/uwrep/23920_21093.pdf" TargetMode="External"/><Relationship Id="rId112" Type="http://schemas.openxmlformats.org/officeDocument/2006/relationships/hyperlink" Target="https://www.tdhca.state.tx.us/readocs/uwrep/23927_21116.pdf" TargetMode="External"/><Relationship Id="rId154" Type="http://schemas.openxmlformats.org/officeDocument/2006/relationships/hyperlink" Target="https://www.tdhca.state.tx.us/readocs/uwrep/23606.pdf" TargetMode="External"/><Relationship Id="rId361" Type="http://schemas.openxmlformats.org/officeDocument/2006/relationships/hyperlink" Target="https://www.tdhca.state.tx.us/readocs/uwrep/26412.pdf" TargetMode="External"/><Relationship Id="rId196" Type="http://schemas.openxmlformats.org/officeDocument/2006/relationships/hyperlink" Target="chrome-extension://efaidnbmnnnibpcajpcglclefindmkaj/https:/www.tdhca.state.tx.us/readocs/uwrep/23480.pdf" TargetMode="External"/><Relationship Id="rId200" Type="http://schemas.openxmlformats.org/officeDocument/2006/relationships/hyperlink" Target="chrome-extension://efaidnbmnnnibpcajpcglclefindmkaj/https:/www.tdhca.state.tx.us/readocs/uwrep/23481.pdf" TargetMode="External"/><Relationship Id="rId382" Type="http://schemas.openxmlformats.org/officeDocument/2006/relationships/hyperlink" Target="https://www.tdhca.state.tx.us/readocs/uwrep/25408.pdf" TargetMode="External"/><Relationship Id="rId16" Type="http://schemas.openxmlformats.org/officeDocument/2006/relationships/hyperlink" Target="https://www.tdhca.state.tx.us/readocs/uwrep/22471.pdf" TargetMode="External"/><Relationship Id="rId221" Type="http://schemas.openxmlformats.org/officeDocument/2006/relationships/hyperlink" Target="chrome-extension://efaidnbmnnnibpcajpcglclefindmkaj/https:/www.tdhca.state.tx.us/readocs/uwrep/24427.pdf" TargetMode="External"/><Relationship Id="rId242" Type="http://schemas.openxmlformats.org/officeDocument/2006/relationships/hyperlink" Target="chrome-extension://efaidnbmnnnibpcajpcglclefindmkaj/https:/www.tdhca.state.tx.us/readocs/uwrep/24405.pdf" TargetMode="External"/><Relationship Id="rId263" Type="http://schemas.openxmlformats.org/officeDocument/2006/relationships/hyperlink" Target="chrome-extension://efaidnbmnnnibpcajpcglclefindmkaj/https:/www.tdhca.state.tx.us/readocs/uwrep/24468.pdf" TargetMode="External"/><Relationship Id="rId284" Type="http://schemas.openxmlformats.org/officeDocument/2006/relationships/hyperlink" Target="chrome-extension://efaidnbmnnnibpcajpcglclefindmkaj/https:/www.tdhca.state.tx.us/readocs/uwrep/24485.pdf" TargetMode="External"/><Relationship Id="rId319" Type="http://schemas.openxmlformats.org/officeDocument/2006/relationships/hyperlink" Target="https://www.tdhca.state.tx.us/readocs/uwrep/25201.pdf" TargetMode="External"/><Relationship Id="rId37" Type="http://schemas.openxmlformats.org/officeDocument/2006/relationships/hyperlink" Target="https://www.tdhca.state.tx.us/readocs/uwrep/21513.pdf" TargetMode="External"/><Relationship Id="rId58" Type="http://schemas.openxmlformats.org/officeDocument/2006/relationships/hyperlink" Target="https://www.tdhca.state.tx.us/readocs/uwrep/21521_20400.pdf" TargetMode="External"/><Relationship Id="rId79" Type="http://schemas.openxmlformats.org/officeDocument/2006/relationships/hyperlink" Target="https://www.tdhca.state.tx.us/readocs/uwrep/23901_21004.pdf" TargetMode="External"/><Relationship Id="rId102" Type="http://schemas.openxmlformats.org/officeDocument/2006/relationships/hyperlink" Target="https://www.tdhca.state.tx.us/readocs/uwrep/23930_21119.pdf" TargetMode="External"/><Relationship Id="rId123" Type="http://schemas.openxmlformats.org/officeDocument/2006/relationships/hyperlink" Target="https://www.tdhca.state.tx.us/readocs/uwrep/23407.pdf" TargetMode="External"/><Relationship Id="rId144" Type="http://schemas.openxmlformats.org/officeDocument/2006/relationships/hyperlink" Target="https://www.tdhca.state.tx.us/readocs/uwrep/23433.pdf" TargetMode="External"/><Relationship Id="rId330" Type="http://schemas.openxmlformats.org/officeDocument/2006/relationships/hyperlink" Target="https://www.tdhca.state.tx.us/readocs/uwrep/25505_24146.pdf" TargetMode="External"/><Relationship Id="rId90" Type="http://schemas.openxmlformats.org/officeDocument/2006/relationships/hyperlink" Target="https://www.tdhca.state.tx.us/readocs/uwrep/23947_21208.pdf" TargetMode="External"/><Relationship Id="rId165" Type="http://schemas.openxmlformats.org/officeDocument/2006/relationships/hyperlink" Target="chrome-extension://efaidnbmnnnibpcajpcglclefindmkaj/https:/www.tdhca.state.tx.us/readocs/uwrep/23459.pdf" TargetMode="External"/><Relationship Id="rId186" Type="http://schemas.openxmlformats.org/officeDocument/2006/relationships/hyperlink" Target="chrome-extension://efaidnbmnnnibpcajpcglclefindmkaj/https:/www.tdhca.state.tx.us/readocs/uwrep/23471.pdf" TargetMode="External"/><Relationship Id="rId351" Type="http://schemas.openxmlformats.org/officeDocument/2006/relationships/hyperlink" Target="https://www.tdhca.state.tx.us/readocs/uwrep/26422.pdf" TargetMode="External"/><Relationship Id="rId372" Type="http://schemas.openxmlformats.org/officeDocument/2006/relationships/hyperlink" Target="https://www.tdhca.state.tx.us/readocs/uwrep/25465.pdf" TargetMode="External"/><Relationship Id="rId211" Type="http://schemas.openxmlformats.org/officeDocument/2006/relationships/hyperlink" Target="chrome-extension://efaidnbmnnnibpcajpcglclefindmkaj/https:/www.tdhca.state.tx.us/readocs/uwrep/24424.pdf" TargetMode="External"/><Relationship Id="rId232" Type="http://schemas.openxmlformats.org/officeDocument/2006/relationships/hyperlink" Target="chrome-extension://efaidnbmnnnibpcajpcglclefindmkaj/https:/www.tdhca.state.tx.us/readocs/uwrep/24426.pdf" TargetMode="External"/><Relationship Id="rId253" Type="http://schemas.openxmlformats.org/officeDocument/2006/relationships/hyperlink" Target="chrome-extension://efaidnbmnnnibpcajpcglclefindmkaj/https:/www.tdhca.state.tx.us/readocs/uwrep/24044.pdf" TargetMode="External"/><Relationship Id="rId274" Type="http://schemas.openxmlformats.org/officeDocument/2006/relationships/hyperlink" Target="chrome-extension://efaidnbmnnnibpcajpcglclefindmkaj/https:/www.tdhca.state.tx.us/readocs/uwrep/24497.pdf" TargetMode="External"/><Relationship Id="rId295" Type="http://schemas.openxmlformats.org/officeDocument/2006/relationships/hyperlink" Target="chrome-extension://efaidnbmnnnibpcajpcglclefindmkaj/https:/www.tdhca.state.tx.us/readocs/uwrep/25409.pdf" TargetMode="External"/><Relationship Id="rId309" Type="http://schemas.openxmlformats.org/officeDocument/2006/relationships/hyperlink" Target="https://www.tdhca.state.tx.us/readocs/uwrep/25438.pdf" TargetMode="External"/><Relationship Id="rId27" Type="http://schemas.openxmlformats.org/officeDocument/2006/relationships/hyperlink" Target="https://www.tdhca.state.tx.us/readocs/uwrep/22456.pdf" TargetMode="External"/><Relationship Id="rId48" Type="http://schemas.openxmlformats.org/officeDocument/2006/relationships/hyperlink" Target="https://www.tdhca.state.tx.us/readocs/uwrep/21522_20506.pdf" TargetMode="External"/><Relationship Id="rId69" Type="http://schemas.openxmlformats.org/officeDocument/2006/relationships/hyperlink" Target="https://www.tdhca.state.tx.us/readocs/uwrep/22608.pdf" TargetMode="External"/><Relationship Id="rId113" Type="http://schemas.openxmlformats.org/officeDocument/2006/relationships/hyperlink" Target="https://www.tdhca.state.tx.us/readocs/uwrep/23956_21289.pdf" TargetMode="External"/><Relationship Id="rId134" Type="http://schemas.openxmlformats.org/officeDocument/2006/relationships/hyperlink" Target="https://www.tdhca.state.tx.us/readocs/uwrep/23918_21078.pdf" TargetMode="External"/><Relationship Id="rId320" Type="http://schemas.openxmlformats.org/officeDocument/2006/relationships/hyperlink" Target="https://www.tdhca.state.tx.us/readocs/uwrep/25481.pdf" TargetMode="External"/><Relationship Id="rId80" Type="http://schemas.openxmlformats.org/officeDocument/2006/relationships/hyperlink" Target="https://www.tdhca.state.tx.us/readocs/uwrep/23935_21136.pdf" TargetMode="External"/><Relationship Id="rId155" Type="http://schemas.openxmlformats.org/officeDocument/2006/relationships/hyperlink" Target="https://www.tdhca.state.tx.us/readocs/uwrep/23610.pdf" TargetMode="External"/><Relationship Id="rId176" Type="http://schemas.openxmlformats.org/officeDocument/2006/relationships/hyperlink" Target="chrome-extension://efaidnbmnnnibpcajpcglclefindmkaj/https:/www.tdhca.state.tx.us/readocs/uwrep/23703.pdf" TargetMode="External"/><Relationship Id="rId197" Type="http://schemas.openxmlformats.org/officeDocument/2006/relationships/hyperlink" Target="chrome-extension://efaidnbmnnnibpcajpcglclefindmkaj/https:/www.tdhca.state.tx.us/readocs/uwrep/23475.pdf" TargetMode="External"/><Relationship Id="rId341" Type="http://schemas.openxmlformats.org/officeDocument/2006/relationships/hyperlink" Target="https://www.tdhca.state.tx.us/readocs/uwrep/25483.pdf" TargetMode="External"/><Relationship Id="rId362" Type="http://schemas.openxmlformats.org/officeDocument/2006/relationships/hyperlink" Target="https://www.tdhca.state.tx.us/readocs/uwrep/24607.pdf" TargetMode="External"/><Relationship Id="rId383" Type="http://schemas.openxmlformats.org/officeDocument/2006/relationships/hyperlink" Target="https://www.tdhca.state.tx.us/readocs/uwrep/26417.pdf" TargetMode="External"/><Relationship Id="rId201" Type="http://schemas.openxmlformats.org/officeDocument/2006/relationships/hyperlink" Target="chrome-extension://efaidnbmnnnibpcajpcglclefindmkaj/https:/www.tdhca.state.tx.us/readocs/uwrep/23500_23903_21024.pdf" TargetMode="External"/><Relationship Id="rId222" Type="http://schemas.openxmlformats.org/officeDocument/2006/relationships/hyperlink" Target="chrome-extension://efaidnbmnnnibpcajpcglclefindmkaj/https:/www.tdhca.state.tx.us/readocs/uwrep/24600.pdf" TargetMode="External"/><Relationship Id="rId243" Type="http://schemas.openxmlformats.org/officeDocument/2006/relationships/hyperlink" Target="chrome-extension://efaidnbmnnnibpcajpcglclefindmkaj/https:/www.tdhca.state.tx.us/readocs/uwrep/23702.pdf" TargetMode="External"/><Relationship Id="rId264" Type="http://schemas.openxmlformats.org/officeDocument/2006/relationships/hyperlink" Target="chrome-extension://efaidnbmnnnibpcajpcglclefindmkaj/https:/www.tdhca.state.tx.us/readocs/uwrep/24491.pdf" TargetMode="External"/><Relationship Id="rId285" Type="http://schemas.openxmlformats.org/officeDocument/2006/relationships/hyperlink" Target="chrome-extension://efaidnbmnnnibpcajpcglclefindmkaj/https:/www.tdhca.state.tx.us/readocs/uwrep/24496.pdf" TargetMode="External"/><Relationship Id="rId17" Type="http://schemas.openxmlformats.org/officeDocument/2006/relationships/hyperlink" Target="https://www.tdhca.state.tx.us/readocs/uwrep/22977_21520_20186.pdf" TargetMode="External"/><Relationship Id="rId38" Type="http://schemas.openxmlformats.org/officeDocument/2006/relationships/hyperlink" Target="https://www.tdhca.state.tx.us/readocs/uwrep/22457.pdf" TargetMode="External"/><Relationship Id="rId59" Type="http://schemas.openxmlformats.org/officeDocument/2006/relationships/hyperlink" Target="https://www.tdhca.state.tx.us/readocs/uwrep/22434.pdf" TargetMode="External"/><Relationship Id="rId103" Type="http://schemas.openxmlformats.org/officeDocument/2006/relationships/hyperlink" Target="https://www.tdhca.state.tx.us/readocs/uwrep/23929_21118.pdf" TargetMode="External"/><Relationship Id="rId124" Type="http://schemas.openxmlformats.org/officeDocument/2006/relationships/hyperlink" Target="https://www.tdhca.state.tx.us/readocs/uwrep/23404.pdf" TargetMode="External"/><Relationship Id="rId310" Type="http://schemas.openxmlformats.org/officeDocument/2006/relationships/hyperlink" Target="https://www.tdhca.state.tx.us/readocs/uwrep/25420.pdf" TargetMode="External"/><Relationship Id="rId70" Type="http://schemas.openxmlformats.org/officeDocument/2006/relationships/hyperlink" Target="https://www.tdhca.state.tx.us/readocs/uwrep/22430.pdf" TargetMode="External"/><Relationship Id="rId91" Type="http://schemas.openxmlformats.org/officeDocument/2006/relationships/hyperlink" Target="https://www.tdhca.state.tx.us/readocs/uwrep/23959_21312.pdf" TargetMode="External"/><Relationship Id="rId145" Type="http://schemas.openxmlformats.org/officeDocument/2006/relationships/hyperlink" Target="https://www.tdhca.state.tx.us/readocs/uwrep/23432.pdf" TargetMode="External"/><Relationship Id="rId166" Type="http://schemas.openxmlformats.org/officeDocument/2006/relationships/hyperlink" Target="chrome-extension://efaidnbmnnnibpcajpcglclefindmkaj/https:/www.tdhca.state.tx.us/readocs/uwrep/23461.pdf" TargetMode="External"/><Relationship Id="rId187" Type="http://schemas.openxmlformats.org/officeDocument/2006/relationships/hyperlink" Target="chrome-extension://efaidnbmnnnibpcajpcglclefindmkaj/https:/www.tdhca.state.tx.us/readocs/uwrep/23502_23914_21054.pdf" TargetMode="External"/><Relationship Id="rId331" Type="http://schemas.openxmlformats.org/officeDocument/2006/relationships/hyperlink" Target="https://www.tdhca.state.tx.us/readocs/uwrep/25473.pdf" TargetMode="External"/><Relationship Id="rId352" Type="http://schemas.openxmlformats.org/officeDocument/2006/relationships/hyperlink" Target="https://www.tdhca.state.tx.us/readocs/uwrep/21614.pdf" TargetMode="External"/><Relationship Id="rId373" Type="http://schemas.openxmlformats.org/officeDocument/2006/relationships/hyperlink" Target="https://www.tdhca.state.tx.us/readocs/uwrep/25467.pdf" TargetMode="External"/><Relationship Id="rId1" Type="http://schemas.openxmlformats.org/officeDocument/2006/relationships/hyperlink" Target="https://www.tdhca.state.tx.us/readocs/uwrep/22722_20504.pdf" TargetMode="External"/><Relationship Id="rId212" Type="http://schemas.openxmlformats.org/officeDocument/2006/relationships/hyperlink" Target="chrome-extension://efaidnbmnnnibpcajpcglclefindmkaj/https:/www.tdhca.state.tx.us/readocs/uwrep/24442.pdf" TargetMode="External"/><Relationship Id="rId233" Type="http://schemas.openxmlformats.org/officeDocument/2006/relationships/hyperlink" Target="chrome-extension://efaidnbmnnnibpcajpcglclefindmkaj/https:/www.tdhca.state.tx.us/readocs/uwrep/23160.pdf" TargetMode="External"/><Relationship Id="rId254" Type="http://schemas.openxmlformats.org/officeDocument/2006/relationships/hyperlink" Target="chrome-extension://efaidnbmnnnibpcajpcglclefindmkaj/https:/www.tdhca.state.tx.us/readocs/uwrep/24045.pdf" TargetMode="External"/><Relationship Id="rId28" Type="http://schemas.openxmlformats.org/officeDocument/2006/relationships/hyperlink" Target="https://www.tdhca.state.tx.us/readocs/uwrep/22462.pdf" TargetMode="External"/><Relationship Id="rId49" Type="http://schemas.openxmlformats.org/officeDocument/2006/relationships/hyperlink" Target="https://www.tdhca.state.tx.us/readocs/uwrep/22954_21505_20212.pdf" TargetMode="External"/><Relationship Id="rId114" Type="http://schemas.openxmlformats.org/officeDocument/2006/relationships/hyperlink" Target="https://www.tdhca.state.tx.us/readocs/uwrep/23911_21051.pdf" TargetMode="External"/><Relationship Id="rId275" Type="http://schemas.openxmlformats.org/officeDocument/2006/relationships/hyperlink" Target="chrome-extension://efaidnbmnnnibpcajpcglclefindmkaj/https:/www.tdhca.state.tx.us/readocs/uwrep/23178.pdf" TargetMode="External"/><Relationship Id="rId296" Type="http://schemas.openxmlformats.org/officeDocument/2006/relationships/hyperlink" Target="chrome-extension://efaidnbmnnnibpcajpcglclefindmkaj/https:/www.tdhca.state.tx.us/readocs/uwrep/25406.pdf" TargetMode="External"/><Relationship Id="rId300" Type="http://schemas.openxmlformats.org/officeDocument/2006/relationships/hyperlink" Target="chrome-extension://efaidnbmnnnibpcajpcglclefindmkaj/https:/www.tdhca.state.tx.us/readocs/uwrep/25442.pdf" TargetMode="External"/><Relationship Id="rId60" Type="http://schemas.openxmlformats.org/officeDocument/2006/relationships/hyperlink" Target="https://www.tdhca.state.tx.us/readocs/uwrep/22439.pdf" TargetMode="External"/><Relationship Id="rId81" Type="http://schemas.openxmlformats.org/officeDocument/2006/relationships/hyperlink" Target="https://www.tdhca.state.tx.us/readocs/uwrep/23902_21017.pdf" TargetMode="External"/><Relationship Id="rId135" Type="http://schemas.openxmlformats.org/officeDocument/2006/relationships/hyperlink" Target="https://www.tdhca.state.tx.us/readocs/uwrep/23435.pdf" TargetMode="External"/><Relationship Id="rId156" Type="http://schemas.openxmlformats.org/officeDocument/2006/relationships/hyperlink" Target="https://www.tdhca.state.tx.us/readocs/uwrep/23609.pdf" TargetMode="External"/><Relationship Id="rId177" Type="http://schemas.openxmlformats.org/officeDocument/2006/relationships/hyperlink" Target="chrome-extension://efaidnbmnnnibpcajpcglclefindmkaj/https:/www.tdhca.state.tx.us/readocs/uwrep/23477.pdf" TargetMode="External"/><Relationship Id="rId198" Type="http://schemas.openxmlformats.org/officeDocument/2006/relationships/hyperlink" Target="chrome-extension://efaidnbmnnnibpcajpcglclefindmkaj/https:/www.tdhca.state.tx.us/readocs/uwrep/23701.pdf" TargetMode="External"/><Relationship Id="rId321" Type="http://schemas.openxmlformats.org/officeDocument/2006/relationships/hyperlink" Target="https://www.tdhca.state.tx.us/readocs/uwrep/23229.pdf" TargetMode="External"/><Relationship Id="rId342" Type="http://schemas.openxmlformats.org/officeDocument/2006/relationships/hyperlink" Target="https://www.tdhca.state.tx.us/readocs/uwrep/25490.pdf" TargetMode="External"/><Relationship Id="rId363" Type="http://schemas.openxmlformats.org/officeDocument/2006/relationships/hyperlink" Target="https://www.tdhca.state.tx.us/readocs/uwrep/26400.pdf" TargetMode="External"/><Relationship Id="rId384" Type="http://schemas.openxmlformats.org/officeDocument/2006/relationships/hyperlink" Target="https://www.tdhca.state.tx.us/readocs/uwrep/26416.pdf" TargetMode="External"/><Relationship Id="rId202" Type="http://schemas.openxmlformats.org/officeDocument/2006/relationships/hyperlink" Target="chrome-extension://efaidnbmnnnibpcajpcglclefindmkaj/https:/www.tdhca.state.tx.us/readocs/uwrep/23416.pdf" TargetMode="External"/><Relationship Id="rId223" Type="http://schemas.openxmlformats.org/officeDocument/2006/relationships/hyperlink" Target="chrome-extension://efaidnbmnnnibpcajpcglclefindmkaj/https:/www.tdhca.state.tx.us/readocs/uwrep/24601.pdf" TargetMode="External"/><Relationship Id="rId244" Type="http://schemas.openxmlformats.org/officeDocument/2006/relationships/hyperlink" Target="chrome-extension://efaidnbmnnnibpcajpcglclefindmkaj/https:/www.tdhca.state.tx.us/readocs/uwrep/24454.pdf" TargetMode="External"/><Relationship Id="rId18" Type="http://schemas.openxmlformats.org/officeDocument/2006/relationships/hyperlink" Target="https://www.tdhca.state.tx.us/readocs/uwrep/22460.pdf" TargetMode="External"/><Relationship Id="rId39" Type="http://schemas.openxmlformats.org/officeDocument/2006/relationships/hyperlink" Target="https://www.tdhca.state.tx.us/readocs/uwrep/22420.pdf" TargetMode="External"/><Relationship Id="rId265" Type="http://schemas.openxmlformats.org/officeDocument/2006/relationships/hyperlink" Target="chrome-extension://efaidnbmnnnibpcajpcglclefindmkaj/https:/www.tdhca.state.tx.us/readocs/uwrep/24481.pdf" TargetMode="External"/><Relationship Id="rId286" Type="http://schemas.openxmlformats.org/officeDocument/2006/relationships/hyperlink" Target="chrome-extension://efaidnbmnnnibpcajpcglclefindmkaj/https:/www.tdhca.state.tx.us/readocs/uwrep/24703.pdf" TargetMode="External"/><Relationship Id="rId50" Type="http://schemas.openxmlformats.org/officeDocument/2006/relationships/hyperlink" Target="https://www.tdhca.state.tx.us/readocs/uwrep/22443.pdf" TargetMode="External"/><Relationship Id="rId104" Type="http://schemas.openxmlformats.org/officeDocument/2006/relationships/hyperlink" Target="https://www.tdhca.state.tx.us/readocs/uwrep/23932_21130.pdf" TargetMode="External"/><Relationship Id="rId125" Type="http://schemas.openxmlformats.org/officeDocument/2006/relationships/hyperlink" Target="https://www.tdhca.state.tx.us/readocs/uwrep/22492.pdf" TargetMode="External"/><Relationship Id="rId146" Type="http://schemas.openxmlformats.org/officeDocument/2006/relationships/hyperlink" Target="https://www.tdhca.state.tx.us/readocs/uwrep/23420.pdf" TargetMode="External"/><Relationship Id="rId167" Type="http://schemas.openxmlformats.org/officeDocument/2006/relationships/hyperlink" Target="chrome-extension://efaidnbmnnnibpcajpcglclefindmkaj/https:/www.tdhca.state.tx.us/readocs/uwrep/23469.pdf" TargetMode="External"/><Relationship Id="rId188" Type="http://schemas.openxmlformats.org/officeDocument/2006/relationships/hyperlink" Target="chrome-extension://efaidnbmnnnibpcajpcglclefindmkaj/https:/www.tdhca.state.tx.us/readocs/uwrep/23709_22274.pdf" TargetMode="External"/><Relationship Id="rId311" Type="http://schemas.openxmlformats.org/officeDocument/2006/relationships/hyperlink" Target="https://www.tdhca.state.tx.us/readocs/uwrep/25459.pdf" TargetMode="External"/><Relationship Id="rId332" Type="http://schemas.openxmlformats.org/officeDocument/2006/relationships/hyperlink" Target="https://www.tdhca.state.tx.us/readocs/uwrep/25479.pdf" TargetMode="External"/><Relationship Id="rId353" Type="http://schemas.openxmlformats.org/officeDocument/2006/relationships/hyperlink" Target="https://www.tdhca.state.tx.us/readocs/uwrep/24456.pdf" TargetMode="External"/><Relationship Id="rId374" Type="http://schemas.openxmlformats.org/officeDocument/2006/relationships/hyperlink" Target="https://www.tdhca.state.tx.us/readocs/uwrep/25455.pdf" TargetMode="External"/><Relationship Id="rId71" Type="http://schemas.openxmlformats.org/officeDocument/2006/relationships/hyperlink" Target="https://www.tdhca.state.tx.us/readocs/uwrep/23909_22510_21039.pdf" TargetMode="External"/><Relationship Id="rId92" Type="http://schemas.openxmlformats.org/officeDocument/2006/relationships/hyperlink" Target="https://www.tdhca.state.tx.us/readocs/uwrep/23948_21219.pdf" TargetMode="External"/><Relationship Id="rId213" Type="http://schemas.openxmlformats.org/officeDocument/2006/relationships/hyperlink" Target="chrome-extension://efaidnbmnnnibpcajpcglclefindmkaj/https:/www.tdhca.state.tx.us/readocs/uwrep/24422.pdf" TargetMode="External"/><Relationship Id="rId234" Type="http://schemas.openxmlformats.org/officeDocument/2006/relationships/hyperlink" Target="chrome-extension://efaidnbmnnnibpcajpcglclefindmkaj/https:/www.tdhca.state.tx.us/readocs/uwrep/24457.pdf" TargetMode="External"/><Relationship Id="rId2" Type="http://schemas.openxmlformats.org/officeDocument/2006/relationships/hyperlink" Target="https://www.tdhca.state.tx.us/readocs/uwrep/22476.pdf" TargetMode="External"/><Relationship Id="rId29" Type="http://schemas.openxmlformats.org/officeDocument/2006/relationships/hyperlink" Target="https://www.tdhca.state.tx.us/readocs/uwrep/22449.pdf" TargetMode="External"/><Relationship Id="rId255" Type="http://schemas.openxmlformats.org/officeDocument/2006/relationships/hyperlink" Target="chrome-extension://efaidnbmnnnibpcajpcglclefindmkaj/https:/www.tdhca.state.tx.us/readocs/uwrep/24438.pdf" TargetMode="External"/><Relationship Id="rId276" Type="http://schemas.openxmlformats.org/officeDocument/2006/relationships/hyperlink" Target="chrome-extension://efaidnbmnnnibpcajpcglclefindmkaj/https:/www.tdhca.state.tx.us/readocs/uwrep/24607.pdf" TargetMode="External"/><Relationship Id="rId297" Type="http://schemas.openxmlformats.org/officeDocument/2006/relationships/hyperlink" Target="chrome-extension://efaidnbmnnnibpcajpcglclefindmkaj/https:/www.tdhca.state.tx.us/readocs/uwrep/25429.pdf" TargetMode="External"/><Relationship Id="rId40" Type="http://schemas.openxmlformats.org/officeDocument/2006/relationships/hyperlink" Target="https://www.tdhca.state.tx.us/readocs/uwrep/22172.pdf" TargetMode="External"/><Relationship Id="rId115" Type="http://schemas.openxmlformats.org/officeDocument/2006/relationships/hyperlink" Target="https://www.tdhca.state.tx.us/readocs/uwrep/23900_21003.pdf" TargetMode="External"/><Relationship Id="rId136" Type="http://schemas.openxmlformats.org/officeDocument/2006/relationships/hyperlink" Target="https://www.tdhca.state.tx.us/readocs/uwrep/21510_20171.pdf" TargetMode="External"/><Relationship Id="rId157" Type="http://schemas.openxmlformats.org/officeDocument/2006/relationships/hyperlink" Target="https://www.tdhca.state.tx.us/readocs/uwrep/23601.pdf" TargetMode="External"/><Relationship Id="rId178" Type="http://schemas.openxmlformats.org/officeDocument/2006/relationships/hyperlink" Target="chrome-extension://efaidnbmnnnibpcajpcglclefindmkaj/https:/www.tdhca.state.tx.us/readocs/uwrep/22054.pdf" TargetMode="External"/><Relationship Id="rId301" Type="http://schemas.openxmlformats.org/officeDocument/2006/relationships/hyperlink" Target="chrome-extension://efaidnbmnnnibpcajpcglclefindmkaj/https:/www.tdhca.state.tx.us/readocs/uwrep/25425.pdf" TargetMode="External"/><Relationship Id="rId322" Type="http://schemas.openxmlformats.org/officeDocument/2006/relationships/hyperlink" Target="https://www.tdhca.state.tx.us/readocs/uwrep/25163.pdf" TargetMode="External"/><Relationship Id="rId343" Type="http://schemas.openxmlformats.org/officeDocument/2006/relationships/hyperlink" Target="https://www.tdhca.state.tx.us/readocs/uwrep/25491.pdf" TargetMode="External"/><Relationship Id="rId364" Type="http://schemas.openxmlformats.org/officeDocument/2006/relationships/hyperlink" Target="https://www.tdhca.state.tx.us/readocs/uwrep/26405.pdf" TargetMode="External"/><Relationship Id="rId61" Type="http://schemas.openxmlformats.org/officeDocument/2006/relationships/hyperlink" Target="https://www.tdhca.state.tx.us/readocs/uwrep/22438.pdf" TargetMode="External"/><Relationship Id="rId82" Type="http://schemas.openxmlformats.org/officeDocument/2006/relationships/hyperlink" Target="https://www.tdhca.state.tx.us/readocs/uwrep/23945_21186.pdf" TargetMode="External"/><Relationship Id="rId199" Type="http://schemas.openxmlformats.org/officeDocument/2006/relationships/hyperlink" Target="chrome-extension://efaidnbmnnnibpcajpcglclefindmkaj/https:/www.tdhca.state.tx.us/readocs/uwrep/23482.pdf" TargetMode="External"/><Relationship Id="rId203" Type="http://schemas.openxmlformats.org/officeDocument/2006/relationships/hyperlink" Target="chrome-extension://efaidnbmnnnibpcajpcglclefindmkaj/https:/www.tdhca.state.tx.us/readocs/uwrep/22503_23907_21035.pdf" TargetMode="External"/><Relationship Id="rId385" Type="http://schemas.openxmlformats.org/officeDocument/2006/relationships/hyperlink" Target="https://www.tdhca.state.tx.us/readocs/uwrep/26407.pdf" TargetMode="External"/><Relationship Id="rId19" Type="http://schemas.openxmlformats.org/officeDocument/2006/relationships/hyperlink" Target="https://www.tdhca.state.tx.us/readocs/uwrep/23434_22466.pdf" TargetMode="External"/><Relationship Id="rId224" Type="http://schemas.openxmlformats.org/officeDocument/2006/relationships/hyperlink" Target="chrome-extension://efaidnbmnnnibpcajpcglclefindmkaj/https:/www.tdhca.state.tx.us/readocs/uwrep/24455.pdf" TargetMode="External"/><Relationship Id="rId245" Type="http://schemas.openxmlformats.org/officeDocument/2006/relationships/hyperlink" Target="chrome-extension://efaidnbmnnnibpcajpcglclefindmkaj/https:/www.tdhca.state.tx.us/readocs/uwrep/22956_19216.pdf" TargetMode="External"/><Relationship Id="rId266" Type="http://schemas.openxmlformats.org/officeDocument/2006/relationships/hyperlink" Target="chrome-extension://efaidnbmnnnibpcajpcglclefindmkaj/https:/www.tdhca.state.tx.us/readocs/uwrep/24606.pdf" TargetMode="External"/><Relationship Id="rId287" Type="http://schemas.openxmlformats.org/officeDocument/2006/relationships/hyperlink" Target="chrome-extension://efaidnbmnnnibpcajpcglclefindmkaj/https:/www.tdhca.state.tx.us/readocs/uwrep/24145.pdf" TargetMode="External"/><Relationship Id="rId30" Type="http://schemas.openxmlformats.org/officeDocument/2006/relationships/hyperlink" Target="https://www.tdhca.state.tx.us/readocs/uwrep/22451.pdf" TargetMode="External"/><Relationship Id="rId105" Type="http://schemas.openxmlformats.org/officeDocument/2006/relationships/hyperlink" Target="https://www.tdhca.state.tx.us/readocs/uwrep/23922_21100.pdf" TargetMode="External"/><Relationship Id="rId126" Type="http://schemas.openxmlformats.org/officeDocument/2006/relationships/hyperlink" Target="https://www.tdhca.state.tx.us/readocs/uwrep/23414.pdf" TargetMode="External"/><Relationship Id="rId147" Type="http://schemas.openxmlformats.org/officeDocument/2006/relationships/hyperlink" Target="https://www.tdhca.state.tx.us/readocs/uwrep/23437.pdf" TargetMode="External"/><Relationship Id="rId168" Type="http://schemas.openxmlformats.org/officeDocument/2006/relationships/hyperlink" Target="chrome-extension://efaidnbmnnnibpcajpcglclefindmkaj/https:/www.tdhca.state.tx.us/readocs/uwrep/23454.pdf" TargetMode="External"/><Relationship Id="rId312" Type="http://schemas.openxmlformats.org/officeDocument/2006/relationships/hyperlink" Target="https://www.tdhca.state.tx.us/readocs/uwrep/25451.pdf" TargetMode="External"/><Relationship Id="rId333" Type="http://schemas.openxmlformats.org/officeDocument/2006/relationships/hyperlink" Target="https://www.tdhca.state.tx.us/readocs/uwrep/25474.pdf" TargetMode="External"/><Relationship Id="rId354" Type="http://schemas.openxmlformats.org/officeDocument/2006/relationships/hyperlink" Target="https://www.tdhca.state.tx.us/readocs/uwrep/24508_22228.pdf" TargetMode="External"/><Relationship Id="rId51" Type="http://schemas.openxmlformats.org/officeDocument/2006/relationships/hyperlink" Target="https://www.tdhca.state.tx.us/readocs/uwrep/22446.pdf" TargetMode="External"/><Relationship Id="rId72" Type="http://schemas.openxmlformats.org/officeDocument/2006/relationships/hyperlink" Target="https://www.tdhca.state.tx.us/readocs/uwrep/23938_21158.pdf" TargetMode="External"/><Relationship Id="rId93" Type="http://schemas.openxmlformats.org/officeDocument/2006/relationships/hyperlink" Target="https://www.tdhca.state.tx.us/readocs/uwrep/23943_21181.pdf" TargetMode="External"/><Relationship Id="rId189" Type="http://schemas.openxmlformats.org/officeDocument/2006/relationships/hyperlink" Target="chrome-extension://efaidnbmnnnibpcajpcglclefindmkaj/https:/www.tdhca.state.tx.us/readocs/uwrep/23710_22278.pdf" TargetMode="External"/><Relationship Id="rId375" Type="http://schemas.openxmlformats.org/officeDocument/2006/relationships/hyperlink" Target="https://www.tdhca.state.tx.us/readocs/uwrep/25423.pdf" TargetMode="External"/><Relationship Id="rId3" Type="http://schemas.openxmlformats.org/officeDocument/2006/relationships/hyperlink" Target="https://www.tdhca.state.tx.us/readocs/uwrep/22482.pdf" TargetMode="External"/><Relationship Id="rId214" Type="http://schemas.openxmlformats.org/officeDocument/2006/relationships/hyperlink" Target="chrome-extension://efaidnbmnnnibpcajpcglclefindmkaj/https:/www.tdhca.state.tx.us/readocs/uwrep/24414.pdf" TargetMode="External"/><Relationship Id="rId235" Type="http://schemas.openxmlformats.org/officeDocument/2006/relationships/hyperlink" Target="chrome-extension://efaidnbmnnnibpcajpcglclefindmkaj/https:/www.tdhca.state.tx.us/readocs/uwrep/24415.pdf" TargetMode="External"/><Relationship Id="rId256" Type="http://schemas.openxmlformats.org/officeDocument/2006/relationships/hyperlink" Target="chrome-extension://efaidnbmnnnibpcajpcglclefindmkaj/https:/www.tdhca.state.tx.us/readocs/uwrep/23015.pdf" TargetMode="External"/><Relationship Id="rId277" Type="http://schemas.openxmlformats.org/officeDocument/2006/relationships/hyperlink" Target="chrome-extension://efaidnbmnnnibpcajpcglclefindmkaj/https:/www.tdhca.state.tx.us/readocs/uwrep/24507_22212.pdf" TargetMode="External"/><Relationship Id="rId298" Type="http://schemas.openxmlformats.org/officeDocument/2006/relationships/hyperlink" Target="chrome-extension://efaidnbmnnnibpcajpcglclefindmkaj/https:/www.tdhca.state.tx.us/readocs/uwrep/25420.pdf" TargetMode="External"/><Relationship Id="rId116" Type="http://schemas.openxmlformats.org/officeDocument/2006/relationships/hyperlink" Target="https://www.tdhca.state.tx.us/readocs/uwrep/23944_21185.pdf" TargetMode="External"/><Relationship Id="rId137" Type="http://schemas.openxmlformats.org/officeDocument/2006/relationships/hyperlink" Target="https://www.tdhca.state.tx.us/readocs/uwrep/23425.pdf" TargetMode="External"/><Relationship Id="rId158" Type="http://schemas.openxmlformats.org/officeDocument/2006/relationships/hyperlink" Target="chrome-extension://efaidnbmnnnibpcajpcglclefindmkaj/https:/www.tdhca.state.tx.us/readocs/uwrep/23444.pdf" TargetMode="External"/><Relationship Id="rId302" Type="http://schemas.openxmlformats.org/officeDocument/2006/relationships/hyperlink" Target="chrome-extension://efaidnbmnnnibpcajpcglclefindmkaj/https:/www.tdhca.state.tx.us/readocs/uwrep/25412.pdf" TargetMode="External"/><Relationship Id="rId323" Type="http://schemas.openxmlformats.org/officeDocument/2006/relationships/hyperlink" Target="https://www.tdhca.state.tx.us/readocs/uwrep/25504_24023.pdf" TargetMode="External"/><Relationship Id="rId344" Type="http://schemas.openxmlformats.org/officeDocument/2006/relationships/hyperlink" Target="https://www.tdhca.state.tx.us/readocs/uwrep/21608.pdf" TargetMode="External"/><Relationship Id="rId20" Type="http://schemas.openxmlformats.org/officeDocument/2006/relationships/hyperlink" Target="https://www.tdhca.state.tx.us/readocs/uwrep/22461.pdf" TargetMode="External"/><Relationship Id="rId41" Type="http://schemas.openxmlformats.org/officeDocument/2006/relationships/hyperlink" Target="https://www.tdhca.state.tx.us/readocs/uwrep/22220.pdf" TargetMode="External"/><Relationship Id="rId62" Type="http://schemas.openxmlformats.org/officeDocument/2006/relationships/hyperlink" Target="https://www.tdhca.state.tx.us/readocs/uwrep/22429.pdf" TargetMode="External"/><Relationship Id="rId83" Type="http://schemas.openxmlformats.org/officeDocument/2006/relationships/hyperlink" Target="https://www.tdhca.state.tx.us/readocs/uwrep/23949_21220.pdf" TargetMode="External"/><Relationship Id="rId179" Type="http://schemas.openxmlformats.org/officeDocument/2006/relationships/hyperlink" Target="chrome-extension://efaidnbmnnnibpcajpcglclefindmkaj/https:/www.tdhca.state.tx.us/readocs/uwrep/23508_23958_21292.pdf" TargetMode="External"/><Relationship Id="rId365" Type="http://schemas.openxmlformats.org/officeDocument/2006/relationships/hyperlink" Target="https://www.tdhca.state.tx.us/readocs/uwrep/26411.pdf" TargetMode="External"/><Relationship Id="rId386" Type="http://schemas.openxmlformats.org/officeDocument/2006/relationships/printerSettings" Target="../printerSettings/printerSettings1.bin"/><Relationship Id="rId190" Type="http://schemas.openxmlformats.org/officeDocument/2006/relationships/hyperlink" Target="chrome-extension://efaidnbmnnnibpcajpcglclefindmkaj/https:/www.tdhca.state.tx.us/readocs/uwrep/23436.pdf" TargetMode="External"/><Relationship Id="rId204" Type="http://schemas.openxmlformats.org/officeDocument/2006/relationships/hyperlink" Target="chrome-extension://efaidnbmnnnibpcajpcglclefindmkaj/https:/www.tdhca.state.tx.us/readocs/uwrep/24406.pdf" TargetMode="External"/><Relationship Id="rId225" Type="http://schemas.openxmlformats.org/officeDocument/2006/relationships/hyperlink" Target="chrome-extension://efaidnbmnnnibpcajpcglclefindmkaj/https:/www.tdhca.state.tx.us/readocs/uwrep/19409.pdf" TargetMode="External"/><Relationship Id="rId246" Type="http://schemas.openxmlformats.org/officeDocument/2006/relationships/hyperlink" Target="chrome-extension://efaidnbmnnnibpcajpcglclefindmkaj/https:/www.tdhca.state.tx.us/readocs/uwrep/24473.pdf" TargetMode="External"/><Relationship Id="rId267" Type="http://schemas.openxmlformats.org/officeDocument/2006/relationships/hyperlink" Target="chrome-extension://efaidnbmnnnibpcajpcglclefindmkaj/https:/www.tdhca.state.tx.us/readocs/uwrep/23019.pdf" TargetMode="External"/><Relationship Id="rId288" Type="http://schemas.openxmlformats.org/officeDocument/2006/relationships/hyperlink" Target="chrome-extension://efaidnbmnnnibpcajpcglclefindmkaj/https:/www.tdhca.state.tx.us/readocs/uwrep/24475.pdf" TargetMode="External"/><Relationship Id="rId106" Type="http://schemas.openxmlformats.org/officeDocument/2006/relationships/hyperlink" Target="https://www.tdhca.state.tx.us/readocs/uwrep/23903_21024.pdf" TargetMode="External"/><Relationship Id="rId127" Type="http://schemas.openxmlformats.org/officeDocument/2006/relationships/hyperlink" Target="https://www.tdhca.state.tx.us/readocs/uwrep/23412.pdf" TargetMode="External"/><Relationship Id="rId313" Type="http://schemas.openxmlformats.org/officeDocument/2006/relationships/hyperlink" Target="https://www.tdhca.state.tx.us/readocs/uwrep/25448.pdf" TargetMode="External"/><Relationship Id="rId10" Type="http://schemas.openxmlformats.org/officeDocument/2006/relationships/hyperlink" Target="https://www.tdhca.state.tx.us/readocs/uwrep/22506_21064.pdf" TargetMode="External"/><Relationship Id="rId31" Type="http://schemas.openxmlformats.org/officeDocument/2006/relationships/hyperlink" Target="https://www.tdhca.state.tx.us/readocs/uwrep/22454.pdf" TargetMode="External"/><Relationship Id="rId52" Type="http://schemas.openxmlformats.org/officeDocument/2006/relationships/hyperlink" Target="https://www.tdhca.state.tx.us/readocs/uwrep/22971_21509_20205.pdf" TargetMode="External"/><Relationship Id="rId73" Type="http://schemas.openxmlformats.org/officeDocument/2006/relationships/hyperlink" Target="https://www.tdhca.state.tx.us/readocs/uwrep/23942_21177.pdf" TargetMode="External"/><Relationship Id="rId94" Type="http://schemas.openxmlformats.org/officeDocument/2006/relationships/hyperlink" Target="https://www.tdhca.state.tx.us/readocs/uwrep/23910_21048.pdf" TargetMode="External"/><Relationship Id="rId148" Type="http://schemas.openxmlformats.org/officeDocument/2006/relationships/hyperlink" Target="https://www.tdhca.state.tx.us/readocs/uwrep/23506_23923_21101.pdf" TargetMode="External"/><Relationship Id="rId169" Type="http://schemas.openxmlformats.org/officeDocument/2006/relationships/hyperlink" Target="chrome-extension://efaidnbmnnnibpcajpcglclefindmkaj/https:/www.tdhca.state.tx.us/readocs/uwrep/22254.pdf" TargetMode="External"/><Relationship Id="rId334" Type="http://schemas.openxmlformats.org/officeDocument/2006/relationships/hyperlink" Target="https://www.tdhca.state.tx.us/readocs/uwrep/25088.pdf" TargetMode="External"/><Relationship Id="rId355" Type="http://schemas.openxmlformats.org/officeDocument/2006/relationships/hyperlink" Target="https://www.tdhca.state.tx.us/readocs/uwrep/26425.pdf" TargetMode="External"/><Relationship Id="rId376" Type="http://schemas.openxmlformats.org/officeDocument/2006/relationships/hyperlink" Target="https://www.tdhca.state.tx.us/readocs/uwrep/25463.pdf" TargetMode="External"/><Relationship Id="rId4" Type="http://schemas.openxmlformats.org/officeDocument/2006/relationships/hyperlink" Target="https://www.tdhca.state.tx.us/readocs/uwrep/22486.pdf" TargetMode="External"/><Relationship Id="rId180" Type="http://schemas.openxmlformats.org/officeDocument/2006/relationships/hyperlink" Target="chrome-extension://efaidnbmnnnibpcajpcglclefindmkaj/https:/www.tdhca.state.tx.us/readocs/uwrep/23466.pdf" TargetMode="External"/><Relationship Id="rId215" Type="http://schemas.openxmlformats.org/officeDocument/2006/relationships/hyperlink" Target="chrome-extension://efaidnbmnnnibpcajpcglclefindmkaj/https:/www.tdhca.state.tx.us/readocs/uwrep/24400.pdf" TargetMode="External"/><Relationship Id="rId236" Type="http://schemas.openxmlformats.org/officeDocument/2006/relationships/hyperlink" Target="chrome-extension://efaidnbmnnnibpcajpcglclefindmkaj/https:/www.tdhca.state.tx.us/readocs/uwrep/24450.pdf" TargetMode="External"/><Relationship Id="rId257" Type="http://schemas.openxmlformats.org/officeDocument/2006/relationships/hyperlink" Target="chrome-extension://efaidnbmnnnibpcajpcglclefindmkaj/https:/www.tdhca.state.tx.us/readocs/uwrep/24196.pdf" TargetMode="External"/><Relationship Id="rId278" Type="http://schemas.openxmlformats.org/officeDocument/2006/relationships/hyperlink" Target="chrome-extension://efaidnbmnnnibpcajpcglclefindmkaj/https:/www.tdhca.state.tx.us/readocs/uwrep/24493.pdf" TargetMode="External"/><Relationship Id="rId303" Type="http://schemas.openxmlformats.org/officeDocument/2006/relationships/hyperlink" Target="chrome-extension://efaidnbmnnnibpcajpcglclefindmkaj/https:/www.tdhca.state.tx.us/readocs/uwrep/25437.pdf" TargetMode="External"/><Relationship Id="rId42" Type="http://schemas.openxmlformats.org/officeDocument/2006/relationships/hyperlink" Target="https://www.tdhca.state.tx.us/readocs/uwrep/22269.pdf" TargetMode="External"/><Relationship Id="rId84" Type="http://schemas.openxmlformats.org/officeDocument/2006/relationships/hyperlink" Target="https://www.tdhca.state.tx.us/readocs/uwrep/23937_21145.pdf" TargetMode="External"/><Relationship Id="rId138" Type="http://schemas.openxmlformats.org/officeDocument/2006/relationships/hyperlink" Target="https://www.tdhca.state.tx.us/readocs/uwrep/23442.pdf" TargetMode="External"/><Relationship Id="rId345" Type="http://schemas.openxmlformats.org/officeDocument/2006/relationships/hyperlink" Target="https://www.tdhca.state.tx.us/readocs/uwrep/25477.pdf" TargetMode="External"/><Relationship Id="rId387" Type="http://schemas.openxmlformats.org/officeDocument/2006/relationships/vmlDrawing" Target="../drawings/vmlDrawing1.vml"/><Relationship Id="rId191" Type="http://schemas.openxmlformats.org/officeDocument/2006/relationships/hyperlink" Target="chrome-extension://efaidnbmnnnibpcajpcglclefindmkaj/https:/www.tdhca.state.tx.us/readocs/uwrep/23510_23952_21235.pdf" TargetMode="External"/><Relationship Id="rId205" Type="http://schemas.openxmlformats.org/officeDocument/2006/relationships/hyperlink" Target="chrome-extension://efaidnbmnnnibpcajpcglclefindmkaj/https:/www.tdhca.state.tx.us/readocs/uwrep/24410.pdf" TargetMode="External"/><Relationship Id="rId247" Type="http://schemas.openxmlformats.org/officeDocument/2006/relationships/hyperlink" Target="chrome-extension://efaidnbmnnnibpcajpcglclefindmkaj/https:/www.tdhca.state.tx.us/readocs/uwrep/24470.pdf" TargetMode="External"/><Relationship Id="rId107" Type="http://schemas.openxmlformats.org/officeDocument/2006/relationships/hyperlink" Target="https://www.tdhca.state.tx.us/readocs/uwrep/23958_21292.pdf" TargetMode="External"/><Relationship Id="rId289" Type="http://schemas.openxmlformats.org/officeDocument/2006/relationships/hyperlink" Target="chrome-extension://efaidnbmnnnibpcajpcglclefindmkaj/https:/www.tdhca.state.tx.us/readocs/uwrep/25453.pdf" TargetMode="External"/><Relationship Id="rId11" Type="http://schemas.openxmlformats.org/officeDocument/2006/relationships/hyperlink" Target="https://www.tdhca.state.tx.us/readocs/uwrep/22487.pdf" TargetMode="External"/><Relationship Id="rId53" Type="http://schemas.openxmlformats.org/officeDocument/2006/relationships/hyperlink" Target="https://www.tdhca.state.tx.us/readocs/uwrep/22445.pdf" TargetMode="External"/><Relationship Id="rId149" Type="http://schemas.openxmlformats.org/officeDocument/2006/relationships/hyperlink" Target="https://www.tdhca.state.tx.us/readocs/uwrep/23504_23933_21131.pdf" TargetMode="External"/><Relationship Id="rId314" Type="http://schemas.openxmlformats.org/officeDocument/2006/relationships/hyperlink" Target="https://www.tdhca.state.tx.us/readocs/uwrep/24502_23906_21033.pdf" TargetMode="External"/><Relationship Id="rId356" Type="http://schemas.openxmlformats.org/officeDocument/2006/relationships/hyperlink" Target="https://www.tdhca.state.tx.us/readocs/uwrep/24076.pdf" TargetMode="External"/><Relationship Id="rId95" Type="http://schemas.openxmlformats.org/officeDocument/2006/relationships/hyperlink" Target="https://www.tdhca.state.tx.us/readocs/uwrep/23916_21070.pdf" TargetMode="External"/><Relationship Id="rId160" Type="http://schemas.openxmlformats.org/officeDocument/2006/relationships/hyperlink" Target="chrome-extension://efaidnbmnnnibpcajpcglclefindmkaj/https:/www.tdhca.state.tx.us/readocs/uwrep/23452.pdf" TargetMode="External"/><Relationship Id="rId216" Type="http://schemas.openxmlformats.org/officeDocument/2006/relationships/hyperlink" Target="chrome-extension://efaidnbmnnnibpcajpcglclefindmkaj/https:/www.tdhca.state.tx.us/readocs/uwrep/24447.pdf" TargetMode="External"/><Relationship Id="rId258" Type="http://schemas.openxmlformats.org/officeDocument/2006/relationships/hyperlink" Target="chrome-extension://efaidnbmnnnibpcajpcglclefindmkaj/https:/www.tdhca.state.tx.us/readocs/uwrep/24198.pdf" TargetMode="External"/><Relationship Id="rId22" Type="http://schemas.openxmlformats.org/officeDocument/2006/relationships/hyperlink" Target="https://www.tdhca.state.tx.us/readocs/uwrep/22469.pdf" TargetMode="External"/><Relationship Id="rId64" Type="http://schemas.openxmlformats.org/officeDocument/2006/relationships/hyperlink" Target="https://www.tdhca.state.tx.us/readocs/uwrep/22426.pdf" TargetMode="External"/><Relationship Id="rId118" Type="http://schemas.openxmlformats.org/officeDocument/2006/relationships/hyperlink" Target="https://www.tdhca.state.tx.us/readocs/uwrep/23940_21175.pdf" TargetMode="External"/><Relationship Id="rId325" Type="http://schemas.openxmlformats.org/officeDocument/2006/relationships/hyperlink" Target="https://www.tdhca.state.tx.us/readocs/uwrep/25609.pdf" TargetMode="External"/><Relationship Id="rId367" Type="http://schemas.openxmlformats.org/officeDocument/2006/relationships/hyperlink" Target="https://www.tdhca.state.tx.us/readocs/uwrep/24506_22208.pdf" TargetMode="External"/><Relationship Id="rId171" Type="http://schemas.openxmlformats.org/officeDocument/2006/relationships/hyperlink" Target="chrome-extension://efaidnbmnnnibpcajpcglclefindmkaj/https:/www.tdhca.state.tx.us/readocs/uwrep/23707_22231.pdf" TargetMode="External"/><Relationship Id="rId227" Type="http://schemas.openxmlformats.org/officeDocument/2006/relationships/hyperlink" Target="chrome-extension://efaidnbmnnnibpcajpcglclefindmkaj/https:/www.tdhca.state.tx.us/readocs/uwrep/24602.pdf" TargetMode="External"/><Relationship Id="rId269" Type="http://schemas.openxmlformats.org/officeDocument/2006/relationships/hyperlink" Target="chrome-extension://efaidnbmnnnibpcajpcglclefindmkaj/https:/www.tdhca.state.tx.us/readocs/uwrep/24503_23152.pdf" TargetMode="External"/><Relationship Id="rId33" Type="http://schemas.openxmlformats.org/officeDocument/2006/relationships/hyperlink" Target="https://www.tdhca.state.tx.us/readocs/uwrep/22458.pdf" TargetMode="External"/><Relationship Id="rId129" Type="http://schemas.openxmlformats.org/officeDocument/2006/relationships/hyperlink" Target="https://www.tdhca.state.tx.us/readocs/uwrep/23400.pdf" TargetMode="External"/><Relationship Id="rId280" Type="http://schemas.openxmlformats.org/officeDocument/2006/relationships/hyperlink" Target="chrome-extension://efaidnbmnnnibpcajpcglclefindmkaj/https:/www.tdhca.state.tx.us/readocs/uwrep/24506_22208.pdf" TargetMode="External"/><Relationship Id="rId336" Type="http://schemas.openxmlformats.org/officeDocument/2006/relationships/hyperlink" Target="https://www.tdhca.state.tx.us/readocs/uwrep/25196.pdf" TargetMode="External"/><Relationship Id="rId75" Type="http://schemas.openxmlformats.org/officeDocument/2006/relationships/hyperlink" Target="https://www.tdhca.state.tx.us/readocs/uwrep/23951_21228.pdf" TargetMode="External"/><Relationship Id="rId140" Type="http://schemas.openxmlformats.org/officeDocument/2006/relationships/hyperlink" Target="https://www.tdhca.state.tx.us/readocs/uwrep/23418.pdf" TargetMode="External"/><Relationship Id="rId182" Type="http://schemas.openxmlformats.org/officeDocument/2006/relationships/hyperlink" Target="chrome-extension://efaidnbmnnnibpcajpcglclefindmkaj/https:/www.tdhca.state.tx.us/readocs/uwrep/22218.pdf" TargetMode="External"/><Relationship Id="rId378" Type="http://schemas.openxmlformats.org/officeDocument/2006/relationships/hyperlink" Target="https://www.tdhca.state.tx.us/readocs/uwrep/25470.pdf" TargetMode="External"/><Relationship Id="rId6" Type="http://schemas.openxmlformats.org/officeDocument/2006/relationships/hyperlink" Target="https://www.tdhca.state.tx.us/readocs/uwrep/21600.pdf" TargetMode="External"/><Relationship Id="rId238" Type="http://schemas.openxmlformats.org/officeDocument/2006/relationships/hyperlink" Target="chrome-extension://efaidnbmnnnibpcajpcglclefindmkaj/https:/www.tdhca.state.tx.us/readocs/uwrep/24409.pdf" TargetMode="External"/><Relationship Id="rId291" Type="http://schemas.openxmlformats.org/officeDocument/2006/relationships/hyperlink" Target="chrome-extension://efaidnbmnnnibpcajpcglclefindmkaj/https:/www.tdhca.state.tx.us/readocs/uwrep/25405.pdf" TargetMode="External"/><Relationship Id="rId305" Type="http://schemas.openxmlformats.org/officeDocument/2006/relationships/hyperlink" Target="chrome-extension://efaidnbmnnnibpcajpcglclefindmkaj/https:/www.tdhca.state.tx.us/readocs/uwrep/25415.pdf" TargetMode="External"/><Relationship Id="rId347" Type="http://schemas.openxmlformats.org/officeDocument/2006/relationships/hyperlink" Target="https://www.tdhca.state.tx.us/readocs/uwrep/24505_22159.pdf" TargetMode="External"/><Relationship Id="rId44" Type="http://schemas.openxmlformats.org/officeDocument/2006/relationships/hyperlink" Target="https://www.tdhca.state.tx.us/readocs/uwrep/22211.pdf" TargetMode="External"/><Relationship Id="rId86" Type="http://schemas.openxmlformats.org/officeDocument/2006/relationships/hyperlink" Target="https://www.tdhca.state.tx.us/readocs/uwrep/23912_21052.pdf" TargetMode="External"/><Relationship Id="rId151" Type="http://schemas.openxmlformats.org/officeDocument/2006/relationships/hyperlink" Target="https://www.tdhca.state.tx.us/readocs/uwrep/23446.pdf" TargetMode="External"/><Relationship Id="rId389" Type="http://schemas.openxmlformats.org/officeDocument/2006/relationships/comments" Target="../comments1.xml"/><Relationship Id="rId193" Type="http://schemas.openxmlformats.org/officeDocument/2006/relationships/hyperlink" Target="chrome-extension://efaidnbmnnnibpcajpcglclefindmkaj/https:/www.tdhca.state.tx.us/readocs/uwrep/23476.pdf" TargetMode="External"/><Relationship Id="rId207" Type="http://schemas.openxmlformats.org/officeDocument/2006/relationships/hyperlink" Target="chrome-extension://efaidnbmnnnibpcajpcglclefindmkaj/https:/www.tdhca.state.tx.us/readocs/uwrep/24431.pdf" TargetMode="External"/><Relationship Id="rId249" Type="http://schemas.openxmlformats.org/officeDocument/2006/relationships/hyperlink" Target="chrome-extension://efaidnbmnnnibpcajpcglclefindmkaj/https:/www.tdhca.state.tx.us/readocs/uwrep/24476.pdf" TargetMode="External"/><Relationship Id="rId13" Type="http://schemas.openxmlformats.org/officeDocument/2006/relationships/hyperlink" Target="https://www.tdhca.state.tx.us/readocs/uwrep/22617.pdf" TargetMode="External"/><Relationship Id="rId109" Type="http://schemas.openxmlformats.org/officeDocument/2006/relationships/hyperlink" Target="https://www.tdhca.state.tx.us/readocs/uwrep/23908_21038.pdf" TargetMode="External"/><Relationship Id="rId260" Type="http://schemas.openxmlformats.org/officeDocument/2006/relationships/hyperlink" Target="chrome-extension://efaidnbmnnnibpcajpcglclefindmkaj/https:/www.tdhca.state.tx.us/readocs/uwrep/24511_23007.pdf" TargetMode="External"/><Relationship Id="rId316" Type="http://schemas.openxmlformats.org/officeDocument/2006/relationships/hyperlink" Target="https://www.tdhca.state.tx.us/readocs/uwrep/25427.pdf" TargetMode="External"/><Relationship Id="rId55" Type="http://schemas.openxmlformats.org/officeDocument/2006/relationships/hyperlink" Target="https://www.tdhca.state.tx.us/readocs/uwrep/22453.pdf" TargetMode="External"/><Relationship Id="rId97" Type="http://schemas.openxmlformats.org/officeDocument/2006/relationships/hyperlink" Target="https://www.tdhca.state.tx.us/readocs/uwrep/23919_21081.pdf" TargetMode="External"/><Relationship Id="rId120" Type="http://schemas.openxmlformats.org/officeDocument/2006/relationships/hyperlink" Target="https://www.tdhca.state.tx.us/readocs/uwrep/23926_21114.pdf" TargetMode="External"/><Relationship Id="rId358" Type="http://schemas.openxmlformats.org/officeDocument/2006/relationships/hyperlink" Target="https://www.tdhca.state.tx.us/readocs/uwrep/26604.pdf" TargetMode="External"/><Relationship Id="rId162" Type="http://schemas.openxmlformats.org/officeDocument/2006/relationships/hyperlink" Target="chrome-extension://efaidnbmnnnibpcajpcglclefindmkaj/https:/www.tdhca.state.tx.us/readocs/uwrep/23456.pdf" TargetMode="External"/><Relationship Id="rId218" Type="http://schemas.openxmlformats.org/officeDocument/2006/relationships/hyperlink" Target="chrome-extension://efaidnbmnnnibpcajpcglclefindmkaj/https:/www.tdhca.state.tx.us/readocs/uwrep/23803_22038.pdf" TargetMode="External"/><Relationship Id="rId271" Type="http://schemas.openxmlformats.org/officeDocument/2006/relationships/hyperlink" Target="chrome-extension://efaidnbmnnnibpcajpcglclefindmkaj/https:/www.tdhca.state.tx.us/readocs/uwrep/24472.pdf" TargetMode="External"/><Relationship Id="rId24" Type="http://schemas.openxmlformats.org/officeDocument/2006/relationships/hyperlink" Target="https://www.tdhca.state.tx.us/readocs/uwrep/21502_20077.pdf" TargetMode="External"/><Relationship Id="rId66" Type="http://schemas.openxmlformats.org/officeDocument/2006/relationships/hyperlink" Target="https://www.tdhca.state.tx.us/readocs/uwrep/22441.pdf" TargetMode="External"/><Relationship Id="rId131" Type="http://schemas.openxmlformats.org/officeDocument/2006/relationships/hyperlink" Target="https://www.tdhca.state.tx.us/readocs/uwrep/23413.pdf" TargetMode="External"/><Relationship Id="rId327" Type="http://schemas.openxmlformats.org/officeDocument/2006/relationships/hyperlink" Target="https://www.tdhca.state.tx.us/readocs/uwrep/25271.pdf" TargetMode="External"/><Relationship Id="rId369" Type="http://schemas.openxmlformats.org/officeDocument/2006/relationships/hyperlink" Target="https://www.tdhca.state.tx.us/readocs/uwrep/25469.pdf" TargetMode="External"/><Relationship Id="rId173" Type="http://schemas.openxmlformats.org/officeDocument/2006/relationships/hyperlink" Target="chrome-extension://efaidnbmnnnibpcajpcglclefindmkaj/https:/www.tdhca.state.tx.us/readocs/uwrep/23470.pdf" TargetMode="External"/><Relationship Id="rId229" Type="http://schemas.openxmlformats.org/officeDocument/2006/relationships/hyperlink" Target="chrome-extension://efaidnbmnnnibpcajpcglclefindmkaj/https:/www.tdhca.state.tx.us/readocs/uwrep/24443.pdf" TargetMode="External"/><Relationship Id="rId380" Type="http://schemas.openxmlformats.org/officeDocument/2006/relationships/hyperlink" Target="https://www.tdhca.state.tx.us/readocs/uwrep/25426.pdf" TargetMode="External"/><Relationship Id="rId240" Type="http://schemas.openxmlformats.org/officeDocument/2006/relationships/hyperlink" Target="chrome-extension://efaidnbmnnnibpcajpcglclefindmkaj/https:/www.tdhca.state.tx.us/readocs/uwrep/24444.pdf" TargetMode="External"/><Relationship Id="rId35" Type="http://schemas.openxmlformats.org/officeDocument/2006/relationships/hyperlink" Target="https://www.tdhca.state.tx.us/readocs/uwrep/22459.pdf" TargetMode="External"/><Relationship Id="rId77" Type="http://schemas.openxmlformats.org/officeDocument/2006/relationships/hyperlink" Target="https://www.tdhca.state.tx.us/readocs/uwrep/23960_21317.pdf" TargetMode="External"/><Relationship Id="rId100" Type="http://schemas.openxmlformats.org/officeDocument/2006/relationships/hyperlink" Target="https://www.tdhca.state.tx.us/readocs/uwrep/23934_21132.pdf" TargetMode="External"/><Relationship Id="rId282" Type="http://schemas.openxmlformats.org/officeDocument/2006/relationships/hyperlink" Target="chrome-extension://efaidnbmnnnibpcajpcglclefindmkaj/https:/www.tdhca.state.tx.us/readocs/uwrep/24505_22159.pdf" TargetMode="External"/><Relationship Id="rId338" Type="http://schemas.openxmlformats.org/officeDocument/2006/relationships/hyperlink" Target="https://www.tdhca.state.tx.us/readocs/uwrep/25402.pdf" TargetMode="External"/><Relationship Id="rId8" Type="http://schemas.openxmlformats.org/officeDocument/2006/relationships/hyperlink" Target="https://www.tdhca.state.tx.us/readocs/uwrep/22480.pdf" TargetMode="External"/><Relationship Id="rId142" Type="http://schemas.openxmlformats.org/officeDocument/2006/relationships/hyperlink" Target="https://www.tdhca.state.tx.us/readocs/uwrep/23430.pdf" TargetMode="External"/><Relationship Id="rId184" Type="http://schemas.openxmlformats.org/officeDocument/2006/relationships/hyperlink" Target="chrome-extension://efaidnbmnnnibpcajpcglclefindmkaj/https:/www.tdhca.state.tx.us/readocs/uwrep/23828_22227.pdf" TargetMode="External"/><Relationship Id="rId251" Type="http://schemas.openxmlformats.org/officeDocument/2006/relationships/hyperlink" Target="chrome-extension://efaidnbmnnnibpcajpcglclefindmkaj/https:/www.tdhca.state.tx.us/readocs/uwrep/24479.pdf" TargetMode="External"/><Relationship Id="rId46" Type="http://schemas.openxmlformats.org/officeDocument/2006/relationships/hyperlink" Target="https://www.tdhca.state.tx.us/readocs/uwrep/22448.pdf" TargetMode="External"/><Relationship Id="rId293" Type="http://schemas.openxmlformats.org/officeDocument/2006/relationships/hyperlink" Target="chrome-extension://efaidnbmnnnibpcajpcglclefindmkaj/https:/www.tdhca.state.tx.us/readocs/uwrep/25419.pdf" TargetMode="External"/><Relationship Id="rId307" Type="http://schemas.openxmlformats.org/officeDocument/2006/relationships/hyperlink" Target="chrome-extension://efaidnbmnnnibpcajpcglclefindmkaj/https:/www.tdhca.state.tx.us/readocs/uwrep/25439.pdf" TargetMode="External"/><Relationship Id="rId349" Type="http://schemas.openxmlformats.org/officeDocument/2006/relationships/hyperlink" Target="https://www.tdhca.state.tx.us/readocs/uwrep/25487.pdf" TargetMode="External"/><Relationship Id="rId88" Type="http://schemas.openxmlformats.org/officeDocument/2006/relationships/hyperlink" Target="https://www.tdhca.state.tx.us/readocs/uwrep/23931_21121.pdf" TargetMode="External"/><Relationship Id="rId111" Type="http://schemas.openxmlformats.org/officeDocument/2006/relationships/hyperlink" Target="https://www.tdhca.state.tx.us/readocs/uwrep/23905_21032.pdf" TargetMode="External"/><Relationship Id="rId153" Type="http://schemas.openxmlformats.org/officeDocument/2006/relationships/hyperlink" Target="https://www.tdhca.state.tx.us/readocs/uwrep/22721_20501.pdf" TargetMode="External"/><Relationship Id="rId195" Type="http://schemas.openxmlformats.org/officeDocument/2006/relationships/hyperlink" Target="chrome-extension://efaidnbmnnnibpcajpcglclefindmkaj/https:/www.tdhca.state.tx.us/readocs/uwrep/22053.pdf" TargetMode="External"/><Relationship Id="rId209" Type="http://schemas.openxmlformats.org/officeDocument/2006/relationships/hyperlink" Target="chrome-extension://efaidnbmnnnibpcajpcglclefindmkaj/https:/www.tdhca.state.tx.us/readocs/uwrep/24413.pdf" TargetMode="External"/><Relationship Id="rId360" Type="http://schemas.openxmlformats.org/officeDocument/2006/relationships/hyperlink" Target="https://www.tdhca.state.tx.us/readocs/uwrep/26423.pdf" TargetMode="External"/><Relationship Id="rId220" Type="http://schemas.openxmlformats.org/officeDocument/2006/relationships/hyperlink" Target="chrome-extension://efaidnbmnnnibpcajpcglclefindmkaj/https:/www.tdhca.state.tx.us/readocs/uwrep/24441.pdf" TargetMode="External"/><Relationship Id="rId15" Type="http://schemas.openxmlformats.org/officeDocument/2006/relationships/hyperlink" Target="https://www.tdhca.state.tx.us/readocs/uwrep/22479.pdf" TargetMode="External"/><Relationship Id="rId57" Type="http://schemas.openxmlformats.org/officeDocument/2006/relationships/hyperlink" Target="https://www.tdhca.state.tx.us/readocs/uwrep/21506_20042.pdf" TargetMode="External"/><Relationship Id="rId262" Type="http://schemas.openxmlformats.org/officeDocument/2006/relationships/hyperlink" Target="chrome-extension://efaidnbmnnnibpcajpcglclefindmkaj/https:/www.tdhca.state.tx.us/readocs/uwrep/24502_23906_21033.pdf" TargetMode="External"/><Relationship Id="rId318" Type="http://schemas.openxmlformats.org/officeDocument/2006/relationships/hyperlink" Target="https://www.tdhca.state.tx.us/readocs/uwrep/25454.pdf" TargetMode="External"/><Relationship Id="rId99" Type="http://schemas.openxmlformats.org/officeDocument/2006/relationships/hyperlink" Target="https://www.tdhca.state.tx.us/readocs/uwrep/23946_21187.pdf" TargetMode="External"/><Relationship Id="rId122" Type="http://schemas.openxmlformats.org/officeDocument/2006/relationships/hyperlink" Target="https://www.tdhca.state.tx.us/readocs/uwrep/23904_21027.pdf" TargetMode="External"/><Relationship Id="rId164" Type="http://schemas.openxmlformats.org/officeDocument/2006/relationships/hyperlink" Target="chrome-extension://efaidnbmnnnibpcajpcglclefindmkaj/https:/www.tdhca.state.tx.us/readocs/uwrep/23462.pdf" TargetMode="External"/><Relationship Id="rId371" Type="http://schemas.openxmlformats.org/officeDocument/2006/relationships/hyperlink" Target="https://www.tdhca.state.tx.us/readocs/uwrep/25466.pdf" TargetMode="External"/><Relationship Id="rId26" Type="http://schemas.openxmlformats.org/officeDocument/2006/relationships/hyperlink" Target="https://www.tdhca.state.tx.us/readocs/uwrep/22455.pdf" TargetMode="External"/><Relationship Id="rId231" Type="http://schemas.openxmlformats.org/officeDocument/2006/relationships/hyperlink" Target="chrome-extension://efaidnbmnnnibpcajpcglclefindmkaj/https:/www.tdhca.state.tx.us/readocs/uwrep/24439.pdf" TargetMode="External"/><Relationship Id="rId273" Type="http://schemas.openxmlformats.org/officeDocument/2006/relationships/hyperlink" Target="chrome-extension://efaidnbmnnnibpcajpcglclefindmkaj/https:/www.tdhca.state.tx.us/readocs/uwrep/24484.pdf" TargetMode="External"/><Relationship Id="rId329" Type="http://schemas.openxmlformats.org/officeDocument/2006/relationships/hyperlink" Target="https://www.tdhca.state.tx.us/readocs/uwrep/25480.pdf" TargetMode="External"/><Relationship Id="rId68" Type="http://schemas.openxmlformats.org/officeDocument/2006/relationships/hyperlink" Target="https://www.tdhca.state.tx.us/readocs/uwrep/22419.pdf" TargetMode="External"/><Relationship Id="rId133" Type="http://schemas.openxmlformats.org/officeDocument/2006/relationships/hyperlink" Target="https://www.tdhca.state.tx.us/readocs/uwrep/23438.pdf" TargetMode="External"/><Relationship Id="rId175" Type="http://schemas.openxmlformats.org/officeDocument/2006/relationships/hyperlink" Target="chrome-extension://efaidnbmnnnibpcajpcglclefindmkaj/https:/www.tdhca.state.tx.us/readocs/uwrep/22251.pdf" TargetMode="External"/><Relationship Id="rId340" Type="http://schemas.openxmlformats.org/officeDocument/2006/relationships/hyperlink" Target="https://www.tdhca.state.tx.us/readocs/uwrep/24509_23920_2109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3892-FD02-45B9-9E5C-73478936C94B}">
  <dimension ref="B1:EJ423"/>
  <sheetViews>
    <sheetView tabSelected="1" zoomScale="160" zoomScaleNormal="160" workbookViewId="0">
      <pane xSplit="4" ySplit="3" topLeftCell="CL66" activePane="bottomRight" state="frozen"/>
      <selection pane="bottomRight" activeCell="CU400" sqref="CU400"/>
      <selection pane="bottomLeft" activeCell="A4" sqref="A4"/>
      <selection pane="topRight" activeCell="E1" sqref="E1"/>
    </sheetView>
  </sheetViews>
  <sheetFormatPr defaultColWidth="8.85546875" defaultRowHeight="12" outlineLevelRow="1"/>
  <cols>
    <col min="1" max="1" width="8.85546875" style="2"/>
    <col min="2" max="2" width="19.85546875" style="1" bestFit="1" customWidth="1"/>
    <col min="3" max="3" width="20.42578125" style="1" bestFit="1" customWidth="1"/>
    <col min="4" max="4" width="29" style="2" bestFit="1" customWidth="1"/>
    <col min="5" max="5" width="53.42578125" style="2" bestFit="1" customWidth="1"/>
    <col min="6" max="6" width="56" style="2" customWidth="1"/>
    <col min="7" max="7" width="28.42578125" style="2" bestFit="1" customWidth="1"/>
    <col min="8" max="8" width="41.85546875" style="2" bestFit="1" customWidth="1"/>
    <col min="9" max="9" width="36.42578125" style="2" bestFit="1" customWidth="1"/>
    <col min="10" max="10" width="20.42578125" style="2" bestFit="1" customWidth="1"/>
    <col min="11" max="11" width="10.140625" style="2" bestFit="1" customWidth="1"/>
    <col min="12" max="12" width="11" style="1" bestFit="1" customWidth="1"/>
    <col min="13" max="13" width="7.140625" style="2" bestFit="1" customWidth="1"/>
    <col min="14" max="14" width="16.42578125" style="2" bestFit="1" customWidth="1"/>
    <col min="15" max="15" width="14.85546875" style="2" bestFit="1" customWidth="1"/>
    <col min="16" max="16" width="16.42578125" style="2" bestFit="1" customWidth="1"/>
    <col min="17" max="17" width="13.42578125" style="3" bestFit="1" customWidth="1"/>
    <col min="18" max="18" width="14.42578125" style="1" bestFit="1" customWidth="1"/>
    <col min="19" max="19" width="15.42578125" style="1" bestFit="1" customWidth="1"/>
    <col min="20" max="20" width="13.85546875" style="1" bestFit="1" customWidth="1"/>
    <col min="21" max="21" width="20" style="1" bestFit="1" customWidth="1"/>
    <col min="22" max="22" width="28" style="1" bestFit="1" customWidth="1"/>
    <col min="23" max="23" width="21.5703125" style="1" bestFit="1" customWidth="1"/>
    <col min="24" max="24" width="29.42578125" style="1" bestFit="1" customWidth="1"/>
    <col min="25" max="25" width="16.85546875" style="1" bestFit="1" customWidth="1"/>
    <col min="26" max="26" width="29.42578125" style="4" bestFit="1" customWidth="1"/>
    <col min="27" max="27" width="28.42578125" style="3" bestFit="1" customWidth="1"/>
    <col min="28" max="28" width="30.42578125" style="5" bestFit="1" customWidth="1"/>
    <col min="29" max="29" width="21.42578125" style="5" bestFit="1" customWidth="1"/>
    <col min="30" max="30" width="21.42578125" style="6" bestFit="1" customWidth="1"/>
    <col min="31" max="31" width="18.42578125" style="4" bestFit="1" customWidth="1"/>
    <col min="32" max="32" width="20.85546875" style="7" bestFit="1" customWidth="1"/>
    <col min="33" max="33" width="16" style="5" bestFit="1" customWidth="1"/>
    <col min="34" max="34" width="21.42578125" style="5" bestFit="1" customWidth="1"/>
    <col min="35" max="35" width="21.42578125" style="6" bestFit="1" customWidth="1"/>
    <col min="36" max="36" width="18.42578125" style="4" bestFit="1" customWidth="1"/>
    <col min="37" max="37" width="13.42578125" style="4" bestFit="1" customWidth="1"/>
    <col min="38" max="38" width="18.42578125" style="4" bestFit="1" customWidth="1"/>
    <col min="39" max="39" width="51.140625" style="1" bestFit="1" customWidth="1"/>
    <col min="40" max="40" width="21.85546875" style="8" bestFit="1" customWidth="1"/>
    <col min="41" max="41" width="14.42578125" style="4" bestFit="1" customWidth="1"/>
    <col min="42" max="42" width="23.85546875" style="4" bestFit="1" customWidth="1"/>
    <col min="43" max="43" width="23.42578125" style="4" bestFit="1" customWidth="1"/>
    <col min="44" max="44" width="15.5703125" style="4" bestFit="1" customWidth="1"/>
    <col min="45" max="45" width="21.140625" style="4" bestFit="1" customWidth="1"/>
    <col min="46" max="46" width="16.5703125" style="4" bestFit="1" customWidth="1"/>
    <col min="47" max="47" width="30.140625" style="4" bestFit="1" customWidth="1"/>
    <col min="48" max="48" width="29.5703125" style="4" bestFit="1" customWidth="1"/>
    <col min="49" max="49" width="35.5703125" style="4" bestFit="1" customWidth="1"/>
    <col min="50" max="50" width="20.85546875" style="4" bestFit="1" customWidth="1"/>
    <col min="51" max="51" width="39.140625" style="4" bestFit="1" customWidth="1"/>
    <col min="52" max="52" width="20.85546875" style="4" bestFit="1" customWidth="1"/>
    <col min="53" max="53" width="17.42578125" style="4" bestFit="1" customWidth="1"/>
    <col min="54" max="54" width="24.140625" style="4" bestFit="1" customWidth="1"/>
    <col min="55" max="55" width="20" style="4" bestFit="1" customWidth="1"/>
    <col min="56" max="56" width="21.42578125" style="4" bestFit="1" customWidth="1"/>
    <col min="57" max="57" width="16.42578125" style="4" bestFit="1" customWidth="1"/>
    <col min="58" max="58" width="13.140625" style="4" bestFit="1" customWidth="1"/>
    <col min="59" max="59" width="17" style="8" bestFit="1" customWidth="1"/>
    <col min="60" max="60" width="16.42578125" style="4" bestFit="1" customWidth="1"/>
    <col min="61" max="61" width="12.42578125" style="4" bestFit="1" customWidth="1"/>
    <col min="62" max="62" width="23.42578125" style="4" bestFit="1" customWidth="1"/>
    <col min="63" max="63" width="26.140625" style="4" bestFit="1" customWidth="1"/>
    <col min="64" max="64" width="30.42578125" style="1" bestFit="1" customWidth="1"/>
    <col min="65" max="65" width="21.42578125" style="1" bestFit="1" customWidth="1"/>
    <col min="66" max="66" width="27.85546875" style="1" bestFit="1" customWidth="1"/>
    <col min="67" max="67" width="22.85546875" style="1" bestFit="1" customWidth="1"/>
    <col min="68" max="68" width="19.42578125" style="1" bestFit="1" customWidth="1"/>
    <col min="69" max="69" width="23.42578125" style="1" bestFit="1" customWidth="1"/>
    <col min="70" max="70" width="22.85546875" style="1" bestFit="1" customWidth="1"/>
    <col min="71" max="71" width="18.85546875" style="1" bestFit="1" customWidth="1"/>
    <col min="72" max="72" width="29.5703125" style="1" bestFit="1" customWidth="1"/>
    <col min="73" max="73" width="22" style="1" bestFit="1" customWidth="1"/>
    <col min="74" max="74" width="27.42578125" style="1" bestFit="1" customWidth="1"/>
    <col min="75" max="75" width="18.42578125" style="1" bestFit="1" customWidth="1"/>
    <col min="76" max="76" width="24.42578125" style="1" bestFit="1" customWidth="1"/>
    <col min="77" max="77" width="19.42578125" style="1" bestFit="1" customWidth="1"/>
    <col min="78" max="78" width="16.140625" style="1" bestFit="1" customWidth="1"/>
    <col min="79" max="79" width="20.140625" style="1" bestFit="1" customWidth="1"/>
    <col min="80" max="80" width="19.42578125" style="1" bestFit="1" customWidth="1"/>
    <col min="81" max="81" width="15.42578125" style="1" bestFit="1" customWidth="1"/>
    <col min="82" max="82" width="26.42578125" style="1" bestFit="1" customWidth="1"/>
    <col min="83" max="83" width="22.140625" style="4" bestFit="1" customWidth="1"/>
    <col min="84" max="84" width="15.5703125" style="4" bestFit="1" customWidth="1"/>
    <col min="85" max="85" width="22.42578125" style="4" bestFit="1" customWidth="1"/>
    <col min="86" max="86" width="26.85546875" style="4" bestFit="1" customWidth="1"/>
    <col min="87" max="87" width="54.42578125" style="4" bestFit="1" customWidth="1"/>
    <col min="88" max="88" width="18.5703125" style="4" bestFit="1" customWidth="1"/>
    <col min="89" max="89" width="11" style="4" bestFit="1" customWidth="1"/>
    <col min="90" max="90" width="30.42578125" style="4" bestFit="1" customWidth="1"/>
    <col min="91" max="91" width="11.5703125" style="4" bestFit="1" customWidth="1"/>
    <col min="92" max="92" width="12.85546875" style="4" bestFit="1" customWidth="1"/>
    <col min="93" max="93" width="16.5703125" style="4" bestFit="1" customWidth="1"/>
    <col min="94" max="94" width="26.42578125" style="4" bestFit="1" customWidth="1"/>
    <col min="95" max="95" width="28.42578125" style="4" bestFit="1" customWidth="1"/>
    <col min="96" max="96" width="24.42578125" style="4" bestFit="1" customWidth="1"/>
    <col min="97" max="97" width="21.85546875" style="4" bestFit="1" customWidth="1"/>
    <col min="98" max="98" width="19.140625" style="4" bestFit="1" customWidth="1"/>
    <col min="99" max="99" width="29" style="4" bestFit="1" customWidth="1"/>
    <col min="100" max="100" width="35.140625" style="1" bestFit="1" customWidth="1"/>
    <col min="101" max="101" width="37.42578125" style="1" bestFit="1" customWidth="1"/>
    <col min="102" max="102" width="33.140625" style="1" bestFit="1" customWidth="1"/>
    <col min="103" max="103" width="29.140625" style="1" bestFit="1" customWidth="1"/>
    <col min="104" max="104" width="25" style="1" bestFit="1" customWidth="1"/>
    <col min="105" max="105" width="22.140625" style="1" bestFit="1" customWidth="1"/>
    <col min="106" max="106" width="19.5703125" style="1" bestFit="1" customWidth="1"/>
    <col min="107" max="107" width="39.140625" style="1" bestFit="1" customWidth="1"/>
    <col min="108" max="108" width="29.42578125" style="1" bestFit="1" customWidth="1"/>
    <col min="109" max="109" width="36.42578125" style="1" bestFit="1" customWidth="1"/>
    <col min="110" max="110" width="40.5703125" style="1" bestFit="1" customWidth="1"/>
    <col min="111" max="111" width="68.42578125" style="1" bestFit="1" customWidth="1"/>
    <col min="112" max="112" width="32.42578125" style="1" bestFit="1" customWidth="1"/>
    <col min="113" max="113" width="24.5703125" style="1" bestFit="1" customWidth="1"/>
    <col min="114" max="114" width="44.42578125" style="1" bestFit="1" customWidth="1"/>
    <col min="115" max="115" width="25.42578125" style="1" bestFit="1" customWidth="1"/>
    <col min="116" max="116" width="26.5703125" style="1" bestFit="1" customWidth="1"/>
    <col min="117" max="117" width="30.5703125" style="1" bestFit="1" customWidth="1"/>
    <col min="118" max="118" width="40.42578125" style="1" bestFit="1" customWidth="1"/>
    <col min="119" max="119" width="42.42578125" style="1" bestFit="1" customWidth="1"/>
    <col min="120" max="120" width="38.42578125" style="1" bestFit="1" customWidth="1"/>
    <col min="121" max="121" width="35.85546875" style="1" bestFit="1" customWidth="1"/>
    <col min="122" max="122" width="33" style="1" bestFit="1" customWidth="1"/>
    <col min="123" max="123" width="43" style="1" bestFit="1" customWidth="1"/>
    <col min="124" max="124" width="31.42578125" style="1" bestFit="1" customWidth="1"/>
    <col min="125" max="125" width="23.42578125" style="1" bestFit="1" customWidth="1"/>
    <col min="126" max="126" width="30" style="1" bestFit="1" customWidth="1"/>
    <col min="127" max="127" width="34.42578125" style="1" bestFit="1" customWidth="1"/>
    <col min="128" max="128" width="62.42578125" style="1" bestFit="1" customWidth="1"/>
    <col min="129" max="129" width="26.42578125" style="1" bestFit="1" customWidth="1"/>
    <col min="130" max="130" width="18.42578125" style="1" bestFit="1" customWidth="1"/>
    <col min="131" max="131" width="38.140625" style="1" bestFit="1" customWidth="1"/>
    <col min="132" max="132" width="19.42578125" style="1" bestFit="1" customWidth="1"/>
    <col min="133" max="133" width="20.42578125" style="1" bestFit="1" customWidth="1"/>
    <col min="134" max="134" width="24.42578125" style="1" bestFit="1" customWidth="1"/>
    <col min="135" max="135" width="34" style="1" bestFit="1" customWidth="1"/>
    <col min="136" max="136" width="36.42578125" style="1" bestFit="1" customWidth="1"/>
    <col min="137" max="137" width="32.140625" style="1" bestFit="1" customWidth="1"/>
    <col min="138" max="138" width="29.42578125" style="1" bestFit="1" customWidth="1"/>
    <col min="139" max="139" width="26.85546875" style="1" bestFit="1" customWidth="1"/>
    <col min="140" max="140" width="36.5703125" style="1" bestFit="1" customWidth="1"/>
    <col min="141" max="16384" width="8.85546875" style="2"/>
  </cols>
  <sheetData>
    <row r="1" spans="2:140" ht="12.6" thickBot="1"/>
    <row r="2" spans="2:140" s="46" customFormat="1" ht="14.45">
      <c r="B2" s="9" t="s">
        <v>0</v>
      </c>
      <c r="C2" s="10"/>
      <c r="D2" s="11"/>
      <c r="E2" s="11"/>
      <c r="F2" s="11"/>
      <c r="G2" s="11"/>
      <c r="H2" s="11"/>
      <c r="I2" s="12"/>
      <c r="J2" s="13" t="s">
        <v>1</v>
      </c>
      <c r="K2" s="14"/>
      <c r="L2" s="15"/>
      <c r="M2" s="14"/>
      <c r="N2" s="14"/>
      <c r="O2" s="14"/>
      <c r="P2" s="14"/>
      <c r="Q2" s="16"/>
      <c r="R2" s="15"/>
      <c r="S2" s="15"/>
      <c r="T2" s="15"/>
      <c r="U2" s="15"/>
      <c r="V2" s="15"/>
      <c r="W2" s="15"/>
      <c r="X2" s="15"/>
      <c r="Y2" s="17"/>
      <c r="Z2" s="18" t="s">
        <v>2</v>
      </c>
      <c r="AA2" s="19"/>
      <c r="AB2" s="18" t="s">
        <v>3</v>
      </c>
      <c r="AC2" s="20"/>
      <c r="AD2" s="21"/>
      <c r="AE2" s="22"/>
      <c r="AF2" s="23"/>
      <c r="AG2" s="18"/>
      <c r="AH2" s="20"/>
      <c r="AI2" s="21"/>
      <c r="AJ2" s="24"/>
      <c r="AK2" s="25"/>
      <c r="AL2" s="25"/>
      <c r="AM2" s="26"/>
      <c r="AN2" s="27"/>
      <c r="AO2" s="22"/>
      <c r="AP2" s="22"/>
      <c r="AQ2" s="28"/>
      <c r="AR2" s="29"/>
      <c r="AS2" s="22"/>
      <c r="AT2" s="22"/>
      <c r="AU2" s="22"/>
      <c r="AV2" s="24"/>
      <c r="AW2" s="30" t="s">
        <v>4</v>
      </c>
      <c r="AX2" s="31"/>
      <c r="AY2" s="30" t="s">
        <v>5</v>
      </c>
      <c r="AZ2" s="31"/>
      <c r="BA2" s="32" t="s">
        <v>6</v>
      </c>
      <c r="BB2" s="33"/>
      <c r="BC2" s="33"/>
      <c r="BD2" s="33"/>
      <c r="BE2" s="33"/>
      <c r="BF2" s="33"/>
      <c r="BG2" s="34"/>
      <c r="BH2" s="33"/>
      <c r="BI2" s="33"/>
      <c r="BJ2" s="35"/>
      <c r="BK2" s="32" t="s">
        <v>7</v>
      </c>
      <c r="BL2" s="36"/>
      <c r="BM2" s="36"/>
      <c r="BN2" s="36"/>
      <c r="BO2" s="36"/>
      <c r="BP2" s="36"/>
      <c r="BQ2" s="36"/>
      <c r="BR2" s="36"/>
      <c r="BS2" s="36"/>
      <c r="BT2" s="37"/>
      <c r="BU2" s="38" t="s">
        <v>8</v>
      </c>
      <c r="BV2" s="36"/>
      <c r="BW2" s="36"/>
      <c r="BX2" s="36"/>
      <c r="BY2" s="36"/>
      <c r="BZ2" s="36"/>
      <c r="CA2" s="36"/>
      <c r="CB2" s="36"/>
      <c r="CC2" s="36"/>
      <c r="CD2" s="37"/>
      <c r="CE2" s="39" t="s">
        <v>9</v>
      </c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1"/>
      <c r="CV2" s="42" t="s">
        <v>10</v>
      </c>
      <c r="CW2" s="43"/>
      <c r="CX2" s="43"/>
      <c r="CY2" s="43"/>
      <c r="CZ2" s="43"/>
      <c r="DA2" s="43"/>
      <c r="DB2" s="44"/>
      <c r="DC2" s="42" t="s">
        <v>11</v>
      </c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4"/>
      <c r="DT2" s="42" t="s">
        <v>12</v>
      </c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5"/>
    </row>
    <row r="3" spans="2:140" ht="24.6" thickBot="1">
      <c r="B3" s="123" t="s">
        <v>13</v>
      </c>
      <c r="C3" s="124" t="s">
        <v>14</v>
      </c>
      <c r="D3" s="125" t="s">
        <v>15</v>
      </c>
      <c r="E3" s="125" t="s">
        <v>16</v>
      </c>
      <c r="F3" s="125" t="s">
        <v>17</v>
      </c>
      <c r="G3" s="125" t="s">
        <v>18</v>
      </c>
      <c r="H3" s="125" t="s">
        <v>19</v>
      </c>
      <c r="I3" s="126" t="s">
        <v>20</v>
      </c>
      <c r="J3" s="127" t="s">
        <v>21</v>
      </c>
      <c r="K3" s="125" t="s">
        <v>22</v>
      </c>
      <c r="L3" s="124" t="s">
        <v>23</v>
      </c>
      <c r="M3" s="125" t="s">
        <v>24</v>
      </c>
      <c r="N3" s="125" t="s">
        <v>25</v>
      </c>
      <c r="O3" s="125" t="s">
        <v>26</v>
      </c>
      <c r="P3" s="125" t="s">
        <v>27</v>
      </c>
      <c r="Q3" s="128" t="s">
        <v>28</v>
      </c>
      <c r="R3" s="124" t="s">
        <v>29</v>
      </c>
      <c r="S3" s="124" t="s">
        <v>30</v>
      </c>
      <c r="T3" s="124" t="s">
        <v>31</v>
      </c>
      <c r="U3" s="124" t="s">
        <v>32</v>
      </c>
      <c r="V3" s="124" t="s">
        <v>33</v>
      </c>
      <c r="W3" s="124" t="s">
        <v>34</v>
      </c>
      <c r="X3" s="124" t="s">
        <v>35</v>
      </c>
      <c r="Y3" s="129" t="s">
        <v>36</v>
      </c>
      <c r="Z3" s="130" t="s">
        <v>37</v>
      </c>
      <c r="AA3" s="131" t="s">
        <v>38</v>
      </c>
      <c r="AB3" s="132" t="s">
        <v>39</v>
      </c>
      <c r="AC3" s="133" t="s">
        <v>40</v>
      </c>
      <c r="AD3" s="134" t="s">
        <v>41</v>
      </c>
      <c r="AE3" s="135" t="s">
        <v>42</v>
      </c>
      <c r="AF3" s="136" t="s">
        <v>43</v>
      </c>
      <c r="AG3" s="132" t="s">
        <v>44</v>
      </c>
      <c r="AH3" s="133" t="s">
        <v>45</v>
      </c>
      <c r="AI3" s="134" t="s">
        <v>46</v>
      </c>
      <c r="AJ3" s="137" t="s">
        <v>47</v>
      </c>
      <c r="AK3" s="138" t="s">
        <v>48</v>
      </c>
      <c r="AL3" s="138" t="s">
        <v>49</v>
      </c>
      <c r="AM3" s="124" t="s">
        <v>50</v>
      </c>
      <c r="AN3" s="139" t="s">
        <v>51</v>
      </c>
      <c r="AO3" s="135" t="s">
        <v>52</v>
      </c>
      <c r="AP3" s="135" t="s">
        <v>53</v>
      </c>
      <c r="AQ3" s="140" t="s">
        <v>54</v>
      </c>
      <c r="AR3" s="130" t="s">
        <v>55</v>
      </c>
      <c r="AS3" s="135" t="s">
        <v>56</v>
      </c>
      <c r="AT3" s="135" t="s">
        <v>57</v>
      </c>
      <c r="AU3" s="135" t="s">
        <v>58</v>
      </c>
      <c r="AV3" s="137" t="s">
        <v>59</v>
      </c>
      <c r="AW3" s="141" t="s">
        <v>60</v>
      </c>
      <c r="AX3" s="142" t="s">
        <v>61</v>
      </c>
      <c r="AY3" s="141" t="s">
        <v>62</v>
      </c>
      <c r="AZ3" s="142" t="s">
        <v>63</v>
      </c>
      <c r="BA3" s="138" t="s">
        <v>64</v>
      </c>
      <c r="BB3" s="135" t="s">
        <v>65</v>
      </c>
      <c r="BC3" s="135" t="s">
        <v>66</v>
      </c>
      <c r="BD3" s="135" t="s">
        <v>67</v>
      </c>
      <c r="BE3" s="135" t="s">
        <v>68</v>
      </c>
      <c r="BF3" s="135" t="s">
        <v>69</v>
      </c>
      <c r="BG3" s="139" t="s">
        <v>70</v>
      </c>
      <c r="BH3" s="135" t="s">
        <v>71</v>
      </c>
      <c r="BI3" s="135" t="s">
        <v>72</v>
      </c>
      <c r="BJ3" s="137" t="s">
        <v>73</v>
      </c>
      <c r="BK3" s="138" t="s">
        <v>74</v>
      </c>
      <c r="BL3" s="124" t="s">
        <v>75</v>
      </c>
      <c r="BM3" s="124" t="s">
        <v>76</v>
      </c>
      <c r="BN3" s="124" t="s">
        <v>77</v>
      </c>
      <c r="BO3" s="124" t="s">
        <v>78</v>
      </c>
      <c r="BP3" s="124" t="s">
        <v>79</v>
      </c>
      <c r="BQ3" s="124" t="s">
        <v>80</v>
      </c>
      <c r="BR3" s="124" t="s">
        <v>81</v>
      </c>
      <c r="BS3" s="124" t="s">
        <v>82</v>
      </c>
      <c r="BT3" s="143" t="s">
        <v>83</v>
      </c>
      <c r="BU3" s="123" t="s">
        <v>84</v>
      </c>
      <c r="BV3" s="124" t="s">
        <v>85</v>
      </c>
      <c r="BW3" s="124" t="s">
        <v>86</v>
      </c>
      <c r="BX3" s="124" t="s">
        <v>87</v>
      </c>
      <c r="BY3" s="124" t="s">
        <v>88</v>
      </c>
      <c r="BZ3" s="124" t="s">
        <v>89</v>
      </c>
      <c r="CA3" s="124" t="s">
        <v>90</v>
      </c>
      <c r="CB3" s="124" t="s">
        <v>91</v>
      </c>
      <c r="CC3" s="124" t="s">
        <v>92</v>
      </c>
      <c r="CD3" s="143" t="s">
        <v>93</v>
      </c>
      <c r="CE3" s="138" t="s">
        <v>94</v>
      </c>
      <c r="CF3" s="135" t="s">
        <v>95</v>
      </c>
      <c r="CG3" s="135" t="s">
        <v>96</v>
      </c>
      <c r="CH3" s="135" t="s">
        <v>97</v>
      </c>
      <c r="CI3" s="135" t="s">
        <v>98</v>
      </c>
      <c r="CJ3" s="135" t="s">
        <v>99</v>
      </c>
      <c r="CK3" s="135" t="s">
        <v>100</v>
      </c>
      <c r="CL3" s="135" t="s">
        <v>101</v>
      </c>
      <c r="CM3" s="135" t="s">
        <v>102</v>
      </c>
      <c r="CN3" s="135" t="s">
        <v>103</v>
      </c>
      <c r="CO3" s="135" t="s">
        <v>104</v>
      </c>
      <c r="CP3" s="135" t="s">
        <v>105</v>
      </c>
      <c r="CQ3" s="135" t="s">
        <v>106</v>
      </c>
      <c r="CR3" s="135" t="s">
        <v>107</v>
      </c>
      <c r="CS3" s="135" t="s">
        <v>108</v>
      </c>
      <c r="CT3" s="135" t="s">
        <v>109</v>
      </c>
      <c r="CU3" s="137" t="s">
        <v>110</v>
      </c>
      <c r="CV3" s="123" t="s">
        <v>111</v>
      </c>
      <c r="CW3" s="124" t="s">
        <v>112</v>
      </c>
      <c r="CX3" s="144" t="s">
        <v>113</v>
      </c>
      <c r="CY3" s="124" t="s">
        <v>114</v>
      </c>
      <c r="CZ3" s="124" t="s">
        <v>115</v>
      </c>
      <c r="DA3" s="124" t="s">
        <v>116</v>
      </c>
      <c r="DB3" s="143" t="s">
        <v>117</v>
      </c>
      <c r="DC3" s="123" t="s">
        <v>118</v>
      </c>
      <c r="DD3" s="124" t="s">
        <v>119</v>
      </c>
      <c r="DE3" s="124" t="s">
        <v>120</v>
      </c>
      <c r="DF3" s="124" t="s">
        <v>121</v>
      </c>
      <c r="DG3" s="124" t="s">
        <v>122</v>
      </c>
      <c r="DH3" s="124" t="s">
        <v>123</v>
      </c>
      <c r="DI3" s="124" t="s">
        <v>124</v>
      </c>
      <c r="DJ3" s="124" t="s">
        <v>125</v>
      </c>
      <c r="DK3" s="124" t="s">
        <v>126</v>
      </c>
      <c r="DL3" s="124" t="s">
        <v>127</v>
      </c>
      <c r="DM3" s="124" t="s">
        <v>128</v>
      </c>
      <c r="DN3" s="124" t="s">
        <v>129</v>
      </c>
      <c r="DO3" s="124" t="s">
        <v>130</v>
      </c>
      <c r="DP3" s="124" t="s">
        <v>131</v>
      </c>
      <c r="DQ3" s="124" t="s">
        <v>132</v>
      </c>
      <c r="DR3" s="124" t="s">
        <v>133</v>
      </c>
      <c r="DS3" s="143" t="s">
        <v>134</v>
      </c>
      <c r="DT3" s="123" t="s">
        <v>135</v>
      </c>
      <c r="DU3" s="124" t="s">
        <v>136</v>
      </c>
      <c r="DV3" s="124" t="s">
        <v>137</v>
      </c>
      <c r="DW3" s="124" t="s">
        <v>138</v>
      </c>
      <c r="DX3" s="124" t="s">
        <v>139</v>
      </c>
      <c r="DY3" s="124" t="s">
        <v>140</v>
      </c>
      <c r="DZ3" s="124" t="s">
        <v>141</v>
      </c>
      <c r="EA3" s="124" t="s">
        <v>142</v>
      </c>
      <c r="EB3" s="124" t="s">
        <v>143</v>
      </c>
      <c r="EC3" s="124" t="s">
        <v>144</v>
      </c>
      <c r="ED3" s="124" t="s">
        <v>145</v>
      </c>
      <c r="EE3" s="124" t="s">
        <v>146</v>
      </c>
      <c r="EF3" s="124" t="s">
        <v>147</v>
      </c>
      <c r="EG3" s="124" t="s">
        <v>148</v>
      </c>
      <c r="EH3" s="124" t="s">
        <v>149</v>
      </c>
      <c r="EI3" s="124" t="s">
        <v>150</v>
      </c>
      <c r="EJ3" s="129" t="s">
        <v>151</v>
      </c>
    </row>
    <row r="4" spans="2:140" ht="12.6" thickTop="1">
      <c r="B4" s="211">
        <v>2022</v>
      </c>
      <c r="C4" s="117"/>
      <c r="D4" s="50"/>
      <c r="E4" s="50"/>
      <c r="F4" s="50"/>
      <c r="G4" s="50"/>
      <c r="H4" s="50"/>
      <c r="I4" s="50"/>
      <c r="J4" s="52"/>
      <c r="K4" s="50"/>
      <c r="L4" s="49"/>
      <c r="M4" s="50"/>
      <c r="N4" s="50"/>
      <c r="O4" s="50"/>
      <c r="P4" s="50"/>
      <c r="Q4" s="53"/>
      <c r="R4" s="49"/>
      <c r="S4" s="49"/>
      <c r="T4" s="54" t="str">
        <f t="shared" ref="T4:T66" si="0">IFERROR(IF(SUM(R4:S4)&gt;0,SUM(R4:S4),""),"")</f>
        <v/>
      </c>
      <c r="U4" s="55"/>
      <c r="V4" s="49"/>
      <c r="W4" s="56" t="str">
        <f>IFERROR(IF(T4&gt;0,T4/V4,""),"")</f>
        <v/>
      </c>
      <c r="X4" s="49"/>
      <c r="Y4" s="57"/>
      <c r="Z4" s="58"/>
      <c r="AA4" s="114"/>
      <c r="AB4" s="59"/>
      <c r="AC4" s="60"/>
      <c r="AD4" s="61"/>
      <c r="AE4" s="62"/>
      <c r="AF4" s="63"/>
      <c r="AG4" s="59"/>
      <c r="AH4" s="60"/>
      <c r="AI4" s="61"/>
      <c r="AJ4" s="64"/>
      <c r="AK4" s="65" t="str">
        <f>IFERROR(IF(AE4&gt;0,AJ4+AE4,""),"")</f>
        <v/>
      </c>
      <c r="AL4" s="66"/>
      <c r="AM4" s="49"/>
      <c r="AN4" s="67"/>
      <c r="AO4" s="62"/>
      <c r="AP4" s="62"/>
      <c r="AQ4" s="68"/>
      <c r="AR4" s="69" t="str">
        <f>IFERROR(IF(AK4&gt;0,AK4/T4,""),"")</f>
        <v/>
      </c>
      <c r="AS4" s="70" t="str">
        <f>IFERROR(IF(AL4&gt;0,AL4/T4,""),"")</f>
        <v/>
      </c>
      <c r="AT4" s="70" t="str">
        <f>IFERROR(IF(AO4&gt;0,AO4/T4,""),"")</f>
        <v/>
      </c>
      <c r="AU4" s="70" t="str">
        <f>IFERROR(IF(AP4&gt;0,AP4/T4,""),"")</f>
        <v/>
      </c>
      <c r="AV4" s="71" t="str">
        <f>IFERROR(IF(AQ4&gt;0,AQ4/T4,""),"")</f>
        <v/>
      </c>
      <c r="AW4" s="115" t="str">
        <f>IFERROR(IF(SUM(BB4:BC4)&gt;0,SUM(BB4:BC4)/T4,""),"")</f>
        <v/>
      </c>
      <c r="AX4" s="116" t="str">
        <f>IFERROR(IF(SUM(BB4:BC4)&gt;0,SUM(BB4:BC4)/U4,""),"")</f>
        <v/>
      </c>
      <c r="AY4" s="72" t="str">
        <f>IFERROR(IF(SUM(BL4:BO4)&gt;0,SUM(BL4:BO4),""),"")</f>
        <v/>
      </c>
      <c r="AZ4" s="73" t="str">
        <f>IFERROR(IF(SUM(BV4:BY4)&gt;0,SUM(BV4:BY4),""),"")</f>
        <v/>
      </c>
      <c r="BA4" s="66"/>
      <c r="BB4" s="62"/>
      <c r="BC4" s="62"/>
      <c r="BD4" s="62"/>
      <c r="BE4" s="62"/>
      <c r="BF4" s="62"/>
      <c r="BG4" s="62"/>
      <c r="BH4" s="62"/>
      <c r="BI4" s="62"/>
      <c r="BJ4" s="47" t="str">
        <f>IFERROR(IF(SUM(BA4:BI4)&gt;0,SUM(BA4:BI4),""),"")</f>
        <v/>
      </c>
      <c r="BK4" s="69" t="str">
        <f t="shared" ref="BK4:BT4" si="1">IFERROR(IF(BA4&gt;0,BA4/$T4,""),"")</f>
        <v/>
      </c>
      <c r="BL4" s="70" t="str">
        <f t="shared" si="1"/>
        <v/>
      </c>
      <c r="BM4" s="70" t="str">
        <f t="shared" si="1"/>
        <v/>
      </c>
      <c r="BN4" s="70" t="str">
        <f t="shared" si="1"/>
        <v/>
      </c>
      <c r="BO4" s="70" t="str">
        <f t="shared" si="1"/>
        <v/>
      </c>
      <c r="BP4" s="70" t="str">
        <f t="shared" si="1"/>
        <v/>
      </c>
      <c r="BQ4" s="70" t="str">
        <f t="shared" si="1"/>
        <v/>
      </c>
      <c r="BR4" s="70" t="str">
        <f t="shared" si="1"/>
        <v/>
      </c>
      <c r="BS4" s="70" t="str">
        <f t="shared" si="1"/>
        <v/>
      </c>
      <c r="BT4" s="71" t="str">
        <f t="shared" si="1"/>
        <v/>
      </c>
      <c r="BU4" s="65" t="str">
        <f t="shared" ref="BU4:CD4" si="2">IFERROR(IF(BA4&gt;0,BA4/$U4,""),"")</f>
        <v/>
      </c>
      <c r="BV4" s="48" t="str">
        <f t="shared" si="2"/>
        <v/>
      </c>
      <c r="BW4" s="48" t="str">
        <f t="shared" si="2"/>
        <v/>
      </c>
      <c r="BX4" s="48" t="str">
        <f t="shared" si="2"/>
        <v/>
      </c>
      <c r="BY4" s="48" t="str">
        <f t="shared" si="2"/>
        <v/>
      </c>
      <c r="BZ4" s="48" t="str">
        <f t="shared" si="2"/>
        <v/>
      </c>
      <c r="CA4" s="48" t="str">
        <f t="shared" si="2"/>
        <v/>
      </c>
      <c r="CB4" s="48" t="str">
        <f t="shared" si="2"/>
        <v/>
      </c>
      <c r="CC4" s="48" t="str">
        <f t="shared" si="2"/>
        <v/>
      </c>
      <c r="CD4" s="47" t="str">
        <f t="shared" si="2"/>
        <v/>
      </c>
      <c r="CE4" s="66"/>
      <c r="CF4" s="62"/>
      <c r="CG4" s="74"/>
      <c r="CH4" s="75" t="str">
        <f>IFERROR(IF(SUM(CE4:CG4)&gt;0,SUM(CE4:CG4),""),"")</f>
        <v/>
      </c>
      <c r="CI4" s="62"/>
      <c r="CJ4" s="62"/>
      <c r="CK4" s="62"/>
      <c r="CL4" s="62"/>
      <c r="CM4" s="62"/>
      <c r="CN4" s="62"/>
      <c r="CO4" s="62"/>
      <c r="CP4" s="75" t="str">
        <f t="shared" ref="CP4:CP66" si="3">IFERROR(IF(SUM(CI4:CO4)&gt;0,SUM(CI4:CO4),""),"")</f>
        <v/>
      </c>
      <c r="CQ4" s="62"/>
      <c r="CR4" s="75" t="str">
        <f t="shared" ref="CR4:CR66" si="4">IFERROR(IF(SUM(CP4:CQ4)&gt;0,SUM(CP4:CQ4),""),"")</f>
        <v/>
      </c>
      <c r="CS4" s="75" t="str">
        <f>IFERROR(IF(CH4-CR4&gt;0,CH4-CP4,""),"")</f>
        <v/>
      </c>
      <c r="CT4" s="62"/>
      <c r="CU4" s="47" t="str">
        <f>IFERROR(IF(CS4-CT4&gt;0,CS4-CT4,""),"")</f>
        <v/>
      </c>
      <c r="CV4" s="76" t="str">
        <f>IFERROR(IF(CU4&gt;0,CS4/CH4,""),"")</f>
        <v/>
      </c>
      <c r="CW4" s="75" t="str">
        <f>IFERROR(IF(CU4&gt;0,CR4/T4,""),"")</f>
        <v/>
      </c>
      <c r="CX4" s="77" t="str">
        <f>IFERROR(IF(CU4&gt;0,CR4/CH4,""),"")</f>
        <v/>
      </c>
      <c r="CY4" s="75" t="str">
        <f>IFERROR(IF(CU4&gt;0,CU4/T4,""),"")</f>
        <v/>
      </c>
      <c r="CZ4" s="77" t="str">
        <f>IFERROR(IF(CU4&gt;0,CU4/CH4,""),"")</f>
        <v/>
      </c>
      <c r="DA4" s="77" t="str">
        <f>IFERROR(IF(CT4&gt;0,CT4/CH4,""),"")</f>
        <v/>
      </c>
      <c r="DB4" s="47" t="str">
        <f>IFERROR(IF(AR4&gt;0,AR4,""),"")</f>
        <v/>
      </c>
      <c r="DC4" s="69" t="str">
        <f t="shared" ref="DC4:DS4" si="5">IFERROR(IF(ABS(CE4)&gt;0,CE4/$T4,""),"")</f>
        <v/>
      </c>
      <c r="DD4" s="70" t="str">
        <f t="shared" si="5"/>
        <v/>
      </c>
      <c r="DE4" s="70" t="str">
        <f t="shared" si="5"/>
        <v/>
      </c>
      <c r="DF4" s="70" t="str">
        <f t="shared" si="5"/>
        <v/>
      </c>
      <c r="DG4" s="70" t="str">
        <f t="shared" si="5"/>
        <v/>
      </c>
      <c r="DH4" s="70" t="str">
        <f t="shared" si="5"/>
        <v/>
      </c>
      <c r="DI4" s="70" t="str">
        <f t="shared" si="5"/>
        <v/>
      </c>
      <c r="DJ4" s="70" t="str">
        <f t="shared" si="5"/>
        <v/>
      </c>
      <c r="DK4" s="70" t="str">
        <f t="shared" si="5"/>
        <v/>
      </c>
      <c r="DL4" s="70" t="str">
        <f t="shared" si="5"/>
        <v/>
      </c>
      <c r="DM4" s="70" t="str">
        <f t="shared" si="5"/>
        <v/>
      </c>
      <c r="DN4" s="70" t="str">
        <f t="shared" si="5"/>
        <v/>
      </c>
      <c r="DO4" s="70" t="str">
        <f t="shared" si="5"/>
        <v/>
      </c>
      <c r="DP4" s="70" t="str">
        <f t="shared" si="5"/>
        <v/>
      </c>
      <c r="DQ4" s="70" t="str">
        <f t="shared" si="5"/>
        <v/>
      </c>
      <c r="DR4" s="70" t="str">
        <f t="shared" si="5"/>
        <v/>
      </c>
      <c r="DS4" s="71" t="str">
        <f t="shared" si="5"/>
        <v/>
      </c>
      <c r="DT4" s="106" t="str">
        <f t="shared" ref="DT4:EJ4" si="6">IFERROR(IF(ABS(CE4&gt;0),CE4/$CH4,""),"")</f>
        <v/>
      </c>
      <c r="DU4" s="92" t="str">
        <f t="shared" si="6"/>
        <v/>
      </c>
      <c r="DV4" s="92" t="str">
        <f t="shared" si="6"/>
        <v/>
      </c>
      <c r="DW4" s="92" t="str">
        <f t="shared" si="6"/>
        <v/>
      </c>
      <c r="DX4" s="92" t="str">
        <f t="shared" si="6"/>
        <v/>
      </c>
      <c r="DY4" s="92" t="str">
        <f t="shared" si="6"/>
        <v/>
      </c>
      <c r="DZ4" s="92" t="str">
        <f t="shared" si="6"/>
        <v/>
      </c>
      <c r="EA4" s="92" t="str">
        <f t="shared" si="6"/>
        <v/>
      </c>
      <c r="EB4" s="92" t="str">
        <f t="shared" si="6"/>
        <v/>
      </c>
      <c r="EC4" s="92" t="str">
        <f t="shared" si="6"/>
        <v/>
      </c>
      <c r="ED4" s="92" t="str">
        <f t="shared" si="6"/>
        <v/>
      </c>
      <c r="EE4" s="92" t="str">
        <f t="shared" si="6"/>
        <v/>
      </c>
      <c r="EF4" s="92" t="str">
        <f t="shared" si="6"/>
        <v/>
      </c>
      <c r="EG4" s="92" t="str">
        <f t="shared" si="6"/>
        <v/>
      </c>
      <c r="EH4" s="92" t="str">
        <f t="shared" si="6"/>
        <v/>
      </c>
      <c r="EI4" s="92" t="str">
        <f t="shared" si="6"/>
        <v/>
      </c>
      <c r="EJ4" s="122" t="str">
        <f t="shared" si="6"/>
        <v/>
      </c>
    </row>
    <row r="5" spans="2:140" ht="12" hidden="1" customHeight="1" outlineLevel="1">
      <c r="B5" s="121">
        <v>44714</v>
      </c>
      <c r="C5" s="117">
        <v>22430</v>
      </c>
      <c r="D5" s="50" t="s">
        <v>152</v>
      </c>
      <c r="E5" s="50" t="s">
        <v>153</v>
      </c>
      <c r="F5" s="50" t="s">
        <v>153</v>
      </c>
      <c r="G5" s="50" t="s">
        <v>154</v>
      </c>
      <c r="H5" s="50" t="s">
        <v>155</v>
      </c>
      <c r="I5" s="51" t="s">
        <v>156</v>
      </c>
      <c r="J5" s="52" t="s">
        <v>157</v>
      </c>
      <c r="K5" s="50" t="s">
        <v>158</v>
      </c>
      <c r="L5" s="49">
        <v>8</v>
      </c>
      <c r="M5" s="50" t="s">
        <v>159</v>
      </c>
      <c r="N5" s="50" t="s">
        <v>160</v>
      </c>
      <c r="O5" s="50" t="s">
        <v>160</v>
      </c>
      <c r="P5" s="50" t="s">
        <v>161</v>
      </c>
      <c r="Q5" s="53">
        <v>0.04</v>
      </c>
      <c r="R5" s="49">
        <v>227</v>
      </c>
      <c r="S5" s="49">
        <v>0</v>
      </c>
      <c r="T5" s="54">
        <f t="shared" si="0"/>
        <v>227</v>
      </c>
      <c r="U5" s="55">
        <v>233234</v>
      </c>
      <c r="V5" s="49">
        <v>25.09</v>
      </c>
      <c r="W5" s="56">
        <f t="shared" ref="W5:W35" si="7">IFERROR(IF(T5&gt;0,T5/V5,""),"")</f>
        <v>9.0474292546831414</v>
      </c>
      <c r="X5" s="49">
        <v>2006</v>
      </c>
      <c r="Y5" s="57" t="s">
        <v>162</v>
      </c>
      <c r="Z5" s="58">
        <v>39200000</v>
      </c>
      <c r="AA5" s="114">
        <v>2.6499999999999999E-2</v>
      </c>
      <c r="AB5" s="59">
        <v>15</v>
      </c>
      <c r="AC5" s="60">
        <v>35</v>
      </c>
      <c r="AD5" s="61">
        <v>4.3499999999999997E-2</v>
      </c>
      <c r="AE5" s="62">
        <v>18970000</v>
      </c>
      <c r="AF5" s="63">
        <v>1.2</v>
      </c>
      <c r="AG5" s="59"/>
      <c r="AH5" s="60"/>
      <c r="AI5" s="61"/>
      <c r="AJ5" s="64"/>
      <c r="AK5" s="65">
        <f t="shared" ref="AK5:AK35" si="8">IFERROR(IF(AE5&gt;0,AJ5+AE5,""),"")</f>
        <v>18970000</v>
      </c>
      <c r="AL5" s="62">
        <v>4865693</v>
      </c>
      <c r="AM5" s="49" t="s">
        <v>163</v>
      </c>
      <c r="AN5" s="67">
        <v>0.95</v>
      </c>
      <c r="AO5" s="62">
        <v>18004917</v>
      </c>
      <c r="AP5" s="62">
        <v>0</v>
      </c>
      <c r="AQ5" s="68">
        <v>4010678</v>
      </c>
      <c r="AR5" s="69">
        <f t="shared" ref="AR5:AR35" si="9">IFERROR(IF(AK5&gt;0,AK5/T5,""),"")</f>
        <v>83568.281938325992</v>
      </c>
      <c r="AS5" s="70" t="str">
        <f>IFERROR(IF(#REF!&gt;0,#REF!/T5,""),"")</f>
        <v/>
      </c>
      <c r="AT5" s="70">
        <f t="shared" ref="AT5:AT35" si="10">IFERROR(IF(AO5&gt;0,AO5/T5,""),"")</f>
        <v>79316.814977973569</v>
      </c>
      <c r="AU5" s="70">
        <f t="shared" ref="AU5:AU35" si="11">IFERROR(IF(AL5&gt;0,AL5/T5,""),"")</f>
        <v>21434.770925110133</v>
      </c>
      <c r="AV5" s="71">
        <f t="shared" ref="AV5:AV35" si="12">IFERROR(IF(AQ5&gt;0,AQ5/T5,""),"")</f>
        <v>17668.185022026431</v>
      </c>
      <c r="AW5" s="115">
        <f t="shared" ref="AW5:AW35" si="13">IFERROR(IF(SUM(BB5:BC5)&gt;0,SUM(BB5:BC5)/T5,""),"")</f>
        <v>81253.792951541851</v>
      </c>
      <c r="AX5" s="116">
        <f t="shared" ref="AX5:AX35" si="14">IFERROR(IF(SUM(BB5:BC5)&gt;0,SUM(BB5:BC5)/U5,""),"")</f>
        <v>79.081999193942565</v>
      </c>
      <c r="AY5" s="72">
        <f t="shared" ref="AY5:AY35" si="15">IFERROR(IF(SUM(BL5:BO5)&gt;0,SUM(BL5:BO5),""),"")</f>
        <v>97791.969162995592</v>
      </c>
      <c r="AZ5" s="73">
        <f t="shared" ref="AZ5:AZ35" si="16">IFERROR(IF(SUM(BV5:BY5)&gt;0,SUM(BV5:BY5),""),"")</f>
        <v>95.178134405789905</v>
      </c>
      <c r="BA5" s="66">
        <v>9437162</v>
      </c>
      <c r="BB5" s="62">
        <v>2562639</v>
      </c>
      <c r="BC5" s="62">
        <v>15881972</v>
      </c>
      <c r="BD5" s="62">
        <v>1028000</v>
      </c>
      <c r="BE5" s="62">
        <v>2726166</v>
      </c>
      <c r="BF5" s="62">
        <v>2712414</v>
      </c>
      <c r="BG5" s="62">
        <v>5567461</v>
      </c>
      <c r="BH5" s="62">
        <v>4994506</v>
      </c>
      <c r="BI5" s="62">
        <v>940968</v>
      </c>
      <c r="BJ5" s="47">
        <f t="shared" ref="BJ5:BJ35" si="17">IFERROR(IF(SUM(BA5:BI5)&gt;0,SUM(BA5:BI5),""),"")</f>
        <v>45851288</v>
      </c>
      <c r="BK5" s="69">
        <f t="shared" ref="BK5:BK31" si="18">IFERROR(IF(BA5&gt;0,BA5/$T5,""),"")</f>
        <v>41573.40088105727</v>
      </c>
      <c r="BL5" s="70">
        <f t="shared" ref="BL5:BL31" si="19">IFERROR(IF(BB5&gt;0,BB5/$T5,""),"")</f>
        <v>11289.158590308371</v>
      </c>
      <c r="BM5" s="70">
        <f t="shared" ref="BM5:BM31" si="20">IFERROR(IF(BC5&gt;0,BC5/$T5,""),"")</f>
        <v>69964.634361233475</v>
      </c>
      <c r="BN5" s="70">
        <f t="shared" ref="BN5:BN31" si="21">IFERROR(IF(BD5&gt;0,BD5/$T5,""),"")</f>
        <v>4528.6343612334804</v>
      </c>
      <c r="BO5" s="70">
        <f t="shared" ref="BO5:BO31" si="22">IFERROR(IF(BE5&gt;0,BE5/$T5,""),"")</f>
        <v>12009.541850220265</v>
      </c>
      <c r="BP5" s="70">
        <f t="shared" ref="BP5:BP31" si="23">IFERROR(IF(BF5&gt;0,BF5/$T5,""),"")</f>
        <v>11948.960352422908</v>
      </c>
      <c r="BQ5" s="70">
        <f t="shared" ref="BQ5:BQ31" si="24">IFERROR(IF(BG5&gt;0,BG5/$T5,""),"")</f>
        <v>24526.259911894274</v>
      </c>
      <c r="BR5" s="70">
        <f t="shared" ref="BR5:BR31" si="25">IFERROR(IF(BH5&gt;0,BH5/$T5,""),"")</f>
        <v>22002.229074889867</v>
      </c>
      <c r="BS5" s="70">
        <f t="shared" ref="BS5:BS31" si="26">IFERROR(IF(BI5&gt;0,BI5/$T5,""),"")</f>
        <v>4145.2334801762117</v>
      </c>
      <c r="BT5" s="71">
        <f t="shared" ref="BT5:BT31" si="27">IFERROR(IF(BJ5&gt;0,BJ5/$T5,""),"")</f>
        <v>201988.05286343611</v>
      </c>
      <c r="BU5" s="65">
        <f t="shared" ref="BU5:BU31" si="28">IFERROR(IF(BA5&gt;0,BA5/$U5,""),"")</f>
        <v>40.46220533884425</v>
      </c>
      <c r="BV5" s="48">
        <f t="shared" ref="BV5:BV31" si="29">IFERROR(IF(BB5&gt;0,BB5/$U5,""),"")</f>
        <v>10.987416071413259</v>
      </c>
      <c r="BW5" s="48">
        <f t="shared" ref="BW5:BW31" si="30">IFERROR(IF(BC5&gt;0,BC5/$U5,""),"")</f>
        <v>68.094583122529301</v>
      </c>
      <c r="BX5" s="48">
        <f t="shared" ref="BX5:BX31" si="31">IFERROR(IF(BD5&gt;0,BD5/$U5,""),"")</f>
        <v>4.407590660023839</v>
      </c>
      <c r="BY5" s="48">
        <f t="shared" ref="BY5:BY31" si="32">IFERROR(IF(BE5&gt;0,BE5/$U5,""),"")</f>
        <v>11.68854455182349</v>
      </c>
      <c r="BZ5" s="48">
        <f t="shared" ref="BZ5:BZ31" si="33">IFERROR(IF(BF5&gt;0,BF5/$U5,""),"")</f>
        <v>11.62958230789679</v>
      </c>
      <c r="CA5" s="48">
        <f t="shared" ref="CA5:CA31" si="34">IFERROR(IF(BG5&gt;0,BG5/$U5,""),"")</f>
        <v>23.870709244792785</v>
      </c>
      <c r="CB5" s="48">
        <f t="shared" ref="CB5:CB31" si="35">IFERROR(IF(BH5&gt;0,BH5/$U5,""),"")</f>
        <v>21.41414202046014</v>
      </c>
      <c r="CC5" s="48">
        <f t="shared" ref="CC5:CC31" si="36">IFERROR(IF(BI5&gt;0,BI5/$U5,""),"")</f>
        <v>4.0344375176861007</v>
      </c>
      <c r="CD5" s="47">
        <f t="shared" ref="CD5:CD31" si="37">IFERROR(IF(BJ5&gt;0,BJ5/$U5,""),"")</f>
        <v>196.58921083546997</v>
      </c>
      <c r="CE5" s="66">
        <v>2402184</v>
      </c>
      <c r="CF5" s="62">
        <f>40860+13620</f>
        <v>54480</v>
      </c>
      <c r="CG5" s="74">
        <v>-184250</v>
      </c>
      <c r="CH5" s="75">
        <f t="shared" ref="CH5:CH35" si="38">IFERROR(IF(SUM(CE5:CG5)&gt;0,SUM(CE5:CG5),""),"")</f>
        <v>2272414</v>
      </c>
      <c r="CI5" s="62">
        <f>69235+10192+5436</f>
        <v>84863</v>
      </c>
      <c r="CJ5" s="62">
        <v>66947</v>
      </c>
      <c r="CK5" s="62">
        <v>283750</v>
      </c>
      <c r="CL5" s="62">
        <v>155495</v>
      </c>
      <c r="CM5" s="62">
        <f>28152+127343</f>
        <v>155495</v>
      </c>
      <c r="CN5" s="62">
        <v>125531</v>
      </c>
      <c r="CO5" s="62">
        <v>60000</v>
      </c>
      <c r="CP5" s="75">
        <f t="shared" si="3"/>
        <v>932081</v>
      </c>
      <c r="CQ5" s="62">
        <v>68100</v>
      </c>
      <c r="CR5" s="75">
        <f t="shared" si="4"/>
        <v>1000181</v>
      </c>
      <c r="CS5" s="75">
        <f t="shared" ref="CS5:CS35" si="39">IFERROR(IF(CH5-CR5&gt;0,CH5-CP5,""),"")</f>
        <v>1340333</v>
      </c>
      <c r="CT5" s="62">
        <f>1736+796+1056273</f>
        <v>1058805</v>
      </c>
      <c r="CU5" s="47">
        <f t="shared" ref="CU5:CU35" si="40">IFERROR(IF(CS5-CT5&gt;0,CS5-CT5,""),"")</f>
        <v>281528</v>
      </c>
      <c r="CV5" s="76">
        <f t="shared" ref="CV5:CV35" si="41">IFERROR(IF(CU5&gt;0,CS5/CH5,""),"")</f>
        <v>0.58982782186696614</v>
      </c>
      <c r="CW5" s="75">
        <f t="shared" ref="CW5:CW35" si="42">IFERROR(IF(CU5&gt;0,CR5/T5,""),"")</f>
        <v>4406.0837004405284</v>
      </c>
      <c r="CX5" s="77">
        <f t="shared" ref="CX5:CX35" si="43">IFERROR(IF(CU5&gt;0,CR5/CH5,""),"")</f>
        <v>0.4401403089401843</v>
      </c>
      <c r="CY5" s="75">
        <f t="shared" ref="CY5:CY35" si="44">IFERROR(IF(CU5&gt;0,CU5/T5,""),"")</f>
        <v>1240.2114537444934</v>
      </c>
      <c r="CZ5" s="77">
        <f t="shared" ref="CZ5:CZ35" si="45">IFERROR(IF(CU5&gt;0,CU5/CH5,""),"")</f>
        <v>0.12388939691447069</v>
      </c>
      <c r="DA5" s="77">
        <f t="shared" ref="DA5:DA35" si="46">IFERROR(IF(CT5&gt;0,CT5/CH5,""),"")</f>
        <v>0.46593842495249543</v>
      </c>
      <c r="DB5" s="47">
        <f t="shared" ref="DB5:DB35" si="47">IFERROR(IF(AR5&gt;0,AR5,""),"")</f>
        <v>83568.281938325992</v>
      </c>
      <c r="DC5" s="69">
        <f t="shared" ref="DC5:DC35" si="48">IFERROR(IF(ABS(CE5)&gt;0,CE5/$T5,""),"")</f>
        <v>10582.308370044053</v>
      </c>
      <c r="DD5" s="70">
        <f t="shared" ref="DD5:DD35" si="49">IFERROR(IF(ABS(CF5)&gt;0,CF5/$T5,""),"")</f>
        <v>240</v>
      </c>
      <c r="DE5" s="70">
        <f t="shared" ref="DE5:DE35" si="50">IFERROR(IF(ABS(CG5)&gt;0,CG5/$T5,""),"")</f>
        <v>-811.67400881057267</v>
      </c>
      <c r="DF5" s="70">
        <f t="shared" ref="DF5:DF35" si="51">IFERROR(IF(ABS(CH5)&gt;0,CH5/$T5,""),"")</f>
        <v>10010.63436123348</v>
      </c>
      <c r="DG5" s="70">
        <f t="shared" ref="DG5:DG35" si="52">IFERROR(IF(ABS(CI5)&gt;0,CI5/$T5,""),"")</f>
        <v>373.84581497797359</v>
      </c>
      <c r="DH5" s="70">
        <f t="shared" ref="DH5:DH35" si="53">IFERROR(IF(ABS(CJ5)&gt;0,CJ5/$T5,""),"")</f>
        <v>294.92070484581495</v>
      </c>
      <c r="DI5" s="70">
        <f t="shared" ref="DI5:DI35" si="54">IFERROR(IF(ABS(CK5)&gt;0,CK5/$T5,""),"")</f>
        <v>1250</v>
      </c>
      <c r="DJ5" s="70">
        <f t="shared" ref="DJ5:DJ35" si="55">IFERROR(IF(ABS(CL5)&gt;0,CL5/$T5,""),"")</f>
        <v>685</v>
      </c>
      <c r="DK5" s="70">
        <f t="shared" ref="DK5:DK35" si="56">IFERROR(IF(ABS(CM5)&gt;0,CM5/$T5,""),"")</f>
        <v>685</v>
      </c>
      <c r="DL5" s="70">
        <f t="shared" ref="DL5:DL35" si="57">IFERROR(IF(ABS(CN5)&gt;0,CN5/$T5,""),"")</f>
        <v>553</v>
      </c>
      <c r="DM5" s="70">
        <f t="shared" ref="DM5:DM35" si="58">IFERROR(IF(ABS(CO5)&gt;0,CO5/$T5,""),"")</f>
        <v>264.31718061674007</v>
      </c>
      <c r="DN5" s="70">
        <f t="shared" ref="DN5:DN35" si="59">IFERROR(IF(ABS(CP5)&gt;0,CP5/$T5,""),"")</f>
        <v>4106.0837004405284</v>
      </c>
      <c r="DO5" s="70">
        <f t="shared" ref="DO5:DO35" si="60">IFERROR(IF(ABS(CQ5)&gt;0,CQ5/$T5,""),"")</f>
        <v>300</v>
      </c>
      <c r="DP5" s="70">
        <f t="shared" ref="DP5:DP35" si="61">IFERROR(IF(ABS(CR5)&gt;0,CR5/$T5,""),"")</f>
        <v>4406.0837004405284</v>
      </c>
      <c r="DQ5" s="70">
        <f t="shared" ref="DQ5:DQ35" si="62">IFERROR(IF(ABS(CS5)&gt;0,CS5/$T5,""),"")</f>
        <v>5904.5506607929519</v>
      </c>
      <c r="DR5" s="70">
        <f t="shared" ref="DR5:DR35" si="63">IFERROR(IF(ABS(CT5)&gt;0,CT5/$T5,""),"")</f>
        <v>4664.3392070484579</v>
      </c>
      <c r="DS5" s="71">
        <f t="shared" ref="DS5:DS35" si="64">IFERROR(IF(ABS(CU5)&gt;0,CU5/$T5,""),"")</f>
        <v>1240.2114537444934</v>
      </c>
      <c r="DT5" s="106">
        <f t="shared" ref="DT5:DT35" si="65">IFERROR(IF(ABS(CE5&gt;0),CE5/$CH5,""),"")</f>
        <v>1.057106671583611</v>
      </c>
      <c r="DU5" s="92">
        <f t="shared" ref="DU5:DU35" si="66">IFERROR(IF(ABS(CF5&gt;0),CF5/$CH5,""),"")</f>
        <v>2.3974504645720367E-2</v>
      </c>
      <c r="DV5" s="92" t="str">
        <f t="shared" ref="DV5:DV35" si="67">IFERROR(IF(ABS(CG5&gt;0),CG5/$CH5,""),"")</f>
        <v/>
      </c>
      <c r="DW5" s="92">
        <f t="shared" ref="DW5:DW35" si="68">IFERROR(IF(ABS(CH5&gt;0),CH5/$CH5,""),"")</f>
        <v>1</v>
      </c>
      <c r="DX5" s="92">
        <f t="shared" ref="DX5:DX35" si="69">IFERROR(IF(ABS(CI5&gt;0),CI5/$CH5,""),"")</f>
        <v>3.7344867616552264E-2</v>
      </c>
      <c r="DY5" s="92">
        <f t="shared" ref="DY5:DY35" si="70">IFERROR(IF(ABS(CJ5&gt;0),CJ5/$CH5,""),"")</f>
        <v>2.9460740868521317E-2</v>
      </c>
      <c r="DZ5" s="92">
        <f t="shared" ref="DZ5:DZ35" si="71">IFERROR(IF(ABS(CK5&gt;0),CK5/$CH5,""),"")</f>
        <v>0.12486721169646024</v>
      </c>
      <c r="EA5" s="92">
        <f t="shared" ref="EA5:EA35" si="72">IFERROR(IF(ABS(CL5&gt;0),CL5/$CH5,""),"")</f>
        <v>6.8427232009660208E-2</v>
      </c>
      <c r="EB5" s="92">
        <f t="shared" ref="EB5:EB35" si="73">IFERROR(IF(ABS(CM5&gt;0),CM5/$CH5,""),"")</f>
        <v>6.8427232009660208E-2</v>
      </c>
      <c r="EC5" s="92">
        <f t="shared" ref="EC5:EC35" si="74">IFERROR(IF(ABS(CN5&gt;0),CN5/$CH5,""),"")</f>
        <v>5.5241254454514013E-2</v>
      </c>
      <c r="ED5" s="92">
        <f t="shared" ref="ED5:ED35" si="75">IFERROR(IF(ABS(CO5&gt;0),CO5/$CH5,""),"")</f>
        <v>2.6403639477665601E-2</v>
      </c>
      <c r="EE5" s="92">
        <f t="shared" ref="EE5:EE35" si="76">IFERROR(IF(ABS(CP5&gt;0),CP5/$CH5,""),"")</f>
        <v>0.41017217813303386</v>
      </c>
      <c r="EF5" s="92">
        <f t="shared" ref="EF5:EF35" si="77">IFERROR(IF(ABS(CQ5&gt;0),CQ5/$CH5,""),"")</f>
        <v>2.9968130807150457E-2</v>
      </c>
      <c r="EG5" s="92">
        <f t="shared" ref="EG5:EG35" si="78">IFERROR(IF(ABS(CR5&gt;0),CR5/$CH5,""),"")</f>
        <v>0.4401403089401843</v>
      </c>
      <c r="EH5" s="92">
        <f t="shared" ref="EH5:EH35" si="79">IFERROR(IF(ABS(CS5&gt;0),CS5/$CH5,""),"")</f>
        <v>0.58982782186696614</v>
      </c>
      <c r="EI5" s="92">
        <f t="shared" ref="EI5:EI35" si="80">IFERROR(IF(ABS(CT5&gt;0),CT5/$CH5,""),"")</f>
        <v>0.46593842495249543</v>
      </c>
      <c r="EJ5" s="122">
        <f t="shared" ref="EJ5:EJ35" si="81">IFERROR(IF(ABS(CU5&gt;0),CU5/$CH5,""),"")</f>
        <v>0.12388939691447069</v>
      </c>
    </row>
    <row r="6" spans="2:140" ht="12" hidden="1" customHeight="1" outlineLevel="1">
      <c r="B6" s="121">
        <v>44715</v>
      </c>
      <c r="C6" s="117">
        <v>22608</v>
      </c>
      <c r="D6" s="50" t="s">
        <v>164</v>
      </c>
      <c r="E6" s="50" t="s">
        <v>165</v>
      </c>
      <c r="F6" s="50" t="s">
        <v>165</v>
      </c>
      <c r="G6" s="50" t="s">
        <v>162</v>
      </c>
      <c r="H6" s="50" t="s">
        <v>166</v>
      </c>
      <c r="I6" s="51" t="s">
        <v>167</v>
      </c>
      <c r="J6" s="52" t="s">
        <v>168</v>
      </c>
      <c r="K6" s="50" t="s">
        <v>169</v>
      </c>
      <c r="L6" s="49">
        <v>7</v>
      </c>
      <c r="M6" s="50" t="s">
        <v>159</v>
      </c>
      <c r="N6" s="50" t="s">
        <v>160</v>
      </c>
      <c r="O6" s="50" t="s">
        <v>160</v>
      </c>
      <c r="P6" s="50" t="s">
        <v>161</v>
      </c>
      <c r="Q6" s="53">
        <v>0.04</v>
      </c>
      <c r="R6" s="49">
        <v>156</v>
      </c>
      <c r="S6" s="49">
        <v>0</v>
      </c>
      <c r="T6" s="54">
        <f t="shared" si="0"/>
        <v>156</v>
      </c>
      <c r="U6" s="55">
        <v>161616</v>
      </c>
      <c r="V6" s="49">
        <v>13.52</v>
      </c>
      <c r="W6" s="56">
        <f t="shared" si="7"/>
        <v>11.538461538461538</v>
      </c>
      <c r="X6" s="49">
        <v>2001</v>
      </c>
      <c r="Y6" s="57" t="s">
        <v>162</v>
      </c>
      <c r="Z6" s="58">
        <v>18926084</v>
      </c>
      <c r="AA6" s="114">
        <f>(((15500000*0.033)/(Z6))+((2800000*0.03)/(Z6))+((626084*0)/(Z6)))</f>
        <v>3.1464512151589311E-2</v>
      </c>
      <c r="AB6" s="59">
        <v>15</v>
      </c>
      <c r="AC6" s="60">
        <v>40</v>
      </c>
      <c r="AD6" s="61">
        <v>3.3000000000000002E-2</v>
      </c>
      <c r="AE6" s="62">
        <v>15500000</v>
      </c>
      <c r="AF6" s="63">
        <v>1.19</v>
      </c>
      <c r="AG6" s="59"/>
      <c r="AH6" s="60"/>
      <c r="AI6" s="61"/>
      <c r="AJ6" s="64"/>
      <c r="AK6" s="65">
        <f t="shared" si="8"/>
        <v>15500000</v>
      </c>
      <c r="AL6" s="62">
        <v>3426084</v>
      </c>
      <c r="AM6" s="49" t="s">
        <v>163</v>
      </c>
      <c r="AN6" s="67">
        <v>0.85</v>
      </c>
      <c r="AO6" s="62">
        <v>10487225</v>
      </c>
      <c r="AP6" s="62">
        <v>0</v>
      </c>
      <c r="AQ6" s="68">
        <v>985439</v>
      </c>
      <c r="AR6" s="69">
        <f t="shared" si="9"/>
        <v>99358.974358974359</v>
      </c>
      <c r="AS6" s="70" t="str">
        <f>IFERROR(IF(#REF!&gt;0,#REF!/T6,""),"")</f>
        <v/>
      </c>
      <c r="AT6" s="70">
        <f t="shared" si="10"/>
        <v>67225.801282051281</v>
      </c>
      <c r="AU6" s="70">
        <f t="shared" si="11"/>
        <v>21962.076923076922</v>
      </c>
      <c r="AV6" s="71">
        <f t="shared" si="12"/>
        <v>6316.916666666667</v>
      </c>
      <c r="AW6" s="115">
        <f t="shared" si="13"/>
        <v>33231.256410256414</v>
      </c>
      <c r="AX6" s="116">
        <f t="shared" si="14"/>
        <v>32.076502326502329</v>
      </c>
      <c r="AY6" s="72">
        <f t="shared" si="15"/>
        <v>41672</v>
      </c>
      <c r="AZ6" s="73">
        <f t="shared" si="16"/>
        <v>40.223938223938227</v>
      </c>
      <c r="BA6" s="66">
        <v>15840000</v>
      </c>
      <c r="BB6" s="62">
        <v>282689</v>
      </c>
      <c r="BC6" s="62">
        <v>4901387</v>
      </c>
      <c r="BD6" s="62">
        <v>518408</v>
      </c>
      <c r="BE6" s="62">
        <v>798348</v>
      </c>
      <c r="BF6" s="62">
        <v>939283</v>
      </c>
      <c r="BG6" s="62">
        <v>1830180</v>
      </c>
      <c r="BH6" s="62">
        <v>3374047</v>
      </c>
      <c r="BI6" s="62">
        <v>928968</v>
      </c>
      <c r="BJ6" s="47">
        <f t="shared" si="17"/>
        <v>29413310</v>
      </c>
      <c r="BK6" s="69">
        <f t="shared" si="18"/>
        <v>101538.46153846153</v>
      </c>
      <c r="BL6" s="70">
        <f t="shared" si="19"/>
        <v>1812.1089743589744</v>
      </c>
      <c r="BM6" s="70">
        <f t="shared" si="20"/>
        <v>31419.147435897437</v>
      </c>
      <c r="BN6" s="70">
        <f t="shared" si="21"/>
        <v>3323.1282051282051</v>
      </c>
      <c r="BO6" s="70">
        <f t="shared" si="22"/>
        <v>5117.6153846153848</v>
      </c>
      <c r="BP6" s="70">
        <f t="shared" si="23"/>
        <v>6021.0448717948721</v>
      </c>
      <c r="BQ6" s="70">
        <f t="shared" si="24"/>
        <v>11731.923076923076</v>
      </c>
      <c r="BR6" s="70">
        <f t="shared" si="25"/>
        <v>21628.50641025641</v>
      </c>
      <c r="BS6" s="70">
        <f t="shared" si="26"/>
        <v>5954.9230769230771</v>
      </c>
      <c r="BT6" s="71">
        <f t="shared" si="27"/>
        <v>188546.85897435897</v>
      </c>
      <c r="BU6" s="65">
        <f t="shared" si="28"/>
        <v>98.010098010098005</v>
      </c>
      <c r="BV6" s="48">
        <f t="shared" si="29"/>
        <v>1.7491399366399367</v>
      </c>
      <c r="BW6" s="48">
        <f t="shared" si="30"/>
        <v>30.32736238986239</v>
      </c>
      <c r="BX6" s="48">
        <f t="shared" si="31"/>
        <v>3.2076527076527075</v>
      </c>
      <c r="BY6" s="48">
        <f t="shared" si="32"/>
        <v>4.9397831897831894</v>
      </c>
      <c r="BZ6" s="48">
        <f t="shared" si="33"/>
        <v>5.8118193743193745</v>
      </c>
      <c r="CA6" s="48">
        <f t="shared" si="34"/>
        <v>11.324250074250074</v>
      </c>
      <c r="CB6" s="48">
        <f t="shared" si="35"/>
        <v>20.87693668943669</v>
      </c>
      <c r="CC6" s="48">
        <f t="shared" si="36"/>
        <v>5.7479952479952479</v>
      </c>
      <c r="CD6" s="47">
        <f t="shared" si="37"/>
        <v>181.99503762003761</v>
      </c>
      <c r="CE6" s="66">
        <v>1980288</v>
      </c>
      <c r="CF6" s="62">
        <v>55620</v>
      </c>
      <c r="CG6" s="74">
        <v>-152693</v>
      </c>
      <c r="CH6" s="75">
        <f t="shared" si="38"/>
        <v>1883215</v>
      </c>
      <c r="CI6" s="62">
        <f>50274+6240</f>
        <v>56514</v>
      </c>
      <c r="CJ6" s="62">
        <v>75328</v>
      </c>
      <c r="CK6" s="62">
        <v>226198</v>
      </c>
      <c r="CL6" s="62">
        <v>82103</v>
      </c>
      <c r="CM6" s="62">
        <f>28175+183703</f>
        <v>211878</v>
      </c>
      <c r="CN6" s="62">
        <v>99150</v>
      </c>
      <c r="CO6" s="62">
        <v>210733</v>
      </c>
      <c r="CP6" s="75">
        <f t="shared" si="3"/>
        <v>961904</v>
      </c>
      <c r="CQ6" s="62">
        <v>46800</v>
      </c>
      <c r="CR6" s="75">
        <f t="shared" si="4"/>
        <v>1008704</v>
      </c>
      <c r="CS6" s="75">
        <f t="shared" si="39"/>
        <v>921311</v>
      </c>
      <c r="CT6" s="62">
        <f>3900+7000+698408</f>
        <v>709308</v>
      </c>
      <c r="CU6" s="47">
        <f t="shared" si="40"/>
        <v>212003</v>
      </c>
      <c r="CV6" s="76">
        <f t="shared" si="41"/>
        <v>0.48922242016976286</v>
      </c>
      <c r="CW6" s="75">
        <f t="shared" si="42"/>
        <v>6466.0512820512822</v>
      </c>
      <c r="CX6" s="77">
        <f t="shared" si="43"/>
        <v>0.53562869879434905</v>
      </c>
      <c r="CY6" s="75">
        <f t="shared" si="44"/>
        <v>1358.9935897435898</v>
      </c>
      <c r="CZ6" s="77">
        <f t="shared" si="45"/>
        <v>0.11257503790061145</v>
      </c>
      <c r="DA6" s="77">
        <f t="shared" si="46"/>
        <v>0.3766473822691514</v>
      </c>
      <c r="DB6" s="47">
        <f t="shared" si="47"/>
        <v>99358.974358974359</v>
      </c>
      <c r="DC6" s="69">
        <f t="shared" si="48"/>
        <v>12694.153846153846</v>
      </c>
      <c r="DD6" s="70">
        <f t="shared" si="49"/>
        <v>356.53846153846155</v>
      </c>
      <c r="DE6" s="70">
        <f t="shared" si="50"/>
        <v>-978.8012820512821</v>
      </c>
      <c r="DF6" s="70">
        <f t="shared" si="51"/>
        <v>12071.891025641025</v>
      </c>
      <c r="DG6" s="70">
        <f t="shared" si="52"/>
        <v>362.26923076923077</v>
      </c>
      <c r="DH6" s="70">
        <f t="shared" si="53"/>
        <v>482.87179487179486</v>
      </c>
      <c r="DI6" s="70">
        <f t="shared" si="54"/>
        <v>1449.9871794871794</v>
      </c>
      <c r="DJ6" s="70">
        <f t="shared" si="55"/>
        <v>526.3012820512821</v>
      </c>
      <c r="DK6" s="70">
        <f t="shared" si="56"/>
        <v>1358.1923076923076</v>
      </c>
      <c r="DL6" s="70">
        <f t="shared" si="57"/>
        <v>635.57692307692309</v>
      </c>
      <c r="DM6" s="70">
        <f t="shared" si="58"/>
        <v>1350.8525641025642</v>
      </c>
      <c r="DN6" s="70">
        <f t="shared" si="59"/>
        <v>6166.0512820512822</v>
      </c>
      <c r="DO6" s="70">
        <f t="shared" si="60"/>
        <v>300</v>
      </c>
      <c r="DP6" s="70">
        <f t="shared" si="61"/>
        <v>6466.0512820512822</v>
      </c>
      <c r="DQ6" s="70">
        <f t="shared" si="62"/>
        <v>5905.8397435897432</v>
      </c>
      <c r="DR6" s="70">
        <f t="shared" si="63"/>
        <v>4546.8461538461543</v>
      </c>
      <c r="DS6" s="71">
        <f t="shared" si="64"/>
        <v>1358.9935897435898</v>
      </c>
      <c r="DT6" s="106">
        <f t="shared" si="65"/>
        <v>1.0515464245983597</v>
      </c>
      <c r="DU6" s="92">
        <f t="shared" si="66"/>
        <v>2.9534599076579147E-2</v>
      </c>
      <c r="DV6" s="92" t="str">
        <f t="shared" si="67"/>
        <v/>
      </c>
      <c r="DW6" s="92">
        <f t="shared" si="68"/>
        <v>1</v>
      </c>
      <c r="DX6" s="92">
        <f t="shared" si="69"/>
        <v>3.0009319169611543E-2</v>
      </c>
      <c r="DY6" s="92">
        <f t="shared" si="70"/>
        <v>3.9999681395910716E-2</v>
      </c>
      <c r="DZ6" s="92">
        <f t="shared" si="71"/>
        <v>0.12011267964624325</v>
      </c>
      <c r="EA6" s="92">
        <f t="shared" si="72"/>
        <v>4.3597252570736746E-2</v>
      </c>
      <c r="EB6" s="92">
        <f t="shared" si="73"/>
        <v>0.11250866204867739</v>
      </c>
      <c r="EC6" s="92">
        <f t="shared" si="74"/>
        <v>5.2649325754096053E-2</v>
      </c>
      <c r="ED6" s="92">
        <f t="shared" si="75"/>
        <v>0.11190065924496141</v>
      </c>
      <c r="EE6" s="92">
        <f t="shared" si="76"/>
        <v>0.51077757983023708</v>
      </c>
      <c r="EF6" s="92">
        <f t="shared" si="77"/>
        <v>2.4851118964111903E-2</v>
      </c>
      <c r="EG6" s="92">
        <f t="shared" si="78"/>
        <v>0.53562869879434905</v>
      </c>
      <c r="EH6" s="92">
        <f t="shared" si="79"/>
        <v>0.48922242016976286</v>
      </c>
      <c r="EI6" s="92">
        <f t="shared" si="80"/>
        <v>0.3766473822691514</v>
      </c>
      <c r="EJ6" s="122">
        <f t="shared" si="81"/>
        <v>0.11257503790061145</v>
      </c>
    </row>
    <row r="7" spans="2:140" ht="12" hidden="1" customHeight="1" outlineLevel="1">
      <c r="B7" s="121">
        <v>44718</v>
      </c>
      <c r="C7" s="117">
        <v>22419</v>
      </c>
      <c r="D7" s="50" t="s">
        <v>170</v>
      </c>
      <c r="E7" s="50" t="s">
        <v>171</v>
      </c>
      <c r="F7" s="50" t="s">
        <v>172</v>
      </c>
      <c r="G7" s="50" t="s">
        <v>171</v>
      </c>
      <c r="H7" s="50" t="s">
        <v>173</v>
      </c>
      <c r="I7" s="51" t="s">
        <v>174</v>
      </c>
      <c r="J7" s="52" t="s">
        <v>175</v>
      </c>
      <c r="K7" s="50" t="s">
        <v>176</v>
      </c>
      <c r="L7" s="49">
        <v>6</v>
      </c>
      <c r="M7" s="50" t="s">
        <v>159</v>
      </c>
      <c r="N7" s="50" t="s">
        <v>160</v>
      </c>
      <c r="O7" s="50" t="s">
        <v>160</v>
      </c>
      <c r="P7" s="50" t="s">
        <v>177</v>
      </c>
      <c r="Q7" s="53">
        <v>0.04</v>
      </c>
      <c r="R7" s="49">
        <v>398</v>
      </c>
      <c r="S7" s="49">
        <v>0</v>
      </c>
      <c r="T7" s="54">
        <f t="shared" si="0"/>
        <v>398</v>
      </c>
      <c r="U7" s="55">
        <v>407067</v>
      </c>
      <c r="V7" s="49">
        <v>8</v>
      </c>
      <c r="W7" s="56">
        <f t="shared" si="7"/>
        <v>49.75</v>
      </c>
      <c r="X7" s="49" t="s">
        <v>163</v>
      </c>
      <c r="Y7" s="57" t="s">
        <v>162</v>
      </c>
      <c r="Z7" s="58">
        <v>77150000</v>
      </c>
      <c r="AA7" s="114">
        <v>0.03</v>
      </c>
      <c r="AB7" s="59">
        <v>15</v>
      </c>
      <c r="AC7" s="60">
        <v>40</v>
      </c>
      <c r="AD7" s="61">
        <v>4.2500000000000003E-2</v>
      </c>
      <c r="AE7" s="62">
        <v>46750000</v>
      </c>
      <c r="AF7" s="63">
        <v>1.18</v>
      </c>
      <c r="AG7" s="59"/>
      <c r="AH7" s="60"/>
      <c r="AI7" s="61"/>
      <c r="AJ7" s="64"/>
      <c r="AK7" s="65">
        <f t="shared" si="8"/>
        <v>46750000</v>
      </c>
      <c r="AL7" s="62">
        <v>7500100</v>
      </c>
      <c r="AM7" s="49" t="s">
        <v>163</v>
      </c>
      <c r="AN7" s="67">
        <v>0.88</v>
      </c>
      <c r="AO7" s="62">
        <v>41500147</v>
      </c>
      <c r="AP7" s="62">
        <v>0</v>
      </c>
      <c r="AQ7" s="68">
        <v>5076120</v>
      </c>
      <c r="AR7" s="69">
        <f t="shared" si="9"/>
        <v>117462.31155778894</v>
      </c>
      <c r="AS7" s="70" t="str">
        <f>IFERROR(IF(#REF!&gt;0,#REF!/T7,""),"")</f>
        <v/>
      </c>
      <c r="AT7" s="70">
        <f t="shared" si="10"/>
        <v>104271.72613065326</v>
      </c>
      <c r="AU7" s="70">
        <f t="shared" si="11"/>
        <v>18844.472361809047</v>
      </c>
      <c r="AV7" s="71">
        <f t="shared" si="12"/>
        <v>12754.070351758794</v>
      </c>
      <c r="AW7" s="115">
        <f t="shared" si="13"/>
        <v>138827.87688442212</v>
      </c>
      <c r="AX7" s="116">
        <f t="shared" si="14"/>
        <v>135.73562828723527</v>
      </c>
      <c r="AY7" s="72">
        <f t="shared" si="15"/>
        <v>165164.91959798994</v>
      </c>
      <c r="AZ7" s="73">
        <f t="shared" si="16"/>
        <v>161.48604038155881</v>
      </c>
      <c r="BA7" s="66">
        <v>10000</v>
      </c>
      <c r="BB7" s="62">
        <v>13392829</v>
      </c>
      <c r="BC7" s="62">
        <v>41860666</v>
      </c>
      <c r="BD7" s="62">
        <v>3325709</v>
      </c>
      <c r="BE7" s="62">
        <v>7156434</v>
      </c>
      <c r="BF7" s="62">
        <v>6296822</v>
      </c>
      <c r="BG7" s="62">
        <v>10335221</v>
      </c>
      <c r="BH7" s="62">
        <v>11830000</v>
      </c>
      <c r="BI7" s="62">
        <v>2167186</v>
      </c>
      <c r="BJ7" s="47">
        <f t="shared" si="17"/>
        <v>96374867</v>
      </c>
      <c r="BK7" s="69">
        <f t="shared" si="18"/>
        <v>25.125628140703519</v>
      </c>
      <c r="BL7" s="70">
        <f t="shared" si="19"/>
        <v>33650.324120603014</v>
      </c>
      <c r="BM7" s="70">
        <f t="shared" si="20"/>
        <v>105177.5527638191</v>
      </c>
      <c r="BN7" s="70">
        <f t="shared" si="21"/>
        <v>8356.0527638190961</v>
      </c>
      <c r="BO7" s="70">
        <f t="shared" si="22"/>
        <v>17980.989949748742</v>
      </c>
      <c r="BP7" s="70">
        <f t="shared" si="23"/>
        <v>15821.160804020101</v>
      </c>
      <c r="BQ7" s="70">
        <f t="shared" si="24"/>
        <v>25967.891959798995</v>
      </c>
      <c r="BR7" s="70">
        <f t="shared" si="25"/>
        <v>29723.618090452263</v>
      </c>
      <c r="BS7" s="70">
        <f t="shared" si="26"/>
        <v>5445.1909547738696</v>
      </c>
      <c r="BT7" s="71">
        <f t="shared" si="27"/>
        <v>242147.90703517589</v>
      </c>
      <c r="BU7" s="65">
        <f t="shared" si="28"/>
        <v>2.4565980538830218E-2</v>
      </c>
      <c r="BV7" s="48">
        <f t="shared" si="29"/>
        <v>32.900797657388097</v>
      </c>
      <c r="BW7" s="48">
        <f t="shared" si="30"/>
        <v>102.83483062984718</v>
      </c>
      <c r="BX7" s="48">
        <f t="shared" si="31"/>
        <v>8.1699302571812495</v>
      </c>
      <c r="BY7" s="48">
        <f t="shared" si="32"/>
        <v>17.580481837142287</v>
      </c>
      <c r="BZ7" s="48">
        <f t="shared" si="33"/>
        <v>15.468760670847796</v>
      </c>
      <c r="CA7" s="48">
        <f t="shared" si="34"/>
        <v>25.389483795050939</v>
      </c>
      <c r="CB7" s="48">
        <f t="shared" si="35"/>
        <v>29.061554977436145</v>
      </c>
      <c r="CC7" s="48">
        <f t="shared" si="36"/>
        <v>5.32390491000253</v>
      </c>
      <c r="CD7" s="47">
        <f t="shared" si="37"/>
        <v>236.75431071543505</v>
      </c>
      <c r="CE7" s="66">
        <v>5409636</v>
      </c>
      <c r="CF7" s="62">
        <v>95520</v>
      </c>
      <c r="CG7" s="74">
        <v>-412887</v>
      </c>
      <c r="CH7" s="75">
        <f t="shared" si="38"/>
        <v>5092269</v>
      </c>
      <c r="CI7" s="62">
        <f>209430+47760+15920</f>
        <v>273110</v>
      </c>
      <c r="CJ7" s="62">
        <v>203556</v>
      </c>
      <c r="CK7" s="62">
        <v>577100</v>
      </c>
      <c r="CL7" s="62">
        <v>477600</v>
      </c>
      <c r="CM7" s="62">
        <f>68058+111043</f>
        <v>179101</v>
      </c>
      <c r="CN7" s="62">
        <v>358200</v>
      </c>
      <c r="CO7" s="62">
        <v>0</v>
      </c>
      <c r="CP7" s="75">
        <f t="shared" si="3"/>
        <v>2068667</v>
      </c>
      <c r="CQ7" s="62">
        <v>99500</v>
      </c>
      <c r="CR7" s="75">
        <f t="shared" si="4"/>
        <v>2168167</v>
      </c>
      <c r="CS7" s="75">
        <f t="shared" si="39"/>
        <v>3023602</v>
      </c>
      <c r="CT7" s="62">
        <f>3500+2479359</f>
        <v>2482859</v>
      </c>
      <c r="CU7" s="47">
        <f t="shared" si="40"/>
        <v>540743</v>
      </c>
      <c r="CV7" s="76">
        <f t="shared" si="41"/>
        <v>0.59376321243045094</v>
      </c>
      <c r="CW7" s="75">
        <f t="shared" si="42"/>
        <v>5447.655778894472</v>
      </c>
      <c r="CX7" s="77">
        <f t="shared" si="43"/>
        <v>0.42577621095821921</v>
      </c>
      <c r="CY7" s="75">
        <f t="shared" si="44"/>
        <v>1358.6507537688442</v>
      </c>
      <c r="CZ7" s="77">
        <f t="shared" si="45"/>
        <v>0.10618900926090118</v>
      </c>
      <c r="DA7" s="77">
        <f t="shared" si="46"/>
        <v>0.48757420316954975</v>
      </c>
      <c r="DB7" s="47">
        <f t="shared" si="47"/>
        <v>117462.31155778894</v>
      </c>
      <c r="DC7" s="69">
        <f t="shared" si="48"/>
        <v>13592.050251256282</v>
      </c>
      <c r="DD7" s="70">
        <f t="shared" si="49"/>
        <v>240</v>
      </c>
      <c r="DE7" s="70">
        <f t="shared" si="50"/>
        <v>-1037.4045226130654</v>
      </c>
      <c r="DF7" s="70">
        <f t="shared" si="51"/>
        <v>12794.645728643216</v>
      </c>
      <c r="DG7" s="70">
        <f t="shared" si="52"/>
        <v>686.2060301507538</v>
      </c>
      <c r="DH7" s="70">
        <f t="shared" si="53"/>
        <v>511.4472361809045</v>
      </c>
      <c r="DI7" s="70">
        <f t="shared" si="54"/>
        <v>1450</v>
      </c>
      <c r="DJ7" s="70">
        <f t="shared" si="55"/>
        <v>1200</v>
      </c>
      <c r="DK7" s="70">
        <f t="shared" si="56"/>
        <v>450.00251256281405</v>
      </c>
      <c r="DL7" s="70">
        <f t="shared" si="57"/>
        <v>900</v>
      </c>
      <c r="DM7" s="70" t="str">
        <f t="shared" si="58"/>
        <v/>
      </c>
      <c r="DN7" s="70">
        <f t="shared" si="59"/>
        <v>5197.655778894472</v>
      </c>
      <c r="DO7" s="70">
        <f t="shared" si="60"/>
        <v>250</v>
      </c>
      <c r="DP7" s="70">
        <f t="shared" si="61"/>
        <v>5447.655778894472</v>
      </c>
      <c r="DQ7" s="70">
        <f t="shared" si="62"/>
        <v>7596.989949748744</v>
      </c>
      <c r="DR7" s="70">
        <f t="shared" si="63"/>
        <v>6238.3391959798992</v>
      </c>
      <c r="DS7" s="71">
        <f t="shared" si="64"/>
        <v>1358.6507537688442</v>
      </c>
      <c r="DT7" s="106">
        <f t="shared" si="65"/>
        <v>1.0623232983175084</v>
      </c>
      <c r="DU7" s="92">
        <f t="shared" si="66"/>
        <v>1.8757846453123353E-2</v>
      </c>
      <c r="DV7" s="92" t="str">
        <f t="shared" si="67"/>
        <v/>
      </c>
      <c r="DW7" s="92">
        <f t="shared" si="68"/>
        <v>1</v>
      </c>
      <c r="DX7" s="92">
        <f t="shared" si="69"/>
        <v>5.3632280619896555E-2</v>
      </c>
      <c r="DY7" s="92">
        <f t="shared" si="70"/>
        <v>3.9973536354815507E-2</v>
      </c>
      <c r="DZ7" s="92">
        <f t="shared" si="71"/>
        <v>0.11332865565428692</v>
      </c>
      <c r="EA7" s="92">
        <f t="shared" si="72"/>
        <v>9.3789232265616765E-2</v>
      </c>
      <c r="EB7" s="92">
        <f t="shared" si="73"/>
        <v>3.5171158475720742E-2</v>
      </c>
      <c r="EC7" s="92">
        <f t="shared" si="74"/>
        <v>7.0341924199212577E-2</v>
      </c>
      <c r="ED7" s="92" t="str">
        <f t="shared" si="75"/>
        <v/>
      </c>
      <c r="EE7" s="92">
        <f t="shared" si="76"/>
        <v>0.40623678756954906</v>
      </c>
      <c r="EF7" s="92">
        <f t="shared" si="77"/>
        <v>1.9539423388670159E-2</v>
      </c>
      <c r="EG7" s="92">
        <f t="shared" si="78"/>
        <v>0.42577621095821921</v>
      </c>
      <c r="EH7" s="92">
        <f t="shared" si="79"/>
        <v>0.59376321243045094</v>
      </c>
      <c r="EI7" s="92">
        <f t="shared" si="80"/>
        <v>0.48757420316954975</v>
      </c>
      <c r="EJ7" s="122">
        <f t="shared" si="81"/>
        <v>0.10618900926090118</v>
      </c>
    </row>
    <row r="8" spans="2:140" ht="12" hidden="1" customHeight="1" outlineLevel="1">
      <c r="B8" s="121">
        <v>44719</v>
      </c>
      <c r="C8" s="117">
        <v>22437</v>
      </c>
      <c r="D8" s="50" t="s">
        <v>178</v>
      </c>
      <c r="E8" s="50" t="s">
        <v>179</v>
      </c>
      <c r="F8" s="50" t="s">
        <v>180</v>
      </c>
      <c r="G8" s="50" t="s">
        <v>154</v>
      </c>
      <c r="H8" s="50" t="s">
        <v>181</v>
      </c>
      <c r="I8" s="51" t="s">
        <v>182</v>
      </c>
      <c r="J8" s="52" t="s">
        <v>183</v>
      </c>
      <c r="K8" s="50" t="s">
        <v>184</v>
      </c>
      <c r="L8" s="49">
        <v>9</v>
      </c>
      <c r="M8" s="50" t="s">
        <v>159</v>
      </c>
      <c r="N8" s="50" t="s">
        <v>185</v>
      </c>
      <c r="O8" s="50" t="s">
        <v>160</v>
      </c>
      <c r="P8" s="50" t="s">
        <v>161</v>
      </c>
      <c r="Q8" s="53">
        <v>0.04</v>
      </c>
      <c r="R8" s="49">
        <v>270</v>
      </c>
      <c r="S8" s="49">
        <v>0</v>
      </c>
      <c r="T8" s="54">
        <f t="shared" si="0"/>
        <v>270</v>
      </c>
      <c r="U8" s="55">
        <v>218004</v>
      </c>
      <c r="V8" s="49">
        <v>12.94</v>
      </c>
      <c r="W8" s="56">
        <f t="shared" si="7"/>
        <v>20.865533230293664</v>
      </c>
      <c r="X8" s="49">
        <v>1978</v>
      </c>
      <c r="Y8" s="57" t="s">
        <v>162</v>
      </c>
      <c r="Z8" s="58">
        <v>42150000</v>
      </c>
      <c r="AA8" s="114">
        <f>(((26150000*0.0355)/(Z8))+((16000000*0.035)/(Z8)))</f>
        <v>3.5310201660735466E-2</v>
      </c>
      <c r="AB8" s="59">
        <v>40</v>
      </c>
      <c r="AC8" s="60">
        <v>40</v>
      </c>
      <c r="AD8" s="61">
        <v>3.5499999999999997E-2</v>
      </c>
      <c r="AE8" s="62">
        <v>26150000</v>
      </c>
      <c r="AF8" s="63">
        <v>1.32</v>
      </c>
      <c r="AG8" s="59"/>
      <c r="AH8" s="60"/>
      <c r="AI8" s="61"/>
      <c r="AJ8" s="64"/>
      <c r="AK8" s="65">
        <f t="shared" si="8"/>
        <v>26150000</v>
      </c>
      <c r="AL8" s="62" t="s">
        <v>163</v>
      </c>
      <c r="AM8" s="49" t="s">
        <v>163</v>
      </c>
      <c r="AN8" s="67">
        <v>0.89</v>
      </c>
      <c r="AO8" s="62">
        <v>22553068</v>
      </c>
      <c r="AP8" s="62">
        <v>0</v>
      </c>
      <c r="AQ8" s="68">
        <v>1964889</v>
      </c>
      <c r="AR8" s="69">
        <f t="shared" si="9"/>
        <v>96851.851851851854</v>
      </c>
      <c r="AS8" s="70" t="str">
        <f>IFERROR(IF(#REF!&gt;0,#REF!/T8,""),"")</f>
        <v/>
      </c>
      <c r="AT8" s="70">
        <f t="shared" si="10"/>
        <v>83529.881481481483</v>
      </c>
      <c r="AU8" s="70" t="str">
        <f t="shared" si="11"/>
        <v/>
      </c>
      <c r="AV8" s="71">
        <f t="shared" si="12"/>
        <v>7277.3666666666668</v>
      </c>
      <c r="AW8" s="115">
        <f t="shared" si="13"/>
        <v>95302.207407407404</v>
      </c>
      <c r="AX8" s="116">
        <f t="shared" si="14"/>
        <v>118.03267829948075</v>
      </c>
      <c r="AY8" s="72">
        <f t="shared" si="15"/>
        <v>116202.96666666666</v>
      </c>
      <c r="AZ8" s="73">
        <f t="shared" si="16"/>
        <v>143.91846479881104</v>
      </c>
      <c r="BA8" s="66">
        <v>11350000</v>
      </c>
      <c r="BB8" s="62">
        <v>3815860</v>
      </c>
      <c r="BC8" s="62">
        <v>21915736</v>
      </c>
      <c r="BD8" s="62">
        <v>1801212</v>
      </c>
      <c r="BE8" s="62">
        <v>3841993</v>
      </c>
      <c r="BF8" s="62">
        <v>3011839</v>
      </c>
      <c r="BG8" s="62">
        <v>4035968</v>
      </c>
      <c r="BH8" s="62">
        <v>6600131</v>
      </c>
      <c r="BI8" s="62">
        <v>795218</v>
      </c>
      <c r="BJ8" s="47">
        <f t="shared" si="17"/>
        <v>57167957</v>
      </c>
      <c r="BK8" s="69">
        <f t="shared" si="18"/>
        <v>42037.037037037036</v>
      </c>
      <c r="BL8" s="70">
        <f t="shared" si="19"/>
        <v>14132.814814814816</v>
      </c>
      <c r="BM8" s="70">
        <f t="shared" si="20"/>
        <v>81169.392592592587</v>
      </c>
      <c r="BN8" s="70">
        <f t="shared" si="21"/>
        <v>6671.1555555555551</v>
      </c>
      <c r="BO8" s="70">
        <f t="shared" si="22"/>
        <v>14229.603703703704</v>
      </c>
      <c r="BP8" s="70">
        <f t="shared" si="23"/>
        <v>11154.95925925926</v>
      </c>
      <c r="BQ8" s="70">
        <f t="shared" si="24"/>
        <v>14948.029629629629</v>
      </c>
      <c r="BR8" s="70">
        <f t="shared" si="25"/>
        <v>24444.929629629631</v>
      </c>
      <c r="BS8" s="70">
        <f t="shared" si="26"/>
        <v>2945.2518518518518</v>
      </c>
      <c r="BT8" s="71">
        <f t="shared" si="27"/>
        <v>211733.17407407408</v>
      </c>
      <c r="BU8" s="65">
        <f t="shared" si="28"/>
        <v>52.063264894222122</v>
      </c>
      <c r="BV8" s="48">
        <f t="shared" si="29"/>
        <v>17.503623786719508</v>
      </c>
      <c r="BW8" s="48">
        <f t="shared" si="30"/>
        <v>100.52905451276123</v>
      </c>
      <c r="BX8" s="48">
        <f t="shared" si="31"/>
        <v>8.2622887653437544</v>
      </c>
      <c r="BY8" s="48">
        <f t="shared" si="32"/>
        <v>17.623497733986532</v>
      </c>
      <c r="BZ8" s="48">
        <f t="shared" si="33"/>
        <v>13.815521733546174</v>
      </c>
      <c r="CA8" s="48">
        <f t="shared" si="34"/>
        <v>18.513274985780079</v>
      </c>
      <c r="CB8" s="48">
        <f t="shared" si="35"/>
        <v>30.275274765600631</v>
      </c>
      <c r="CC8" s="48">
        <f t="shared" si="36"/>
        <v>3.6477220601456852</v>
      </c>
      <c r="CD8" s="47">
        <f t="shared" si="37"/>
        <v>262.2335232381057</v>
      </c>
      <c r="CE8" s="66">
        <v>3193248</v>
      </c>
      <c r="CF8" s="62">
        <v>48600</v>
      </c>
      <c r="CG8" s="74">
        <v>-243139</v>
      </c>
      <c r="CH8" s="75">
        <f t="shared" si="38"/>
        <v>2998709</v>
      </c>
      <c r="CI8" s="62">
        <f>64220+55000+10800</f>
        <v>130020</v>
      </c>
      <c r="CJ8" s="62">
        <v>139469</v>
      </c>
      <c r="CK8" s="62">
        <v>319296</v>
      </c>
      <c r="CL8" s="62">
        <f>1500+147800</f>
        <v>149300</v>
      </c>
      <c r="CM8" s="62">
        <f>34000+165660</f>
        <v>199660</v>
      </c>
      <c r="CN8" s="62">
        <v>100050</v>
      </c>
      <c r="CO8" s="62">
        <v>185500</v>
      </c>
      <c r="CP8" s="75">
        <f t="shared" si="3"/>
        <v>1223295</v>
      </c>
      <c r="CQ8" s="62">
        <v>67500</v>
      </c>
      <c r="CR8" s="75">
        <f t="shared" si="4"/>
        <v>1290795</v>
      </c>
      <c r="CS8" s="75">
        <f t="shared" si="39"/>
        <v>1775414</v>
      </c>
      <c r="CT8" s="62">
        <f>8100+1500+1290436</f>
        <v>1300036</v>
      </c>
      <c r="CU8" s="47">
        <f t="shared" si="40"/>
        <v>475378</v>
      </c>
      <c r="CV8" s="76">
        <f t="shared" si="41"/>
        <v>0.59205944958313728</v>
      </c>
      <c r="CW8" s="75">
        <f t="shared" si="42"/>
        <v>4780.7222222222226</v>
      </c>
      <c r="CX8" s="77">
        <f t="shared" si="43"/>
        <v>0.43045023708535907</v>
      </c>
      <c r="CY8" s="75">
        <f t="shared" si="44"/>
        <v>1760.6592592592592</v>
      </c>
      <c r="CZ8" s="77">
        <f t="shared" si="45"/>
        <v>0.15852755302365118</v>
      </c>
      <c r="DA8" s="77">
        <f t="shared" si="46"/>
        <v>0.4335318965594861</v>
      </c>
      <c r="DB8" s="47">
        <f t="shared" si="47"/>
        <v>96851.851851851854</v>
      </c>
      <c r="DC8" s="69">
        <f t="shared" si="48"/>
        <v>11826.844444444445</v>
      </c>
      <c r="DD8" s="70">
        <f t="shared" si="49"/>
        <v>180</v>
      </c>
      <c r="DE8" s="70">
        <f t="shared" si="50"/>
        <v>-900.51481481481483</v>
      </c>
      <c r="DF8" s="70">
        <f t="shared" si="51"/>
        <v>11106.32962962963</v>
      </c>
      <c r="DG8" s="70">
        <f t="shared" si="52"/>
        <v>481.55555555555554</v>
      </c>
      <c r="DH8" s="70">
        <f t="shared" si="53"/>
        <v>516.55185185185189</v>
      </c>
      <c r="DI8" s="70">
        <f t="shared" si="54"/>
        <v>1182.5777777777778</v>
      </c>
      <c r="DJ8" s="70">
        <f t="shared" si="55"/>
        <v>552.96296296296293</v>
      </c>
      <c r="DK8" s="70">
        <f t="shared" si="56"/>
        <v>739.48148148148152</v>
      </c>
      <c r="DL8" s="70">
        <f t="shared" si="57"/>
        <v>370.55555555555554</v>
      </c>
      <c r="DM8" s="70">
        <f t="shared" si="58"/>
        <v>687.03703703703707</v>
      </c>
      <c r="DN8" s="70">
        <f t="shared" si="59"/>
        <v>4530.7222222222226</v>
      </c>
      <c r="DO8" s="70">
        <f t="shared" si="60"/>
        <v>250</v>
      </c>
      <c r="DP8" s="70">
        <f t="shared" si="61"/>
        <v>4780.7222222222226</v>
      </c>
      <c r="DQ8" s="70">
        <f t="shared" si="62"/>
        <v>6575.6074074074077</v>
      </c>
      <c r="DR8" s="70">
        <f t="shared" si="63"/>
        <v>4814.948148148148</v>
      </c>
      <c r="DS8" s="71">
        <f t="shared" si="64"/>
        <v>1760.6592592592592</v>
      </c>
      <c r="DT8" s="106">
        <f t="shared" si="65"/>
        <v>1.0648742508859645</v>
      </c>
      <c r="DU8" s="92">
        <f t="shared" si="66"/>
        <v>1.6206974401317367E-2</v>
      </c>
      <c r="DV8" s="92" t="str">
        <f t="shared" si="67"/>
        <v/>
      </c>
      <c r="DW8" s="92">
        <f t="shared" si="68"/>
        <v>1</v>
      </c>
      <c r="DX8" s="92">
        <f t="shared" si="69"/>
        <v>4.3358658676116955E-2</v>
      </c>
      <c r="DY8" s="92">
        <f t="shared" si="70"/>
        <v>4.6509681332866912E-2</v>
      </c>
      <c r="DZ8" s="92">
        <f t="shared" si="71"/>
        <v>0.10647782095561791</v>
      </c>
      <c r="EA8" s="92">
        <f t="shared" si="72"/>
        <v>4.978809214231858E-2</v>
      </c>
      <c r="EB8" s="92">
        <f t="shared" si="73"/>
        <v>6.658198578121452E-2</v>
      </c>
      <c r="EC8" s="92">
        <f t="shared" si="74"/>
        <v>3.3364357795304576E-2</v>
      </c>
      <c r="ED8" s="92">
        <f t="shared" si="75"/>
        <v>6.1859953733423283E-2</v>
      </c>
      <c r="EE8" s="92">
        <f t="shared" si="76"/>
        <v>0.40794055041686272</v>
      </c>
      <c r="EF8" s="92">
        <f t="shared" si="77"/>
        <v>2.2509686668496343E-2</v>
      </c>
      <c r="EG8" s="92">
        <f t="shared" si="78"/>
        <v>0.43045023708535907</v>
      </c>
      <c r="EH8" s="92">
        <f t="shared" si="79"/>
        <v>0.59205944958313728</v>
      </c>
      <c r="EI8" s="92">
        <f t="shared" si="80"/>
        <v>0.4335318965594861</v>
      </c>
      <c r="EJ8" s="122">
        <f t="shared" si="81"/>
        <v>0.15852755302365118</v>
      </c>
    </row>
    <row r="9" spans="2:140" ht="12" hidden="1" customHeight="1" outlineLevel="1">
      <c r="B9" s="121">
        <v>44720</v>
      </c>
      <c r="C9" s="117">
        <v>22603</v>
      </c>
      <c r="D9" s="50" t="s">
        <v>186</v>
      </c>
      <c r="E9" s="50" t="s">
        <v>187</v>
      </c>
      <c r="F9" s="50" t="s">
        <v>188</v>
      </c>
      <c r="G9" s="50" t="s">
        <v>162</v>
      </c>
      <c r="H9" s="50" t="s">
        <v>189</v>
      </c>
      <c r="I9" s="51" t="s">
        <v>190</v>
      </c>
      <c r="J9" s="52" t="s">
        <v>191</v>
      </c>
      <c r="K9" s="50" t="s">
        <v>192</v>
      </c>
      <c r="L9" s="49">
        <v>3</v>
      </c>
      <c r="M9" s="50" t="s">
        <v>159</v>
      </c>
      <c r="N9" s="50" t="s">
        <v>160</v>
      </c>
      <c r="O9" s="50" t="s">
        <v>160</v>
      </c>
      <c r="P9" s="50" t="s">
        <v>161</v>
      </c>
      <c r="Q9" s="53">
        <v>0.04</v>
      </c>
      <c r="R9" s="49">
        <v>124</v>
      </c>
      <c r="S9" s="49">
        <v>0</v>
      </c>
      <c r="T9" s="54">
        <f t="shared" si="0"/>
        <v>124</v>
      </c>
      <c r="U9" s="55">
        <v>97868</v>
      </c>
      <c r="V9" s="49">
        <v>8.5</v>
      </c>
      <c r="W9" s="56">
        <f t="shared" si="7"/>
        <v>14.588235294117647</v>
      </c>
      <c r="X9" s="49">
        <v>1977</v>
      </c>
      <c r="Y9" s="57" t="s">
        <v>162</v>
      </c>
      <c r="Z9" s="58">
        <v>19303648</v>
      </c>
      <c r="AA9" s="114">
        <f>(((15800000*0.044)/(Z9))+((2387976*0.0485)/(Z9))+((1115672*0)/(Z9)))</f>
        <v>4.2013656486069369E-2</v>
      </c>
      <c r="AB9" s="59">
        <v>17</v>
      </c>
      <c r="AC9" s="60">
        <v>40</v>
      </c>
      <c r="AD9" s="61">
        <v>4.3999999999999997E-2</v>
      </c>
      <c r="AE9" s="62">
        <f>(15800000-280000)</f>
        <v>15520000</v>
      </c>
      <c r="AF9" s="63">
        <v>1.31</v>
      </c>
      <c r="AG9" s="59">
        <v>17</v>
      </c>
      <c r="AH9" s="60">
        <v>40</v>
      </c>
      <c r="AI9" s="61">
        <v>4.8500000000000001E-2</v>
      </c>
      <c r="AJ9" s="64">
        <v>2387976</v>
      </c>
      <c r="AK9" s="65">
        <f t="shared" si="8"/>
        <v>17907976</v>
      </c>
      <c r="AL9" s="62">
        <v>1115672</v>
      </c>
      <c r="AM9" s="49" t="s">
        <v>163</v>
      </c>
      <c r="AN9" s="67">
        <v>0.86</v>
      </c>
      <c r="AO9" s="62">
        <v>12582775</v>
      </c>
      <c r="AP9" s="62">
        <v>0</v>
      </c>
      <c r="AQ9" s="68">
        <v>1107755</v>
      </c>
      <c r="AR9" s="69">
        <f t="shared" si="9"/>
        <v>144419.16129032258</v>
      </c>
      <c r="AS9" s="70" t="str">
        <f>IFERROR(IF(#REF!&gt;0,#REF!/T9,""),"")</f>
        <v/>
      </c>
      <c r="AT9" s="70">
        <f t="shared" si="10"/>
        <v>101473.99193548386</v>
      </c>
      <c r="AU9" s="70">
        <f t="shared" si="11"/>
        <v>8997.354838709678</v>
      </c>
      <c r="AV9" s="71">
        <f t="shared" si="12"/>
        <v>8933.5080645161288</v>
      </c>
      <c r="AW9" s="115">
        <f t="shared" si="13"/>
        <v>81776.483870967742</v>
      </c>
      <c r="AX9" s="116">
        <f t="shared" si="14"/>
        <v>103.61184452527895</v>
      </c>
      <c r="AY9" s="72">
        <f t="shared" si="15"/>
        <v>101402.83870967741</v>
      </c>
      <c r="AZ9" s="73">
        <f t="shared" si="16"/>
        <v>128.47868557649076</v>
      </c>
      <c r="BA9" s="66">
        <v>13250000</v>
      </c>
      <c r="BB9" s="62">
        <v>1653701</v>
      </c>
      <c r="BC9" s="62">
        <v>8486583</v>
      </c>
      <c r="BD9" s="62">
        <v>1014028</v>
      </c>
      <c r="BE9" s="62">
        <v>1419640</v>
      </c>
      <c r="BF9" s="62">
        <v>1122299</v>
      </c>
      <c r="BG9" s="62">
        <v>1749890</v>
      </c>
      <c r="BH9" s="62">
        <v>2147503</v>
      </c>
      <c r="BI9" s="62">
        <v>900811</v>
      </c>
      <c r="BJ9" s="47">
        <f t="shared" si="17"/>
        <v>31744455</v>
      </c>
      <c r="BK9" s="69">
        <f t="shared" si="18"/>
        <v>106854.83870967742</v>
      </c>
      <c r="BL9" s="70">
        <f t="shared" si="19"/>
        <v>13336.298387096775</v>
      </c>
      <c r="BM9" s="70">
        <f t="shared" si="20"/>
        <v>68440.18548387097</v>
      </c>
      <c r="BN9" s="70">
        <f t="shared" si="21"/>
        <v>8177.6451612903229</v>
      </c>
      <c r="BO9" s="70">
        <f t="shared" si="22"/>
        <v>11448.709677419354</v>
      </c>
      <c r="BP9" s="70">
        <f t="shared" si="23"/>
        <v>9050.7983870967746</v>
      </c>
      <c r="BQ9" s="70">
        <f t="shared" si="24"/>
        <v>14112.016129032258</v>
      </c>
      <c r="BR9" s="70">
        <f t="shared" si="25"/>
        <v>17318.572580645163</v>
      </c>
      <c r="BS9" s="70">
        <f t="shared" si="26"/>
        <v>7264.6048387096771</v>
      </c>
      <c r="BT9" s="71">
        <f t="shared" si="27"/>
        <v>256003.6693548387</v>
      </c>
      <c r="BU9" s="65">
        <f t="shared" si="28"/>
        <v>135.38643887685453</v>
      </c>
      <c r="BV9" s="48">
        <f t="shared" si="29"/>
        <v>16.897259574120245</v>
      </c>
      <c r="BW9" s="48">
        <f t="shared" si="30"/>
        <v>86.714584951158699</v>
      </c>
      <c r="BX9" s="48">
        <f t="shared" si="31"/>
        <v>10.361180365390117</v>
      </c>
      <c r="BY9" s="48">
        <f t="shared" si="32"/>
        <v>14.505660685821718</v>
      </c>
      <c r="BZ9" s="48">
        <f t="shared" si="33"/>
        <v>11.467476601136225</v>
      </c>
      <c r="CA9" s="48">
        <f t="shared" si="34"/>
        <v>17.880103813299545</v>
      </c>
      <c r="CB9" s="48">
        <f t="shared" si="35"/>
        <v>21.942851596027303</v>
      </c>
      <c r="CC9" s="48">
        <f t="shared" si="36"/>
        <v>9.2043466710262809</v>
      </c>
      <c r="CD9" s="47">
        <f t="shared" si="37"/>
        <v>324.35990313483467</v>
      </c>
      <c r="CE9" s="66">
        <v>2195304</v>
      </c>
      <c r="CF9" s="62">
        <v>41136</v>
      </c>
      <c r="CG9" s="74">
        <v>-167996</v>
      </c>
      <c r="CH9" s="75">
        <f t="shared" si="38"/>
        <v>2068444</v>
      </c>
      <c r="CI9" s="62">
        <f>36000+4960</f>
        <v>40960</v>
      </c>
      <c r="CJ9" s="62">
        <v>66960</v>
      </c>
      <c r="CK9" s="62">
        <v>154800</v>
      </c>
      <c r="CL9" s="62">
        <v>60140</v>
      </c>
      <c r="CM9" s="62">
        <f>65720+84320</f>
        <v>150040</v>
      </c>
      <c r="CN9" s="62">
        <v>120664</v>
      </c>
      <c r="CO9" s="62">
        <v>409538</v>
      </c>
      <c r="CP9" s="75">
        <f t="shared" si="3"/>
        <v>1003102</v>
      </c>
      <c r="CQ9" s="62">
        <v>37200</v>
      </c>
      <c r="CR9" s="75">
        <f t="shared" si="4"/>
        <v>1040302</v>
      </c>
      <c r="CS9" s="75">
        <f t="shared" si="39"/>
        <v>1065342</v>
      </c>
      <c r="CT9" s="62">
        <f>3100+4000+1005837</f>
        <v>1012937</v>
      </c>
      <c r="CU9" s="47">
        <f t="shared" si="40"/>
        <v>52405</v>
      </c>
      <c r="CV9" s="76">
        <f t="shared" si="41"/>
        <v>0.51504512570802008</v>
      </c>
      <c r="CW9" s="75">
        <f t="shared" si="42"/>
        <v>8389.532258064517</v>
      </c>
      <c r="CX9" s="77">
        <f t="shared" si="43"/>
        <v>0.50293940759334066</v>
      </c>
      <c r="CY9" s="75">
        <f t="shared" si="44"/>
        <v>422.62096774193549</v>
      </c>
      <c r="CZ9" s="77">
        <f t="shared" si="45"/>
        <v>2.5335469560693932E-2</v>
      </c>
      <c r="DA9" s="77">
        <f t="shared" si="46"/>
        <v>0.4897096561473262</v>
      </c>
      <c r="DB9" s="47">
        <f t="shared" si="47"/>
        <v>144419.16129032258</v>
      </c>
      <c r="DC9" s="69">
        <f t="shared" si="48"/>
        <v>17704.064516129034</v>
      </c>
      <c r="DD9" s="70">
        <f t="shared" si="49"/>
        <v>331.74193548387098</v>
      </c>
      <c r="DE9" s="70">
        <f t="shared" si="50"/>
        <v>-1354.8064516129032</v>
      </c>
      <c r="DF9" s="70">
        <f t="shared" si="51"/>
        <v>16681</v>
      </c>
      <c r="DG9" s="70">
        <f t="shared" si="52"/>
        <v>330.32258064516128</v>
      </c>
      <c r="DH9" s="70">
        <f t="shared" si="53"/>
        <v>540</v>
      </c>
      <c r="DI9" s="70">
        <f t="shared" si="54"/>
        <v>1248.3870967741937</v>
      </c>
      <c r="DJ9" s="70">
        <f t="shared" si="55"/>
        <v>485</v>
      </c>
      <c r="DK9" s="70">
        <f t="shared" si="56"/>
        <v>1210</v>
      </c>
      <c r="DL9" s="70">
        <f t="shared" si="57"/>
        <v>973.09677419354841</v>
      </c>
      <c r="DM9" s="70">
        <f t="shared" si="58"/>
        <v>3302.7258064516127</v>
      </c>
      <c r="DN9" s="70">
        <f t="shared" si="59"/>
        <v>8089.5322580645161</v>
      </c>
      <c r="DO9" s="70">
        <f t="shared" si="60"/>
        <v>300</v>
      </c>
      <c r="DP9" s="70">
        <f t="shared" si="61"/>
        <v>8389.532258064517</v>
      </c>
      <c r="DQ9" s="70">
        <f t="shared" si="62"/>
        <v>8591.467741935483</v>
      </c>
      <c r="DR9" s="70">
        <f t="shared" si="63"/>
        <v>8168.8467741935483</v>
      </c>
      <c r="DS9" s="71">
        <f t="shared" si="64"/>
        <v>422.62096774193549</v>
      </c>
      <c r="DT9" s="106">
        <f t="shared" si="65"/>
        <v>1.0613311261992107</v>
      </c>
      <c r="DU9" s="92">
        <f t="shared" si="66"/>
        <v>1.988741295389191E-2</v>
      </c>
      <c r="DV9" s="92" t="str">
        <f t="shared" si="67"/>
        <v/>
      </c>
      <c r="DW9" s="92">
        <f t="shared" si="68"/>
        <v>1</v>
      </c>
      <c r="DX9" s="92">
        <f t="shared" si="69"/>
        <v>1.9802324839347837E-2</v>
      </c>
      <c r="DY9" s="92">
        <f t="shared" si="70"/>
        <v>3.2372159942449491E-2</v>
      </c>
      <c r="DZ9" s="92">
        <f t="shared" si="71"/>
        <v>7.4838864383082168E-2</v>
      </c>
      <c r="EA9" s="92">
        <f t="shared" si="72"/>
        <v>2.9074995503866673E-2</v>
      </c>
      <c r="EB9" s="92">
        <f t="shared" si="73"/>
        <v>7.2537617648822009E-2</v>
      </c>
      <c r="EC9" s="92">
        <f t="shared" si="74"/>
        <v>5.8335637803102233E-2</v>
      </c>
      <c r="ED9" s="92">
        <f t="shared" si="75"/>
        <v>0.19799327417130944</v>
      </c>
      <c r="EE9" s="92">
        <f t="shared" si="76"/>
        <v>0.48495487429197986</v>
      </c>
      <c r="EF9" s="92">
        <f t="shared" si="77"/>
        <v>1.7984533301360829E-2</v>
      </c>
      <c r="EG9" s="92">
        <f t="shared" si="78"/>
        <v>0.50293940759334066</v>
      </c>
      <c r="EH9" s="92">
        <f t="shared" si="79"/>
        <v>0.51504512570802008</v>
      </c>
      <c r="EI9" s="92">
        <f t="shared" si="80"/>
        <v>0.4897096561473262</v>
      </c>
      <c r="EJ9" s="122">
        <f t="shared" si="81"/>
        <v>2.5335469560693932E-2</v>
      </c>
    </row>
    <row r="10" spans="2:140" ht="12" hidden="1" customHeight="1" outlineLevel="1">
      <c r="B10" s="121">
        <v>44720</v>
      </c>
      <c r="C10" s="117">
        <v>22441</v>
      </c>
      <c r="D10" s="50" t="s">
        <v>193</v>
      </c>
      <c r="E10" s="50" t="s">
        <v>194</v>
      </c>
      <c r="F10" s="50" t="s">
        <v>195</v>
      </c>
      <c r="G10" s="50" t="s">
        <v>162</v>
      </c>
      <c r="H10" s="50" t="s">
        <v>196</v>
      </c>
      <c r="I10" s="51" t="s">
        <v>197</v>
      </c>
      <c r="J10" s="52" t="s">
        <v>198</v>
      </c>
      <c r="K10" s="50" t="s">
        <v>199</v>
      </c>
      <c r="L10" s="49">
        <v>3</v>
      </c>
      <c r="M10" s="50" t="s">
        <v>159</v>
      </c>
      <c r="N10" s="50" t="s">
        <v>185</v>
      </c>
      <c r="O10" s="50" t="s">
        <v>160</v>
      </c>
      <c r="P10" s="50" t="s">
        <v>161</v>
      </c>
      <c r="Q10" s="53">
        <v>0.04</v>
      </c>
      <c r="R10" s="49">
        <v>176</v>
      </c>
      <c r="S10" s="49">
        <v>0</v>
      </c>
      <c r="T10" s="54">
        <f t="shared" si="0"/>
        <v>176</v>
      </c>
      <c r="U10" s="55">
        <v>135664</v>
      </c>
      <c r="V10" s="49">
        <v>10.6</v>
      </c>
      <c r="W10" s="56">
        <f t="shared" si="7"/>
        <v>16.60377358490566</v>
      </c>
      <c r="X10" s="49">
        <v>2006</v>
      </c>
      <c r="Y10" s="57" t="s">
        <v>162</v>
      </c>
      <c r="Z10" s="58">
        <v>30622016</v>
      </c>
      <c r="AA10" s="114">
        <f>(((20220000*0.0348)/(Z10))+((10402016*0.035)/(Z10)))</f>
        <v>3.4867938152732987E-2</v>
      </c>
      <c r="AB10" s="59">
        <v>16</v>
      </c>
      <c r="AC10" s="60">
        <v>35</v>
      </c>
      <c r="AD10" s="61">
        <v>3.4799999999999998E-2</v>
      </c>
      <c r="AE10" s="62">
        <v>20220000</v>
      </c>
      <c r="AF10" s="63">
        <v>1.1499999999999999</v>
      </c>
      <c r="AG10" s="59"/>
      <c r="AH10" s="60"/>
      <c r="AI10" s="61"/>
      <c r="AJ10" s="64"/>
      <c r="AK10" s="65">
        <f t="shared" si="8"/>
        <v>20220000</v>
      </c>
      <c r="AL10" s="62">
        <v>1373750</v>
      </c>
      <c r="AM10" s="49" t="s">
        <v>163</v>
      </c>
      <c r="AN10" s="67">
        <v>0.93</v>
      </c>
      <c r="AO10" s="62">
        <v>13873054</v>
      </c>
      <c r="AP10" s="62">
        <v>0</v>
      </c>
      <c r="AQ10" s="68">
        <v>2480830</v>
      </c>
      <c r="AR10" s="69">
        <f t="shared" si="9"/>
        <v>114886.36363636363</v>
      </c>
      <c r="AS10" s="70" t="str">
        <f>IFERROR(IF(#REF!&gt;0,#REF!/T10,""),"")</f>
        <v/>
      </c>
      <c r="AT10" s="70">
        <f t="shared" si="10"/>
        <v>78824.170454545456</v>
      </c>
      <c r="AU10" s="70">
        <f t="shared" si="11"/>
        <v>7805.397727272727</v>
      </c>
      <c r="AV10" s="71">
        <f t="shared" si="12"/>
        <v>14095.625</v>
      </c>
      <c r="AW10" s="115">
        <f t="shared" si="13"/>
        <v>35987.721590909088</v>
      </c>
      <c r="AX10" s="116">
        <f t="shared" si="14"/>
        <v>46.687691649958722</v>
      </c>
      <c r="AY10" s="72">
        <f t="shared" si="15"/>
        <v>44184.090909090919</v>
      </c>
      <c r="AZ10" s="73">
        <f t="shared" si="16"/>
        <v>57.321028423163114</v>
      </c>
      <c r="BA10" s="66">
        <v>22180987</v>
      </c>
      <c r="BB10" s="62">
        <v>539474</v>
      </c>
      <c r="BC10" s="62">
        <v>5794365</v>
      </c>
      <c r="BD10" s="62">
        <v>578000</v>
      </c>
      <c r="BE10" s="62">
        <v>864561</v>
      </c>
      <c r="BF10" s="62">
        <v>1033001</v>
      </c>
      <c r="BG10" s="62">
        <v>1895233</v>
      </c>
      <c r="BH10" s="62">
        <v>4447992</v>
      </c>
      <c r="BI10" s="62">
        <v>614021</v>
      </c>
      <c r="BJ10" s="47">
        <f t="shared" si="17"/>
        <v>37947634</v>
      </c>
      <c r="BK10" s="69">
        <f t="shared" si="18"/>
        <v>126028.33522727272</v>
      </c>
      <c r="BL10" s="70">
        <f t="shared" si="19"/>
        <v>3065.193181818182</v>
      </c>
      <c r="BM10" s="70">
        <f t="shared" si="20"/>
        <v>32922.528409090912</v>
      </c>
      <c r="BN10" s="70">
        <f t="shared" si="21"/>
        <v>3284.090909090909</v>
      </c>
      <c r="BO10" s="70">
        <f t="shared" si="22"/>
        <v>4912.278409090909</v>
      </c>
      <c r="BP10" s="70">
        <f t="shared" si="23"/>
        <v>5869.323863636364</v>
      </c>
      <c r="BQ10" s="70">
        <f t="shared" si="24"/>
        <v>10768.369318181818</v>
      </c>
      <c r="BR10" s="70">
        <f t="shared" si="25"/>
        <v>25272.68181818182</v>
      </c>
      <c r="BS10" s="70">
        <f t="shared" si="26"/>
        <v>3488.755681818182</v>
      </c>
      <c r="BT10" s="71">
        <f t="shared" si="27"/>
        <v>215611.55681818182</v>
      </c>
      <c r="BU10" s="65">
        <f t="shared" si="28"/>
        <v>163.49943242127608</v>
      </c>
      <c r="BV10" s="48">
        <f t="shared" si="29"/>
        <v>3.9765449935133859</v>
      </c>
      <c r="BW10" s="48">
        <f t="shared" si="30"/>
        <v>42.711146656445337</v>
      </c>
      <c r="BX10" s="48">
        <f t="shared" si="31"/>
        <v>4.2605260054251683</v>
      </c>
      <c r="BY10" s="48">
        <f t="shared" si="32"/>
        <v>6.3728107677792192</v>
      </c>
      <c r="BZ10" s="48">
        <f t="shared" si="33"/>
        <v>7.6144076542045056</v>
      </c>
      <c r="CA10" s="48">
        <f t="shared" si="34"/>
        <v>13.970051008373629</v>
      </c>
      <c r="CB10" s="48">
        <f t="shared" si="35"/>
        <v>32.78682627668357</v>
      </c>
      <c r="CC10" s="48">
        <f t="shared" si="36"/>
        <v>4.5260422809293548</v>
      </c>
      <c r="CD10" s="47">
        <f t="shared" si="37"/>
        <v>279.71778806463027</v>
      </c>
      <c r="CE10" s="66">
        <v>1912248</v>
      </c>
      <c r="CF10" s="62">
        <f>15852+44088+3420</f>
        <v>63360</v>
      </c>
      <c r="CG10" s="74">
        <v>-148171</v>
      </c>
      <c r="CH10" s="75">
        <f t="shared" si="38"/>
        <v>1827437</v>
      </c>
      <c r="CI10" s="62">
        <f>40500+7040</f>
        <v>47540</v>
      </c>
      <c r="CJ10" s="62">
        <v>73097</v>
      </c>
      <c r="CK10" s="62">
        <v>202400</v>
      </c>
      <c r="CL10" s="62">
        <v>75680</v>
      </c>
      <c r="CM10" s="62">
        <f>44305+70095</f>
        <v>114400</v>
      </c>
      <c r="CN10" s="62">
        <v>70400</v>
      </c>
      <c r="CO10" s="62">
        <v>0</v>
      </c>
      <c r="CP10" s="75">
        <f t="shared" si="3"/>
        <v>583517</v>
      </c>
      <c r="CQ10" s="62">
        <v>52800</v>
      </c>
      <c r="CR10" s="75">
        <f t="shared" si="4"/>
        <v>636317</v>
      </c>
      <c r="CS10" s="75">
        <f t="shared" si="39"/>
        <v>1243920</v>
      </c>
      <c r="CT10" s="62">
        <f>3500+37500+999999</f>
        <v>1040999</v>
      </c>
      <c r="CU10" s="47">
        <f t="shared" si="40"/>
        <v>202921</v>
      </c>
      <c r="CV10" s="76">
        <f t="shared" si="41"/>
        <v>0.68069104434243155</v>
      </c>
      <c r="CW10" s="75">
        <f t="shared" si="42"/>
        <v>3615.4375</v>
      </c>
      <c r="CX10" s="77">
        <f t="shared" si="43"/>
        <v>0.34820188055730511</v>
      </c>
      <c r="CY10" s="75">
        <f t="shared" si="44"/>
        <v>1152.9602272727273</v>
      </c>
      <c r="CZ10" s="77">
        <f t="shared" si="45"/>
        <v>0.11104131086324727</v>
      </c>
      <c r="DA10" s="77">
        <f t="shared" si="46"/>
        <v>0.56964973347918424</v>
      </c>
      <c r="DB10" s="47">
        <f t="shared" si="47"/>
        <v>114886.36363636363</v>
      </c>
      <c r="DC10" s="69">
        <f t="shared" si="48"/>
        <v>10865.045454545454</v>
      </c>
      <c r="DD10" s="70">
        <f t="shared" si="49"/>
        <v>360</v>
      </c>
      <c r="DE10" s="70">
        <f t="shared" si="50"/>
        <v>-841.88068181818187</v>
      </c>
      <c r="DF10" s="70">
        <f t="shared" si="51"/>
        <v>10383.164772727272</v>
      </c>
      <c r="DG10" s="70">
        <f t="shared" si="52"/>
        <v>270.11363636363637</v>
      </c>
      <c r="DH10" s="70">
        <f t="shared" si="53"/>
        <v>415.32386363636363</v>
      </c>
      <c r="DI10" s="70">
        <f t="shared" si="54"/>
        <v>1150</v>
      </c>
      <c r="DJ10" s="70">
        <f t="shared" si="55"/>
        <v>430</v>
      </c>
      <c r="DK10" s="70">
        <f t="shared" si="56"/>
        <v>650</v>
      </c>
      <c r="DL10" s="70">
        <f t="shared" si="57"/>
        <v>400</v>
      </c>
      <c r="DM10" s="70" t="str">
        <f t="shared" si="58"/>
        <v/>
      </c>
      <c r="DN10" s="70">
        <f t="shared" si="59"/>
        <v>3315.4375</v>
      </c>
      <c r="DO10" s="70">
        <f t="shared" si="60"/>
        <v>300</v>
      </c>
      <c r="DP10" s="70">
        <f t="shared" si="61"/>
        <v>3615.4375</v>
      </c>
      <c r="DQ10" s="70">
        <f t="shared" si="62"/>
        <v>7067.727272727273</v>
      </c>
      <c r="DR10" s="70">
        <f t="shared" si="63"/>
        <v>5914.767045454545</v>
      </c>
      <c r="DS10" s="71">
        <f t="shared" si="64"/>
        <v>1152.9602272727273</v>
      </c>
      <c r="DT10" s="106">
        <f t="shared" si="65"/>
        <v>1.0464098078346886</v>
      </c>
      <c r="DU10" s="92">
        <f t="shared" si="66"/>
        <v>3.4671509879683954E-2</v>
      </c>
      <c r="DV10" s="92" t="str">
        <f t="shared" si="67"/>
        <v/>
      </c>
      <c r="DW10" s="92">
        <f t="shared" si="68"/>
        <v>1</v>
      </c>
      <c r="DX10" s="92">
        <f t="shared" si="69"/>
        <v>2.6014576699497711E-2</v>
      </c>
      <c r="DY10" s="92">
        <f t="shared" si="70"/>
        <v>3.9999737337046364E-2</v>
      </c>
      <c r="DZ10" s="92">
        <f t="shared" si="71"/>
        <v>0.11075621211565706</v>
      </c>
      <c r="EA10" s="92">
        <f t="shared" si="72"/>
        <v>4.1413192356289166E-2</v>
      </c>
      <c r="EB10" s="92">
        <f t="shared" si="73"/>
        <v>6.2601337282762695E-2</v>
      </c>
      <c r="EC10" s="92">
        <f t="shared" si="74"/>
        <v>3.8523899866315499E-2</v>
      </c>
      <c r="ED10" s="92" t="str">
        <f t="shared" si="75"/>
        <v/>
      </c>
      <c r="EE10" s="92">
        <f t="shared" si="76"/>
        <v>0.31930895565756851</v>
      </c>
      <c r="EF10" s="92">
        <f t="shared" si="77"/>
        <v>2.8892924899736626E-2</v>
      </c>
      <c r="EG10" s="92">
        <f t="shared" si="78"/>
        <v>0.34820188055730511</v>
      </c>
      <c r="EH10" s="92">
        <f t="shared" si="79"/>
        <v>0.68069104434243155</v>
      </c>
      <c r="EI10" s="92">
        <f t="shared" si="80"/>
        <v>0.56964973347918424</v>
      </c>
      <c r="EJ10" s="122">
        <f t="shared" si="81"/>
        <v>0.11104131086324727</v>
      </c>
    </row>
    <row r="11" spans="2:140" ht="12" hidden="1" customHeight="1" outlineLevel="1">
      <c r="B11" s="121">
        <v>44721</v>
      </c>
      <c r="C11" s="117">
        <v>22426</v>
      </c>
      <c r="D11" s="50" t="s">
        <v>200</v>
      </c>
      <c r="E11" s="50" t="s">
        <v>201</v>
      </c>
      <c r="F11" s="50" t="s">
        <v>202</v>
      </c>
      <c r="G11" s="50" t="s">
        <v>203</v>
      </c>
      <c r="H11" s="50" t="s">
        <v>196</v>
      </c>
      <c r="I11" s="51" t="s">
        <v>156</v>
      </c>
      <c r="J11" s="52" t="s">
        <v>204</v>
      </c>
      <c r="K11" s="50" t="s">
        <v>205</v>
      </c>
      <c r="L11" s="49">
        <v>6</v>
      </c>
      <c r="M11" s="50" t="s">
        <v>159</v>
      </c>
      <c r="N11" s="50" t="s">
        <v>160</v>
      </c>
      <c r="O11" s="50" t="s">
        <v>160</v>
      </c>
      <c r="P11" s="50" t="s">
        <v>161</v>
      </c>
      <c r="Q11" s="53">
        <v>0.04</v>
      </c>
      <c r="R11" s="49">
        <v>274</v>
      </c>
      <c r="S11" s="49">
        <v>0</v>
      </c>
      <c r="T11" s="54">
        <f t="shared" si="0"/>
        <v>274</v>
      </c>
      <c r="U11" s="55">
        <v>301558</v>
      </c>
      <c r="V11" s="49">
        <v>16.989999999999998</v>
      </c>
      <c r="W11" s="56">
        <f t="shared" si="7"/>
        <v>16.127133608004709</v>
      </c>
      <c r="X11" s="49">
        <v>2005</v>
      </c>
      <c r="Y11" s="57" t="s">
        <v>162</v>
      </c>
      <c r="Z11" s="58">
        <v>57595055</v>
      </c>
      <c r="AA11" s="114">
        <f>(((41760000*0.0349)/(Z11))+((15835055*0.0285)/(Z11)))</f>
        <v>3.3140398381423547E-2</v>
      </c>
      <c r="AB11" s="59">
        <v>15</v>
      </c>
      <c r="AC11" s="60">
        <v>35</v>
      </c>
      <c r="AD11" s="61">
        <v>3.49E-2</v>
      </c>
      <c r="AE11" s="62">
        <v>41760000</v>
      </c>
      <c r="AF11" s="63">
        <v>1.22</v>
      </c>
      <c r="AG11" s="59"/>
      <c r="AH11" s="60"/>
      <c r="AI11" s="61"/>
      <c r="AJ11" s="64"/>
      <c r="AK11" s="65">
        <f t="shared" si="8"/>
        <v>41760000</v>
      </c>
      <c r="AL11" s="62">
        <v>200</v>
      </c>
      <c r="AM11" s="49" t="s">
        <v>163</v>
      </c>
      <c r="AN11" s="67">
        <v>0.86</v>
      </c>
      <c r="AO11" s="62">
        <v>22181233</v>
      </c>
      <c r="AP11" s="62">
        <v>0</v>
      </c>
      <c r="AQ11" s="68">
        <v>5971316</v>
      </c>
      <c r="AR11" s="69">
        <f t="shared" si="9"/>
        <v>152408.75912408758</v>
      </c>
      <c r="AS11" s="70" t="str">
        <f>IFERROR(IF(#REF!&gt;0,#REF!/T11,""),"")</f>
        <v/>
      </c>
      <c r="AT11" s="70">
        <f t="shared" si="10"/>
        <v>80953.405109489046</v>
      </c>
      <c r="AU11" s="70">
        <f t="shared" si="11"/>
        <v>0.72992700729927007</v>
      </c>
      <c r="AV11" s="71">
        <f t="shared" si="12"/>
        <v>21793.124087591241</v>
      </c>
      <c r="AW11" s="115">
        <f t="shared" si="13"/>
        <v>32473.777372262775</v>
      </c>
      <c r="AX11" s="116">
        <f t="shared" si="14"/>
        <v>29.506148071017847</v>
      </c>
      <c r="AY11" s="72">
        <f t="shared" si="15"/>
        <v>40722.113138686131</v>
      </c>
      <c r="AZ11" s="73">
        <f t="shared" si="16"/>
        <v>37.000706331783604</v>
      </c>
      <c r="BA11" s="66">
        <v>43500000</v>
      </c>
      <c r="BB11" s="62">
        <v>1219851</v>
      </c>
      <c r="BC11" s="62">
        <v>7677964</v>
      </c>
      <c r="BD11" s="62">
        <v>889781</v>
      </c>
      <c r="BE11" s="62">
        <v>1370263</v>
      </c>
      <c r="BF11" s="62">
        <v>2067445</v>
      </c>
      <c r="BG11" s="62">
        <v>3803120</v>
      </c>
      <c r="BH11" s="62">
        <v>9435227</v>
      </c>
      <c r="BI11" s="62">
        <v>949097</v>
      </c>
      <c r="BJ11" s="47">
        <f t="shared" si="17"/>
        <v>70912748</v>
      </c>
      <c r="BK11" s="69">
        <f t="shared" si="18"/>
        <v>158759.12408759125</v>
      </c>
      <c r="BL11" s="70">
        <f t="shared" si="19"/>
        <v>4452.0109489051092</v>
      </c>
      <c r="BM11" s="70">
        <f t="shared" si="20"/>
        <v>28021.766423357665</v>
      </c>
      <c r="BN11" s="70">
        <f t="shared" si="21"/>
        <v>3247.3759124087592</v>
      </c>
      <c r="BO11" s="70">
        <f t="shared" si="22"/>
        <v>5000.9598540145989</v>
      </c>
      <c r="BP11" s="70">
        <f t="shared" si="23"/>
        <v>7545.419708029197</v>
      </c>
      <c r="BQ11" s="70">
        <f t="shared" si="24"/>
        <v>13880</v>
      </c>
      <c r="BR11" s="70">
        <f t="shared" si="25"/>
        <v>34435.135036496351</v>
      </c>
      <c r="BS11" s="70">
        <f t="shared" si="26"/>
        <v>3463.8576642335765</v>
      </c>
      <c r="BT11" s="71">
        <f t="shared" si="27"/>
        <v>258805.64963503651</v>
      </c>
      <c r="BU11" s="65">
        <f t="shared" si="28"/>
        <v>144.25085721486414</v>
      </c>
      <c r="BV11" s="48">
        <f t="shared" si="29"/>
        <v>4.045162124699063</v>
      </c>
      <c r="BW11" s="48">
        <f t="shared" si="30"/>
        <v>25.460985946318786</v>
      </c>
      <c r="BX11" s="48">
        <f t="shared" si="31"/>
        <v>2.9506131490459548</v>
      </c>
      <c r="BY11" s="48">
        <f t="shared" si="32"/>
        <v>4.5439451117198022</v>
      </c>
      <c r="BZ11" s="48">
        <f t="shared" si="33"/>
        <v>6.8558784711398806</v>
      </c>
      <c r="CA11" s="48">
        <f t="shared" si="34"/>
        <v>12.611570576804462</v>
      </c>
      <c r="CB11" s="48">
        <f t="shared" si="35"/>
        <v>31.288266270501861</v>
      </c>
      <c r="CC11" s="48">
        <f t="shared" si="36"/>
        <v>3.1473116282771474</v>
      </c>
      <c r="CD11" s="47">
        <f t="shared" si="37"/>
        <v>235.1545904933711</v>
      </c>
      <c r="CE11" s="66">
        <v>4126656</v>
      </c>
      <c r="CF11" s="62">
        <v>32880</v>
      </c>
      <c r="CG11" s="74">
        <v>-311965</v>
      </c>
      <c r="CH11" s="75">
        <f t="shared" si="38"/>
        <v>3847571</v>
      </c>
      <c r="CI11" s="62">
        <f>111792+11533+10960</f>
        <v>134285</v>
      </c>
      <c r="CJ11" s="62">
        <v>115427</v>
      </c>
      <c r="CK11" s="62">
        <v>369900</v>
      </c>
      <c r="CL11" s="62">
        <v>164400</v>
      </c>
      <c r="CM11" s="62">
        <f>42856+190734</f>
        <v>233590</v>
      </c>
      <c r="CN11" s="62">
        <v>202212</v>
      </c>
      <c r="CO11" s="62">
        <v>0</v>
      </c>
      <c r="CP11" s="75">
        <f t="shared" si="3"/>
        <v>1219814</v>
      </c>
      <c r="CQ11" s="62">
        <v>82200</v>
      </c>
      <c r="CR11" s="75">
        <f t="shared" si="4"/>
        <v>1302014</v>
      </c>
      <c r="CS11" s="75">
        <f t="shared" si="39"/>
        <v>2627757</v>
      </c>
      <c r="CT11" s="62">
        <f>32500+2068180</f>
        <v>2100680</v>
      </c>
      <c r="CU11" s="47">
        <f t="shared" si="40"/>
        <v>527077</v>
      </c>
      <c r="CV11" s="76">
        <f t="shared" si="41"/>
        <v>0.68296517465174778</v>
      </c>
      <c r="CW11" s="75">
        <f t="shared" si="42"/>
        <v>4751.8759124087592</v>
      </c>
      <c r="CX11" s="77">
        <f t="shared" si="43"/>
        <v>0.33839895352158544</v>
      </c>
      <c r="CY11" s="75">
        <f t="shared" si="44"/>
        <v>1923.6386861313867</v>
      </c>
      <c r="CZ11" s="77">
        <f t="shared" si="45"/>
        <v>0.1369895448323111</v>
      </c>
      <c r="DA11" s="77">
        <f t="shared" si="46"/>
        <v>0.5459756298194367</v>
      </c>
      <c r="DB11" s="47">
        <f t="shared" si="47"/>
        <v>152408.75912408758</v>
      </c>
      <c r="DC11" s="69">
        <f t="shared" si="48"/>
        <v>15060.788321167884</v>
      </c>
      <c r="DD11" s="70">
        <f t="shared" si="49"/>
        <v>120</v>
      </c>
      <c r="DE11" s="70">
        <f t="shared" si="50"/>
        <v>-1138.5583941605839</v>
      </c>
      <c r="DF11" s="70">
        <f t="shared" si="51"/>
        <v>14042.2299270073</v>
      </c>
      <c r="DG11" s="70">
        <f t="shared" si="52"/>
        <v>490.09124087591243</v>
      </c>
      <c r="DH11" s="70">
        <f t="shared" si="53"/>
        <v>421.26642335766422</v>
      </c>
      <c r="DI11" s="70">
        <f t="shared" si="54"/>
        <v>1350</v>
      </c>
      <c r="DJ11" s="70">
        <f t="shared" si="55"/>
        <v>600</v>
      </c>
      <c r="DK11" s="70">
        <f t="shared" si="56"/>
        <v>852.51824817518252</v>
      </c>
      <c r="DL11" s="70">
        <f t="shared" si="57"/>
        <v>738</v>
      </c>
      <c r="DM11" s="70" t="str">
        <f t="shared" si="58"/>
        <v/>
      </c>
      <c r="DN11" s="70">
        <f t="shared" si="59"/>
        <v>4451.8759124087592</v>
      </c>
      <c r="DO11" s="70">
        <f t="shared" si="60"/>
        <v>300</v>
      </c>
      <c r="DP11" s="70">
        <f t="shared" si="61"/>
        <v>4751.8759124087592</v>
      </c>
      <c r="DQ11" s="70">
        <f t="shared" si="62"/>
        <v>9590.3540145985407</v>
      </c>
      <c r="DR11" s="70">
        <f t="shared" si="63"/>
        <v>7666.7153284671531</v>
      </c>
      <c r="DS11" s="71">
        <f t="shared" si="64"/>
        <v>1923.6386861313867</v>
      </c>
      <c r="DT11" s="106">
        <f t="shared" si="65"/>
        <v>1.0725353736162373</v>
      </c>
      <c r="DU11" s="92">
        <f t="shared" si="66"/>
        <v>8.5456512693333018E-3</v>
      </c>
      <c r="DV11" s="92" t="str">
        <f t="shared" si="67"/>
        <v/>
      </c>
      <c r="DW11" s="92">
        <f t="shared" si="68"/>
        <v>1</v>
      </c>
      <c r="DX11" s="92">
        <f t="shared" si="69"/>
        <v>3.4901240289003113E-2</v>
      </c>
      <c r="DY11" s="92">
        <f t="shared" si="70"/>
        <v>2.999996621244936E-2</v>
      </c>
      <c r="DZ11" s="92">
        <f t="shared" si="71"/>
        <v>9.6138576779999638E-2</v>
      </c>
      <c r="EA11" s="92">
        <f t="shared" si="72"/>
        <v>4.2728256346666507E-2</v>
      </c>
      <c r="EB11" s="92">
        <f t="shared" si="73"/>
        <v>6.0711030413733755E-2</v>
      </c>
      <c r="EC11" s="92">
        <f t="shared" si="74"/>
        <v>5.2555755306399804E-2</v>
      </c>
      <c r="ED11" s="92" t="str">
        <f t="shared" si="75"/>
        <v/>
      </c>
      <c r="EE11" s="92">
        <f t="shared" si="76"/>
        <v>0.31703482534825217</v>
      </c>
      <c r="EF11" s="92">
        <f t="shared" si="77"/>
        <v>2.1364128173333254E-2</v>
      </c>
      <c r="EG11" s="92">
        <f t="shared" si="78"/>
        <v>0.33839895352158544</v>
      </c>
      <c r="EH11" s="92">
        <f t="shared" si="79"/>
        <v>0.68296517465174778</v>
      </c>
      <c r="EI11" s="92">
        <f t="shared" si="80"/>
        <v>0.5459756298194367</v>
      </c>
      <c r="EJ11" s="122">
        <f t="shared" si="81"/>
        <v>0.1369895448323111</v>
      </c>
    </row>
    <row r="12" spans="2:140" ht="12" hidden="1" customHeight="1" outlineLevel="1">
      <c r="B12" s="121">
        <v>44727</v>
      </c>
      <c r="C12" s="117">
        <v>22429</v>
      </c>
      <c r="D12" s="50" t="s">
        <v>206</v>
      </c>
      <c r="E12" s="50" t="s">
        <v>207</v>
      </c>
      <c r="F12" s="50" t="s">
        <v>207</v>
      </c>
      <c r="G12" s="50" t="s">
        <v>162</v>
      </c>
      <c r="H12" s="50" t="s">
        <v>208</v>
      </c>
      <c r="I12" s="51" t="s">
        <v>209</v>
      </c>
      <c r="J12" s="52" t="s">
        <v>183</v>
      </c>
      <c r="K12" s="50" t="s">
        <v>184</v>
      </c>
      <c r="L12" s="49">
        <v>9</v>
      </c>
      <c r="M12" s="50" t="s">
        <v>159</v>
      </c>
      <c r="N12" s="50" t="s">
        <v>160</v>
      </c>
      <c r="O12" s="50" t="s">
        <v>160</v>
      </c>
      <c r="P12" s="50" t="s">
        <v>177</v>
      </c>
      <c r="Q12" s="53">
        <v>0.04</v>
      </c>
      <c r="R12" s="49">
        <v>138</v>
      </c>
      <c r="S12" s="49">
        <v>0</v>
      </c>
      <c r="T12" s="54">
        <f t="shared" si="0"/>
        <v>138</v>
      </c>
      <c r="U12" s="55">
        <v>94382</v>
      </c>
      <c r="V12" s="49">
        <v>1.571</v>
      </c>
      <c r="W12" s="56">
        <f t="shared" si="7"/>
        <v>87.842138765117767</v>
      </c>
      <c r="X12" s="49" t="s">
        <v>163</v>
      </c>
      <c r="Y12" s="57" t="s">
        <v>162</v>
      </c>
      <c r="Z12" s="58">
        <v>21513100</v>
      </c>
      <c r="AA12" s="114">
        <f>(((11213100*0.0325)/(Z12))+((10300000*0.06)/(Z12)))</f>
        <v>4.5666396288772892E-2</v>
      </c>
      <c r="AB12" s="59">
        <v>40</v>
      </c>
      <c r="AC12" s="60">
        <v>40</v>
      </c>
      <c r="AD12" s="61">
        <v>3.2500000000000001E-2</v>
      </c>
      <c r="AE12" s="62">
        <v>11213100</v>
      </c>
      <c r="AF12" s="63">
        <v>1.17</v>
      </c>
      <c r="AG12" s="59"/>
      <c r="AH12" s="60"/>
      <c r="AI12" s="61"/>
      <c r="AJ12" s="64"/>
      <c r="AK12" s="65">
        <f t="shared" si="8"/>
        <v>11213100</v>
      </c>
      <c r="AL12" s="62">
        <v>5425000</v>
      </c>
      <c r="AM12" s="49" t="s">
        <v>163</v>
      </c>
      <c r="AN12" s="67">
        <v>0.88990000000000002</v>
      </c>
      <c r="AO12" s="62">
        <v>14646740</v>
      </c>
      <c r="AP12" s="62">
        <v>0</v>
      </c>
      <c r="AQ12" s="68">
        <v>1989995</v>
      </c>
      <c r="AR12" s="69">
        <f t="shared" si="9"/>
        <v>81254.34782608696</v>
      </c>
      <c r="AS12" s="70" t="str">
        <f>IFERROR(IF(#REF!&gt;0,#REF!/T12,""),"")</f>
        <v/>
      </c>
      <c r="AT12" s="70">
        <f t="shared" si="10"/>
        <v>106135.79710144928</v>
      </c>
      <c r="AU12" s="70">
        <f t="shared" si="11"/>
        <v>39311.594202898552</v>
      </c>
      <c r="AV12" s="71">
        <f t="shared" si="12"/>
        <v>14420.253623188406</v>
      </c>
      <c r="AW12" s="115">
        <f t="shared" si="13"/>
        <v>144417.67391304349</v>
      </c>
      <c r="AX12" s="116">
        <f t="shared" si="14"/>
        <v>211.15932063317157</v>
      </c>
      <c r="AY12" s="72">
        <f t="shared" si="15"/>
        <v>170915.72463768118</v>
      </c>
      <c r="AZ12" s="73">
        <f t="shared" si="16"/>
        <v>249.90326545315844</v>
      </c>
      <c r="BA12" s="66">
        <v>0</v>
      </c>
      <c r="BB12" s="62">
        <v>2763140</v>
      </c>
      <c r="BC12" s="62">
        <v>17166499</v>
      </c>
      <c r="BD12" s="62">
        <v>996000</v>
      </c>
      <c r="BE12" s="62">
        <v>2660731</v>
      </c>
      <c r="BF12" s="62">
        <v>2305017</v>
      </c>
      <c r="BG12" s="62">
        <v>2446069</v>
      </c>
      <c r="BH12" s="62">
        <v>4152462</v>
      </c>
      <c r="BI12" s="62">
        <v>784917</v>
      </c>
      <c r="BJ12" s="47">
        <f t="shared" si="17"/>
        <v>33274835</v>
      </c>
      <c r="BK12" s="69" t="str">
        <f t="shared" si="18"/>
        <v/>
      </c>
      <c r="BL12" s="70">
        <f t="shared" si="19"/>
        <v>20022.753623188404</v>
      </c>
      <c r="BM12" s="70">
        <f t="shared" si="20"/>
        <v>124394.92028985507</v>
      </c>
      <c r="BN12" s="70">
        <f t="shared" si="21"/>
        <v>7217.391304347826</v>
      </c>
      <c r="BO12" s="70">
        <f t="shared" si="22"/>
        <v>19280.659420289856</v>
      </c>
      <c r="BP12" s="70">
        <f t="shared" si="23"/>
        <v>16703.021739130436</v>
      </c>
      <c r="BQ12" s="70">
        <f t="shared" si="24"/>
        <v>17725.13768115942</v>
      </c>
      <c r="BR12" s="70">
        <f t="shared" si="25"/>
        <v>30090.304347826088</v>
      </c>
      <c r="BS12" s="70">
        <f t="shared" si="26"/>
        <v>5687.804347826087</v>
      </c>
      <c r="BT12" s="71">
        <f t="shared" si="27"/>
        <v>241121.9927536232</v>
      </c>
      <c r="BU12" s="65" t="str">
        <f t="shared" si="28"/>
        <v/>
      </c>
      <c r="BV12" s="48">
        <f t="shared" si="29"/>
        <v>29.276133160984084</v>
      </c>
      <c r="BW12" s="48">
        <f t="shared" si="30"/>
        <v>181.8831874721875</v>
      </c>
      <c r="BX12" s="48">
        <f t="shared" si="31"/>
        <v>10.552859655442775</v>
      </c>
      <c r="BY12" s="48">
        <f t="shared" si="32"/>
        <v>28.191085164544088</v>
      </c>
      <c r="BZ12" s="48">
        <f t="shared" si="33"/>
        <v>24.422209743383274</v>
      </c>
      <c r="CA12" s="48">
        <f t="shared" si="34"/>
        <v>25.916689623021337</v>
      </c>
      <c r="CB12" s="48">
        <f t="shared" si="35"/>
        <v>43.996334046746199</v>
      </c>
      <c r="CC12" s="48">
        <f t="shared" si="36"/>
        <v>8.3163844800915427</v>
      </c>
      <c r="CD12" s="47">
        <f t="shared" si="37"/>
        <v>352.5548833464008</v>
      </c>
      <c r="CE12" s="66">
        <v>1181940</v>
      </c>
      <c r="CF12" s="62">
        <v>32706</v>
      </c>
      <c r="CG12" s="74">
        <v>-91098</v>
      </c>
      <c r="CH12" s="75">
        <f t="shared" si="38"/>
        <v>1123548</v>
      </c>
      <c r="CI12" s="62">
        <f>39000+5520</f>
        <v>44520</v>
      </c>
      <c r="CJ12" s="62">
        <v>50471</v>
      </c>
      <c r="CK12" s="62">
        <v>179400</v>
      </c>
      <c r="CL12" s="62">
        <v>52670</v>
      </c>
      <c r="CM12" s="62">
        <f>27600+51900</f>
        <v>79500</v>
      </c>
      <c r="CN12" s="62">
        <v>61200</v>
      </c>
      <c r="CO12" s="62">
        <v>0</v>
      </c>
      <c r="CP12" s="75">
        <f t="shared" si="3"/>
        <v>467761</v>
      </c>
      <c r="CQ12" s="62">
        <v>34500</v>
      </c>
      <c r="CR12" s="75">
        <f t="shared" si="4"/>
        <v>502261</v>
      </c>
      <c r="CS12" s="75">
        <f t="shared" si="39"/>
        <v>655787</v>
      </c>
      <c r="CT12" s="62">
        <v>529314</v>
      </c>
      <c r="CU12" s="47">
        <f t="shared" si="40"/>
        <v>126473</v>
      </c>
      <c r="CV12" s="76">
        <f t="shared" si="41"/>
        <v>0.58367510778355713</v>
      </c>
      <c r="CW12" s="75">
        <f t="shared" si="42"/>
        <v>3639.572463768116</v>
      </c>
      <c r="CX12" s="77">
        <f t="shared" si="43"/>
        <v>0.44703119047873346</v>
      </c>
      <c r="CY12" s="75">
        <f t="shared" si="44"/>
        <v>916.47101449275362</v>
      </c>
      <c r="CZ12" s="77">
        <f t="shared" si="45"/>
        <v>0.11256572927903392</v>
      </c>
      <c r="DA12" s="77">
        <f t="shared" si="46"/>
        <v>0.47110937850452317</v>
      </c>
      <c r="DB12" s="47">
        <f t="shared" si="47"/>
        <v>81254.34782608696</v>
      </c>
      <c r="DC12" s="69">
        <f t="shared" si="48"/>
        <v>8564.782608695652</v>
      </c>
      <c r="DD12" s="70">
        <f t="shared" si="49"/>
        <v>237</v>
      </c>
      <c r="DE12" s="70">
        <f t="shared" si="50"/>
        <v>-660.13043478260875</v>
      </c>
      <c r="DF12" s="70">
        <f t="shared" si="51"/>
        <v>8141.652173913043</v>
      </c>
      <c r="DG12" s="70">
        <f t="shared" si="52"/>
        <v>322.60869565217394</v>
      </c>
      <c r="DH12" s="70">
        <f t="shared" si="53"/>
        <v>365.731884057971</v>
      </c>
      <c r="DI12" s="70">
        <f t="shared" si="54"/>
        <v>1300</v>
      </c>
      <c r="DJ12" s="70">
        <f t="shared" si="55"/>
        <v>381.66666666666669</v>
      </c>
      <c r="DK12" s="70">
        <f t="shared" si="56"/>
        <v>576.08695652173913</v>
      </c>
      <c r="DL12" s="70">
        <f t="shared" si="57"/>
        <v>443.47826086956519</v>
      </c>
      <c r="DM12" s="70" t="str">
        <f t="shared" si="58"/>
        <v/>
      </c>
      <c r="DN12" s="70">
        <f t="shared" si="59"/>
        <v>3389.572463768116</v>
      </c>
      <c r="DO12" s="70">
        <f t="shared" si="60"/>
        <v>250</v>
      </c>
      <c r="DP12" s="70">
        <f t="shared" si="61"/>
        <v>3639.572463768116</v>
      </c>
      <c r="DQ12" s="70">
        <f t="shared" si="62"/>
        <v>4752.079710144928</v>
      </c>
      <c r="DR12" s="70">
        <f t="shared" si="63"/>
        <v>3835.608695652174</v>
      </c>
      <c r="DS12" s="71">
        <f t="shared" si="64"/>
        <v>916.47101449275362</v>
      </c>
      <c r="DT12" s="106">
        <f t="shared" si="65"/>
        <v>1.0519710773371498</v>
      </c>
      <c r="DU12" s="92">
        <f t="shared" si="66"/>
        <v>2.9109570752651422E-2</v>
      </c>
      <c r="DV12" s="92" t="str">
        <f t="shared" si="67"/>
        <v/>
      </c>
      <c r="DW12" s="92">
        <f t="shared" si="68"/>
        <v>1</v>
      </c>
      <c r="DX12" s="92">
        <f t="shared" si="69"/>
        <v>3.9624475322816648E-2</v>
      </c>
      <c r="DY12" s="92">
        <f t="shared" si="70"/>
        <v>4.4921089263654068E-2</v>
      </c>
      <c r="DZ12" s="92">
        <f t="shared" si="71"/>
        <v>0.15967275096391076</v>
      </c>
      <c r="EA12" s="92">
        <f t="shared" si="72"/>
        <v>4.6878282013763539E-2</v>
      </c>
      <c r="EB12" s="92">
        <f t="shared" si="73"/>
        <v>7.0757991647886875E-2</v>
      </c>
      <c r="EC12" s="92">
        <f t="shared" si="74"/>
        <v>5.4470303004411025E-2</v>
      </c>
      <c r="ED12" s="92" t="str">
        <f t="shared" si="75"/>
        <v/>
      </c>
      <c r="EE12" s="92">
        <f t="shared" si="76"/>
        <v>0.41632489221644292</v>
      </c>
      <c r="EF12" s="92">
        <f t="shared" si="77"/>
        <v>3.0706298262290529E-2</v>
      </c>
      <c r="EG12" s="92">
        <f t="shared" si="78"/>
        <v>0.44703119047873346</v>
      </c>
      <c r="EH12" s="92">
        <f t="shared" si="79"/>
        <v>0.58367510778355713</v>
      </c>
      <c r="EI12" s="92">
        <f t="shared" si="80"/>
        <v>0.47110937850452317</v>
      </c>
      <c r="EJ12" s="122">
        <f t="shared" si="81"/>
        <v>0.11256572927903392</v>
      </c>
    </row>
    <row r="13" spans="2:140" ht="12" hidden="1" customHeight="1" outlineLevel="1">
      <c r="B13" s="121">
        <v>44727</v>
      </c>
      <c r="C13" s="117">
        <v>22424</v>
      </c>
      <c r="D13" s="50" t="s">
        <v>210</v>
      </c>
      <c r="E13" s="50" t="s">
        <v>211</v>
      </c>
      <c r="F13" s="50" t="s">
        <v>212</v>
      </c>
      <c r="G13" s="50" t="s">
        <v>213</v>
      </c>
      <c r="H13" s="50" t="s">
        <v>214</v>
      </c>
      <c r="I13" s="51" t="s">
        <v>215</v>
      </c>
      <c r="J13" s="52" t="s">
        <v>216</v>
      </c>
      <c r="K13" s="50" t="s">
        <v>176</v>
      </c>
      <c r="L13" s="49">
        <v>6</v>
      </c>
      <c r="M13" s="50" t="s">
        <v>159</v>
      </c>
      <c r="N13" s="50" t="s">
        <v>160</v>
      </c>
      <c r="O13" s="50" t="s">
        <v>160</v>
      </c>
      <c r="P13" s="50" t="s">
        <v>161</v>
      </c>
      <c r="Q13" s="53">
        <v>0.04</v>
      </c>
      <c r="R13" s="49">
        <v>304</v>
      </c>
      <c r="S13" s="49">
        <v>0</v>
      </c>
      <c r="T13" s="54">
        <f t="shared" si="0"/>
        <v>304</v>
      </c>
      <c r="U13" s="55">
        <v>260201</v>
      </c>
      <c r="V13" s="49">
        <v>11.24</v>
      </c>
      <c r="W13" s="56">
        <f t="shared" si="7"/>
        <v>27.046263345195729</v>
      </c>
      <c r="X13" s="49">
        <v>1971</v>
      </c>
      <c r="Y13" s="57" t="s">
        <v>162</v>
      </c>
      <c r="Z13" s="58">
        <v>30593961</v>
      </c>
      <c r="AA13" s="114">
        <v>0.03</v>
      </c>
      <c r="AB13" s="59">
        <v>35</v>
      </c>
      <c r="AC13" s="60">
        <v>35</v>
      </c>
      <c r="AD13" s="61">
        <v>2.75E-2</v>
      </c>
      <c r="AE13" s="62">
        <v>30593961</v>
      </c>
      <c r="AF13" s="63">
        <v>1.19</v>
      </c>
      <c r="AG13" s="59"/>
      <c r="AH13" s="60"/>
      <c r="AI13" s="61"/>
      <c r="AJ13" s="64"/>
      <c r="AK13" s="65">
        <f t="shared" si="8"/>
        <v>30593961</v>
      </c>
      <c r="AL13" s="62">
        <v>1265108</v>
      </c>
      <c r="AM13" s="49" t="s">
        <v>163</v>
      </c>
      <c r="AN13" s="67">
        <v>0.85</v>
      </c>
      <c r="AO13" s="62">
        <v>18462666</v>
      </c>
      <c r="AP13" s="62">
        <v>0</v>
      </c>
      <c r="AQ13" s="68">
        <v>4907837</v>
      </c>
      <c r="AR13" s="69">
        <f t="shared" si="9"/>
        <v>100638.02960526316</v>
      </c>
      <c r="AS13" s="70" t="str">
        <f>IFERROR(IF(#REF!&gt;0,#REF!/T13,""),"")</f>
        <v/>
      </c>
      <c r="AT13" s="70">
        <f t="shared" si="10"/>
        <v>60732.45394736842</v>
      </c>
      <c r="AU13" s="70">
        <f t="shared" si="11"/>
        <v>4161.5394736842109</v>
      </c>
      <c r="AV13" s="71">
        <f t="shared" si="12"/>
        <v>16144.200657894737</v>
      </c>
      <c r="AW13" s="115">
        <f t="shared" si="13"/>
        <v>32837.17105263158</v>
      </c>
      <c r="AX13" s="116">
        <f t="shared" si="14"/>
        <v>38.364572003950791</v>
      </c>
      <c r="AY13" s="72">
        <f t="shared" si="15"/>
        <v>41166.976973684214</v>
      </c>
      <c r="AZ13" s="73">
        <f t="shared" si="16"/>
        <v>48.096513848909112</v>
      </c>
      <c r="BA13" s="66">
        <v>30000000</v>
      </c>
      <c r="BB13" s="62">
        <v>467500</v>
      </c>
      <c r="BC13" s="62">
        <v>9515000</v>
      </c>
      <c r="BD13" s="62">
        <v>998250</v>
      </c>
      <c r="BE13" s="62">
        <v>1534011</v>
      </c>
      <c r="BF13" s="62">
        <v>1158389</v>
      </c>
      <c r="BG13" s="62">
        <v>3786118</v>
      </c>
      <c r="BH13" s="62">
        <v>6412622</v>
      </c>
      <c r="BI13" s="62">
        <v>1357682</v>
      </c>
      <c r="BJ13" s="47">
        <f t="shared" si="17"/>
        <v>55229572</v>
      </c>
      <c r="BK13" s="69">
        <f t="shared" si="18"/>
        <v>98684.210526315786</v>
      </c>
      <c r="BL13" s="70">
        <f t="shared" si="19"/>
        <v>1537.828947368421</v>
      </c>
      <c r="BM13" s="70">
        <f t="shared" si="20"/>
        <v>31299.342105263157</v>
      </c>
      <c r="BN13" s="70">
        <f t="shared" si="21"/>
        <v>3283.7171052631579</v>
      </c>
      <c r="BO13" s="70">
        <f t="shared" si="22"/>
        <v>5046.0888157894733</v>
      </c>
      <c r="BP13" s="70">
        <f t="shared" si="23"/>
        <v>3810.4901315789475</v>
      </c>
      <c r="BQ13" s="70">
        <f t="shared" si="24"/>
        <v>12454.33552631579</v>
      </c>
      <c r="BR13" s="70">
        <f t="shared" si="25"/>
        <v>21094.151315789473</v>
      </c>
      <c r="BS13" s="70">
        <f t="shared" si="26"/>
        <v>4466.0592105263158</v>
      </c>
      <c r="BT13" s="71">
        <f t="shared" si="27"/>
        <v>181676.22368421053</v>
      </c>
      <c r="BU13" s="65">
        <f t="shared" si="28"/>
        <v>115.29548310729014</v>
      </c>
      <c r="BV13" s="48">
        <f t="shared" si="29"/>
        <v>1.7966879450886046</v>
      </c>
      <c r="BW13" s="48">
        <f t="shared" si="30"/>
        <v>36.567884058862184</v>
      </c>
      <c r="BX13" s="48">
        <f t="shared" si="31"/>
        <v>3.836457200395079</v>
      </c>
      <c r="BY13" s="48">
        <f t="shared" si="32"/>
        <v>5.8954846445632416</v>
      </c>
      <c r="BZ13" s="48">
        <f t="shared" si="33"/>
        <v>4.4519006460390234</v>
      </c>
      <c r="CA13" s="48">
        <f t="shared" si="34"/>
        <v>14.550743463706903</v>
      </c>
      <c r="CB13" s="48">
        <f t="shared" si="35"/>
        <v>24.644878382481235</v>
      </c>
      <c r="CC13" s="48">
        <f t="shared" si="36"/>
        <v>5.2178200698690631</v>
      </c>
      <c r="CD13" s="47">
        <f t="shared" si="37"/>
        <v>212.25733951829548</v>
      </c>
      <c r="CE13" s="66">
        <v>3137808</v>
      </c>
      <c r="CF13" s="62">
        <v>109440</v>
      </c>
      <c r="CG13" s="74">
        <v>-243544</v>
      </c>
      <c r="CH13" s="75">
        <f t="shared" si="38"/>
        <v>3003704</v>
      </c>
      <c r="CI13" s="62">
        <f>76000+9000+12160</f>
        <v>97160</v>
      </c>
      <c r="CJ13" s="62">
        <v>120127</v>
      </c>
      <c r="CK13" s="62">
        <v>344388</v>
      </c>
      <c r="CL13" s="62">
        <v>196668</v>
      </c>
      <c r="CM13" s="62">
        <f>75000+212000</f>
        <v>287000</v>
      </c>
      <c r="CN13" s="62">
        <v>150000</v>
      </c>
      <c r="CO13" s="62">
        <v>0</v>
      </c>
      <c r="CP13" s="75">
        <f t="shared" si="3"/>
        <v>1195343</v>
      </c>
      <c r="CQ13" s="62">
        <v>91200</v>
      </c>
      <c r="CR13" s="75">
        <f t="shared" si="4"/>
        <v>1286543</v>
      </c>
      <c r="CS13" s="75">
        <f t="shared" si="39"/>
        <v>1808361</v>
      </c>
      <c r="CT13" s="62">
        <f>5000+1438655</f>
        <v>1443655</v>
      </c>
      <c r="CU13" s="47">
        <f t="shared" si="40"/>
        <v>364706</v>
      </c>
      <c r="CV13" s="76">
        <f t="shared" si="41"/>
        <v>0.60204367674045112</v>
      </c>
      <c r="CW13" s="75">
        <f t="shared" si="42"/>
        <v>4232.0493421052633</v>
      </c>
      <c r="CX13" s="77">
        <f t="shared" si="43"/>
        <v>0.42831883567755014</v>
      </c>
      <c r="CY13" s="75">
        <f t="shared" si="44"/>
        <v>1199.6907894736842</v>
      </c>
      <c r="CZ13" s="77">
        <f t="shared" si="45"/>
        <v>0.12141875497718817</v>
      </c>
      <c r="DA13" s="77">
        <f t="shared" si="46"/>
        <v>0.48062492176326294</v>
      </c>
      <c r="DB13" s="47">
        <f t="shared" si="47"/>
        <v>100638.02960526316</v>
      </c>
      <c r="DC13" s="69">
        <f t="shared" si="48"/>
        <v>10321.736842105263</v>
      </c>
      <c r="DD13" s="70">
        <f t="shared" si="49"/>
        <v>360</v>
      </c>
      <c r="DE13" s="70">
        <f t="shared" si="50"/>
        <v>-801.13157894736844</v>
      </c>
      <c r="DF13" s="70">
        <f t="shared" si="51"/>
        <v>9880.605263157895</v>
      </c>
      <c r="DG13" s="70">
        <f t="shared" si="52"/>
        <v>319.60526315789474</v>
      </c>
      <c r="DH13" s="70">
        <f t="shared" si="53"/>
        <v>395.15460526315792</v>
      </c>
      <c r="DI13" s="70">
        <f t="shared" si="54"/>
        <v>1132.8552631578948</v>
      </c>
      <c r="DJ13" s="70">
        <f t="shared" si="55"/>
        <v>646.93421052631584</v>
      </c>
      <c r="DK13" s="70">
        <f t="shared" si="56"/>
        <v>944.07894736842104</v>
      </c>
      <c r="DL13" s="70">
        <f t="shared" si="57"/>
        <v>493.42105263157896</v>
      </c>
      <c r="DM13" s="70" t="str">
        <f t="shared" si="58"/>
        <v/>
      </c>
      <c r="DN13" s="70">
        <f t="shared" si="59"/>
        <v>3932.0493421052633</v>
      </c>
      <c r="DO13" s="70">
        <f t="shared" si="60"/>
        <v>300</v>
      </c>
      <c r="DP13" s="70">
        <f t="shared" si="61"/>
        <v>4232.0493421052633</v>
      </c>
      <c r="DQ13" s="70">
        <f t="shared" si="62"/>
        <v>5948.5559210526317</v>
      </c>
      <c r="DR13" s="70">
        <f t="shared" si="63"/>
        <v>4748.8651315789475</v>
      </c>
      <c r="DS13" s="71">
        <f t="shared" si="64"/>
        <v>1199.6907894736842</v>
      </c>
      <c r="DT13" s="106">
        <f t="shared" si="65"/>
        <v>1.0446462101458733</v>
      </c>
      <c r="DU13" s="92">
        <f t="shared" si="66"/>
        <v>3.643501490160149E-2</v>
      </c>
      <c r="DV13" s="92" t="str">
        <f t="shared" si="67"/>
        <v/>
      </c>
      <c r="DW13" s="92">
        <f t="shared" si="68"/>
        <v>1</v>
      </c>
      <c r="DX13" s="92">
        <f t="shared" si="69"/>
        <v>3.2346729238300446E-2</v>
      </c>
      <c r="DY13" s="92">
        <f t="shared" si="70"/>
        <v>3.9992955364443368E-2</v>
      </c>
      <c r="DZ13" s="92">
        <f t="shared" si="71"/>
        <v>0.11465443998476547</v>
      </c>
      <c r="EA13" s="92">
        <f t="shared" si="72"/>
        <v>6.5475160002450308E-2</v>
      </c>
      <c r="EB13" s="92">
        <f t="shared" si="73"/>
        <v>9.5548695876824075E-2</v>
      </c>
      <c r="EC13" s="92">
        <f t="shared" si="74"/>
        <v>4.9938342792765197E-2</v>
      </c>
      <c r="ED13" s="92" t="str">
        <f t="shared" si="75"/>
        <v/>
      </c>
      <c r="EE13" s="92">
        <f t="shared" si="76"/>
        <v>0.39795632325954888</v>
      </c>
      <c r="EF13" s="92">
        <f t="shared" si="77"/>
        <v>3.0362512418001242E-2</v>
      </c>
      <c r="EG13" s="92">
        <f t="shared" si="78"/>
        <v>0.42831883567755014</v>
      </c>
      <c r="EH13" s="92">
        <f t="shared" si="79"/>
        <v>0.60204367674045112</v>
      </c>
      <c r="EI13" s="92">
        <f t="shared" si="80"/>
        <v>0.48062492176326294</v>
      </c>
      <c r="EJ13" s="122">
        <f t="shared" si="81"/>
        <v>0.12141875497718817</v>
      </c>
    </row>
    <row r="14" spans="2:140" ht="12" hidden="1" customHeight="1" outlineLevel="1">
      <c r="B14" s="121">
        <v>44729</v>
      </c>
      <c r="C14" s="117">
        <v>22439</v>
      </c>
      <c r="D14" s="50" t="s">
        <v>217</v>
      </c>
      <c r="E14" s="50" t="s">
        <v>218</v>
      </c>
      <c r="F14" s="50" t="s">
        <v>219</v>
      </c>
      <c r="G14" s="50" t="s">
        <v>162</v>
      </c>
      <c r="H14" s="50" t="s">
        <v>220</v>
      </c>
      <c r="I14" s="51" t="s">
        <v>174</v>
      </c>
      <c r="J14" s="52" t="s">
        <v>175</v>
      </c>
      <c r="K14" s="50" t="s">
        <v>176</v>
      </c>
      <c r="L14" s="49">
        <v>6</v>
      </c>
      <c r="M14" s="50" t="s">
        <v>159</v>
      </c>
      <c r="N14" s="50" t="s">
        <v>185</v>
      </c>
      <c r="O14" s="50" t="s">
        <v>160</v>
      </c>
      <c r="P14" s="50" t="s">
        <v>161</v>
      </c>
      <c r="Q14" s="53">
        <v>0.04</v>
      </c>
      <c r="R14" s="49">
        <v>222</v>
      </c>
      <c r="S14" s="49">
        <v>0</v>
      </c>
      <c r="T14" s="54">
        <f t="shared" si="0"/>
        <v>222</v>
      </c>
      <c r="U14" s="55">
        <v>155351</v>
      </c>
      <c r="V14" s="49">
        <v>14.459</v>
      </c>
      <c r="W14" s="56">
        <f t="shared" si="7"/>
        <v>15.353758904488554</v>
      </c>
      <c r="X14" s="49" t="s">
        <v>221</v>
      </c>
      <c r="Y14" s="57" t="s">
        <v>162</v>
      </c>
      <c r="Z14" s="58">
        <v>35000000</v>
      </c>
      <c r="AA14" s="114">
        <v>4.3900000000000002E-2</v>
      </c>
      <c r="AB14" s="59">
        <v>19</v>
      </c>
      <c r="AC14" s="60">
        <v>40</v>
      </c>
      <c r="AD14" s="61">
        <v>4.3299999999999998E-2</v>
      </c>
      <c r="AE14" s="62">
        <v>18874682</v>
      </c>
      <c r="AF14" s="63">
        <v>1.1499999999999999</v>
      </c>
      <c r="AG14" s="59"/>
      <c r="AH14" s="60"/>
      <c r="AI14" s="61"/>
      <c r="AJ14" s="64"/>
      <c r="AK14" s="65">
        <f t="shared" si="8"/>
        <v>18874682</v>
      </c>
      <c r="AL14" s="62">
        <v>6805426</v>
      </c>
      <c r="AM14" s="49" t="s">
        <v>163</v>
      </c>
      <c r="AN14" s="67">
        <v>0.91</v>
      </c>
      <c r="AO14" s="62">
        <v>33238004</v>
      </c>
      <c r="AP14" s="62">
        <v>0</v>
      </c>
      <c r="AQ14" s="68">
        <v>2350786</v>
      </c>
      <c r="AR14" s="69">
        <f t="shared" si="9"/>
        <v>85021.090090090089</v>
      </c>
      <c r="AS14" s="70" t="str">
        <f>IFERROR(IF(#REF!&gt;0,#REF!/T14,""),"")</f>
        <v/>
      </c>
      <c r="AT14" s="70">
        <f t="shared" si="10"/>
        <v>149720.73873873873</v>
      </c>
      <c r="AU14" s="70">
        <f t="shared" si="11"/>
        <v>30655.072072072071</v>
      </c>
      <c r="AV14" s="71">
        <f t="shared" si="12"/>
        <v>10589.126126126126</v>
      </c>
      <c r="AW14" s="115">
        <f t="shared" si="13"/>
        <v>86351.360360360355</v>
      </c>
      <c r="AX14" s="116">
        <f t="shared" si="14"/>
        <v>123.39799550694877</v>
      </c>
      <c r="AY14" s="72">
        <f t="shared" si="15"/>
        <v>108284.60360360359</v>
      </c>
      <c r="AZ14" s="73">
        <f t="shared" si="16"/>
        <v>154.74108309569942</v>
      </c>
      <c r="BA14" s="66">
        <v>20800000</v>
      </c>
      <c r="BB14" s="62">
        <v>3062586</v>
      </c>
      <c r="BC14" s="62">
        <v>16107416</v>
      </c>
      <c r="BD14" s="62">
        <v>1917000</v>
      </c>
      <c r="BE14" s="62">
        <v>2952180</v>
      </c>
      <c r="BF14" s="62">
        <v>3122970</v>
      </c>
      <c r="BG14" s="62">
        <v>5896763</v>
      </c>
      <c r="BH14" s="62">
        <v>6217247</v>
      </c>
      <c r="BI14" s="62">
        <v>1192735</v>
      </c>
      <c r="BJ14" s="47">
        <f t="shared" si="17"/>
        <v>61268897</v>
      </c>
      <c r="BK14" s="69">
        <f t="shared" si="18"/>
        <v>93693.693693693698</v>
      </c>
      <c r="BL14" s="70">
        <f t="shared" si="19"/>
        <v>13795.432432432432</v>
      </c>
      <c r="BM14" s="70">
        <f t="shared" si="20"/>
        <v>72555.927927927929</v>
      </c>
      <c r="BN14" s="70">
        <f t="shared" si="21"/>
        <v>8635.135135135135</v>
      </c>
      <c r="BO14" s="70">
        <f t="shared" si="22"/>
        <v>13298.108108108108</v>
      </c>
      <c r="BP14" s="70">
        <f t="shared" si="23"/>
        <v>14067.432432432432</v>
      </c>
      <c r="BQ14" s="70">
        <f t="shared" si="24"/>
        <v>26561.995495495496</v>
      </c>
      <c r="BR14" s="70">
        <f t="shared" si="25"/>
        <v>28005.617117117115</v>
      </c>
      <c r="BS14" s="70">
        <f t="shared" si="26"/>
        <v>5372.6801801801803</v>
      </c>
      <c r="BT14" s="71">
        <f t="shared" si="27"/>
        <v>275986.02252252254</v>
      </c>
      <c r="BU14" s="65">
        <f t="shared" si="28"/>
        <v>133.89035152654313</v>
      </c>
      <c r="BV14" s="48">
        <f t="shared" si="29"/>
        <v>19.713976736551423</v>
      </c>
      <c r="BW14" s="48">
        <f t="shared" si="30"/>
        <v>103.68401877039736</v>
      </c>
      <c r="BX14" s="48">
        <f t="shared" si="31"/>
        <v>12.339798263287651</v>
      </c>
      <c r="BY14" s="48">
        <f t="shared" si="32"/>
        <v>19.003289325462983</v>
      </c>
      <c r="BZ14" s="48">
        <f t="shared" si="33"/>
        <v>20.102670726290786</v>
      </c>
      <c r="CA14" s="48">
        <f t="shared" si="34"/>
        <v>37.957676487438121</v>
      </c>
      <c r="CB14" s="48">
        <f t="shared" si="35"/>
        <v>40.020643574872388</v>
      </c>
      <c r="CC14" s="48">
        <f t="shared" si="36"/>
        <v>7.6776782898082407</v>
      </c>
      <c r="CD14" s="47">
        <f t="shared" si="37"/>
        <v>394.39010370065205</v>
      </c>
      <c r="CE14" s="66">
        <v>2683584</v>
      </c>
      <c r="CF14" s="62">
        <v>39960</v>
      </c>
      <c r="CG14" s="74">
        <v>-136177</v>
      </c>
      <c r="CH14" s="75">
        <f t="shared" si="38"/>
        <v>2587367</v>
      </c>
      <c r="CI14" s="62">
        <f>90554+8880</f>
        <v>99434</v>
      </c>
      <c r="CJ14" s="62">
        <v>103495</v>
      </c>
      <c r="CK14" s="62">
        <v>340982</v>
      </c>
      <c r="CL14" s="62">
        <f>360286+83501</f>
        <v>443787</v>
      </c>
      <c r="CM14" s="62">
        <f>105115+134287</f>
        <v>239402</v>
      </c>
      <c r="CN14" s="62">
        <v>130849</v>
      </c>
      <c r="CO14" s="62">
        <v>0</v>
      </c>
      <c r="CP14" s="75">
        <f t="shared" si="3"/>
        <v>1357949</v>
      </c>
      <c r="CQ14" s="62">
        <v>77700</v>
      </c>
      <c r="CR14" s="75">
        <f t="shared" si="4"/>
        <v>1435649</v>
      </c>
      <c r="CS14" s="75">
        <f t="shared" si="39"/>
        <v>1229418</v>
      </c>
      <c r="CT14" s="62">
        <f>9000+(1002732-9107)</f>
        <v>1002625</v>
      </c>
      <c r="CU14" s="47">
        <f t="shared" si="40"/>
        <v>226793</v>
      </c>
      <c r="CV14" s="76">
        <f t="shared" si="41"/>
        <v>0.47516181508073652</v>
      </c>
      <c r="CW14" s="75">
        <f t="shared" si="42"/>
        <v>6466.8873873873872</v>
      </c>
      <c r="CX14" s="77">
        <f t="shared" si="43"/>
        <v>0.55486871402472093</v>
      </c>
      <c r="CY14" s="75">
        <f t="shared" si="44"/>
        <v>1021.5900900900901</v>
      </c>
      <c r="CZ14" s="77">
        <f t="shared" si="45"/>
        <v>8.7653974097992277E-2</v>
      </c>
      <c r="DA14" s="77">
        <f t="shared" si="46"/>
        <v>0.38750784098274421</v>
      </c>
      <c r="DB14" s="47">
        <f t="shared" si="47"/>
        <v>85021.090090090089</v>
      </c>
      <c r="DC14" s="69">
        <f t="shared" si="48"/>
        <v>12088.216216216217</v>
      </c>
      <c r="DD14" s="70">
        <f t="shared" si="49"/>
        <v>180</v>
      </c>
      <c r="DE14" s="70">
        <f t="shared" si="50"/>
        <v>-613.40990990990986</v>
      </c>
      <c r="DF14" s="70">
        <f t="shared" si="51"/>
        <v>11654.806306306305</v>
      </c>
      <c r="DG14" s="70">
        <f t="shared" si="52"/>
        <v>447.90090090090092</v>
      </c>
      <c r="DH14" s="70">
        <f t="shared" si="53"/>
        <v>466.19369369369372</v>
      </c>
      <c r="DI14" s="70">
        <f t="shared" si="54"/>
        <v>1535.9549549549549</v>
      </c>
      <c r="DJ14" s="70">
        <f t="shared" si="55"/>
        <v>1999.0405405405406</v>
      </c>
      <c r="DK14" s="70">
        <f t="shared" si="56"/>
        <v>1078.3873873873874</v>
      </c>
      <c r="DL14" s="70">
        <f t="shared" si="57"/>
        <v>589.40990990990986</v>
      </c>
      <c r="DM14" s="70" t="str">
        <f t="shared" si="58"/>
        <v/>
      </c>
      <c r="DN14" s="70">
        <f t="shared" si="59"/>
        <v>6116.8873873873872</v>
      </c>
      <c r="DO14" s="70">
        <f t="shared" si="60"/>
        <v>350</v>
      </c>
      <c r="DP14" s="70">
        <f t="shared" si="61"/>
        <v>6466.8873873873872</v>
      </c>
      <c r="DQ14" s="70">
        <f t="shared" si="62"/>
        <v>5537.9189189189192</v>
      </c>
      <c r="DR14" s="70">
        <f t="shared" si="63"/>
        <v>4516.3288288288286</v>
      </c>
      <c r="DS14" s="71">
        <f t="shared" si="64"/>
        <v>1021.5900900900901</v>
      </c>
      <c r="DT14" s="106">
        <f t="shared" si="65"/>
        <v>1.0371872254689807</v>
      </c>
      <c r="DU14" s="92">
        <f t="shared" si="66"/>
        <v>1.5444272111378093E-2</v>
      </c>
      <c r="DV14" s="92" t="str">
        <f t="shared" si="67"/>
        <v/>
      </c>
      <c r="DW14" s="92">
        <f t="shared" si="68"/>
        <v>1</v>
      </c>
      <c r="DX14" s="92">
        <f t="shared" si="69"/>
        <v>3.8430574402471704E-2</v>
      </c>
      <c r="DY14" s="92">
        <f t="shared" si="70"/>
        <v>4.0000123677854743E-2</v>
      </c>
      <c r="DZ14" s="92">
        <f t="shared" si="71"/>
        <v>0.13178725708413225</v>
      </c>
      <c r="EA14" s="92">
        <f t="shared" si="72"/>
        <v>0.17152070038769143</v>
      </c>
      <c r="EB14" s="92">
        <f t="shared" si="73"/>
        <v>9.2527268068271717E-2</v>
      </c>
      <c r="EC14" s="92">
        <f t="shared" si="74"/>
        <v>5.0572261298841639E-2</v>
      </c>
      <c r="ED14" s="92" t="str">
        <f t="shared" si="75"/>
        <v/>
      </c>
      <c r="EE14" s="92">
        <f t="shared" si="76"/>
        <v>0.52483818491926348</v>
      </c>
      <c r="EF14" s="92">
        <f t="shared" si="77"/>
        <v>3.00305291054574E-2</v>
      </c>
      <c r="EG14" s="92">
        <f t="shared" si="78"/>
        <v>0.55486871402472093</v>
      </c>
      <c r="EH14" s="92">
        <f t="shared" si="79"/>
        <v>0.47516181508073652</v>
      </c>
      <c r="EI14" s="92">
        <f t="shared" si="80"/>
        <v>0.38750784098274421</v>
      </c>
      <c r="EJ14" s="122">
        <f t="shared" si="81"/>
        <v>8.7653974097992277E-2</v>
      </c>
    </row>
    <row r="15" spans="2:140" ht="12" hidden="1" customHeight="1" outlineLevel="1">
      <c r="B15" s="121">
        <v>44729</v>
      </c>
      <c r="C15" s="117">
        <v>22438</v>
      </c>
      <c r="D15" s="50" t="s">
        <v>222</v>
      </c>
      <c r="E15" s="50" t="s">
        <v>223</v>
      </c>
      <c r="F15" s="50" t="s">
        <v>224</v>
      </c>
      <c r="G15" s="50" t="s">
        <v>162</v>
      </c>
      <c r="H15" s="50" t="s">
        <v>225</v>
      </c>
      <c r="I15" s="51" t="s">
        <v>226</v>
      </c>
      <c r="J15" s="52" t="s">
        <v>175</v>
      </c>
      <c r="K15" s="50" t="s">
        <v>176</v>
      </c>
      <c r="L15" s="49">
        <v>6</v>
      </c>
      <c r="M15" s="50" t="s">
        <v>159</v>
      </c>
      <c r="N15" s="50" t="s">
        <v>160</v>
      </c>
      <c r="O15" s="50" t="s">
        <v>160</v>
      </c>
      <c r="P15" s="50" t="s">
        <v>161</v>
      </c>
      <c r="Q15" s="53">
        <v>0.04</v>
      </c>
      <c r="R15" s="49">
        <v>278</v>
      </c>
      <c r="S15" s="49">
        <v>0</v>
      </c>
      <c r="T15" s="54">
        <f t="shared" si="0"/>
        <v>278</v>
      </c>
      <c r="U15" s="55">
        <v>327316</v>
      </c>
      <c r="V15" s="49">
        <v>19.637</v>
      </c>
      <c r="W15" s="56">
        <f t="shared" si="7"/>
        <v>14.156948617405916</v>
      </c>
      <c r="X15" s="49">
        <v>1999</v>
      </c>
      <c r="Y15" s="57" t="s">
        <v>162</v>
      </c>
      <c r="Z15" s="58">
        <v>48241238</v>
      </c>
      <c r="AA15" s="114">
        <v>4.3900000000000002E-2</v>
      </c>
      <c r="AB15" s="59">
        <v>19</v>
      </c>
      <c r="AC15" s="60">
        <v>40</v>
      </c>
      <c r="AD15" s="61">
        <v>4.3299999999999998E-2</v>
      </c>
      <c r="AE15" s="62">
        <v>29000000</v>
      </c>
      <c r="AF15" s="63">
        <v>1.31</v>
      </c>
      <c r="AG15" s="59"/>
      <c r="AH15" s="60"/>
      <c r="AI15" s="61"/>
      <c r="AJ15" s="64"/>
      <c r="AK15" s="65">
        <f t="shared" si="8"/>
        <v>29000000</v>
      </c>
      <c r="AL15" s="62">
        <v>25735281</v>
      </c>
      <c r="AM15" s="49" t="s">
        <v>163</v>
      </c>
      <c r="AN15" s="67">
        <v>0.94</v>
      </c>
      <c r="AO15" s="62">
        <v>33310708</v>
      </c>
      <c r="AP15" s="62">
        <v>0</v>
      </c>
      <c r="AQ15" s="68">
        <v>5088975</v>
      </c>
      <c r="AR15" s="69">
        <f t="shared" si="9"/>
        <v>104316.54676258993</v>
      </c>
      <c r="AS15" s="70" t="str">
        <f>IFERROR(IF(#REF!&gt;0,#REF!/T15,""),"")</f>
        <v/>
      </c>
      <c r="AT15" s="70">
        <f t="shared" si="10"/>
        <v>119822.69064748201</v>
      </c>
      <c r="AU15" s="70">
        <f t="shared" si="11"/>
        <v>92572.953237410067</v>
      </c>
      <c r="AV15" s="71">
        <f t="shared" si="12"/>
        <v>18305.665467625899</v>
      </c>
      <c r="AW15" s="115">
        <f t="shared" si="13"/>
        <v>84521.003597122297</v>
      </c>
      <c r="AX15" s="116">
        <f t="shared" si="14"/>
        <v>71.786405186425355</v>
      </c>
      <c r="AY15" s="72">
        <f t="shared" si="15"/>
        <v>104985.58992805754</v>
      </c>
      <c r="AZ15" s="73">
        <f t="shared" si="16"/>
        <v>89.167636168106668</v>
      </c>
      <c r="BA15" s="66">
        <v>39300000</v>
      </c>
      <c r="BB15" s="62">
        <v>2059528</v>
      </c>
      <c r="BC15" s="62">
        <v>21437311</v>
      </c>
      <c r="BD15" s="62">
        <v>2349684</v>
      </c>
      <c r="BE15" s="62">
        <v>3339471</v>
      </c>
      <c r="BF15" s="62">
        <v>6676007</v>
      </c>
      <c r="BG15" s="62">
        <v>6206360</v>
      </c>
      <c r="BH15" s="62">
        <v>9954356</v>
      </c>
      <c r="BI15" s="62">
        <v>1812247</v>
      </c>
      <c r="BJ15" s="47">
        <f t="shared" si="17"/>
        <v>93134964</v>
      </c>
      <c r="BK15" s="69">
        <f t="shared" si="18"/>
        <v>141366.90647482013</v>
      </c>
      <c r="BL15" s="70">
        <f t="shared" si="19"/>
        <v>7408.3741007194249</v>
      </c>
      <c r="BM15" s="70">
        <f t="shared" si="20"/>
        <v>77112.629496402878</v>
      </c>
      <c r="BN15" s="70">
        <f t="shared" si="21"/>
        <v>8452.1007194244612</v>
      </c>
      <c r="BO15" s="70">
        <f t="shared" si="22"/>
        <v>12012.48561151079</v>
      </c>
      <c r="BP15" s="70">
        <f t="shared" si="23"/>
        <v>24014.413669064747</v>
      </c>
      <c r="BQ15" s="70">
        <f t="shared" si="24"/>
        <v>22325.03597122302</v>
      </c>
      <c r="BR15" s="70">
        <f t="shared" si="25"/>
        <v>35807.03597122302</v>
      </c>
      <c r="BS15" s="70">
        <f t="shared" si="26"/>
        <v>6518.8741007194249</v>
      </c>
      <c r="BT15" s="71">
        <f t="shared" si="27"/>
        <v>335017.85611510789</v>
      </c>
      <c r="BU15" s="65">
        <f t="shared" si="28"/>
        <v>120.06745774725341</v>
      </c>
      <c r="BV15" s="48">
        <f t="shared" si="29"/>
        <v>6.2921702574881762</v>
      </c>
      <c r="BW15" s="48">
        <f t="shared" si="30"/>
        <v>65.494234928937175</v>
      </c>
      <c r="BX15" s="48">
        <f t="shared" si="31"/>
        <v>7.1786408241576947</v>
      </c>
      <c r="BY15" s="48">
        <f t="shared" si="32"/>
        <v>10.202590157523616</v>
      </c>
      <c r="BZ15" s="48">
        <f t="shared" si="33"/>
        <v>20.396213445111147</v>
      </c>
      <c r="CA15" s="48">
        <f t="shared" si="34"/>
        <v>18.961370663212307</v>
      </c>
      <c r="CB15" s="48">
        <f t="shared" si="35"/>
        <v>30.412066626746018</v>
      </c>
      <c r="CC15" s="48">
        <f t="shared" si="36"/>
        <v>5.5366893155238364</v>
      </c>
      <c r="CD15" s="47">
        <f t="shared" si="37"/>
        <v>284.54143396595339</v>
      </c>
      <c r="CE15" s="66">
        <v>4260708</v>
      </c>
      <c r="CF15" s="62">
        <v>58032</v>
      </c>
      <c r="CG15" s="74">
        <v>-215937</v>
      </c>
      <c r="CH15" s="75">
        <f t="shared" si="38"/>
        <v>4102803</v>
      </c>
      <c r="CI15" s="62">
        <f>104641+11120</f>
        <v>115761</v>
      </c>
      <c r="CJ15" s="62">
        <v>164112</v>
      </c>
      <c r="CK15" s="62">
        <v>585070</v>
      </c>
      <c r="CL15" s="62">
        <f>506179+143274</f>
        <v>649453</v>
      </c>
      <c r="CM15" s="62">
        <f>53446+269131</f>
        <v>322577</v>
      </c>
      <c r="CN15" s="62">
        <v>163566</v>
      </c>
      <c r="CO15" s="62">
        <v>0</v>
      </c>
      <c r="CP15" s="75">
        <f t="shared" si="3"/>
        <v>2000539</v>
      </c>
      <c r="CQ15" s="62">
        <v>97300</v>
      </c>
      <c r="CR15" s="75">
        <f t="shared" si="4"/>
        <v>2097839</v>
      </c>
      <c r="CS15" s="75">
        <f t="shared" si="39"/>
        <v>2102264</v>
      </c>
      <c r="CT15" s="62">
        <v>1526655</v>
      </c>
      <c r="CU15" s="47">
        <f t="shared" si="40"/>
        <v>575609</v>
      </c>
      <c r="CV15" s="76">
        <f t="shared" si="41"/>
        <v>0.51239701248146696</v>
      </c>
      <c r="CW15" s="75">
        <f t="shared" si="42"/>
        <v>7546.1834532374105</v>
      </c>
      <c r="CX15" s="77">
        <f t="shared" si="43"/>
        <v>0.51131848153567205</v>
      </c>
      <c r="CY15" s="75">
        <f t="shared" si="44"/>
        <v>2070.5359712230215</v>
      </c>
      <c r="CZ15" s="77">
        <f t="shared" si="45"/>
        <v>0.14029652410803053</v>
      </c>
      <c r="DA15" s="77">
        <f t="shared" si="46"/>
        <v>0.3721004883734364</v>
      </c>
      <c r="DB15" s="47">
        <f t="shared" si="47"/>
        <v>104316.54676258993</v>
      </c>
      <c r="DC15" s="69">
        <f t="shared" si="48"/>
        <v>15326.287769784172</v>
      </c>
      <c r="DD15" s="70">
        <f t="shared" si="49"/>
        <v>208.74820143884892</v>
      </c>
      <c r="DE15" s="70">
        <f t="shared" si="50"/>
        <v>-776.75179856115108</v>
      </c>
      <c r="DF15" s="70">
        <f t="shared" si="51"/>
        <v>14758.28417266187</v>
      </c>
      <c r="DG15" s="70">
        <f t="shared" si="52"/>
        <v>416.4064748201439</v>
      </c>
      <c r="DH15" s="70">
        <f t="shared" si="53"/>
        <v>590.33093525179856</v>
      </c>
      <c r="DI15" s="70">
        <f t="shared" si="54"/>
        <v>2104.5683453237411</v>
      </c>
      <c r="DJ15" s="70">
        <f t="shared" si="55"/>
        <v>2336.1618705035971</v>
      </c>
      <c r="DK15" s="70">
        <f t="shared" si="56"/>
        <v>1160.3489208633093</v>
      </c>
      <c r="DL15" s="70">
        <f t="shared" si="57"/>
        <v>588.3669064748201</v>
      </c>
      <c r="DM15" s="70" t="str">
        <f t="shared" si="58"/>
        <v/>
      </c>
      <c r="DN15" s="70">
        <f t="shared" si="59"/>
        <v>7196.1834532374105</v>
      </c>
      <c r="DO15" s="70">
        <f t="shared" si="60"/>
        <v>350</v>
      </c>
      <c r="DP15" s="70">
        <f t="shared" si="61"/>
        <v>7546.1834532374105</v>
      </c>
      <c r="DQ15" s="70">
        <f t="shared" si="62"/>
        <v>7562.1007194244603</v>
      </c>
      <c r="DR15" s="70">
        <f t="shared" si="63"/>
        <v>5491.5647482014392</v>
      </c>
      <c r="DS15" s="71">
        <f t="shared" si="64"/>
        <v>2070.5359712230215</v>
      </c>
      <c r="DT15" s="106">
        <f t="shared" si="65"/>
        <v>1.0384871025979068</v>
      </c>
      <c r="DU15" s="92">
        <f t="shared" si="66"/>
        <v>1.4144476349461576E-2</v>
      </c>
      <c r="DV15" s="92" t="str">
        <f t="shared" si="67"/>
        <v/>
      </c>
      <c r="DW15" s="92">
        <f t="shared" si="68"/>
        <v>1</v>
      </c>
      <c r="DX15" s="92">
        <f t="shared" si="69"/>
        <v>2.8215100749414485E-2</v>
      </c>
      <c r="DY15" s="92">
        <f t="shared" si="70"/>
        <v>3.9999970751703168E-2</v>
      </c>
      <c r="DZ15" s="92">
        <f t="shared" si="71"/>
        <v>0.1426025085776724</v>
      </c>
      <c r="EA15" s="92">
        <f t="shared" si="72"/>
        <v>0.15829495103713243</v>
      </c>
      <c r="EB15" s="92">
        <f t="shared" si="73"/>
        <v>7.8623565401507209E-2</v>
      </c>
      <c r="EC15" s="92">
        <f t="shared" si="74"/>
        <v>3.986689100110339E-2</v>
      </c>
      <c r="ED15" s="92" t="str">
        <f t="shared" si="75"/>
        <v/>
      </c>
      <c r="EE15" s="92">
        <f t="shared" si="76"/>
        <v>0.48760298751853304</v>
      </c>
      <c r="EF15" s="92">
        <f t="shared" si="77"/>
        <v>2.3715494017139016E-2</v>
      </c>
      <c r="EG15" s="92">
        <f t="shared" si="78"/>
        <v>0.51131848153567205</v>
      </c>
      <c r="EH15" s="92">
        <f t="shared" si="79"/>
        <v>0.51239701248146696</v>
      </c>
      <c r="EI15" s="92">
        <f t="shared" si="80"/>
        <v>0.3721004883734364</v>
      </c>
      <c r="EJ15" s="122">
        <f t="shared" si="81"/>
        <v>0.14029652410803053</v>
      </c>
    </row>
    <row r="16" spans="2:140" ht="12" hidden="1" customHeight="1" outlineLevel="1">
      <c r="B16" s="121">
        <v>44732</v>
      </c>
      <c r="C16" s="117">
        <v>22434</v>
      </c>
      <c r="D16" s="50" t="s">
        <v>227</v>
      </c>
      <c r="E16" s="50" t="s">
        <v>228</v>
      </c>
      <c r="F16" s="50" t="s">
        <v>228</v>
      </c>
      <c r="G16" s="50" t="s">
        <v>154</v>
      </c>
      <c r="H16" s="50" t="s">
        <v>182</v>
      </c>
      <c r="I16" s="51" t="s">
        <v>229</v>
      </c>
      <c r="J16" s="52" t="s">
        <v>230</v>
      </c>
      <c r="K16" s="50" t="s">
        <v>230</v>
      </c>
      <c r="L16" s="49">
        <v>3</v>
      </c>
      <c r="M16" s="50" t="s">
        <v>159</v>
      </c>
      <c r="N16" s="50" t="s">
        <v>160</v>
      </c>
      <c r="O16" s="50" t="s">
        <v>160</v>
      </c>
      <c r="P16" s="50" t="s">
        <v>231</v>
      </c>
      <c r="Q16" s="53">
        <v>0.04</v>
      </c>
      <c r="R16" s="49">
        <v>220</v>
      </c>
      <c r="S16" s="49">
        <v>0</v>
      </c>
      <c r="T16" s="54">
        <f t="shared" si="0"/>
        <v>220</v>
      </c>
      <c r="U16" s="55">
        <v>188476</v>
      </c>
      <c r="V16" s="49">
        <v>8.89</v>
      </c>
      <c r="W16" s="56">
        <f t="shared" si="7"/>
        <v>24.746906636670413</v>
      </c>
      <c r="X16" s="49">
        <v>1949</v>
      </c>
      <c r="Y16" s="57" t="s">
        <v>162</v>
      </c>
      <c r="Z16" s="58">
        <v>46150000</v>
      </c>
      <c r="AA16" s="114">
        <f>(((41400000*0.04)/(Z16))+((2250000*0)/(Z16))+((2500000*0.03)/(Z16)))</f>
        <v>3.7508125677139757E-2</v>
      </c>
      <c r="AB16" s="59">
        <v>17</v>
      </c>
      <c r="AC16" s="60">
        <v>40</v>
      </c>
      <c r="AD16" s="61">
        <v>0.04</v>
      </c>
      <c r="AE16" s="62">
        <v>23000000</v>
      </c>
      <c r="AF16" s="63">
        <v>1.28</v>
      </c>
      <c r="AG16" s="59">
        <v>20</v>
      </c>
      <c r="AH16" s="60">
        <v>0</v>
      </c>
      <c r="AI16" s="61">
        <v>0.03</v>
      </c>
      <c r="AJ16" s="64">
        <v>2500000</v>
      </c>
      <c r="AK16" s="65">
        <f t="shared" si="8"/>
        <v>25500000</v>
      </c>
      <c r="AL16" s="62">
        <v>0</v>
      </c>
      <c r="AM16" s="49" t="s">
        <v>163</v>
      </c>
      <c r="AN16" s="67">
        <v>0.88</v>
      </c>
      <c r="AO16" s="62">
        <v>20956374</v>
      </c>
      <c r="AP16" s="62">
        <v>0</v>
      </c>
      <c r="AQ16" s="68">
        <v>1513280</v>
      </c>
      <c r="AR16" s="69">
        <f t="shared" si="9"/>
        <v>115909.09090909091</v>
      </c>
      <c r="AS16" s="70" t="str">
        <f>IFERROR(IF(#REF!&gt;0,#REF!/T16,""),"")</f>
        <v/>
      </c>
      <c r="AT16" s="70">
        <f t="shared" si="10"/>
        <v>95256.245454545453</v>
      </c>
      <c r="AU16" s="70" t="str">
        <f t="shared" si="11"/>
        <v/>
      </c>
      <c r="AV16" s="71">
        <f t="shared" si="12"/>
        <v>6878.545454545455</v>
      </c>
      <c r="AW16" s="115">
        <f t="shared" si="13"/>
        <v>132533.65</v>
      </c>
      <c r="AX16" s="116">
        <f t="shared" si="14"/>
        <v>154.7008796875995</v>
      </c>
      <c r="AY16" s="72">
        <f t="shared" si="15"/>
        <v>158616.65454545454</v>
      </c>
      <c r="AZ16" s="73">
        <f t="shared" si="16"/>
        <v>185.14645896559776</v>
      </c>
      <c r="BA16" s="66">
        <v>2250000</v>
      </c>
      <c r="BB16" s="62">
        <v>2451081</v>
      </c>
      <c r="BC16" s="62">
        <v>26706322</v>
      </c>
      <c r="BD16" s="62">
        <v>1452829</v>
      </c>
      <c r="BE16" s="62">
        <v>4285432</v>
      </c>
      <c r="BF16" s="62">
        <v>3017000</v>
      </c>
      <c r="BG16" s="62">
        <v>3359640</v>
      </c>
      <c r="BH16" s="62">
        <v>5876269</v>
      </c>
      <c r="BI16" s="62">
        <v>821080</v>
      </c>
      <c r="BJ16" s="47">
        <f t="shared" si="17"/>
        <v>50219653</v>
      </c>
      <c r="BK16" s="69">
        <f t="shared" si="18"/>
        <v>10227.272727272728</v>
      </c>
      <c r="BL16" s="70">
        <f t="shared" si="19"/>
        <v>11141.277272727273</v>
      </c>
      <c r="BM16" s="70">
        <f t="shared" si="20"/>
        <v>121392.37272727273</v>
      </c>
      <c r="BN16" s="70">
        <f t="shared" si="21"/>
        <v>6603.7681818181818</v>
      </c>
      <c r="BO16" s="70">
        <f t="shared" si="22"/>
        <v>19479.236363636363</v>
      </c>
      <c r="BP16" s="70">
        <f t="shared" si="23"/>
        <v>13713.636363636364</v>
      </c>
      <c r="BQ16" s="70">
        <f t="shared" si="24"/>
        <v>15271.09090909091</v>
      </c>
      <c r="BR16" s="70">
        <f t="shared" si="25"/>
        <v>26710.313636363637</v>
      </c>
      <c r="BS16" s="70">
        <f t="shared" si="26"/>
        <v>3732.181818181818</v>
      </c>
      <c r="BT16" s="71">
        <f t="shared" si="27"/>
        <v>228271.15</v>
      </c>
      <c r="BU16" s="65">
        <f t="shared" si="28"/>
        <v>11.937859462212696</v>
      </c>
      <c r="BV16" s="48">
        <f t="shared" si="29"/>
        <v>13.004738003777669</v>
      </c>
      <c r="BW16" s="48">
        <f t="shared" si="30"/>
        <v>141.69614168382182</v>
      </c>
      <c r="BX16" s="48">
        <f t="shared" si="31"/>
        <v>7.7082970776120039</v>
      </c>
      <c r="BY16" s="48">
        <f t="shared" si="32"/>
        <v>22.737282200386257</v>
      </c>
      <c r="BZ16" s="48">
        <f t="shared" si="33"/>
        <v>16.007343109998089</v>
      </c>
      <c r="CA16" s="48">
        <f t="shared" si="34"/>
        <v>17.825293406057003</v>
      </c>
      <c r="CB16" s="48">
        <f t="shared" si="35"/>
        <v>31.177810437403171</v>
      </c>
      <c r="CC16" s="48">
        <f t="shared" si="36"/>
        <v>4.3564167321038223</v>
      </c>
      <c r="CD16" s="47">
        <f t="shared" si="37"/>
        <v>266.45118211337251</v>
      </c>
      <c r="CE16" s="66">
        <v>2539764</v>
      </c>
      <c r="CF16" s="62">
        <v>39600</v>
      </c>
      <c r="CG16" s="74">
        <v>-193452</v>
      </c>
      <c r="CH16" s="75">
        <f t="shared" si="38"/>
        <v>2385912</v>
      </c>
      <c r="CI16" s="62">
        <f>77000+7500+8800</f>
        <v>93300</v>
      </c>
      <c r="CJ16" s="62">
        <v>95436</v>
      </c>
      <c r="CK16" s="62">
        <v>264000</v>
      </c>
      <c r="CL16" s="62">
        <v>110000</v>
      </c>
      <c r="CM16" s="62">
        <f>11000+176000</f>
        <v>187000</v>
      </c>
      <c r="CN16" s="62">
        <v>88000</v>
      </c>
      <c r="CO16" s="62">
        <v>0</v>
      </c>
      <c r="CP16" s="75">
        <f t="shared" si="3"/>
        <v>837736</v>
      </c>
      <c r="CQ16" s="62">
        <v>55000</v>
      </c>
      <c r="CR16" s="75">
        <f t="shared" si="4"/>
        <v>892736</v>
      </c>
      <c r="CS16" s="75">
        <f t="shared" si="39"/>
        <v>1548176</v>
      </c>
      <c r="CT16" s="62">
        <f>5000+6000+1153510</f>
        <v>1164510</v>
      </c>
      <c r="CU16" s="47">
        <f t="shared" si="40"/>
        <v>383666</v>
      </c>
      <c r="CV16" s="76">
        <f t="shared" si="41"/>
        <v>0.64888227227156747</v>
      </c>
      <c r="CW16" s="75">
        <f t="shared" si="42"/>
        <v>4057.8909090909092</v>
      </c>
      <c r="CX16" s="77">
        <f t="shared" si="43"/>
        <v>0.37416970952826423</v>
      </c>
      <c r="CY16" s="75">
        <f t="shared" si="44"/>
        <v>1743.9363636363637</v>
      </c>
      <c r="CZ16" s="77">
        <f t="shared" si="45"/>
        <v>0.16080475725844037</v>
      </c>
      <c r="DA16" s="77">
        <f t="shared" si="46"/>
        <v>0.48807751501312707</v>
      </c>
      <c r="DB16" s="47">
        <f t="shared" si="47"/>
        <v>115909.09090909091</v>
      </c>
      <c r="DC16" s="69">
        <f t="shared" si="48"/>
        <v>11544.381818181819</v>
      </c>
      <c r="DD16" s="70">
        <f t="shared" si="49"/>
        <v>180</v>
      </c>
      <c r="DE16" s="70">
        <f t="shared" si="50"/>
        <v>-879.32727272727277</v>
      </c>
      <c r="DF16" s="70">
        <f t="shared" si="51"/>
        <v>10845.054545454546</v>
      </c>
      <c r="DG16" s="70">
        <f t="shared" si="52"/>
        <v>424.09090909090907</v>
      </c>
      <c r="DH16" s="70">
        <f t="shared" si="53"/>
        <v>433.8</v>
      </c>
      <c r="DI16" s="70">
        <f t="shared" si="54"/>
        <v>1200</v>
      </c>
      <c r="DJ16" s="70">
        <f t="shared" si="55"/>
        <v>500</v>
      </c>
      <c r="DK16" s="70">
        <f t="shared" si="56"/>
        <v>850</v>
      </c>
      <c r="DL16" s="70">
        <f t="shared" si="57"/>
        <v>400</v>
      </c>
      <c r="DM16" s="70" t="str">
        <f t="shared" si="58"/>
        <v/>
      </c>
      <c r="DN16" s="70">
        <f t="shared" si="59"/>
        <v>3807.8909090909092</v>
      </c>
      <c r="DO16" s="70">
        <f t="shared" si="60"/>
        <v>250</v>
      </c>
      <c r="DP16" s="70">
        <f t="shared" si="61"/>
        <v>4057.8909090909092</v>
      </c>
      <c r="DQ16" s="70">
        <f t="shared" si="62"/>
        <v>7037.1636363636362</v>
      </c>
      <c r="DR16" s="70">
        <f t="shared" si="63"/>
        <v>5293.227272727273</v>
      </c>
      <c r="DS16" s="71">
        <f t="shared" si="64"/>
        <v>1743.9363636363637</v>
      </c>
      <c r="DT16" s="106">
        <f t="shared" si="65"/>
        <v>1.0644835182521402</v>
      </c>
      <c r="DU16" s="92">
        <f t="shared" si="66"/>
        <v>1.6597426895878807E-2</v>
      </c>
      <c r="DV16" s="92" t="str">
        <f t="shared" si="67"/>
        <v/>
      </c>
      <c r="DW16" s="92">
        <f t="shared" si="68"/>
        <v>1</v>
      </c>
      <c r="DX16" s="92">
        <f t="shared" si="69"/>
        <v>3.9104543671350828E-2</v>
      </c>
      <c r="DY16" s="92">
        <f t="shared" si="70"/>
        <v>3.9999798819067928E-2</v>
      </c>
      <c r="DZ16" s="92">
        <f t="shared" si="71"/>
        <v>0.11064951263919205</v>
      </c>
      <c r="EA16" s="92">
        <f t="shared" si="72"/>
        <v>4.6103963599663358E-2</v>
      </c>
      <c r="EB16" s="92">
        <f t="shared" si="73"/>
        <v>7.8376738119427705E-2</v>
      </c>
      <c r="EC16" s="92">
        <f t="shared" si="74"/>
        <v>3.6883170879730684E-2</v>
      </c>
      <c r="ED16" s="92" t="str">
        <f t="shared" si="75"/>
        <v/>
      </c>
      <c r="EE16" s="92">
        <f t="shared" si="76"/>
        <v>0.35111772772843258</v>
      </c>
      <c r="EF16" s="92">
        <f t="shared" si="77"/>
        <v>2.3051981799831679E-2</v>
      </c>
      <c r="EG16" s="92">
        <f t="shared" si="78"/>
        <v>0.37416970952826423</v>
      </c>
      <c r="EH16" s="92">
        <f t="shared" si="79"/>
        <v>0.64888227227156747</v>
      </c>
      <c r="EI16" s="92">
        <f t="shared" si="80"/>
        <v>0.48807751501312707</v>
      </c>
      <c r="EJ16" s="122">
        <f t="shared" si="81"/>
        <v>0.16080475725844037</v>
      </c>
    </row>
    <row r="17" spans="2:140" ht="12" hidden="1" customHeight="1" outlineLevel="1">
      <c r="B17" s="121">
        <v>44736</v>
      </c>
      <c r="C17" s="117" t="s">
        <v>232</v>
      </c>
      <c r="D17" s="50" t="s">
        <v>233</v>
      </c>
      <c r="E17" s="50" t="s">
        <v>234</v>
      </c>
      <c r="F17" s="50" t="s">
        <v>235</v>
      </c>
      <c r="G17" s="50" t="s">
        <v>162</v>
      </c>
      <c r="H17" s="50" t="s">
        <v>236</v>
      </c>
      <c r="I17" s="51" t="s">
        <v>229</v>
      </c>
      <c r="J17" s="52" t="s">
        <v>237</v>
      </c>
      <c r="K17" s="50" t="s">
        <v>237</v>
      </c>
      <c r="L17" s="49">
        <v>12</v>
      </c>
      <c r="M17" s="50" t="s">
        <v>159</v>
      </c>
      <c r="N17" s="50" t="s">
        <v>160</v>
      </c>
      <c r="O17" s="50" t="s">
        <v>160</v>
      </c>
      <c r="P17" s="50" t="s">
        <v>177</v>
      </c>
      <c r="Q17" s="53">
        <v>0.04</v>
      </c>
      <c r="R17" s="49">
        <f>240-23</f>
        <v>217</v>
      </c>
      <c r="S17" s="49">
        <v>23</v>
      </c>
      <c r="T17" s="54">
        <f t="shared" si="0"/>
        <v>240</v>
      </c>
      <c r="U17" s="55">
        <v>222800</v>
      </c>
      <c r="V17" s="49">
        <v>13.72</v>
      </c>
      <c r="W17" s="56">
        <f t="shared" si="7"/>
        <v>17.492711370262391</v>
      </c>
      <c r="X17" s="49" t="s">
        <v>163</v>
      </c>
      <c r="Y17" s="57" t="s">
        <v>162</v>
      </c>
      <c r="Z17" s="58">
        <v>33109975</v>
      </c>
      <c r="AA17" s="114">
        <f>(((31850000*0.037)/(Z17))+((1259975*0)/(Z17)))</f>
        <v>3.5591993047412451E-2</v>
      </c>
      <c r="AB17" s="59">
        <v>40</v>
      </c>
      <c r="AC17" s="60">
        <v>40</v>
      </c>
      <c r="AD17" s="61">
        <v>3.6999999999999998E-2</v>
      </c>
      <c r="AE17" s="62">
        <v>31850000</v>
      </c>
      <c r="AF17" s="63">
        <v>1.24</v>
      </c>
      <c r="AG17" s="59">
        <v>40</v>
      </c>
      <c r="AH17" s="60">
        <v>30</v>
      </c>
      <c r="AI17" s="61">
        <v>0</v>
      </c>
      <c r="AJ17" s="64">
        <v>1259975</v>
      </c>
      <c r="AK17" s="65">
        <f t="shared" si="8"/>
        <v>33109975</v>
      </c>
      <c r="AL17" s="62">
        <v>0</v>
      </c>
      <c r="AM17" s="49" t="s">
        <v>163</v>
      </c>
      <c r="AN17" s="67">
        <v>0.91</v>
      </c>
      <c r="AO17" s="62">
        <v>17212015</v>
      </c>
      <c r="AP17" s="62">
        <v>0</v>
      </c>
      <c r="AQ17" s="68">
        <v>2681819</v>
      </c>
      <c r="AR17" s="69">
        <f t="shared" si="9"/>
        <v>137958.22916666666</v>
      </c>
      <c r="AS17" s="70" t="str">
        <f>IFERROR(IF(#REF!&gt;0,#REF!/T17,""),"")</f>
        <v/>
      </c>
      <c r="AT17" s="70">
        <f t="shared" si="10"/>
        <v>71716.729166666672</v>
      </c>
      <c r="AU17" s="70" t="str">
        <f t="shared" si="11"/>
        <v/>
      </c>
      <c r="AV17" s="71">
        <f t="shared" si="12"/>
        <v>11174.245833333332</v>
      </c>
      <c r="AW17" s="115">
        <f t="shared" si="13"/>
        <v>115867.30416666667</v>
      </c>
      <c r="AX17" s="116">
        <f t="shared" si="14"/>
        <v>124.81217684021544</v>
      </c>
      <c r="AY17" s="72">
        <f t="shared" si="15"/>
        <v>139213.99583333332</v>
      </c>
      <c r="AZ17" s="73">
        <f t="shared" si="16"/>
        <v>149.96121633752244</v>
      </c>
      <c r="BA17" s="66">
        <v>2100000</v>
      </c>
      <c r="BB17" s="62">
        <v>6581838</v>
      </c>
      <c r="BC17" s="62">
        <v>21226315</v>
      </c>
      <c r="BD17" s="62">
        <v>1710065</v>
      </c>
      <c r="BE17" s="62">
        <v>3893141</v>
      </c>
      <c r="BF17" s="62">
        <v>3035759</v>
      </c>
      <c r="BG17" s="62">
        <v>3811718</v>
      </c>
      <c r="BH17" s="62">
        <v>5679636</v>
      </c>
      <c r="BI17" s="62">
        <v>2283518</v>
      </c>
      <c r="BJ17" s="47">
        <f t="shared" si="17"/>
        <v>50321990</v>
      </c>
      <c r="BK17" s="69">
        <f t="shared" si="18"/>
        <v>8750</v>
      </c>
      <c r="BL17" s="70">
        <f t="shared" si="19"/>
        <v>27424.325000000001</v>
      </c>
      <c r="BM17" s="70">
        <f t="shared" si="20"/>
        <v>88442.979166666672</v>
      </c>
      <c r="BN17" s="70">
        <f t="shared" si="21"/>
        <v>7125.270833333333</v>
      </c>
      <c r="BO17" s="70">
        <f t="shared" si="22"/>
        <v>16221.420833333334</v>
      </c>
      <c r="BP17" s="70">
        <f t="shared" si="23"/>
        <v>12648.995833333332</v>
      </c>
      <c r="BQ17" s="70">
        <f t="shared" si="24"/>
        <v>15882.158333333333</v>
      </c>
      <c r="BR17" s="70">
        <f t="shared" si="25"/>
        <v>23665.15</v>
      </c>
      <c r="BS17" s="70">
        <f t="shared" si="26"/>
        <v>9514.6583333333328</v>
      </c>
      <c r="BT17" s="71">
        <f t="shared" si="27"/>
        <v>209674.95833333334</v>
      </c>
      <c r="BU17" s="65">
        <f t="shared" si="28"/>
        <v>9.4254937163375221</v>
      </c>
      <c r="BV17" s="48">
        <f t="shared" si="29"/>
        <v>29.541463195691204</v>
      </c>
      <c r="BW17" s="48">
        <f t="shared" si="30"/>
        <v>95.270713644524236</v>
      </c>
      <c r="BX17" s="48">
        <f t="shared" si="31"/>
        <v>7.6753366247755839</v>
      </c>
      <c r="BY17" s="48">
        <f t="shared" si="32"/>
        <v>17.473702872531419</v>
      </c>
      <c r="BZ17" s="48">
        <f t="shared" si="33"/>
        <v>13.625489228007181</v>
      </c>
      <c r="CA17" s="48">
        <f t="shared" si="34"/>
        <v>17.108249551166967</v>
      </c>
      <c r="CB17" s="48">
        <f t="shared" si="35"/>
        <v>25.492082585278276</v>
      </c>
      <c r="CC17" s="48">
        <f t="shared" si="36"/>
        <v>10.249183123877918</v>
      </c>
      <c r="CD17" s="47">
        <f t="shared" si="37"/>
        <v>225.8617145421903</v>
      </c>
      <c r="CE17" s="66">
        <v>3132900</v>
      </c>
      <c r="CF17" s="62">
        <v>57900</v>
      </c>
      <c r="CG17" s="74">
        <v>-239310</v>
      </c>
      <c r="CH17" s="75">
        <f t="shared" si="38"/>
        <v>2951490</v>
      </c>
      <c r="CI17" s="62">
        <f>71576+0+8680</f>
        <v>80256</v>
      </c>
      <c r="CJ17" s="62">
        <v>147575</v>
      </c>
      <c r="CK17" s="62">
        <v>289776</v>
      </c>
      <c r="CL17" s="62">
        <v>142045</v>
      </c>
      <c r="CM17" s="62">
        <f>49793+130043</f>
        <v>179836</v>
      </c>
      <c r="CN17" s="62">
        <v>84960</v>
      </c>
      <c r="CO17" s="62">
        <v>0</v>
      </c>
      <c r="CP17" s="75">
        <f t="shared" si="3"/>
        <v>924448</v>
      </c>
      <c r="CQ17" s="62">
        <v>72000</v>
      </c>
      <c r="CR17" s="75">
        <f t="shared" si="4"/>
        <v>996448</v>
      </c>
      <c r="CS17" s="75">
        <f t="shared" si="39"/>
        <v>2027042</v>
      </c>
      <c r="CT17" s="62">
        <v>1606424</v>
      </c>
      <c r="CU17" s="47">
        <f t="shared" si="40"/>
        <v>420618</v>
      </c>
      <c r="CV17" s="76">
        <f t="shared" si="41"/>
        <v>0.68678599622563519</v>
      </c>
      <c r="CW17" s="75">
        <f t="shared" si="42"/>
        <v>4151.8666666666668</v>
      </c>
      <c r="CX17" s="77">
        <f t="shared" si="43"/>
        <v>0.3376084621665667</v>
      </c>
      <c r="CY17" s="75">
        <f t="shared" si="44"/>
        <v>1752.575</v>
      </c>
      <c r="CZ17" s="77">
        <f t="shared" si="45"/>
        <v>0.14251039305571084</v>
      </c>
      <c r="DA17" s="77">
        <f t="shared" si="46"/>
        <v>0.54427560316992429</v>
      </c>
      <c r="DB17" s="47">
        <f t="shared" si="47"/>
        <v>137958.22916666666</v>
      </c>
      <c r="DC17" s="69">
        <f t="shared" si="48"/>
        <v>13053.75</v>
      </c>
      <c r="DD17" s="70">
        <f t="shared" si="49"/>
        <v>241.25</v>
      </c>
      <c r="DE17" s="70">
        <f t="shared" si="50"/>
        <v>-997.125</v>
      </c>
      <c r="DF17" s="70">
        <f t="shared" si="51"/>
        <v>12297.875</v>
      </c>
      <c r="DG17" s="70">
        <f t="shared" si="52"/>
        <v>334.4</v>
      </c>
      <c r="DH17" s="70">
        <f t="shared" si="53"/>
        <v>614.89583333333337</v>
      </c>
      <c r="DI17" s="70">
        <f t="shared" si="54"/>
        <v>1207.4000000000001</v>
      </c>
      <c r="DJ17" s="70">
        <f t="shared" si="55"/>
        <v>591.85416666666663</v>
      </c>
      <c r="DK17" s="70">
        <f t="shared" si="56"/>
        <v>749.31666666666672</v>
      </c>
      <c r="DL17" s="70">
        <f t="shared" si="57"/>
        <v>354</v>
      </c>
      <c r="DM17" s="70" t="str">
        <f t="shared" si="58"/>
        <v/>
      </c>
      <c r="DN17" s="70">
        <f t="shared" si="59"/>
        <v>3851.8666666666668</v>
      </c>
      <c r="DO17" s="70">
        <f t="shared" si="60"/>
        <v>300</v>
      </c>
      <c r="DP17" s="70">
        <f t="shared" si="61"/>
        <v>4151.8666666666668</v>
      </c>
      <c r="DQ17" s="70">
        <f t="shared" si="62"/>
        <v>8446.0083333333332</v>
      </c>
      <c r="DR17" s="70">
        <f t="shared" si="63"/>
        <v>6693.4333333333334</v>
      </c>
      <c r="DS17" s="71">
        <f t="shared" si="64"/>
        <v>1752.575</v>
      </c>
      <c r="DT17" s="106">
        <f t="shared" si="65"/>
        <v>1.0614638707906854</v>
      </c>
      <c r="DU17" s="92">
        <f t="shared" si="66"/>
        <v>1.96172102903957E-2</v>
      </c>
      <c r="DV17" s="92" t="str">
        <f t="shared" si="67"/>
        <v/>
      </c>
      <c r="DW17" s="92">
        <f t="shared" si="68"/>
        <v>1</v>
      </c>
      <c r="DX17" s="92">
        <f t="shared" si="69"/>
        <v>2.7191689621174391E-2</v>
      </c>
      <c r="DY17" s="92">
        <f t="shared" si="70"/>
        <v>5.0000169405961054E-2</v>
      </c>
      <c r="DZ17" s="92">
        <f t="shared" si="71"/>
        <v>9.8179563542481932E-2</v>
      </c>
      <c r="EA17" s="92">
        <f t="shared" si="72"/>
        <v>4.8126539476671108E-2</v>
      </c>
      <c r="EB17" s="92">
        <f t="shared" si="73"/>
        <v>6.093058082527808E-2</v>
      </c>
      <c r="EC17" s="92">
        <f t="shared" si="74"/>
        <v>2.8785460902798248E-2</v>
      </c>
      <c r="ED17" s="92" t="str">
        <f t="shared" si="75"/>
        <v/>
      </c>
      <c r="EE17" s="92">
        <f t="shared" si="76"/>
        <v>0.31321400377436481</v>
      </c>
      <c r="EF17" s="92">
        <f t="shared" si="77"/>
        <v>2.4394458392201904E-2</v>
      </c>
      <c r="EG17" s="92">
        <f t="shared" si="78"/>
        <v>0.3376084621665667</v>
      </c>
      <c r="EH17" s="92">
        <f t="shared" si="79"/>
        <v>0.68678599622563519</v>
      </c>
      <c r="EI17" s="92">
        <f t="shared" si="80"/>
        <v>0.54427560316992429</v>
      </c>
      <c r="EJ17" s="122">
        <f t="shared" si="81"/>
        <v>0.14251039305571084</v>
      </c>
    </row>
    <row r="18" spans="2:140" ht="12" hidden="1" customHeight="1" outlineLevel="1">
      <c r="B18" s="121">
        <v>44750</v>
      </c>
      <c r="C18" s="117" t="s">
        <v>238</v>
      </c>
      <c r="D18" s="50" t="s">
        <v>239</v>
      </c>
      <c r="E18" s="50" t="s">
        <v>240</v>
      </c>
      <c r="F18" s="50" t="s">
        <v>241</v>
      </c>
      <c r="G18" s="50" t="s">
        <v>162</v>
      </c>
      <c r="H18" s="50" t="s">
        <v>242</v>
      </c>
      <c r="I18" s="51" t="s">
        <v>243</v>
      </c>
      <c r="J18" s="52" t="s">
        <v>175</v>
      </c>
      <c r="K18" s="50" t="s">
        <v>176</v>
      </c>
      <c r="L18" s="49">
        <v>6</v>
      </c>
      <c r="M18" s="50" t="s">
        <v>159</v>
      </c>
      <c r="N18" s="50" t="s">
        <v>244</v>
      </c>
      <c r="O18" s="50" t="s">
        <v>160</v>
      </c>
      <c r="P18" s="50" t="s">
        <v>177</v>
      </c>
      <c r="Q18" s="53">
        <v>0.09</v>
      </c>
      <c r="R18" s="49">
        <v>102</v>
      </c>
      <c r="S18" s="49">
        <v>30</v>
      </c>
      <c r="T18" s="54">
        <f t="shared" si="0"/>
        <v>132</v>
      </c>
      <c r="U18" s="55">
        <v>118061</v>
      </c>
      <c r="V18" s="49">
        <v>3.5579999999999998</v>
      </c>
      <c r="W18" s="56">
        <f t="shared" si="7"/>
        <v>37.099494097807757</v>
      </c>
      <c r="X18" s="49" t="s">
        <v>163</v>
      </c>
      <c r="Y18" s="57" t="s">
        <v>162</v>
      </c>
      <c r="Z18" s="58">
        <v>13100500</v>
      </c>
      <c r="AA18" s="114">
        <f>(((6600000*0.055)/(Z18))+((500*0)/(Z18))+((6500000*0.01)/(Z18)))</f>
        <v>3.2670508759207663E-2</v>
      </c>
      <c r="AB18" s="59">
        <v>18</v>
      </c>
      <c r="AC18" s="60">
        <v>35</v>
      </c>
      <c r="AD18" s="61">
        <v>5.5E-2</v>
      </c>
      <c r="AE18" s="62">
        <v>6600000</v>
      </c>
      <c r="AF18" s="63">
        <v>1.19</v>
      </c>
      <c r="AG18" s="59">
        <v>18</v>
      </c>
      <c r="AH18" s="60">
        <v>40</v>
      </c>
      <c r="AI18" s="61">
        <v>0.01</v>
      </c>
      <c r="AJ18" s="64">
        <v>6500000</v>
      </c>
      <c r="AK18" s="65">
        <f t="shared" si="8"/>
        <v>13100000</v>
      </c>
      <c r="AL18" s="62">
        <v>6500500</v>
      </c>
      <c r="AM18" s="49" t="s">
        <v>163</v>
      </c>
      <c r="AN18" s="67">
        <v>0.95</v>
      </c>
      <c r="AO18" s="62">
        <v>15051600</v>
      </c>
      <c r="AP18" s="62">
        <v>0</v>
      </c>
      <c r="AQ18" s="68">
        <v>802933</v>
      </c>
      <c r="AR18" s="69">
        <f t="shared" si="9"/>
        <v>99242.42424242424</v>
      </c>
      <c r="AS18" s="70" t="str">
        <f>IFERROR(IF(#REF!&gt;0,#REF!/T18,""),"")</f>
        <v/>
      </c>
      <c r="AT18" s="70">
        <f t="shared" si="10"/>
        <v>114027.27272727272</v>
      </c>
      <c r="AU18" s="70">
        <f t="shared" si="11"/>
        <v>49246.21212121212</v>
      </c>
      <c r="AV18" s="71">
        <f t="shared" si="12"/>
        <v>6082.825757575758</v>
      </c>
      <c r="AW18" s="115">
        <f t="shared" si="13"/>
        <v>97298.030303030304</v>
      </c>
      <c r="AX18" s="116">
        <f t="shared" si="14"/>
        <v>108.78562776869585</v>
      </c>
      <c r="AY18" s="72">
        <f t="shared" si="15"/>
        <v>117292.09848484848</v>
      </c>
      <c r="AZ18" s="73">
        <f t="shared" si="16"/>
        <v>131.14031729360246</v>
      </c>
      <c r="BA18" s="66">
        <v>7000000</v>
      </c>
      <c r="BB18" s="62">
        <v>1585934</v>
      </c>
      <c r="BC18" s="62">
        <v>11257406</v>
      </c>
      <c r="BD18" s="62">
        <v>800217</v>
      </c>
      <c r="BE18" s="62">
        <v>1839000</v>
      </c>
      <c r="BF18" s="62">
        <v>1329680</v>
      </c>
      <c r="BG18" s="62">
        <v>1150350</v>
      </c>
      <c r="BH18" s="62">
        <v>2573908</v>
      </c>
      <c r="BI18" s="62">
        <v>615513</v>
      </c>
      <c r="BJ18" s="47">
        <f t="shared" si="17"/>
        <v>28152008</v>
      </c>
      <c r="BK18" s="69">
        <f t="shared" si="18"/>
        <v>53030.303030303032</v>
      </c>
      <c r="BL18" s="70">
        <f t="shared" si="19"/>
        <v>12014.651515151516</v>
      </c>
      <c r="BM18" s="70">
        <f t="shared" si="20"/>
        <v>85283.378787878784</v>
      </c>
      <c r="BN18" s="70">
        <f t="shared" si="21"/>
        <v>6062.25</v>
      </c>
      <c r="BO18" s="70">
        <f t="shared" si="22"/>
        <v>13931.818181818182</v>
      </c>
      <c r="BP18" s="70">
        <f t="shared" si="23"/>
        <v>10073.333333333334</v>
      </c>
      <c r="BQ18" s="70">
        <f t="shared" si="24"/>
        <v>8714.7727272727279</v>
      </c>
      <c r="BR18" s="70">
        <f t="shared" si="25"/>
        <v>19499.303030303032</v>
      </c>
      <c r="BS18" s="70">
        <f t="shared" si="26"/>
        <v>4662.977272727273</v>
      </c>
      <c r="BT18" s="71">
        <f t="shared" si="27"/>
        <v>213272.78787878787</v>
      </c>
      <c r="BU18" s="65">
        <f t="shared" si="28"/>
        <v>59.291383267971639</v>
      </c>
      <c r="BV18" s="48">
        <f t="shared" si="29"/>
        <v>13.433174375958192</v>
      </c>
      <c r="BW18" s="48">
        <f t="shared" si="30"/>
        <v>95.352453392737658</v>
      </c>
      <c r="BX18" s="48">
        <f t="shared" si="31"/>
        <v>6.7779961206494947</v>
      </c>
      <c r="BY18" s="48">
        <f t="shared" si="32"/>
        <v>15.576693404257121</v>
      </c>
      <c r="BZ18" s="48">
        <f t="shared" si="33"/>
        <v>11.262652357679505</v>
      </c>
      <c r="CA18" s="48">
        <f t="shared" si="34"/>
        <v>9.7436918203301683</v>
      </c>
      <c r="CB18" s="48">
        <f t="shared" si="35"/>
        <v>21.801509389214051</v>
      </c>
      <c r="CC18" s="48">
        <f t="shared" si="36"/>
        <v>5.2135167413455754</v>
      </c>
      <c r="CD18" s="47">
        <f t="shared" si="37"/>
        <v>238.45307087014339</v>
      </c>
      <c r="CE18" s="66">
        <v>1436544</v>
      </c>
      <c r="CF18" s="62">
        <v>10476</v>
      </c>
      <c r="CG18" s="74">
        <v>-108527</v>
      </c>
      <c r="CH18" s="75">
        <f t="shared" si="38"/>
        <v>1338493</v>
      </c>
      <c r="CI18" s="62">
        <f>44272+6000+4600</f>
        <v>54872</v>
      </c>
      <c r="CJ18" s="62">
        <v>67700</v>
      </c>
      <c r="CK18" s="62">
        <v>190000</v>
      </c>
      <c r="CL18" s="62">
        <v>60200</v>
      </c>
      <c r="CM18" s="62">
        <f>25000+77000</f>
        <v>102000</v>
      </c>
      <c r="CN18" s="62">
        <v>90000</v>
      </c>
      <c r="CO18" s="62">
        <v>145000</v>
      </c>
      <c r="CP18" s="75">
        <f t="shared" si="3"/>
        <v>709772</v>
      </c>
      <c r="CQ18" s="62">
        <v>43500</v>
      </c>
      <c r="CR18" s="75">
        <f t="shared" si="4"/>
        <v>753272</v>
      </c>
      <c r="CS18" s="75">
        <f t="shared" si="39"/>
        <v>628721</v>
      </c>
      <c r="CT18" s="62">
        <f>3450+490317</f>
        <v>493767</v>
      </c>
      <c r="CU18" s="47">
        <f t="shared" si="40"/>
        <v>134954</v>
      </c>
      <c r="CV18" s="76">
        <f t="shared" si="41"/>
        <v>0.46972303926878961</v>
      </c>
      <c r="CW18" s="75">
        <f t="shared" si="42"/>
        <v>5706.606060606061</v>
      </c>
      <c r="CX18" s="77">
        <f t="shared" si="43"/>
        <v>0.56277619681238522</v>
      </c>
      <c r="CY18" s="75">
        <f t="shared" si="44"/>
        <v>1022.3787878787879</v>
      </c>
      <c r="CZ18" s="77">
        <f t="shared" si="45"/>
        <v>0.10082533117468676</v>
      </c>
      <c r="DA18" s="77">
        <f t="shared" si="46"/>
        <v>0.36889770809410283</v>
      </c>
      <c r="DB18" s="47">
        <f t="shared" si="47"/>
        <v>99242.42424242424</v>
      </c>
      <c r="DC18" s="69">
        <f t="shared" si="48"/>
        <v>10882.90909090909</v>
      </c>
      <c r="DD18" s="70">
        <f t="shared" si="49"/>
        <v>79.36363636363636</v>
      </c>
      <c r="DE18" s="70">
        <f t="shared" si="50"/>
        <v>-822.17424242424238</v>
      </c>
      <c r="DF18" s="70">
        <f t="shared" si="51"/>
        <v>10140.098484848484</v>
      </c>
      <c r="DG18" s="70">
        <f t="shared" si="52"/>
        <v>415.69696969696969</v>
      </c>
      <c r="DH18" s="70">
        <f t="shared" si="53"/>
        <v>512.87878787878788</v>
      </c>
      <c r="DI18" s="70">
        <f t="shared" si="54"/>
        <v>1439.3939393939395</v>
      </c>
      <c r="DJ18" s="70">
        <f t="shared" si="55"/>
        <v>456.06060606060606</v>
      </c>
      <c r="DK18" s="70">
        <f t="shared" si="56"/>
        <v>772.72727272727275</v>
      </c>
      <c r="DL18" s="70">
        <f t="shared" si="57"/>
        <v>681.81818181818187</v>
      </c>
      <c r="DM18" s="70">
        <f t="shared" si="58"/>
        <v>1098.4848484848485</v>
      </c>
      <c r="DN18" s="70">
        <f t="shared" si="59"/>
        <v>5377.060606060606</v>
      </c>
      <c r="DO18" s="70">
        <f t="shared" si="60"/>
        <v>329.54545454545456</v>
      </c>
      <c r="DP18" s="70">
        <f t="shared" si="61"/>
        <v>5706.606060606061</v>
      </c>
      <c r="DQ18" s="70">
        <f t="shared" si="62"/>
        <v>4763.037878787879</v>
      </c>
      <c r="DR18" s="70">
        <f t="shared" si="63"/>
        <v>3740.659090909091</v>
      </c>
      <c r="DS18" s="71">
        <f t="shared" si="64"/>
        <v>1022.3787878787879</v>
      </c>
      <c r="DT18" s="106">
        <f t="shared" si="65"/>
        <v>1.073254772344719</v>
      </c>
      <c r="DU18" s="92">
        <f t="shared" si="66"/>
        <v>7.8267125789974242E-3</v>
      </c>
      <c r="DV18" s="92" t="str">
        <f t="shared" si="67"/>
        <v/>
      </c>
      <c r="DW18" s="92">
        <f t="shared" si="68"/>
        <v>1</v>
      </c>
      <c r="DX18" s="92">
        <f t="shared" si="69"/>
        <v>4.0995358212556961E-2</v>
      </c>
      <c r="DY18" s="92">
        <f t="shared" si="70"/>
        <v>5.0579270866564115E-2</v>
      </c>
      <c r="DZ18" s="92">
        <f t="shared" si="71"/>
        <v>0.1419506863315684</v>
      </c>
      <c r="EA18" s="92">
        <f t="shared" si="72"/>
        <v>4.4975954300844306E-2</v>
      </c>
      <c r="EB18" s="92">
        <f t="shared" si="73"/>
        <v>7.6205105293789363E-2</v>
      </c>
      <c r="EC18" s="92">
        <f t="shared" si="74"/>
        <v>6.7239798788637672E-2</v>
      </c>
      <c r="ED18" s="92">
        <f t="shared" si="75"/>
        <v>0.10833078693724958</v>
      </c>
      <c r="EE18" s="92">
        <f t="shared" si="76"/>
        <v>0.53027696073121044</v>
      </c>
      <c r="EF18" s="92">
        <f t="shared" si="77"/>
        <v>3.2499236081174873E-2</v>
      </c>
      <c r="EG18" s="92">
        <f t="shared" si="78"/>
        <v>0.56277619681238522</v>
      </c>
      <c r="EH18" s="92">
        <f t="shared" si="79"/>
        <v>0.46972303926878961</v>
      </c>
      <c r="EI18" s="92">
        <f t="shared" si="80"/>
        <v>0.36889770809410283</v>
      </c>
      <c r="EJ18" s="122">
        <f t="shared" si="81"/>
        <v>0.10082533117468676</v>
      </c>
    </row>
    <row r="19" spans="2:140" ht="12" hidden="1" customHeight="1" outlineLevel="1">
      <c r="B19" s="121">
        <v>44750</v>
      </c>
      <c r="C19" s="117">
        <v>22445</v>
      </c>
      <c r="D19" s="50" t="s">
        <v>245</v>
      </c>
      <c r="E19" s="50" t="s">
        <v>246</v>
      </c>
      <c r="F19" s="50" t="s">
        <v>247</v>
      </c>
      <c r="G19" s="50" t="s">
        <v>162</v>
      </c>
      <c r="H19" s="50" t="s">
        <v>173</v>
      </c>
      <c r="I19" s="51" t="s">
        <v>248</v>
      </c>
      <c r="J19" s="52" t="s">
        <v>175</v>
      </c>
      <c r="K19" s="50" t="s">
        <v>176</v>
      </c>
      <c r="L19" s="49">
        <v>6</v>
      </c>
      <c r="M19" s="50" t="s">
        <v>159</v>
      </c>
      <c r="N19" s="50" t="s">
        <v>160</v>
      </c>
      <c r="O19" s="50" t="s">
        <v>160</v>
      </c>
      <c r="P19" s="50" t="s">
        <v>161</v>
      </c>
      <c r="Q19" s="53">
        <v>0.04</v>
      </c>
      <c r="R19" s="49">
        <v>330</v>
      </c>
      <c r="S19" s="49">
        <v>0</v>
      </c>
      <c r="T19" s="54">
        <f t="shared" si="0"/>
        <v>330</v>
      </c>
      <c r="U19" s="55">
        <v>249212</v>
      </c>
      <c r="V19" s="49">
        <v>15.58</v>
      </c>
      <c r="W19" s="56">
        <f t="shared" si="7"/>
        <v>21.181001283697046</v>
      </c>
      <c r="X19" s="49">
        <v>1988</v>
      </c>
      <c r="Y19" s="57" t="s">
        <v>249</v>
      </c>
      <c r="Z19" s="58">
        <v>44957558</v>
      </c>
      <c r="AA19" s="114">
        <v>3.15E-2</v>
      </c>
      <c r="AB19" s="59">
        <v>40</v>
      </c>
      <c r="AC19" s="60">
        <v>40</v>
      </c>
      <c r="AD19" s="61">
        <v>3.15E-2</v>
      </c>
      <c r="AE19" s="62">
        <v>43750000</v>
      </c>
      <c r="AF19" s="63">
        <v>1.1499999999999999</v>
      </c>
      <c r="AG19" s="59"/>
      <c r="AH19" s="60"/>
      <c r="AI19" s="61"/>
      <c r="AJ19" s="64"/>
      <c r="AK19" s="65">
        <f t="shared" si="8"/>
        <v>43750000</v>
      </c>
      <c r="AL19" s="62">
        <v>1207558</v>
      </c>
      <c r="AM19" s="49" t="s">
        <v>163</v>
      </c>
      <c r="AN19" s="67">
        <v>0.85</v>
      </c>
      <c r="AO19" s="62">
        <v>27564797</v>
      </c>
      <c r="AP19" s="62">
        <v>0</v>
      </c>
      <c r="AQ19" s="68">
        <v>1820499</v>
      </c>
      <c r="AR19" s="69">
        <f t="shared" si="9"/>
        <v>132575.75757575757</v>
      </c>
      <c r="AS19" s="70" t="str">
        <f>IFERROR(IF(#REF!&gt;0,#REF!/T19,""),"")</f>
        <v/>
      </c>
      <c r="AT19" s="70">
        <f t="shared" si="10"/>
        <v>83529.687878787881</v>
      </c>
      <c r="AU19" s="70">
        <f t="shared" si="11"/>
        <v>3659.2666666666669</v>
      </c>
      <c r="AV19" s="71">
        <f t="shared" si="12"/>
        <v>5516.6636363636362</v>
      </c>
      <c r="AW19" s="115">
        <f t="shared" si="13"/>
        <v>62168.887878787878</v>
      </c>
      <c r="AX19" s="116">
        <f t="shared" si="14"/>
        <v>82.32241224339117</v>
      </c>
      <c r="AY19" s="72">
        <f t="shared" si="15"/>
        <v>77149.942424242414</v>
      </c>
      <c r="AZ19" s="73">
        <f t="shared" si="16"/>
        <v>102.1599321059981</v>
      </c>
      <c r="BA19" s="66">
        <v>32075000</v>
      </c>
      <c r="BB19" s="62">
        <v>2071800</v>
      </c>
      <c r="BC19" s="62">
        <v>18443933</v>
      </c>
      <c r="BD19" s="62">
        <v>1973069</v>
      </c>
      <c r="BE19" s="62">
        <v>2970679</v>
      </c>
      <c r="BF19" s="62">
        <v>1391044</v>
      </c>
      <c r="BG19" s="62">
        <v>3099180</v>
      </c>
      <c r="BH19" s="62">
        <v>8398248</v>
      </c>
      <c r="BI19" s="62">
        <v>2099402</v>
      </c>
      <c r="BJ19" s="47">
        <f t="shared" si="17"/>
        <v>72522355</v>
      </c>
      <c r="BK19" s="69">
        <f t="shared" si="18"/>
        <v>97196.969696969696</v>
      </c>
      <c r="BL19" s="70">
        <f t="shared" si="19"/>
        <v>6278.181818181818</v>
      </c>
      <c r="BM19" s="70">
        <f t="shared" si="20"/>
        <v>55890.706060606062</v>
      </c>
      <c r="BN19" s="70">
        <f t="shared" si="21"/>
        <v>5978.9969696969692</v>
      </c>
      <c r="BO19" s="70">
        <f t="shared" si="22"/>
        <v>9002.0575757575753</v>
      </c>
      <c r="BP19" s="70">
        <f t="shared" si="23"/>
        <v>4215.2848484848482</v>
      </c>
      <c r="BQ19" s="70">
        <f t="shared" si="24"/>
        <v>9391.454545454546</v>
      </c>
      <c r="BR19" s="70">
        <f t="shared" si="25"/>
        <v>25449.236363636363</v>
      </c>
      <c r="BS19" s="70">
        <f t="shared" si="26"/>
        <v>6361.8242424242426</v>
      </c>
      <c r="BT19" s="71">
        <f t="shared" si="27"/>
        <v>219764.71212121213</v>
      </c>
      <c r="BU19" s="65">
        <f t="shared" si="28"/>
        <v>128.7056803043192</v>
      </c>
      <c r="BV19" s="48">
        <f t="shared" si="29"/>
        <v>8.3134038489318325</v>
      </c>
      <c r="BW19" s="48">
        <f t="shared" si="30"/>
        <v>74.009008394459329</v>
      </c>
      <c r="BX19" s="48">
        <f t="shared" si="31"/>
        <v>7.917231112466494</v>
      </c>
      <c r="BY19" s="48">
        <f t="shared" si="32"/>
        <v>11.920288750140443</v>
      </c>
      <c r="BZ19" s="48">
        <f t="shared" si="33"/>
        <v>5.5817697382148532</v>
      </c>
      <c r="CA19" s="48">
        <f t="shared" si="34"/>
        <v>12.435918013578801</v>
      </c>
      <c r="CB19" s="48">
        <f t="shared" si="35"/>
        <v>33.699211915959104</v>
      </c>
      <c r="CC19" s="48">
        <f t="shared" si="36"/>
        <v>8.4241609553312031</v>
      </c>
      <c r="CD19" s="47">
        <f t="shared" si="37"/>
        <v>291.00667303340128</v>
      </c>
      <c r="CE19" s="66">
        <v>5009640</v>
      </c>
      <c r="CF19" s="62">
        <v>79200</v>
      </c>
      <c r="CG19" s="74">
        <v>-381663</v>
      </c>
      <c r="CH19" s="75">
        <f t="shared" si="38"/>
        <v>4707177</v>
      </c>
      <c r="CI19" s="62">
        <f>74342+47765+13200</f>
        <v>135307</v>
      </c>
      <c r="CJ19" s="62">
        <v>193376</v>
      </c>
      <c r="CK19" s="62">
        <v>446047</v>
      </c>
      <c r="CL19" s="62">
        <f>361666+120000</f>
        <v>481666</v>
      </c>
      <c r="CM19" s="62">
        <f>154202+345168+56185</f>
        <v>555555</v>
      </c>
      <c r="CN19" s="62">
        <v>280500</v>
      </c>
      <c r="CO19" s="62">
        <v>299000</v>
      </c>
      <c r="CP19" s="75">
        <f t="shared" si="3"/>
        <v>2391451</v>
      </c>
      <c r="CQ19" s="62">
        <v>99000</v>
      </c>
      <c r="CR19" s="75">
        <f t="shared" si="4"/>
        <v>2490451</v>
      </c>
      <c r="CS19" s="75">
        <f t="shared" si="39"/>
        <v>2315726</v>
      </c>
      <c r="CT19" s="62">
        <f>1925085</f>
        <v>1925085</v>
      </c>
      <c r="CU19" s="47">
        <f t="shared" si="40"/>
        <v>390641</v>
      </c>
      <c r="CV19" s="76">
        <f t="shared" si="41"/>
        <v>0.49195643163620151</v>
      </c>
      <c r="CW19" s="75">
        <f t="shared" si="42"/>
        <v>7546.8212121212118</v>
      </c>
      <c r="CX19" s="77">
        <f t="shared" si="43"/>
        <v>0.52907528227640477</v>
      </c>
      <c r="CY19" s="75">
        <f t="shared" si="44"/>
        <v>1183.7606060606061</v>
      </c>
      <c r="CZ19" s="77">
        <f t="shared" si="45"/>
        <v>8.2988381358933397E-2</v>
      </c>
      <c r="DA19" s="77">
        <f t="shared" si="46"/>
        <v>0.40896805027726807</v>
      </c>
      <c r="DB19" s="47">
        <f t="shared" si="47"/>
        <v>132575.75757575757</v>
      </c>
      <c r="DC19" s="69">
        <f t="shared" si="48"/>
        <v>15180.727272727272</v>
      </c>
      <c r="DD19" s="70">
        <f t="shared" si="49"/>
        <v>240</v>
      </c>
      <c r="DE19" s="70">
        <f t="shared" si="50"/>
        <v>-1156.5545454545454</v>
      </c>
      <c r="DF19" s="70">
        <f t="shared" si="51"/>
        <v>14264.172727272728</v>
      </c>
      <c r="DG19" s="70">
        <f t="shared" si="52"/>
        <v>410.0212121212121</v>
      </c>
      <c r="DH19" s="70">
        <f t="shared" si="53"/>
        <v>585.9878787878788</v>
      </c>
      <c r="DI19" s="70">
        <f t="shared" si="54"/>
        <v>1351.6575757575758</v>
      </c>
      <c r="DJ19" s="70">
        <f t="shared" si="55"/>
        <v>1459.5939393939393</v>
      </c>
      <c r="DK19" s="70">
        <f t="shared" si="56"/>
        <v>1683.5</v>
      </c>
      <c r="DL19" s="70">
        <f t="shared" si="57"/>
        <v>850</v>
      </c>
      <c r="DM19" s="70">
        <f t="shared" si="58"/>
        <v>906.06060606060601</v>
      </c>
      <c r="DN19" s="70">
        <f t="shared" si="59"/>
        <v>7246.8212121212118</v>
      </c>
      <c r="DO19" s="70">
        <f t="shared" si="60"/>
        <v>300</v>
      </c>
      <c r="DP19" s="70">
        <f t="shared" si="61"/>
        <v>7546.8212121212118</v>
      </c>
      <c r="DQ19" s="70">
        <f t="shared" si="62"/>
        <v>7017.3515151515148</v>
      </c>
      <c r="DR19" s="70">
        <f t="shared" si="63"/>
        <v>5833.590909090909</v>
      </c>
      <c r="DS19" s="71">
        <f t="shared" si="64"/>
        <v>1183.7606060606061</v>
      </c>
      <c r="DT19" s="106">
        <f t="shared" si="65"/>
        <v>1.0642557099509962</v>
      </c>
      <c r="DU19" s="92">
        <f t="shared" si="66"/>
        <v>1.6825371130084976E-2</v>
      </c>
      <c r="DV19" s="92" t="str">
        <f t="shared" si="67"/>
        <v/>
      </c>
      <c r="DW19" s="92">
        <f t="shared" si="68"/>
        <v>1</v>
      </c>
      <c r="DX19" s="92">
        <f t="shared" si="69"/>
        <v>2.8744829438111207E-2</v>
      </c>
      <c r="DY19" s="92">
        <f t="shared" si="70"/>
        <v>4.1081098076405455E-2</v>
      </c>
      <c r="DZ19" s="92">
        <f t="shared" si="71"/>
        <v>9.4758918137133996E-2</v>
      </c>
      <c r="EA19" s="92">
        <f t="shared" si="72"/>
        <v>0.10232587387302411</v>
      </c>
      <c r="EB19" s="92">
        <f t="shared" si="73"/>
        <v>0.11802296790624189</v>
      </c>
      <c r="EC19" s="92">
        <f t="shared" si="74"/>
        <v>5.9589856085717617E-2</v>
      </c>
      <c r="ED19" s="92">
        <f t="shared" si="75"/>
        <v>6.3520024847164236E-2</v>
      </c>
      <c r="EE19" s="92">
        <f t="shared" si="76"/>
        <v>0.50804356836379849</v>
      </c>
      <c r="EF19" s="92">
        <f t="shared" si="77"/>
        <v>2.1031713912606217E-2</v>
      </c>
      <c r="EG19" s="92">
        <f t="shared" si="78"/>
        <v>0.52907528227640477</v>
      </c>
      <c r="EH19" s="92">
        <f t="shared" si="79"/>
        <v>0.49195643163620151</v>
      </c>
      <c r="EI19" s="92">
        <f t="shared" si="80"/>
        <v>0.40896805027726807</v>
      </c>
      <c r="EJ19" s="122">
        <f t="shared" si="81"/>
        <v>8.2988381358933397E-2</v>
      </c>
    </row>
    <row r="20" spans="2:140" ht="12" hidden="1" customHeight="1" outlineLevel="1">
      <c r="B20" s="121">
        <v>44750</v>
      </c>
      <c r="C20" s="117">
        <v>22422</v>
      </c>
      <c r="D20" s="50" t="s">
        <v>250</v>
      </c>
      <c r="E20" s="50" t="s">
        <v>251</v>
      </c>
      <c r="F20" s="50" t="s">
        <v>252</v>
      </c>
      <c r="G20" s="50" t="s">
        <v>162</v>
      </c>
      <c r="H20" s="50" t="s">
        <v>253</v>
      </c>
      <c r="I20" s="51" t="s">
        <v>248</v>
      </c>
      <c r="J20" s="52" t="s">
        <v>254</v>
      </c>
      <c r="K20" s="50" t="s">
        <v>255</v>
      </c>
      <c r="L20" s="49">
        <v>4</v>
      </c>
      <c r="M20" s="50" t="s">
        <v>159</v>
      </c>
      <c r="N20" s="50" t="s">
        <v>160</v>
      </c>
      <c r="O20" s="50" t="s">
        <v>160</v>
      </c>
      <c r="P20" s="50" t="s">
        <v>161</v>
      </c>
      <c r="Q20" s="53">
        <v>0.04</v>
      </c>
      <c r="R20" s="49">
        <v>104</v>
      </c>
      <c r="S20" s="49">
        <v>0</v>
      </c>
      <c r="T20" s="54">
        <f t="shared" si="0"/>
        <v>104</v>
      </c>
      <c r="U20" s="55">
        <v>75442</v>
      </c>
      <c r="V20" s="49">
        <v>5.03</v>
      </c>
      <c r="W20" s="56">
        <f t="shared" si="7"/>
        <v>20.675944333996021</v>
      </c>
      <c r="X20" s="49">
        <v>1980</v>
      </c>
      <c r="Y20" s="57" t="s">
        <v>162</v>
      </c>
      <c r="Z20" s="58">
        <v>10890115</v>
      </c>
      <c r="AA20" s="114">
        <v>3.6499999999999998E-2</v>
      </c>
      <c r="AB20" s="59">
        <v>40</v>
      </c>
      <c r="AC20" s="60">
        <v>40</v>
      </c>
      <c r="AD20" s="61">
        <v>3.6499999999999998E-2</v>
      </c>
      <c r="AE20" s="62">
        <v>10530000</v>
      </c>
      <c r="AF20" s="63">
        <v>1.1499999999999999</v>
      </c>
      <c r="AG20" s="59"/>
      <c r="AH20" s="60"/>
      <c r="AI20" s="61"/>
      <c r="AJ20" s="64"/>
      <c r="AK20" s="65">
        <f t="shared" si="8"/>
        <v>10530000</v>
      </c>
      <c r="AL20" s="62">
        <v>360115</v>
      </c>
      <c r="AM20" s="49" t="s">
        <v>163</v>
      </c>
      <c r="AN20" s="67">
        <v>0.92</v>
      </c>
      <c r="AO20" s="62">
        <v>7079527</v>
      </c>
      <c r="AP20" s="62">
        <v>0</v>
      </c>
      <c r="AQ20" s="68">
        <v>762925</v>
      </c>
      <c r="AR20" s="69">
        <f t="shared" si="9"/>
        <v>101250</v>
      </c>
      <c r="AS20" s="70" t="str">
        <f>IFERROR(IF(#REF!&gt;0,#REF!/T20,""),"")</f>
        <v/>
      </c>
      <c r="AT20" s="70">
        <f t="shared" si="10"/>
        <v>68072.375</v>
      </c>
      <c r="AU20" s="70">
        <f t="shared" si="11"/>
        <v>3462.6442307692309</v>
      </c>
      <c r="AV20" s="71">
        <f t="shared" si="12"/>
        <v>7335.8173076923076</v>
      </c>
      <c r="AW20" s="115">
        <f t="shared" si="13"/>
        <v>54389.971153846156</v>
      </c>
      <c r="AX20" s="116">
        <f t="shared" si="14"/>
        <v>74.978884441027546</v>
      </c>
      <c r="AY20" s="72">
        <f t="shared" si="15"/>
        <v>67704.634615384624</v>
      </c>
      <c r="AZ20" s="73">
        <f t="shared" si="16"/>
        <v>93.333713316189915</v>
      </c>
      <c r="BA20" s="66">
        <v>5500000</v>
      </c>
      <c r="BB20" s="62">
        <v>518550</v>
      </c>
      <c r="BC20" s="62">
        <v>5138007</v>
      </c>
      <c r="BD20" s="62">
        <v>565656</v>
      </c>
      <c r="BE20" s="62">
        <v>819069</v>
      </c>
      <c r="BF20" s="62">
        <v>1124758</v>
      </c>
      <c r="BG20" s="62">
        <v>1381835</v>
      </c>
      <c r="BH20" s="62">
        <v>2019440</v>
      </c>
      <c r="BI20" s="62">
        <v>838767</v>
      </c>
      <c r="BJ20" s="47">
        <f t="shared" si="17"/>
        <v>17906082</v>
      </c>
      <c r="BK20" s="69">
        <f t="shared" si="18"/>
        <v>52884.615384615383</v>
      </c>
      <c r="BL20" s="70">
        <f t="shared" si="19"/>
        <v>4986.0576923076924</v>
      </c>
      <c r="BM20" s="70">
        <f t="shared" si="20"/>
        <v>49403.913461538461</v>
      </c>
      <c r="BN20" s="70">
        <f t="shared" si="21"/>
        <v>5439</v>
      </c>
      <c r="BO20" s="70">
        <f t="shared" si="22"/>
        <v>7875.6634615384619</v>
      </c>
      <c r="BP20" s="70">
        <f t="shared" si="23"/>
        <v>10814.98076923077</v>
      </c>
      <c r="BQ20" s="70">
        <f t="shared" si="24"/>
        <v>13286.875</v>
      </c>
      <c r="BR20" s="70">
        <f t="shared" si="25"/>
        <v>19417.692307692309</v>
      </c>
      <c r="BS20" s="70">
        <f t="shared" si="26"/>
        <v>8065.0673076923076</v>
      </c>
      <c r="BT20" s="71">
        <f t="shared" si="27"/>
        <v>172173.86538461538</v>
      </c>
      <c r="BU20" s="65">
        <f t="shared" si="28"/>
        <v>72.903687601071027</v>
      </c>
      <c r="BV20" s="48">
        <f t="shared" si="29"/>
        <v>6.8734922191882504</v>
      </c>
      <c r="BW20" s="48">
        <f t="shared" si="30"/>
        <v>68.105392221839296</v>
      </c>
      <c r="BX20" s="48">
        <f t="shared" si="31"/>
        <v>7.497892420667533</v>
      </c>
      <c r="BY20" s="48">
        <f t="shared" si="32"/>
        <v>10.856936454494845</v>
      </c>
      <c r="BZ20" s="48">
        <f t="shared" si="33"/>
        <v>14.908910156146444</v>
      </c>
      <c r="CA20" s="48">
        <f t="shared" si="34"/>
        <v>18.316521301131996</v>
      </c>
      <c r="CB20" s="48">
        <f t="shared" si="35"/>
        <v>26.768113252564884</v>
      </c>
      <c r="CC20" s="48">
        <f t="shared" si="36"/>
        <v>11.118037697834097</v>
      </c>
      <c r="CD20" s="47">
        <f t="shared" si="37"/>
        <v>237.34898332493836</v>
      </c>
      <c r="CE20" s="66">
        <v>1212000</v>
      </c>
      <c r="CF20" s="62">
        <v>12480</v>
      </c>
      <c r="CG20" s="74">
        <v>-61224</v>
      </c>
      <c r="CH20" s="75">
        <f t="shared" si="38"/>
        <v>1163256</v>
      </c>
      <c r="CI20" s="62">
        <f>60165+4160</f>
        <v>64325</v>
      </c>
      <c r="CJ20" s="62">
        <v>58163</v>
      </c>
      <c r="CK20" s="62">
        <v>154069</v>
      </c>
      <c r="CL20" s="62">
        <v>63681</v>
      </c>
      <c r="CM20" s="62">
        <f>12485+96429</f>
        <v>108914</v>
      </c>
      <c r="CN20" s="62">
        <v>66744</v>
      </c>
      <c r="CO20" s="62">
        <v>27498</v>
      </c>
      <c r="CP20" s="75">
        <f t="shared" si="3"/>
        <v>543394</v>
      </c>
      <c r="CQ20" s="62">
        <v>31200</v>
      </c>
      <c r="CR20" s="75">
        <f t="shared" si="4"/>
        <v>574594</v>
      </c>
      <c r="CS20" s="75">
        <f t="shared" si="39"/>
        <v>619862</v>
      </c>
      <c r="CT20" s="62">
        <f>3500+9049+500939</f>
        <v>513488</v>
      </c>
      <c r="CU20" s="47">
        <f t="shared" si="40"/>
        <v>106374</v>
      </c>
      <c r="CV20" s="76">
        <f t="shared" si="41"/>
        <v>0.53286808750610359</v>
      </c>
      <c r="CW20" s="75">
        <f t="shared" si="42"/>
        <v>5524.9423076923076</v>
      </c>
      <c r="CX20" s="77">
        <f t="shared" si="43"/>
        <v>0.49395317969561298</v>
      </c>
      <c r="CY20" s="75">
        <f t="shared" si="44"/>
        <v>1022.8269230769231</v>
      </c>
      <c r="CZ20" s="77">
        <f t="shared" si="45"/>
        <v>9.1445047349852482E-2</v>
      </c>
      <c r="DA20" s="77">
        <f t="shared" si="46"/>
        <v>0.44142304015625106</v>
      </c>
      <c r="DB20" s="47">
        <f t="shared" si="47"/>
        <v>101250</v>
      </c>
      <c r="DC20" s="69">
        <f t="shared" si="48"/>
        <v>11653.846153846154</v>
      </c>
      <c r="DD20" s="70">
        <f t="shared" si="49"/>
        <v>120</v>
      </c>
      <c r="DE20" s="70">
        <f t="shared" si="50"/>
        <v>-588.69230769230774</v>
      </c>
      <c r="DF20" s="70">
        <f t="shared" si="51"/>
        <v>11185.153846153846</v>
      </c>
      <c r="DG20" s="70">
        <f t="shared" si="52"/>
        <v>618.50961538461536</v>
      </c>
      <c r="DH20" s="70">
        <f t="shared" si="53"/>
        <v>559.25961538461536</v>
      </c>
      <c r="DI20" s="70">
        <f t="shared" si="54"/>
        <v>1481.4326923076924</v>
      </c>
      <c r="DJ20" s="70">
        <f t="shared" si="55"/>
        <v>612.31730769230774</v>
      </c>
      <c r="DK20" s="70">
        <f t="shared" si="56"/>
        <v>1047.25</v>
      </c>
      <c r="DL20" s="70">
        <f t="shared" si="57"/>
        <v>641.76923076923072</v>
      </c>
      <c r="DM20" s="70">
        <f t="shared" si="58"/>
        <v>264.40384615384613</v>
      </c>
      <c r="DN20" s="70">
        <f t="shared" si="59"/>
        <v>5224.9423076923076</v>
      </c>
      <c r="DO20" s="70">
        <f t="shared" si="60"/>
        <v>300</v>
      </c>
      <c r="DP20" s="70">
        <f t="shared" si="61"/>
        <v>5524.9423076923076</v>
      </c>
      <c r="DQ20" s="70">
        <f t="shared" si="62"/>
        <v>5960.2115384615381</v>
      </c>
      <c r="DR20" s="70">
        <f t="shared" si="63"/>
        <v>4937.3846153846152</v>
      </c>
      <c r="DS20" s="71">
        <f t="shared" si="64"/>
        <v>1022.8269230769231</v>
      </c>
      <c r="DT20" s="106">
        <f t="shared" si="65"/>
        <v>1.0419030720666818</v>
      </c>
      <c r="DU20" s="92">
        <f t="shared" si="66"/>
        <v>1.0728506880686625E-2</v>
      </c>
      <c r="DV20" s="92" t="str">
        <f t="shared" si="67"/>
        <v/>
      </c>
      <c r="DW20" s="92">
        <f t="shared" si="68"/>
        <v>1</v>
      </c>
      <c r="DX20" s="92">
        <f t="shared" si="69"/>
        <v>5.529737220353903E-2</v>
      </c>
      <c r="DY20" s="92">
        <f t="shared" si="70"/>
        <v>5.0000171931200009E-2</v>
      </c>
      <c r="DZ20" s="92">
        <f t="shared" si="71"/>
        <v>0.13244634027247656</v>
      </c>
      <c r="EA20" s="92">
        <f t="shared" si="72"/>
        <v>5.4743753739503603E-2</v>
      </c>
      <c r="EB20" s="92">
        <f t="shared" si="73"/>
        <v>9.3628573589992228E-2</v>
      </c>
      <c r="EC20" s="92">
        <f t="shared" si="74"/>
        <v>5.7376880067672123E-2</v>
      </c>
      <c r="ED20" s="92">
        <f t="shared" si="75"/>
        <v>2.3638820689512886E-2</v>
      </c>
      <c r="EE20" s="92">
        <f t="shared" si="76"/>
        <v>0.46713191249389646</v>
      </c>
      <c r="EF20" s="92">
        <f t="shared" si="77"/>
        <v>2.6821267201716559E-2</v>
      </c>
      <c r="EG20" s="92">
        <f t="shared" si="78"/>
        <v>0.49395317969561298</v>
      </c>
      <c r="EH20" s="92">
        <f t="shared" si="79"/>
        <v>0.53286808750610359</v>
      </c>
      <c r="EI20" s="92">
        <f t="shared" si="80"/>
        <v>0.44142304015625106</v>
      </c>
      <c r="EJ20" s="122">
        <f t="shared" si="81"/>
        <v>9.1445047349852482E-2</v>
      </c>
    </row>
    <row r="21" spans="2:140" ht="12" hidden="1" customHeight="1" outlineLevel="1">
      <c r="B21" s="121">
        <v>44750</v>
      </c>
      <c r="C21" s="117">
        <v>22453</v>
      </c>
      <c r="D21" s="50" t="s">
        <v>256</v>
      </c>
      <c r="E21" s="50" t="s">
        <v>257</v>
      </c>
      <c r="F21" s="50" t="s">
        <v>258</v>
      </c>
      <c r="G21" s="50" t="s">
        <v>154</v>
      </c>
      <c r="H21" s="50" t="s">
        <v>259</v>
      </c>
      <c r="I21" s="51" t="s">
        <v>260</v>
      </c>
      <c r="J21" s="52" t="s">
        <v>199</v>
      </c>
      <c r="K21" s="50" t="s">
        <v>199</v>
      </c>
      <c r="L21" s="49">
        <v>3</v>
      </c>
      <c r="M21" s="50" t="s">
        <v>159</v>
      </c>
      <c r="N21" s="50" t="s">
        <v>160</v>
      </c>
      <c r="O21" s="50" t="s">
        <v>160</v>
      </c>
      <c r="P21" s="50" t="s">
        <v>177</v>
      </c>
      <c r="Q21" s="53">
        <v>0.04</v>
      </c>
      <c r="R21" s="49">
        <v>207</v>
      </c>
      <c r="S21" s="49">
        <v>0</v>
      </c>
      <c r="T21" s="54">
        <f t="shared" si="0"/>
        <v>207</v>
      </c>
      <c r="U21" s="55">
        <v>255165</v>
      </c>
      <c r="V21" s="49">
        <v>11.68</v>
      </c>
      <c r="W21" s="56">
        <f t="shared" si="7"/>
        <v>17.722602739726028</v>
      </c>
      <c r="X21" s="49" t="s">
        <v>163</v>
      </c>
      <c r="Y21" s="57" t="s">
        <v>162</v>
      </c>
      <c r="Z21" s="58">
        <v>44366888</v>
      </c>
      <c r="AA21" s="114">
        <v>0.03</v>
      </c>
      <c r="AB21" s="59">
        <v>17</v>
      </c>
      <c r="AC21" s="60">
        <v>40</v>
      </c>
      <c r="AD21" s="61">
        <v>4.6800000000000001E-2</v>
      </c>
      <c r="AE21" s="62">
        <v>29000000</v>
      </c>
      <c r="AF21" s="63">
        <v>1.19</v>
      </c>
      <c r="AG21" s="59"/>
      <c r="AH21" s="60"/>
      <c r="AI21" s="61"/>
      <c r="AJ21" s="64"/>
      <c r="AK21" s="65">
        <f t="shared" si="8"/>
        <v>29000000</v>
      </c>
      <c r="AL21" s="62">
        <v>0</v>
      </c>
      <c r="AM21" s="49" t="s">
        <v>163</v>
      </c>
      <c r="AN21" s="67">
        <v>0.91</v>
      </c>
      <c r="AO21" s="62">
        <v>22071232</v>
      </c>
      <c r="AP21" s="62">
        <v>0</v>
      </c>
      <c r="AQ21" s="68">
        <v>4277096</v>
      </c>
      <c r="AR21" s="69">
        <f t="shared" si="9"/>
        <v>140096.61835748793</v>
      </c>
      <c r="AS21" s="70" t="str">
        <f>IFERROR(IF(#REF!&gt;0,#REF!/T21,""),"")</f>
        <v/>
      </c>
      <c r="AT21" s="70">
        <f t="shared" si="10"/>
        <v>106624.30917874396</v>
      </c>
      <c r="AU21" s="70" t="str">
        <f t="shared" si="11"/>
        <v/>
      </c>
      <c r="AV21" s="71">
        <f t="shared" si="12"/>
        <v>20662.299516908213</v>
      </c>
      <c r="AW21" s="115">
        <f t="shared" si="13"/>
        <v>137782.60869565216</v>
      </c>
      <c r="AX21" s="116">
        <f t="shared" si="14"/>
        <v>111.77473399564987</v>
      </c>
      <c r="AY21" s="72">
        <f t="shared" si="15"/>
        <v>164521.31400966182</v>
      </c>
      <c r="AZ21" s="73">
        <f t="shared" si="16"/>
        <v>133.46623557306057</v>
      </c>
      <c r="BA21" s="66">
        <v>3175000</v>
      </c>
      <c r="BB21" s="62">
        <v>3530000</v>
      </c>
      <c r="BC21" s="62">
        <v>24991000</v>
      </c>
      <c r="BD21" s="62">
        <v>1601472</v>
      </c>
      <c r="BE21" s="62">
        <v>3933440</v>
      </c>
      <c r="BF21" s="62">
        <v>4844349</v>
      </c>
      <c r="BG21" s="62">
        <v>6160496</v>
      </c>
      <c r="BH21" s="62">
        <v>6085022</v>
      </c>
      <c r="BI21" s="62">
        <v>1027549</v>
      </c>
      <c r="BJ21" s="47">
        <f t="shared" si="17"/>
        <v>55348328</v>
      </c>
      <c r="BK21" s="69">
        <f t="shared" si="18"/>
        <v>15338.164251207729</v>
      </c>
      <c r="BL21" s="70">
        <f t="shared" si="19"/>
        <v>17053.140096618357</v>
      </c>
      <c r="BM21" s="70">
        <f t="shared" si="20"/>
        <v>120729.46859903382</v>
      </c>
      <c r="BN21" s="70">
        <f t="shared" si="21"/>
        <v>7736.579710144928</v>
      </c>
      <c r="BO21" s="70">
        <f t="shared" si="22"/>
        <v>19002.125603864733</v>
      </c>
      <c r="BP21" s="70">
        <f t="shared" si="23"/>
        <v>23402.652173913044</v>
      </c>
      <c r="BQ21" s="70">
        <f t="shared" si="24"/>
        <v>29760.850241545893</v>
      </c>
      <c r="BR21" s="70">
        <f t="shared" si="25"/>
        <v>29396.241545893721</v>
      </c>
      <c r="BS21" s="70">
        <f t="shared" si="26"/>
        <v>4964.0048309178746</v>
      </c>
      <c r="BT21" s="71">
        <f t="shared" si="27"/>
        <v>267383.22705314012</v>
      </c>
      <c r="BU21" s="65">
        <f t="shared" si="28"/>
        <v>12.442929085101797</v>
      </c>
      <c r="BV21" s="48">
        <f t="shared" si="29"/>
        <v>13.834185722963573</v>
      </c>
      <c r="BW21" s="48">
        <f t="shared" si="30"/>
        <v>97.9405482726863</v>
      </c>
      <c r="BX21" s="48">
        <f t="shared" si="31"/>
        <v>6.2762212685909118</v>
      </c>
      <c r="BY21" s="48">
        <f t="shared" si="32"/>
        <v>15.415280308819783</v>
      </c>
      <c r="BZ21" s="48">
        <f t="shared" si="33"/>
        <v>18.985162541884662</v>
      </c>
      <c r="CA21" s="48">
        <f t="shared" si="34"/>
        <v>24.143185781749064</v>
      </c>
      <c r="CB21" s="48">
        <f t="shared" si="35"/>
        <v>23.847400701506867</v>
      </c>
      <c r="CC21" s="48">
        <f t="shared" si="36"/>
        <v>4.0269982168400835</v>
      </c>
      <c r="CD21" s="47">
        <f t="shared" si="37"/>
        <v>216.91191190014305</v>
      </c>
      <c r="CE21" s="66">
        <v>2965932</v>
      </c>
      <c r="CF21" s="62">
        <v>49680</v>
      </c>
      <c r="CG21" s="74">
        <v>-226171</v>
      </c>
      <c r="CH21" s="75">
        <f t="shared" si="38"/>
        <v>2789441</v>
      </c>
      <c r="CI21" s="62">
        <f>84767+8280+8280</f>
        <v>101327</v>
      </c>
      <c r="CJ21" s="62">
        <v>69736</v>
      </c>
      <c r="CK21" s="62">
        <v>259750</v>
      </c>
      <c r="CL21" s="62">
        <f>144900+10350</f>
        <v>155250</v>
      </c>
      <c r="CM21" s="62">
        <f>54575+95500</f>
        <v>150075</v>
      </c>
      <c r="CN21" s="62">
        <v>82800</v>
      </c>
      <c r="CO21" s="62">
        <v>0</v>
      </c>
      <c r="CP21" s="75">
        <f t="shared" si="3"/>
        <v>818938</v>
      </c>
      <c r="CQ21" s="62">
        <v>51750</v>
      </c>
      <c r="CR21" s="75">
        <f t="shared" si="4"/>
        <v>870688</v>
      </c>
      <c r="CS21" s="75">
        <f t="shared" si="39"/>
        <v>1970503</v>
      </c>
      <c r="CT21" s="62">
        <f>4500+3500+1604970</f>
        <v>1612970</v>
      </c>
      <c r="CU21" s="47">
        <f t="shared" si="40"/>
        <v>357533</v>
      </c>
      <c r="CV21" s="76">
        <f t="shared" si="41"/>
        <v>0.70641501290043418</v>
      </c>
      <c r="CW21" s="75">
        <f t="shared" si="42"/>
        <v>4206.2222222222226</v>
      </c>
      <c r="CX21" s="77">
        <f t="shared" si="43"/>
        <v>0.31213709126667316</v>
      </c>
      <c r="CY21" s="75">
        <f t="shared" si="44"/>
        <v>1727.2125603864733</v>
      </c>
      <c r="CZ21" s="77">
        <f t="shared" si="45"/>
        <v>0.12817370935610398</v>
      </c>
      <c r="DA21" s="77">
        <f t="shared" si="46"/>
        <v>0.57824130354433023</v>
      </c>
      <c r="DB21" s="47">
        <f t="shared" si="47"/>
        <v>140096.61835748793</v>
      </c>
      <c r="DC21" s="69">
        <f t="shared" si="48"/>
        <v>14328.173913043478</v>
      </c>
      <c r="DD21" s="70">
        <f t="shared" si="49"/>
        <v>240</v>
      </c>
      <c r="DE21" s="70">
        <f t="shared" si="50"/>
        <v>-1092.6135265700484</v>
      </c>
      <c r="DF21" s="70">
        <f t="shared" si="51"/>
        <v>13475.560386473429</v>
      </c>
      <c r="DG21" s="70">
        <f t="shared" si="52"/>
        <v>489.50241545893721</v>
      </c>
      <c r="DH21" s="70">
        <f t="shared" si="53"/>
        <v>336.88888888888891</v>
      </c>
      <c r="DI21" s="70">
        <f t="shared" si="54"/>
        <v>1254.8309178743962</v>
      </c>
      <c r="DJ21" s="70">
        <f t="shared" si="55"/>
        <v>750</v>
      </c>
      <c r="DK21" s="70">
        <f t="shared" si="56"/>
        <v>725</v>
      </c>
      <c r="DL21" s="70">
        <f t="shared" si="57"/>
        <v>400</v>
      </c>
      <c r="DM21" s="70" t="str">
        <f t="shared" si="58"/>
        <v/>
      </c>
      <c r="DN21" s="70">
        <f t="shared" si="59"/>
        <v>3956.2222222222222</v>
      </c>
      <c r="DO21" s="70">
        <f t="shared" si="60"/>
        <v>250</v>
      </c>
      <c r="DP21" s="70">
        <f t="shared" si="61"/>
        <v>4206.2222222222226</v>
      </c>
      <c r="DQ21" s="70">
        <f t="shared" si="62"/>
        <v>9519.3381642512086</v>
      </c>
      <c r="DR21" s="70">
        <f t="shared" si="63"/>
        <v>7792.1256038647343</v>
      </c>
      <c r="DS21" s="71">
        <f t="shared" si="64"/>
        <v>1727.2125603864733</v>
      </c>
      <c r="DT21" s="106">
        <f t="shared" si="65"/>
        <v>1.0632710998368491</v>
      </c>
      <c r="DU21" s="92">
        <f t="shared" si="66"/>
        <v>1.7810020000423026E-2</v>
      </c>
      <c r="DV21" s="92" t="str">
        <f t="shared" si="67"/>
        <v/>
      </c>
      <c r="DW21" s="92">
        <f t="shared" si="68"/>
        <v>1</v>
      </c>
      <c r="DX21" s="92">
        <f t="shared" si="69"/>
        <v>3.6325199206579381E-2</v>
      </c>
      <c r="DY21" s="92">
        <f t="shared" si="70"/>
        <v>2.4999991037630839E-2</v>
      </c>
      <c r="DZ21" s="92">
        <f t="shared" si="71"/>
        <v>9.3119015602050728E-2</v>
      </c>
      <c r="EA21" s="92">
        <f t="shared" si="72"/>
        <v>5.5656312501321949E-2</v>
      </c>
      <c r="EB21" s="92">
        <f t="shared" si="73"/>
        <v>5.3801102084611217E-2</v>
      </c>
      <c r="EC21" s="92">
        <f t="shared" si="74"/>
        <v>2.9683366667371706E-2</v>
      </c>
      <c r="ED21" s="92" t="str">
        <f t="shared" si="75"/>
        <v/>
      </c>
      <c r="EE21" s="92">
        <f t="shared" si="76"/>
        <v>0.29358498709956582</v>
      </c>
      <c r="EF21" s="92">
        <f t="shared" si="77"/>
        <v>1.8552104167107317E-2</v>
      </c>
      <c r="EG21" s="92">
        <f t="shared" si="78"/>
        <v>0.31213709126667316</v>
      </c>
      <c r="EH21" s="92">
        <f t="shared" si="79"/>
        <v>0.70641501290043418</v>
      </c>
      <c r="EI21" s="92">
        <f t="shared" si="80"/>
        <v>0.57824130354433023</v>
      </c>
      <c r="EJ21" s="122">
        <f t="shared" si="81"/>
        <v>0.12817370935610398</v>
      </c>
    </row>
    <row r="22" spans="2:140" ht="12" hidden="1" customHeight="1" outlineLevel="1">
      <c r="B22" s="121">
        <v>44750</v>
      </c>
      <c r="C22" s="117">
        <v>22452</v>
      </c>
      <c r="D22" s="50" t="s">
        <v>261</v>
      </c>
      <c r="E22" s="50" t="s">
        <v>201</v>
      </c>
      <c r="F22" s="50" t="s">
        <v>262</v>
      </c>
      <c r="G22" s="50" t="s">
        <v>154</v>
      </c>
      <c r="H22" s="50" t="s">
        <v>173</v>
      </c>
      <c r="I22" s="51" t="s">
        <v>156</v>
      </c>
      <c r="J22" s="52" t="s">
        <v>263</v>
      </c>
      <c r="K22" s="50" t="s">
        <v>176</v>
      </c>
      <c r="L22" s="49">
        <v>6</v>
      </c>
      <c r="M22" s="50" t="s">
        <v>159</v>
      </c>
      <c r="N22" s="50" t="s">
        <v>160</v>
      </c>
      <c r="O22" s="50" t="s">
        <v>160</v>
      </c>
      <c r="P22" s="50" t="s">
        <v>161</v>
      </c>
      <c r="Q22" s="53">
        <v>0.04</v>
      </c>
      <c r="R22" s="49">
        <v>250</v>
      </c>
      <c r="S22" s="49">
        <v>0</v>
      </c>
      <c r="T22" s="54">
        <f t="shared" si="0"/>
        <v>250</v>
      </c>
      <c r="U22" s="55">
        <v>240000</v>
      </c>
      <c r="V22" s="49">
        <v>24.17</v>
      </c>
      <c r="W22" s="56">
        <f t="shared" si="7"/>
        <v>10.343400910219279</v>
      </c>
      <c r="X22" s="49">
        <v>2005</v>
      </c>
      <c r="Y22" s="57" t="s">
        <v>162</v>
      </c>
      <c r="Z22" s="58">
        <v>38612332</v>
      </c>
      <c r="AA22" s="114">
        <f>(((26300000*0.0304)/(Z22))+((12312332*0.0259)/(Z22)))</f>
        <v>2.8965082937751595E-2</v>
      </c>
      <c r="AB22" s="59">
        <v>16</v>
      </c>
      <c r="AC22" s="60">
        <v>35</v>
      </c>
      <c r="AD22" s="61">
        <v>2.9399999999999999E-2</v>
      </c>
      <c r="AE22" s="62">
        <f>26300000+3200000</f>
        <v>29500000</v>
      </c>
      <c r="AF22" s="63">
        <v>1.35</v>
      </c>
      <c r="AG22" s="59"/>
      <c r="AH22" s="60"/>
      <c r="AI22" s="61"/>
      <c r="AJ22" s="64"/>
      <c r="AK22" s="65">
        <f t="shared" si="8"/>
        <v>29500000</v>
      </c>
      <c r="AL22" s="62">
        <v>679646</v>
      </c>
      <c r="AM22" s="49" t="s">
        <v>163</v>
      </c>
      <c r="AN22" s="67">
        <v>0.86</v>
      </c>
      <c r="AO22" s="62">
        <v>13194415</v>
      </c>
      <c r="AP22" s="62">
        <v>0</v>
      </c>
      <c r="AQ22" s="68">
        <v>1661726</v>
      </c>
      <c r="AR22" s="69">
        <f t="shared" si="9"/>
        <v>118000</v>
      </c>
      <c r="AS22" s="70" t="str">
        <f>IFERROR(IF(#REF!&gt;0,#REF!/T22,""),"")</f>
        <v/>
      </c>
      <c r="AT22" s="70">
        <f t="shared" si="10"/>
        <v>52777.66</v>
      </c>
      <c r="AU22" s="70">
        <f t="shared" si="11"/>
        <v>2718.5839999999998</v>
      </c>
      <c r="AV22" s="71">
        <f t="shared" si="12"/>
        <v>6646.9040000000005</v>
      </c>
      <c r="AW22" s="115">
        <f t="shared" si="13"/>
        <v>23719.828000000001</v>
      </c>
      <c r="AX22" s="116">
        <f t="shared" si="14"/>
        <v>24.708154166666667</v>
      </c>
      <c r="AY22" s="72">
        <f t="shared" si="15"/>
        <v>29744.664000000001</v>
      </c>
      <c r="AZ22" s="73">
        <f t="shared" si="16"/>
        <v>30.984025000000003</v>
      </c>
      <c r="BA22" s="66">
        <v>26500000</v>
      </c>
      <c r="BB22" s="62">
        <v>446761</v>
      </c>
      <c r="BC22" s="62">
        <v>5483196</v>
      </c>
      <c r="BD22" s="62">
        <v>592996</v>
      </c>
      <c r="BE22" s="62">
        <v>913213</v>
      </c>
      <c r="BF22" s="62">
        <v>1821564</v>
      </c>
      <c r="BG22" s="62">
        <v>3558130</v>
      </c>
      <c r="BH22" s="62">
        <v>5004578</v>
      </c>
      <c r="BI22" s="62">
        <v>715349</v>
      </c>
      <c r="BJ22" s="47">
        <f t="shared" si="17"/>
        <v>45035787</v>
      </c>
      <c r="BK22" s="69">
        <f t="shared" si="18"/>
        <v>106000</v>
      </c>
      <c r="BL22" s="70">
        <f t="shared" si="19"/>
        <v>1787.0440000000001</v>
      </c>
      <c r="BM22" s="70">
        <f t="shared" si="20"/>
        <v>21932.784</v>
      </c>
      <c r="BN22" s="70">
        <f t="shared" si="21"/>
        <v>2371.9839999999999</v>
      </c>
      <c r="BO22" s="70">
        <f t="shared" si="22"/>
        <v>3652.8519999999999</v>
      </c>
      <c r="BP22" s="70">
        <f t="shared" si="23"/>
        <v>7286.2560000000003</v>
      </c>
      <c r="BQ22" s="70">
        <f t="shared" si="24"/>
        <v>14232.52</v>
      </c>
      <c r="BR22" s="70">
        <f t="shared" si="25"/>
        <v>20018.312000000002</v>
      </c>
      <c r="BS22" s="70">
        <f t="shared" si="26"/>
        <v>2861.3960000000002</v>
      </c>
      <c r="BT22" s="71">
        <f t="shared" si="27"/>
        <v>180143.14799999999</v>
      </c>
      <c r="BU22" s="65">
        <f t="shared" si="28"/>
        <v>110.41666666666667</v>
      </c>
      <c r="BV22" s="48">
        <f t="shared" si="29"/>
        <v>1.8615041666666667</v>
      </c>
      <c r="BW22" s="48">
        <f t="shared" si="30"/>
        <v>22.84665</v>
      </c>
      <c r="BX22" s="48">
        <f t="shared" si="31"/>
        <v>2.4708166666666669</v>
      </c>
      <c r="BY22" s="48">
        <f t="shared" si="32"/>
        <v>3.8050541666666668</v>
      </c>
      <c r="BZ22" s="48">
        <f t="shared" si="33"/>
        <v>7.5898500000000002</v>
      </c>
      <c r="CA22" s="48">
        <f t="shared" si="34"/>
        <v>14.825541666666666</v>
      </c>
      <c r="CB22" s="48">
        <f t="shared" si="35"/>
        <v>20.852408333333333</v>
      </c>
      <c r="CC22" s="48">
        <f t="shared" si="36"/>
        <v>2.9806208333333335</v>
      </c>
      <c r="CD22" s="47">
        <f t="shared" si="37"/>
        <v>187.6491125</v>
      </c>
      <c r="CE22" s="66">
        <v>3152880</v>
      </c>
      <c r="CF22" s="62">
        <f>7560+81000+1440</f>
        <v>90000</v>
      </c>
      <c r="CG22" s="74">
        <v>-243216</v>
      </c>
      <c r="CH22" s="75">
        <f t="shared" si="38"/>
        <v>2999664</v>
      </c>
      <c r="CI22" s="62">
        <f>42500+30300+10000</f>
        <v>82800</v>
      </c>
      <c r="CJ22" s="62">
        <v>77022</v>
      </c>
      <c r="CK22" s="62">
        <v>362250</v>
      </c>
      <c r="CL22" s="62">
        <f>156250</f>
        <v>156250</v>
      </c>
      <c r="CM22" s="62">
        <f>77457+106135</f>
        <v>183592</v>
      </c>
      <c r="CN22" s="62">
        <v>125000</v>
      </c>
      <c r="CO22" s="62">
        <v>70000</v>
      </c>
      <c r="CP22" s="75">
        <f t="shared" si="3"/>
        <v>1056914</v>
      </c>
      <c r="CQ22" s="62">
        <v>75000</v>
      </c>
      <c r="CR22" s="75">
        <f t="shared" si="4"/>
        <v>1131914</v>
      </c>
      <c r="CS22" s="75">
        <f t="shared" si="39"/>
        <v>1942750</v>
      </c>
      <c r="CT22" s="62">
        <f>6250+1230344+149700</f>
        <v>1386294</v>
      </c>
      <c r="CU22" s="47">
        <f t="shared" si="40"/>
        <v>556456</v>
      </c>
      <c r="CV22" s="76">
        <f t="shared" si="41"/>
        <v>0.64765587079086195</v>
      </c>
      <c r="CW22" s="75">
        <f t="shared" si="42"/>
        <v>4527.6559999999999</v>
      </c>
      <c r="CX22" s="77">
        <f t="shared" si="43"/>
        <v>0.37734692952277321</v>
      </c>
      <c r="CY22" s="75">
        <f t="shared" si="44"/>
        <v>2225.8240000000001</v>
      </c>
      <c r="CZ22" s="77">
        <f t="shared" si="45"/>
        <v>0.18550611001765532</v>
      </c>
      <c r="DA22" s="77">
        <f t="shared" si="46"/>
        <v>0.46214976077320657</v>
      </c>
      <c r="DB22" s="47">
        <f t="shared" si="47"/>
        <v>118000</v>
      </c>
      <c r="DC22" s="69">
        <f t="shared" si="48"/>
        <v>12611.52</v>
      </c>
      <c r="DD22" s="70">
        <f t="shared" si="49"/>
        <v>360</v>
      </c>
      <c r="DE22" s="70">
        <f t="shared" si="50"/>
        <v>-972.86400000000003</v>
      </c>
      <c r="DF22" s="70">
        <f t="shared" si="51"/>
        <v>11998.656000000001</v>
      </c>
      <c r="DG22" s="70">
        <f t="shared" si="52"/>
        <v>331.2</v>
      </c>
      <c r="DH22" s="70">
        <f t="shared" si="53"/>
        <v>308.08800000000002</v>
      </c>
      <c r="DI22" s="70">
        <f t="shared" si="54"/>
        <v>1449</v>
      </c>
      <c r="DJ22" s="70">
        <f t="shared" si="55"/>
        <v>625</v>
      </c>
      <c r="DK22" s="70">
        <f t="shared" si="56"/>
        <v>734.36800000000005</v>
      </c>
      <c r="DL22" s="70">
        <f t="shared" si="57"/>
        <v>500</v>
      </c>
      <c r="DM22" s="70">
        <f t="shared" si="58"/>
        <v>280</v>
      </c>
      <c r="DN22" s="70">
        <f t="shared" si="59"/>
        <v>4227.6559999999999</v>
      </c>
      <c r="DO22" s="70">
        <f t="shared" si="60"/>
        <v>300</v>
      </c>
      <c r="DP22" s="70">
        <f t="shared" si="61"/>
        <v>4527.6559999999999</v>
      </c>
      <c r="DQ22" s="70">
        <f t="shared" si="62"/>
        <v>7771</v>
      </c>
      <c r="DR22" s="70">
        <f t="shared" si="63"/>
        <v>5545.1760000000004</v>
      </c>
      <c r="DS22" s="71">
        <f t="shared" si="64"/>
        <v>2225.8240000000001</v>
      </c>
      <c r="DT22" s="106">
        <f t="shared" si="65"/>
        <v>1.0510777207047188</v>
      </c>
      <c r="DU22" s="92">
        <f t="shared" si="66"/>
        <v>3.0003360376362153E-2</v>
      </c>
      <c r="DV22" s="92" t="str">
        <f t="shared" si="67"/>
        <v/>
      </c>
      <c r="DW22" s="92">
        <f t="shared" si="68"/>
        <v>1</v>
      </c>
      <c r="DX22" s="92">
        <f t="shared" si="69"/>
        <v>2.7603091546253181E-2</v>
      </c>
      <c r="DY22" s="92">
        <f t="shared" si="70"/>
        <v>2.5676875810090729E-2</v>
      </c>
      <c r="DZ22" s="92">
        <f t="shared" si="71"/>
        <v>0.12076352551485767</v>
      </c>
      <c r="EA22" s="92">
        <f t="shared" si="72"/>
        <v>5.2089167320073182E-2</v>
      </c>
      <c r="EB22" s="92">
        <f t="shared" si="73"/>
        <v>6.1204188202412003E-2</v>
      </c>
      <c r="EC22" s="92">
        <f t="shared" si="74"/>
        <v>4.1671333856058548E-2</v>
      </c>
      <c r="ED22" s="92">
        <f t="shared" si="75"/>
        <v>2.3335946959392784E-2</v>
      </c>
      <c r="EE22" s="92">
        <f t="shared" si="76"/>
        <v>0.3523441292091381</v>
      </c>
      <c r="EF22" s="92">
        <f t="shared" si="77"/>
        <v>2.5002800313635127E-2</v>
      </c>
      <c r="EG22" s="92">
        <f t="shared" si="78"/>
        <v>0.37734692952277321</v>
      </c>
      <c r="EH22" s="92">
        <f t="shared" si="79"/>
        <v>0.64765587079086195</v>
      </c>
      <c r="EI22" s="92">
        <f t="shared" si="80"/>
        <v>0.46214976077320657</v>
      </c>
      <c r="EJ22" s="122">
        <f t="shared" si="81"/>
        <v>0.18550611001765532</v>
      </c>
    </row>
    <row r="23" spans="2:140" ht="12" hidden="1" customHeight="1" outlineLevel="1">
      <c r="B23" s="121">
        <v>44750</v>
      </c>
      <c r="C23" s="117" t="s">
        <v>264</v>
      </c>
      <c r="D23" s="50" t="s">
        <v>265</v>
      </c>
      <c r="E23" s="50" t="s">
        <v>266</v>
      </c>
      <c r="F23" s="50" t="s">
        <v>267</v>
      </c>
      <c r="G23" s="50" t="s">
        <v>268</v>
      </c>
      <c r="H23" s="50" t="s">
        <v>269</v>
      </c>
      <c r="I23" s="51" t="s">
        <v>270</v>
      </c>
      <c r="J23" s="52" t="s">
        <v>271</v>
      </c>
      <c r="K23" s="50" t="s">
        <v>272</v>
      </c>
      <c r="L23" s="49">
        <v>1</v>
      </c>
      <c r="M23" s="50" t="s">
        <v>159</v>
      </c>
      <c r="N23" s="50" t="s">
        <v>244</v>
      </c>
      <c r="O23" s="50" t="s">
        <v>160</v>
      </c>
      <c r="P23" s="50" t="s">
        <v>273</v>
      </c>
      <c r="Q23" s="53">
        <v>0.09</v>
      </c>
      <c r="R23" s="49">
        <v>124</v>
      </c>
      <c r="S23" s="49">
        <v>0</v>
      </c>
      <c r="T23" s="54">
        <f t="shared" si="0"/>
        <v>124</v>
      </c>
      <c r="U23" s="55">
        <v>92124</v>
      </c>
      <c r="V23" s="49">
        <v>3.9</v>
      </c>
      <c r="W23" s="56">
        <f t="shared" si="7"/>
        <v>31.794871794871796</v>
      </c>
      <c r="X23" s="49" t="s">
        <v>274</v>
      </c>
      <c r="Y23" s="57" t="s">
        <v>162</v>
      </c>
      <c r="Z23" s="58">
        <v>6700500</v>
      </c>
      <c r="AA23" s="114">
        <v>4.4999999999999998E-2</v>
      </c>
      <c r="AB23" s="59">
        <v>15</v>
      </c>
      <c r="AC23" s="60">
        <v>35</v>
      </c>
      <c r="AD23" s="61">
        <v>4.4999999999999998E-2</v>
      </c>
      <c r="AE23" s="62">
        <v>6700000</v>
      </c>
      <c r="AF23" s="63">
        <v>1.17</v>
      </c>
      <c r="AG23" s="59"/>
      <c r="AH23" s="60"/>
      <c r="AI23" s="61"/>
      <c r="AJ23" s="64"/>
      <c r="AK23" s="65">
        <f t="shared" si="8"/>
        <v>6700000</v>
      </c>
      <c r="AL23" s="62">
        <v>500</v>
      </c>
      <c r="AM23" s="49" t="s">
        <v>163</v>
      </c>
      <c r="AN23" s="67">
        <v>0.9</v>
      </c>
      <c r="AO23" s="62">
        <v>21411546</v>
      </c>
      <c r="AP23" s="62">
        <v>0</v>
      </c>
      <c r="AQ23" s="68">
        <v>934669</v>
      </c>
      <c r="AR23" s="69">
        <f t="shared" si="9"/>
        <v>54032.258064516129</v>
      </c>
      <c r="AS23" s="70" t="str">
        <f>IFERROR(IF(#REF!&gt;0,#REF!/T23,""),"")</f>
        <v/>
      </c>
      <c r="AT23" s="70">
        <f t="shared" si="10"/>
        <v>172673.75806451612</v>
      </c>
      <c r="AU23" s="70">
        <f t="shared" si="11"/>
        <v>4.032258064516129</v>
      </c>
      <c r="AV23" s="71">
        <f t="shared" si="12"/>
        <v>7537.6532258064517</v>
      </c>
      <c r="AW23" s="115">
        <f t="shared" si="13"/>
        <v>138291.25806451612</v>
      </c>
      <c r="AX23" s="116">
        <f t="shared" si="14"/>
        <v>186.14167860709478</v>
      </c>
      <c r="AY23" s="72">
        <f t="shared" si="15"/>
        <v>171007.44354838709</v>
      </c>
      <c r="AZ23" s="73">
        <f t="shared" si="16"/>
        <v>230.17805349311797</v>
      </c>
      <c r="BA23" s="66">
        <v>300000</v>
      </c>
      <c r="BB23" s="62">
        <v>1641147</v>
      </c>
      <c r="BC23" s="62">
        <v>15506969</v>
      </c>
      <c r="BD23" s="62">
        <v>1457590</v>
      </c>
      <c r="BE23" s="62">
        <v>2599217</v>
      </c>
      <c r="BF23" s="62">
        <v>1504739</v>
      </c>
      <c r="BG23" s="62">
        <v>2217562</v>
      </c>
      <c r="BH23" s="62">
        <v>2304454</v>
      </c>
      <c r="BI23" s="62">
        <v>580268</v>
      </c>
      <c r="BJ23" s="47">
        <f t="shared" si="17"/>
        <v>28111946</v>
      </c>
      <c r="BK23" s="69">
        <f t="shared" si="18"/>
        <v>2419.3548387096776</v>
      </c>
      <c r="BL23" s="70">
        <f t="shared" si="19"/>
        <v>13235.056451612903</v>
      </c>
      <c r="BM23" s="70">
        <f t="shared" si="20"/>
        <v>125056.20161290323</v>
      </c>
      <c r="BN23" s="70">
        <f t="shared" si="21"/>
        <v>11754.758064516129</v>
      </c>
      <c r="BO23" s="70">
        <f t="shared" si="22"/>
        <v>20961.427419354837</v>
      </c>
      <c r="BP23" s="70">
        <f t="shared" si="23"/>
        <v>12134.991935483871</v>
      </c>
      <c r="BQ23" s="70">
        <f t="shared" si="24"/>
        <v>17883.564516129034</v>
      </c>
      <c r="BR23" s="70">
        <f t="shared" si="25"/>
        <v>18584.306451612902</v>
      </c>
      <c r="BS23" s="70">
        <f t="shared" si="26"/>
        <v>4679.5806451612907</v>
      </c>
      <c r="BT23" s="71">
        <f t="shared" si="27"/>
        <v>226709.24193548388</v>
      </c>
      <c r="BU23" s="65">
        <f t="shared" si="28"/>
        <v>3.256480395988016</v>
      </c>
      <c r="BV23" s="48">
        <f t="shared" si="29"/>
        <v>17.814543441448482</v>
      </c>
      <c r="BW23" s="48">
        <f t="shared" si="30"/>
        <v>168.3271351656463</v>
      </c>
      <c r="BX23" s="48">
        <f t="shared" si="31"/>
        <v>15.822044201293908</v>
      </c>
      <c r="BY23" s="48">
        <f t="shared" si="32"/>
        <v>28.214330684729276</v>
      </c>
      <c r="BZ23" s="48">
        <f t="shared" si="33"/>
        <v>16.333843515262039</v>
      </c>
      <c r="CA23" s="48">
        <f t="shared" si="34"/>
        <v>24.071490599626589</v>
      </c>
      <c r="CB23" s="48">
        <f t="shared" si="35"/>
        <v>25.014697581520558</v>
      </c>
      <c r="CC23" s="48">
        <f t="shared" si="36"/>
        <v>6.2987712213972475</v>
      </c>
      <c r="CD23" s="47">
        <f t="shared" si="37"/>
        <v>305.15333680691242</v>
      </c>
      <c r="CE23" s="66">
        <v>1076640</v>
      </c>
      <c r="CF23" s="62">
        <v>16368</v>
      </c>
      <c r="CG23" s="74">
        <v>-81976</v>
      </c>
      <c r="CH23" s="75">
        <f t="shared" si="38"/>
        <v>1011032</v>
      </c>
      <c r="CI23" s="62">
        <f>28840+0+4960</f>
        <v>33800</v>
      </c>
      <c r="CJ23" s="62">
        <v>42969</v>
      </c>
      <c r="CK23" s="62">
        <v>142216</v>
      </c>
      <c r="CL23" s="62">
        <v>77160</v>
      </c>
      <c r="CM23" s="62">
        <f>15000+59500</f>
        <v>74500</v>
      </c>
      <c r="CN23" s="62">
        <v>43400</v>
      </c>
      <c r="CO23" s="62">
        <v>113444</v>
      </c>
      <c r="CP23" s="75">
        <f t="shared" si="3"/>
        <v>527489</v>
      </c>
      <c r="CQ23" s="62">
        <v>37200</v>
      </c>
      <c r="CR23" s="75">
        <f t="shared" si="4"/>
        <v>564689</v>
      </c>
      <c r="CS23" s="75">
        <f t="shared" si="39"/>
        <v>483543</v>
      </c>
      <c r="CT23" s="62">
        <v>380498</v>
      </c>
      <c r="CU23" s="47">
        <f t="shared" si="40"/>
        <v>103045</v>
      </c>
      <c r="CV23" s="76">
        <f t="shared" si="41"/>
        <v>0.47826676109163707</v>
      </c>
      <c r="CW23" s="75">
        <f t="shared" si="42"/>
        <v>4553.9435483870966</v>
      </c>
      <c r="CX23" s="77">
        <f t="shared" si="43"/>
        <v>0.55852732653368042</v>
      </c>
      <c r="CY23" s="75">
        <f t="shared" si="44"/>
        <v>831.00806451612902</v>
      </c>
      <c r="CZ23" s="77">
        <f t="shared" si="45"/>
        <v>0.10192061181050649</v>
      </c>
      <c r="DA23" s="77">
        <f t="shared" si="46"/>
        <v>0.37634614928113058</v>
      </c>
      <c r="DB23" s="47">
        <f t="shared" si="47"/>
        <v>54032.258064516129</v>
      </c>
      <c r="DC23" s="69">
        <f t="shared" si="48"/>
        <v>8682.5806451612898</v>
      </c>
      <c r="DD23" s="70">
        <f t="shared" si="49"/>
        <v>132</v>
      </c>
      <c r="DE23" s="70">
        <f t="shared" si="50"/>
        <v>-661.09677419354841</v>
      </c>
      <c r="DF23" s="70">
        <f t="shared" si="51"/>
        <v>8153.4838709677415</v>
      </c>
      <c r="DG23" s="70">
        <f t="shared" si="52"/>
        <v>272.58064516129031</v>
      </c>
      <c r="DH23" s="70">
        <f t="shared" si="53"/>
        <v>346.52419354838707</v>
      </c>
      <c r="DI23" s="70">
        <f t="shared" si="54"/>
        <v>1146.9032258064517</v>
      </c>
      <c r="DJ23" s="70">
        <f t="shared" si="55"/>
        <v>622.25806451612902</v>
      </c>
      <c r="DK23" s="70">
        <f t="shared" si="56"/>
        <v>600.80645161290317</v>
      </c>
      <c r="DL23" s="70">
        <f t="shared" si="57"/>
        <v>350</v>
      </c>
      <c r="DM23" s="70">
        <f t="shared" si="58"/>
        <v>914.87096774193549</v>
      </c>
      <c r="DN23" s="70">
        <f t="shared" si="59"/>
        <v>4253.9435483870966</v>
      </c>
      <c r="DO23" s="70">
        <f t="shared" si="60"/>
        <v>300</v>
      </c>
      <c r="DP23" s="70">
        <f t="shared" si="61"/>
        <v>4553.9435483870966</v>
      </c>
      <c r="DQ23" s="70">
        <f t="shared" si="62"/>
        <v>3899.5403225806454</v>
      </c>
      <c r="DR23" s="70">
        <f t="shared" si="63"/>
        <v>3068.5322580645161</v>
      </c>
      <c r="DS23" s="71">
        <f t="shared" si="64"/>
        <v>831.00806451612902</v>
      </c>
      <c r="DT23" s="106">
        <f t="shared" si="65"/>
        <v>1.0648921102398341</v>
      </c>
      <c r="DU23" s="92">
        <f t="shared" si="66"/>
        <v>1.6189398555139699E-2</v>
      </c>
      <c r="DV23" s="92" t="str">
        <f t="shared" si="67"/>
        <v/>
      </c>
      <c r="DW23" s="92">
        <f t="shared" si="68"/>
        <v>1</v>
      </c>
      <c r="DX23" s="92">
        <f t="shared" si="69"/>
        <v>3.3431187143433641E-2</v>
      </c>
      <c r="DY23" s="92">
        <f t="shared" si="70"/>
        <v>4.2500138472372787E-2</v>
      </c>
      <c r="DZ23" s="92">
        <f t="shared" si="71"/>
        <v>0.1406641926269396</v>
      </c>
      <c r="EA23" s="92">
        <f t="shared" si="72"/>
        <v>7.6318059171223071E-2</v>
      </c>
      <c r="EB23" s="92">
        <f t="shared" si="73"/>
        <v>7.3687084088337462E-2</v>
      </c>
      <c r="EC23" s="92">
        <f t="shared" si="74"/>
        <v>4.2926435562870416E-2</v>
      </c>
      <c r="ED23" s="92">
        <f t="shared" si="75"/>
        <v>0.11220614184318597</v>
      </c>
      <c r="EE23" s="92">
        <f t="shared" si="76"/>
        <v>0.52173323890836298</v>
      </c>
      <c r="EF23" s="92">
        <f t="shared" si="77"/>
        <v>3.6794087625317495E-2</v>
      </c>
      <c r="EG23" s="92">
        <f t="shared" si="78"/>
        <v>0.55852732653368042</v>
      </c>
      <c r="EH23" s="92">
        <f t="shared" si="79"/>
        <v>0.47826676109163707</v>
      </c>
      <c r="EI23" s="92">
        <f t="shared" si="80"/>
        <v>0.37634614928113058</v>
      </c>
      <c r="EJ23" s="122">
        <f t="shared" si="81"/>
        <v>0.10192061181050649</v>
      </c>
    </row>
    <row r="24" spans="2:140" ht="12" hidden="1" customHeight="1" outlineLevel="1">
      <c r="B24" s="121">
        <v>44753</v>
      </c>
      <c r="C24" s="117">
        <v>22446</v>
      </c>
      <c r="D24" s="50" t="s">
        <v>275</v>
      </c>
      <c r="E24" s="50" t="s">
        <v>171</v>
      </c>
      <c r="F24" s="50" t="s">
        <v>276</v>
      </c>
      <c r="G24" s="50" t="s">
        <v>171</v>
      </c>
      <c r="H24" s="50" t="s">
        <v>155</v>
      </c>
      <c r="I24" s="51" t="s">
        <v>226</v>
      </c>
      <c r="J24" s="52" t="s">
        <v>168</v>
      </c>
      <c r="K24" s="50" t="s">
        <v>169</v>
      </c>
      <c r="L24" s="49">
        <v>7</v>
      </c>
      <c r="M24" s="50" t="s">
        <v>159</v>
      </c>
      <c r="N24" s="50" t="s">
        <v>160</v>
      </c>
      <c r="O24" s="50" t="s">
        <v>160</v>
      </c>
      <c r="P24" s="50" t="s">
        <v>177</v>
      </c>
      <c r="Q24" s="53">
        <v>0.04</v>
      </c>
      <c r="R24" s="49">
        <v>330</v>
      </c>
      <c r="S24" s="49">
        <v>0</v>
      </c>
      <c r="T24" s="54">
        <f t="shared" si="0"/>
        <v>330</v>
      </c>
      <c r="U24" s="55">
        <v>338472</v>
      </c>
      <c r="V24" s="49">
        <v>20.07</v>
      </c>
      <c r="W24" s="56">
        <f t="shared" si="7"/>
        <v>16.442451420029894</v>
      </c>
      <c r="X24" s="49" t="s">
        <v>163</v>
      </c>
      <c r="Y24" s="57" t="s">
        <v>162</v>
      </c>
      <c r="Z24" s="58">
        <v>2272000</v>
      </c>
      <c r="AA24" s="114">
        <v>4.8000000000000001E-2</v>
      </c>
      <c r="AB24" s="59">
        <v>18</v>
      </c>
      <c r="AC24" s="60">
        <v>40</v>
      </c>
      <c r="AD24" s="61">
        <v>4.8000000000000001E-2</v>
      </c>
      <c r="AE24" s="62">
        <v>2272000</v>
      </c>
      <c r="AF24" s="63">
        <v>1.1599999999999999</v>
      </c>
      <c r="AG24" s="59"/>
      <c r="AH24" s="60"/>
      <c r="AI24" s="61"/>
      <c r="AJ24" s="64"/>
      <c r="AK24" s="65">
        <f t="shared" si="8"/>
        <v>2272000</v>
      </c>
      <c r="AL24" s="62">
        <v>100</v>
      </c>
      <c r="AM24" s="49" t="s">
        <v>163</v>
      </c>
      <c r="AN24" s="67">
        <v>0.91</v>
      </c>
      <c r="AO24" s="62">
        <v>34019265</v>
      </c>
      <c r="AP24" s="62">
        <v>0</v>
      </c>
      <c r="AQ24" s="68">
        <v>5040528</v>
      </c>
      <c r="AR24" s="69">
        <f t="shared" si="9"/>
        <v>6884.848484848485</v>
      </c>
      <c r="AS24" s="70" t="str">
        <f>IFERROR(IF(#REF!&gt;0,#REF!/T24,""),"")</f>
        <v/>
      </c>
      <c r="AT24" s="70">
        <f t="shared" si="10"/>
        <v>103088.68181818182</v>
      </c>
      <c r="AU24" s="70">
        <f t="shared" si="11"/>
        <v>0.30303030303030304</v>
      </c>
      <c r="AV24" s="71">
        <f t="shared" si="12"/>
        <v>15274.327272727272</v>
      </c>
      <c r="AW24" s="115">
        <f t="shared" si="13"/>
        <v>123008.15151515152</v>
      </c>
      <c r="AX24" s="116">
        <f t="shared" si="14"/>
        <v>119.92924082346546</v>
      </c>
      <c r="AY24" s="72">
        <f t="shared" si="15"/>
        <v>143415.52121212121</v>
      </c>
      <c r="AZ24" s="73">
        <f t="shared" si="16"/>
        <v>139.82581129310549</v>
      </c>
      <c r="BA24" s="66">
        <v>3783294</v>
      </c>
      <c r="BB24" s="62">
        <v>7849640</v>
      </c>
      <c r="BC24" s="62">
        <v>32743050</v>
      </c>
      <c r="BD24" s="62">
        <v>1190066</v>
      </c>
      <c r="BE24" s="62">
        <v>5544366</v>
      </c>
      <c r="BF24" s="62">
        <v>4330523</v>
      </c>
      <c r="BG24" s="62">
        <v>8595731</v>
      </c>
      <c r="BH24" s="62">
        <v>7988000</v>
      </c>
      <c r="BI24" s="62">
        <v>1804695</v>
      </c>
      <c r="BJ24" s="47">
        <f t="shared" si="17"/>
        <v>73829365</v>
      </c>
      <c r="BK24" s="69">
        <f t="shared" si="18"/>
        <v>11464.527272727273</v>
      </c>
      <c r="BL24" s="70">
        <f t="shared" si="19"/>
        <v>23786.78787878788</v>
      </c>
      <c r="BM24" s="70">
        <f t="shared" si="20"/>
        <v>99221.363636363632</v>
      </c>
      <c r="BN24" s="70">
        <f t="shared" si="21"/>
        <v>3606.2606060606063</v>
      </c>
      <c r="BO24" s="70">
        <f t="shared" si="22"/>
        <v>16801.109090909093</v>
      </c>
      <c r="BP24" s="70">
        <f t="shared" si="23"/>
        <v>13122.79696969697</v>
      </c>
      <c r="BQ24" s="70">
        <f t="shared" si="24"/>
        <v>26047.669696969697</v>
      </c>
      <c r="BR24" s="70">
        <f t="shared" si="25"/>
        <v>24206.060606060608</v>
      </c>
      <c r="BS24" s="70">
        <f t="shared" si="26"/>
        <v>5468.772727272727</v>
      </c>
      <c r="BT24" s="71">
        <f t="shared" si="27"/>
        <v>223725.34848484848</v>
      </c>
      <c r="BU24" s="65">
        <f t="shared" si="28"/>
        <v>11.177568602425016</v>
      </c>
      <c r="BV24" s="48">
        <f t="shared" si="29"/>
        <v>23.19140135668534</v>
      </c>
      <c r="BW24" s="48">
        <f t="shared" si="30"/>
        <v>96.737839466780116</v>
      </c>
      <c r="BX24" s="48">
        <f t="shared" si="31"/>
        <v>3.5159954146871826</v>
      </c>
      <c r="BY24" s="48">
        <f t="shared" si="32"/>
        <v>16.380575054952846</v>
      </c>
      <c r="BZ24" s="48">
        <f t="shared" si="33"/>
        <v>12.794331584296485</v>
      </c>
      <c r="CA24" s="48">
        <f t="shared" si="34"/>
        <v>25.39569299676192</v>
      </c>
      <c r="CB24" s="48">
        <f t="shared" si="35"/>
        <v>23.600179630811411</v>
      </c>
      <c r="CC24" s="48">
        <f t="shared" si="36"/>
        <v>5.3318886052612919</v>
      </c>
      <c r="CD24" s="47">
        <f t="shared" si="37"/>
        <v>218.1254727126616</v>
      </c>
      <c r="CE24" s="66">
        <v>4510644</v>
      </c>
      <c r="CF24" s="62">
        <v>79200</v>
      </c>
      <c r="CG24" s="74">
        <v>-344238</v>
      </c>
      <c r="CH24" s="75">
        <f t="shared" si="38"/>
        <v>4245606</v>
      </c>
      <c r="CI24" s="62">
        <f>165000+39600+13200</f>
        <v>217800</v>
      </c>
      <c r="CJ24" s="62">
        <v>169824</v>
      </c>
      <c r="CK24" s="62">
        <v>478500</v>
      </c>
      <c r="CL24" s="62">
        <f>297000+0</f>
        <v>297000</v>
      </c>
      <c r="CM24" s="62">
        <f>50208+81792</f>
        <v>132000</v>
      </c>
      <c r="CN24" s="62">
        <v>217800</v>
      </c>
      <c r="CO24" s="62">
        <v>13985</v>
      </c>
      <c r="CP24" s="75">
        <f t="shared" si="3"/>
        <v>1526909</v>
      </c>
      <c r="CQ24" s="62">
        <v>82500</v>
      </c>
      <c r="CR24" s="75">
        <f t="shared" si="4"/>
        <v>1609409</v>
      </c>
      <c r="CS24" s="75">
        <f t="shared" si="39"/>
        <v>2718697</v>
      </c>
      <c r="CT24" s="62">
        <f>3500+2272000</f>
        <v>2275500</v>
      </c>
      <c r="CU24" s="47">
        <f t="shared" si="40"/>
        <v>443197</v>
      </c>
      <c r="CV24" s="76">
        <f t="shared" si="41"/>
        <v>0.64035546397852272</v>
      </c>
      <c r="CW24" s="75">
        <f t="shared" si="42"/>
        <v>4876.9969696969692</v>
      </c>
      <c r="CX24" s="77">
        <f t="shared" si="43"/>
        <v>0.37907639097928542</v>
      </c>
      <c r="CY24" s="75">
        <f t="shared" si="44"/>
        <v>1343.0212121212121</v>
      </c>
      <c r="CZ24" s="77">
        <f t="shared" si="45"/>
        <v>0.10438957359679631</v>
      </c>
      <c r="DA24" s="77">
        <f t="shared" si="46"/>
        <v>0.53596589038172637</v>
      </c>
      <c r="DB24" s="47">
        <f t="shared" si="47"/>
        <v>6884.848484848485</v>
      </c>
      <c r="DC24" s="69">
        <f t="shared" si="48"/>
        <v>13668.618181818181</v>
      </c>
      <c r="DD24" s="70">
        <f t="shared" si="49"/>
        <v>240</v>
      </c>
      <c r="DE24" s="70">
        <f t="shared" si="50"/>
        <v>-1043.1454545454546</v>
      </c>
      <c r="DF24" s="70">
        <f t="shared" si="51"/>
        <v>12865.472727272727</v>
      </c>
      <c r="DG24" s="70">
        <f t="shared" si="52"/>
        <v>660</v>
      </c>
      <c r="DH24" s="70">
        <f t="shared" si="53"/>
        <v>514.61818181818182</v>
      </c>
      <c r="DI24" s="70">
        <f t="shared" si="54"/>
        <v>1450</v>
      </c>
      <c r="DJ24" s="70">
        <f t="shared" si="55"/>
        <v>900</v>
      </c>
      <c r="DK24" s="70">
        <f t="shared" si="56"/>
        <v>400</v>
      </c>
      <c r="DL24" s="70">
        <f t="shared" si="57"/>
        <v>660</v>
      </c>
      <c r="DM24" s="70">
        <f t="shared" si="58"/>
        <v>42.378787878787875</v>
      </c>
      <c r="DN24" s="70">
        <f t="shared" si="59"/>
        <v>4626.9969696969692</v>
      </c>
      <c r="DO24" s="70">
        <f t="shared" si="60"/>
        <v>250</v>
      </c>
      <c r="DP24" s="70">
        <f t="shared" si="61"/>
        <v>4876.9969696969692</v>
      </c>
      <c r="DQ24" s="70">
        <f t="shared" si="62"/>
        <v>8238.4757575757576</v>
      </c>
      <c r="DR24" s="70">
        <f t="shared" si="63"/>
        <v>6895.454545454545</v>
      </c>
      <c r="DS24" s="71">
        <f t="shared" si="64"/>
        <v>1343.0212121212121</v>
      </c>
      <c r="DT24" s="106">
        <f t="shared" si="65"/>
        <v>1.0624264239310006</v>
      </c>
      <c r="DU24" s="92">
        <f t="shared" si="66"/>
        <v>1.8654580759495817E-2</v>
      </c>
      <c r="DV24" s="92" t="str">
        <f t="shared" si="67"/>
        <v/>
      </c>
      <c r="DW24" s="92">
        <f t="shared" si="68"/>
        <v>1</v>
      </c>
      <c r="DX24" s="92">
        <f t="shared" si="69"/>
        <v>5.1300097088613501E-2</v>
      </c>
      <c r="DY24" s="92">
        <f t="shared" si="70"/>
        <v>3.9999943470967393E-2</v>
      </c>
      <c r="DZ24" s="92">
        <f t="shared" si="71"/>
        <v>0.11270475875528724</v>
      </c>
      <c r="EA24" s="92">
        <f t="shared" si="72"/>
        <v>6.9954677848109312E-2</v>
      </c>
      <c r="EB24" s="92">
        <f t="shared" si="73"/>
        <v>3.1090967932493028E-2</v>
      </c>
      <c r="EC24" s="92">
        <f t="shared" si="74"/>
        <v>5.1300097088613501E-2</v>
      </c>
      <c r="ED24" s="92">
        <f t="shared" si="75"/>
        <v>3.2939938373932956E-3</v>
      </c>
      <c r="EE24" s="92">
        <f t="shared" si="76"/>
        <v>0.35964453602147728</v>
      </c>
      <c r="EF24" s="92">
        <f t="shared" si="77"/>
        <v>1.9431854957808144E-2</v>
      </c>
      <c r="EG24" s="92">
        <f t="shared" si="78"/>
        <v>0.37907639097928542</v>
      </c>
      <c r="EH24" s="92">
        <f t="shared" si="79"/>
        <v>0.64035546397852272</v>
      </c>
      <c r="EI24" s="92">
        <f t="shared" si="80"/>
        <v>0.53596589038172637</v>
      </c>
      <c r="EJ24" s="122">
        <f t="shared" si="81"/>
        <v>0.10438957359679631</v>
      </c>
    </row>
    <row r="25" spans="2:140" ht="12" hidden="1" customHeight="1" outlineLevel="1">
      <c r="B25" s="121">
        <v>44755</v>
      </c>
      <c r="C25" s="117">
        <v>22443</v>
      </c>
      <c r="D25" s="50" t="s">
        <v>277</v>
      </c>
      <c r="E25" s="50" t="s">
        <v>278</v>
      </c>
      <c r="F25" s="50" t="s">
        <v>279</v>
      </c>
      <c r="G25" s="50" t="s">
        <v>154</v>
      </c>
      <c r="H25" s="50" t="s">
        <v>280</v>
      </c>
      <c r="I25" s="51" t="s">
        <v>248</v>
      </c>
      <c r="J25" s="52" t="s">
        <v>281</v>
      </c>
      <c r="K25" s="50" t="s">
        <v>282</v>
      </c>
      <c r="L25" s="49">
        <v>7</v>
      </c>
      <c r="M25" s="50" t="s">
        <v>283</v>
      </c>
      <c r="N25" s="50" t="s">
        <v>244</v>
      </c>
      <c r="O25" s="50" t="s">
        <v>160</v>
      </c>
      <c r="P25" s="50" t="s">
        <v>177</v>
      </c>
      <c r="Q25" s="53">
        <v>0.04</v>
      </c>
      <c r="R25" s="49">
        <v>172</v>
      </c>
      <c r="S25" s="49">
        <v>0</v>
      </c>
      <c r="T25" s="54">
        <f t="shared" si="0"/>
        <v>172</v>
      </c>
      <c r="U25" s="55">
        <v>131378</v>
      </c>
      <c r="V25" s="49">
        <v>7.5</v>
      </c>
      <c r="W25" s="56">
        <f t="shared" si="7"/>
        <v>22.933333333333334</v>
      </c>
      <c r="X25" s="49" t="s">
        <v>163</v>
      </c>
      <c r="Y25" s="57" t="s">
        <v>162</v>
      </c>
      <c r="Z25" s="58">
        <v>21200000</v>
      </c>
      <c r="AA25" s="114">
        <v>4.5400000000000003E-2</v>
      </c>
      <c r="AB25" s="59">
        <v>15</v>
      </c>
      <c r="AC25" s="60">
        <v>40</v>
      </c>
      <c r="AD25" s="61">
        <v>4.5400000000000003E-2</v>
      </c>
      <c r="AE25" s="62">
        <v>21200000</v>
      </c>
      <c r="AF25" s="63">
        <v>1.1499999999999999</v>
      </c>
      <c r="AG25" s="59"/>
      <c r="AH25" s="60"/>
      <c r="AI25" s="61"/>
      <c r="AJ25" s="64"/>
      <c r="AK25" s="65">
        <f t="shared" si="8"/>
        <v>21200000</v>
      </c>
      <c r="AL25" s="62">
        <v>0</v>
      </c>
      <c r="AM25" s="49" t="s">
        <v>163</v>
      </c>
      <c r="AN25" s="67">
        <v>0.92</v>
      </c>
      <c r="AO25" s="62">
        <v>21079948</v>
      </c>
      <c r="AP25" s="62">
        <v>0</v>
      </c>
      <c r="AQ25" s="68">
        <v>3856257</v>
      </c>
      <c r="AR25" s="69">
        <f t="shared" si="9"/>
        <v>123255.81395348837</v>
      </c>
      <c r="AS25" s="70" t="str">
        <f>IFERROR(IF(#REF!&gt;0,#REF!/T25,""),"")</f>
        <v/>
      </c>
      <c r="AT25" s="70">
        <f t="shared" si="10"/>
        <v>122557.83720930232</v>
      </c>
      <c r="AU25" s="70" t="str">
        <f t="shared" si="11"/>
        <v/>
      </c>
      <c r="AV25" s="71">
        <f t="shared" si="12"/>
        <v>22420.098837209302</v>
      </c>
      <c r="AW25" s="115">
        <f t="shared" si="13"/>
        <v>126317.6511627907</v>
      </c>
      <c r="AX25" s="116">
        <f t="shared" si="14"/>
        <v>165.37499429128164</v>
      </c>
      <c r="AY25" s="72">
        <f t="shared" si="15"/>
        <v>152611.4418604651</v>
      </c>
      <c r="AZ25" s="73">
        <f t="shared" si="16"/>
        <v>199.79880954193243</v>
      </c>
      <c r="BA25" s="66">
        <v>2286900</v>
      </c>
      <c r="BB25" s="62">
        <v>2294761</v>
      </c>
      <c r="BC25" s="62">
        <v>19431875</v>
      </c>
      <c r="BD25" s="62">
        <v>1329532</v>
      </c>
      <c r="BE25" s="62">
        <v>3193000</v>
      </c>
      <c r="BF25" s="62">
        <v>1432964</v>
      </c>
      <c r="BG25" s="62">
        <v>6578526</v>
      </c>
      <c r="BH25" s="62">
        <v>4660000</v>
      </c>
      <c r="BI25" s="62">
        <v>1072389</v>
      </c>
      <c r="BJ25" s="47">
        <f t="shared" si="17"/>
        <v>42279947</v>
      </c>
      <c r="BK25" s="69">
        <f t="shared" si="18"/>
        <v>13295.930232558139</v>
      </c>
      <c r="BL25" s="70">
        <f t="shared" si="19"/>
        <v>13341.633720930233</v>
      </c>
      <c r="BM25" s="70">
        <f t="shared" si="20"/>
        <v>112976.01744186046</v>
      </c>
      <c r="BN25" s="70">
        <f t="shared" si="21"/>
        <v>7729.8372093023254</v>
      </c>
      <c r="BO25" s="70">
        <f t="shared" si="22"/>
        <v>18563.953488372092</v>
      </c>
      <c r="BP25" s="70">
        <f t="shared" si="23"/>
        <v>8331.1860465116279</v>
      </c>
      <c r="BQ25" s="70">
        <f t="shared" si="24"/>
        <v>38247.244186046511</v>
      </c>
      <c r="BR25" s="70">
        <f t="shared" si="25"/>
        <v>27093.023255813954</v>
      </c>
      <c r="BS25" s="70">
        <f t="shared" si="26"/>
        <v>6234.8197674418607</v>
      </c>
      <c r="BT25" s="71">
        <f t="shared" si="27"/>
        <v>245813.64534883722</v>
      </c>
      <c r="BU25" s="65">
        <f t="shared" si="28"/>
        <v>17.407024007063587</v>
      </c>
      <c r="BV25" s="48">
        <f t="shared" si="29"/>
        <v>17.466858987045015</v>
      </c>
      <c r="BW25" s="48">
        <f t="shared" si="30"/>
        <v>147.90813530423662</v>
      </c>
      <c r="BX25" s="48">
        <f t="shared" si="31"/>
        <v>10.119898308697042</v>
      </c>
      <c r="BY25" s="48">
        <f t="shared" si="32"/>
        <v>24.303916941953752</v>
      </c>
      <c r="BZ25" s="48">
        <f t="shared" si="33"/>
        <v>10.907183851177518</v>
      </c>
      <c r="CA25" s="48">
        <f t="shared" si="34"/>
        <v>50.073269497176085</v>
      </c>
      <c r="CB25" s="48">
        <f t="shared" si="35"/>
        <v>35.470170043690722</v>
      </c>
      <c r="CC25" s="48">
        <f t="shared" si="36"/>
        <v>8.1626223568634018</v>
      </c>
      <c r="CD25" s="47">
        <f t="shared" si="37"/>
        <v>321.81907929790378</v>
      </c>
      <c r="CE25" s="66">
        <v>2332560</v>
      </c>
      <c r="CF25" s="62">
        <f>21600+8400+31908</f>
        <v>61908</v>
      </c>
      <c r="CG25" s="74">
        <v>-179585</v>
      </c>
      <c r="CH25" s="75">
        <f t="shared" si="38"/>
        <v>2214883</v>
      </c>
      <c r="CI25" s="62">
        <f>32500+0+6880</f>
        <v>39380</v>
      </c>
      <c r="CJ25" s="62">
        <v>66806</v>
      </c>
      <c r="CK25" s="62">
        <v>153400</v>
      </c>
      <c r="CL25" s="62">
        <f>65500+0</f>
        <v>65500</v>
      </c>
      <c r="CM25" s="62">
        <f>135000+123000</f>
        <v>258000</v>
      </c>
      <c r="CN25" s="62">
        <v>60200</v>
      </c>
      <c r="CO25" s="62">
        <v>200000</v>
      </c>
      <c r="CP25" s="75">
        <f t="shared" si="3"/>
        <v>843286</v>
      </c>
      <c r="CQ25" s="62">
        <v>43000</v>
      </c>
      <c r="CR25" s="75">
        <f t="shared" si="4"/>
        <v>886286</v>
      </c>
      <c r="CS25" s="75">
        <f t="shared" si="39"/>
        <v>1371597</v>
      </c>
      <c r="CT25" s="62">
        <f>8256+1150237</f>
        <v>1158493</v>
      </c>
      <c r="CU25" s="47">
        <f t="shared" si="40"/>
        <v>213104</v>
      </c>
      <c r="CV25" s="76">
        <f t="shared" si="41"/>
        <v>0.61926386179315118</v>
      </c>
      <c r="CW25" s="75">
        <f t="shared" si="42"/>
        <v>5152.8255813953492</v>
      </c>
      <c r="CX25" s="77">
        <f t="shared" si="43"/>
        <v>0.40015025624378353</v>
      </c>
      <c r="CY25" s="75">
        <f t="shared" si="44"/>
        <v>1238.9767441860465</v>
      </c>
      <c r="CZ25" s="77">
        <f t="shared" si="45"/>
        <v>9.6214563026579727E-2</v>
      </c>
      <c r="DA25" s="77">
        <f t="shared" si="46"/>
        <v>0.52304929876657147</v>
      </c>
      <c r="DB25" s="47">
        <f t="shared" si="47"/>
        <v>123255.81395348837</v>
      </c>
      <c r="DC25" s="69">
        <f t="shared" si="48"/>
        <v>13561.39534883721</v>
      </c>
      <c r="DD25" s="70">
        <f t="shared" si="49"/>
        <v>359.93023255813955</v>
      </c>
      <c r="DE25" s="70">
        <f t="shared" si="50"/>
        <v>-1044.0988372093022</v>
      </c>
      <c r="DF25" s="70">
        <f t="shared" si="51"/>
        <v>12877.226744186046</v>
      </c>
      <c r="DG25" s="70">
        <f t="shared" si="52"/>
        <v>228.95348837209303</v>
      </c>
      <c r="DH25" s="70">
        <f t="shared" si="53"/>
        <v>388.40697674418607</v>
      </c>
      <c r="DI25" s="70">
        <f t="shared" si="54"/>
        <v>891.8604651162791</v>
      </c>
      <c r="DJ25" s="70">
        <f t="shared" si="55"/>
        <v>380.81395348837208</v>
      </c>
      <c r="DK25" s="70">
        <f t="shared" si="56"/>
        <v>1500</v>
      </c>
      <c r="DL25" s="70">
        <f t="shared" si="57"/>
        <v>350</v>
      </c>
      <c r="DM25" s="70">
        <f t="shared" si="58"/>
        <v>1162.7906976744187</v>
      </c>
      <c r="DN25" s="70">
        <f t="shared" si="59"/>
        <v>4902.8255813953492</v>
      </c>
      <c r="DO25" s="70">
        <f t="shared" si="60"/>
        <v>250</v>
      </c>
      <c r="DP25" s="70">
        <f t="shared" si="61"/>
        <v>5152.8255813953492</v>
      </c>
      <c r="DQ25" s="70">
        <f t="shared" si="62"/>
        <v>7974.4011627906975</v>
      </c>
      <c r="DR25" s="70">
        <f t="shared" si="63"/>
        <v>6735.4244186046508</v>
      </c>
      <c r="DS25" s="71">
        <f t="shared" si="64"/>
        <v>1238.9767441860465</v>
      </c>
      <c r="DT25" s="106">
        <f t="shared" si="65"/>
        <v>1.0531301201914502</v>
      </c>
      <c r="DU25" s="92">
        <f t="shared" si="66"/>
        <v>2.7950912079780288E-2</v>
      </c>
      <c r="DV25" s="92" t="str">
        <f t="shared" si="67"/>
        <v/>
      </c>
      <c r="DW25" s="92">
        <f t="shared" si="68"/>
        <v>1</v>
      </c>
      <c r="DX25" s="92">
        <f t="shared" si="69"/>
        <v>1.7779720192895063E-2</v>
      </c>
      <c r="DY25" s="92">
        <f t="shared" si="70"/>
        <v>3.0162315571522286E-2</v>
      </c>
      <c r="DZ25" s="92">
        <f t="shared" si="71"/>
        <v>6.9258737368971632E-2</v>
      </c>
      <c r="EA25" s="92">
        <f t="shared" si="72"/>
        <v>2.9572668172540038E-2</v>
      </c>
      <c r="EB25" s="92">
        <f t="shared" si="73"/>
        <v>0.1164847082216081</v>
      </c>
      <c r="EC25" s="92">
        <f t="shared" si="74"/>
        <v>2.7179765251708555E-2</v>
      </c>
      <c r="ED25" s="92">
        <f t="shared" si="75"/>
        <v>9.0298223427603172E-2</v>
      </c>
      <c r="EE25" s="92">
        <f t="shared" si="76"/>
        <v>0.38073613820684887</v>
      </c>
      <c r="EF25" s="92">
        <f t="shared" si="77"/>
        <v>1.9414118036934682E-2</v>
      </c>
      <c r="EG25" s="92">
        <f t="shared" si="78"/>
        <v>0.40015025624378353</v>
      </c>
      <c r="EH25" s="92">
        <f t="shared" si="79"/>
        <v>0.61926386179315118</v>
      </c>
      <c r="EI25" s="92">
        <f t="shared" si="80"/>
        <v>0.52304929876657147</v>
      </c>
      <c r="EJ25" s="122">
        <f t="shared" si="81"/>
        <v>9.6214563026579727E-2</v>
      </c>
    </row>
    <row r="26" spans="2:140" ht="12" hidden="1" customHeight="1" outlineLevel="1">
      <c r="B26" s="121">
        <v>44768</v>
      </c>
      <c r="C26" s="117">
        <v>21413</v>
      </c>
      <c r="D26" s="50" t="s">
        <v>284</v>
      </c>
      <c r="E26" s="50" t="s">
        <v>285</v>
      </c>
      <c r="F26" s="50" t="s">
        <v>285</v>
      </c>
      <c r="G26" s="50" t="s">
        <v>162</v>
      </c>
      <c r="H26" s="50" t="s">
        <v>286</v>
      </c>
      <c r="I26" s="51" t="s">
        <v>182</v>
      </c>
      <c r="J26" s="52" t="s">
        <v>175</v>
      </c>
      <c r="K26" s="50" t="s">
        <v>176</v>
      </c>
      <c r="L26" s="49">
        <v>6</v>
      </c>
      <c r="M26" s="50" t="s">
        <v>159</v>
      </c>
      <c r="N26" s="50" t="s">
        <v>160</v>
      </c>
      <c r="O26" s="50" t="s">
        <v>160</v>
      </c>
      <c r="P26" s="50" t="s">
        <v>177</v>
      </c>
      <c r="Q26" s="53">
        <v>0.04</v>
      </c>
      <c r="R26" s="49">
        <v>325</v>
      </c>
      <c r="S26" s="49">
        <v>0</v>
      </c>
      <c r="T26" s="54">
        <f t="shared" si="0"/>
        <v>325</v>
      </c>
      <c r="U26" s="55">
        <v>318984</v>
      </c>
      <c r="V26" s="49">
        <v>5.04</v>
      </c>
      <c r="W26" s="56">
        <f t="shared" si="7"/>
        <v>64.484126984126988</v>
      </c>
      <c r="X26" s="49" t="s">
        <v>163</v>
      </c>
      <c r="Y26" s="57" t="s">
        <v>162</v>
      </c>
      <c r="Z26" s="58">
        <v>51117075</v>
      </c>
      <c r="AA26" s="114">
        <f>(((27376716*0.0395)/(Z26))+((23740359*0.0375)/(Z26)))</f>
        <v>3.8571137814516973E-2</v>
      </c>
      <c r="AB26" s="59">
        <v>20</v>
      </c>
      <c r="AC26" s="60">
        <v>40</v>
      </c>
      <c r="AD26" s="61">
        <v>3.95E-2</v>
      </c>
      <c r="AE26" s="62">
        <v>27376716</v>
      </c>
      <c r="AF26" s="63">
        <v>1.18</v>
      </c>
      <c r="AG26" s="59"/>
      <c r="AH26" s="60"/>
      <c r="AI26" s="61"/>
      <c r="AJ26" s="64"/>
      <c r="AK26" s="65">
        <f t="shared" si="8"/>
        <v>27376716</v>
      </c>
      <c r="AL26" s="62">
        <v>14900000</v>
      </c>
      <c r="AM26" s="49" t="s">
        <v>163</v>
      </c>
      <c r="AN26" s="67">
        <v>0.87</v>
      </c>
      <c r="AO26" s="62">
        <v>28884260</v>
      </c>
      <c r="AP26" s="62">
        <v>0</v>
      </c>
      <c r="AQ26" s="68">
        <v>3165076</v>
      </c>
      <c r="AR26" s="69">
        <f t="shared" si="9"/>
        <v>84236.049230769233</v>
      </c>
      <c r="AS26" s="70" t="str">
        <f>IFERROR(IF(#REF!&gt;0,#REF!/T26,""),"")</f>
        <v/>
      </c>
      <c r="AT26" s="70">
        <f t="shared" si="10"/>
        <v>88874.646153846159</v>
      </c>
      <c r="AU26" s="70">
        <f t="shared" si="11"/>
        <v>45846.153846153844</v>
      </c>
      <c r="AV26" s="71">
        <f t="shared" si="12"/>
        <v>9738.6953846153847</v>
      </c>
      <c r="AW26" s="115">
        <f t="shared" si="13"/>
        <v>112859.19692307692</v>
      </c>
      <c r="AX26" s="116">
        <f t="shared" si="14"/>
        <v>114.98770784741555</v>
      </c>
      <c r="AY26" s="72">
        <f t="shared" si="15"/>
        <v>133135.78153846154</v>
      </c>
      <c r="AZ26" s="73">
        <f t="shared" si="16"/>
        <v>135.64670641787677</v>
      </c>
      <c r="BA26" s="66">
        <v>6290000</v>
      </c>
      <c r="BB26" s="62">
        <v>1954637</v>
      </c>
      <c r="BC26" s="62">
        <v>34724602</v>
      </c>
      <c r="BD26" s="62">
        <v>1930225</v>
      </c>
      <c r="BE26" s="62">
        <v>4659665</v>
      </c>
      <c r="BF26" s="62">
        <v>4618500</v>
      </c>
      <c r="BG26" s="62">
        <v>6525580</v>
      </c>
      <c r="BH26" s="62">
        <v>8421108</v>
      </c>
      <c r="BI26" s="62">
        <v>1438257</v>
      </c>
      <c r="BJ26" s="47">
        <f t="shared" si="17"/>
        <v>70562574</v>
      </c>
      <c r="BK26" s="69">
        <f t="shared" si="18"/>
        <v>19353.846153846152</v>
      </c>
      <c r="BL26" s="70">
        <f t="shared" si="19"/>
        <v>6014.2676923076924</v>
      </c>
      <c r="BM26" s="70">
        <f t="shared" si="20"/>
        <v>106844.92923076924</v>
      </c>
      <c r="BN26" s="70">
        <f t="shared" si="21"/>
        <v>5939.1538461538457</v>
      </c>
      <c r="BO26" s="70">
        <f t="shared" si="22"/>
        <v>14337.430769230768</v>
      </c>
      <c r="BP26" s="70">
        <f t="shared" si="23"/>
        <v>14210.76923076923</v>
      </c>
      <c r="BQ26" s="70">
        <f t="shared" si="24"/>
        <v>20078.707692307693</v>
      </c>
      <c r="BR26" s="70">
        <f t="shared" si="25"/>
        <v>25911.101538461538</v>
      </c>
      <c r="BS26" s="70">
        <f t="shared" si="26"/>
        <v>4425.4061538461538</v>
      </c>
      <c r="BT26" s="71">
        <f t="shared" si="27"/>
        <v>217115.6123076923</v>
      </c>
      <c r="BU26" s="65">
        <f t="shared" si="28"/>
        <v>19.718857372156599</v>
      </c>
      <c r="BV26" s="48">
        <f t="shared" si="29"/>
        <v>6.1276960599904697</v>
      </c>
      <c r="BW26" s="48">
        <f t="shared" si="30"/>
        <v>108.86001178742508</v>
      </c>
      <c r="BX26" s="48">
        <f t="shared" si="31"/>
        <v>6.0511655757028562</v>
      </c>
      <c r="BY26" s="48">
        <f t="shared" si="32"/>
        <v>14.607832994758358</v>
      </c>
      <c r="BZ26" s="48">
        <f t="shared" si="33"/>
        <v>14.478782634865698</v>
      </c>
      <c r="CA26" s="48">
        <f t="shared" si="34"/>
        <v>20.457389712336671</v>
      </c>
      <c r="CB26" s="48">
        <f t="shared" si="35"/>
        <v>26.399781807237982</v>
      </c>
      <c r="CC26" s="48">
        <f t="shared" si="36"/>
        <v>4.5088687833872543</v>
      </c>
      <c r="CD26" s="47">
        <f t="shared" si="37"/>
        <v>221.21038672786096</v>
      </c>
      <c r="CE26" s="66">
        <v>3939540</v>
      </c>
      <c r="CF26" s="62">
        <f>204885+50004</f>
        <v>254889</v>
      </c>
      <c r="CG26" s="74">
        <v>-314582</v>
      </c>
      <c r="CH26" s="75">
        <f t="shared" si="38"/>
        <v>3879847</v>
      </c>
      <c r="CI26" s="62">
        <f>89410+18000+13000</f>
        <v>120410</v>
      </c>
      <c r="CJ26" s="62">
        <v>193992</v>
      </c>
      <c r="CK26" s="62">
        <v>447140</v>
      </c>
      <c r="CL26" s="62">
        <f>123675+30000</f>
        <v>153675</v>
      </c>
      <c r="CM26" s="62">
        <f>39000+174175</f>
        <v>213175</v>
      </c>
      <c r="CN26" s="62">
        <v>267988</v>
      </c>
      <c r="CO26" s="62">
        <v>728610</v>
      </c>
      <c r="CP26" s="75">
        <f t="shared" si="3"/>
        <v>2124990</v>
      </c>
      <c r="CQ26" s="62">
        <v>97500</v>
      </c>
      <c r="CR26" s="75">
        <f t="shared" si="4"/>
        <v>2222490</v>
      </c>
      <c r="CS26" s="75">
        <f t="shared" si="39"/>
        <v>1754857</v>
      </c>
      <c r="CT26" s="62">
        <f>5000+9750+1390192</f>
        <v>1404942</v>
      </c>
      <c r="CU26" s="47">
        <f t="shared" si="40"/>
        <v>349915</v>
      </c>
      <c r="CV26" s="76">
        <f t="shared" si="41"/>
        <v>0.45230056752237913</v>
      </c>
      <c r="CW26" s="75">
        <f t="shared" si="42"/>
        <v>6838.4307692307693</v>
      </c>
      <c r="CX26" s="77">
        <f t="shared" si="43"/>
        <v>0.57282928940239142</v>
      </c>
      <c r="CY26" s="75">
        <f t="shared" si="44"/>
        <v>1076.6615384615384</v>
      </c>
      <c r="CZ26" s="77">
        <f t="shared" si="45"/>
        <v>9.018783472647246E-2</v>
      </c>
      <c r="DA26" s="77">
        <f t="shared" si="46"/>
        <v>0.36211273279590667</v>
      </c>
      <c r="DB26" s="47">
        <f t="shared" si="47"/>
        <v>84236.049230769233</v>
      </c>
      <c r="DC26" s="69">
        <f t="shared" si="48"/>
        <v>12121.661538461538</v>
      </c>
      <c r="DD26" s="70">
        <f t="shared" si="49"/>
        <v>784.27384615384619</v>
      </c>
      <c r="DE26" s="70">
        <f t="shared" si="50"/>
        <v>-967.94461538461542</v>
      </c>
      <c r="DF26" s="70">
        <f t="shared" si="51"/>
        <v>11937.99076923077</v>
      </c>
      <c r="DG26" s="70">
        <f t="shared" si="52"/>
        <v>370.49230769230769</v>
      </c>
      <c r="DH26" s="70">
        <f t="shared" si="53"/>
        <v>596.89846153846156</v>
      </c>
      <c r="DI26" s="70">
        <f t="shared" si="54"/>
        <v>1375.8153846153846</v>
      </c>
      <c r="DJ26" s="70">
        <f t="shared" si="55"/>
        <v>472.84615384615387</v>
      </c>
      <c r="DK26" s="70">
        <f t="shared" si="56"/>
        <v>655.92307692307691</v>
      </c>
      <c r="DL26" s="70">
        <f t="shared" si="57"/>
        <v>824.57846153846151</v>
      </c>
      <c r="DM26" s="70">
        <f t="shared" si="58"/>
        <v>2241.876923076923</v>
      </c>
      <c r="DN26" s="70">
        <f t="shared" si="59"/>
        <v>6538.4307692307693</v>
      </c>
      <c r="DO26" s="70">
        <f t="shared" si="60"/>
        <v>300</v>
      </c>
      <c r="DP26" s="70">
        <f t="shared" si="61"/>
        <v>6838.4307692307693</v>
      </c>
      <c r="DQ26" s="70">
        <f t="shared" si="62"/>
        <v>5399.56</v>
      </c>
      <c r="DR26" s="70">
        <f t="shared" si="63"/>
        <v>4322.8984615384616</v>
      </c>
      <c r="DS26" s="71">
        <f t="shared" si="64"/>
        <v>1076.6615384615384</v>
      </c>
      <c r="DT26" s="106">
        <f t="shared" si="65"/>
        <v>1.0153854005067726</v>
      </c>
      <c r="DU26" s="92">
        <f t="shared" si="66"/>
        <v>6.5695631812285382E-2</v>
      </c>
      <c r="DV26" s="92" t="str">
        <f t="shared" si="67"/>
        <v/>
      </c>
      <c r="DW26" s="92">
        <f t="shared" si="68"/>
        <v>1</v>
      </c>
      <c r="DX26" s="92">
        <f t="shared" si="69"/>
        <v>3.103472894678579E-2</v>
      </c>
      <c r="DY26" s="92">
        <f t="shared" si="70"/>
        <v>4.9999909790257195E-2</v>
      </c>
      <c r="DZ26" s="92">
        <f t="shared" si="71"/>
        <v>0.11524681256760898</v>
      </c>
      <c r="EA26" s="92">
        <f t="shared" si="72"/>
        <v>3.9608520645272871E-2</v>
      </c>
      <c r="EB26" s="92">
        <f t="shared" si="73"/>
        <v>5.4944176922440496E-2</v>
      </c>
      <c r="EC26" s="92">
        <f t="shared" si="74"/>
        <v>6.9071795872363007E-2</v>
      </c>
      <c r="ED26" s="92">
        <f t="shared" si="75"/>
        <v>0.18779348773289256</v>
      </c>
      <c r="EE26" s="92">
        <f t="shared" si="76"/>
        <v>0.54769943247762087</v>
      </c>
      <c r="EF26" s="92">
        <f t="shared" si="77"/>
        <v>2.5129856924770488E-2</v>
      </c>
      <c r="EG26" s="92">
        <f t="shared" si="78"/>
        <v>0.57282928940239142</v>
      </c>
      <c r="EH26" s="92">
        <f t="shared" si="79"/>
        <v>0.45230056752237913</v>
      </c>
      <c r="EI26" s="92">
        <f t="shared" si="80"/>
        <v>0.36211273279590667</v>
      </c>
      <c r="EJ26" s="122">
        <f t="shared" si="81"/>
        <v>9.018783472647246E-2</v>
      </c>
    </row>
    <row r="27" spans="2:140" ht="12" hidden="1" customHeight="1" outlineLevel="1">
      <c r="B27" s="121">
        <v>44768</v>
      </c>
      <c r="C27" s="117" t="s">
        <v>287</v>
      </c>
      <c r="D27" s="50" t="s">
        <v>288</v>
      </c>
      <c r="E27" s="50" t="s">
        <v>289</v>
      </c>
      <c r="F27" s="50" t="s">
        <v>290</v>
      </c>
      <c r="G27" s="50" t="s">
        <v>291</v>
      </c>
      <c r="H27" s="50" t="s">
        <v>292</v>
      </c>
      <c r="I27" s="51" t="s">
        <v>163</v>
      </c>
      <c r="J27" s="52" t="s">
        <v>293</v>
      </c>
      <c r="K27" s="50" t="s">
        <v>294</v>
      </c>
      <c r="L27" s="49">
        <v>7</v>
      </c>
      <c r="M27" s="50" t="s">
        <v>159</v>
      </c>
      <c r="N27" s="50" t="s">
        <v>244</v>
      </c>
      <c r="O27" s="50" t="s">
        <v>160</v>
      </c>
      <c r="P27" s="50" t="s">
        <v>177</v>
      </c>
      <c r="Q27" s="53" t="s">
        <v>163</v>
      </c>
      <c r="R27" s="49">
        <v>20</v>
      </c>
      <c r="S27" s="49">
        <v>0</v>
      </c>
      <c r="T27" s="54">
        <f t="shared" si="0"/>
        <v>20</v>
      </c>
      <c r="U27" s="55">
        <v>15380</v>
      </c>
      <c r="V27" s="49">
        <v>0.77480000000000004</v>
      </c>
      <c r="W27" s="56">
        <f t="shared" si="7"/>
        <v>25.813113061435207</v>
      </c>
      <c r="X27" s="49" t="s">
        <v>163</v>
      </c>
      <c r="Y27" s="57" t="s">
        <v>162</v>
      </c>
      <c r="Z27" s="58">
        <v>3225000</v>
      </c>
      <c r="AA27" s="114">
        <v>0</v>
      </c>
      <c r="AB27" s="59">
        <v>40</v>
      </c>
      <c r="AC27" s="60">
        <v>40</v>
      </c>
      <c r="AD27" s="61">
        <v>0</v>
      </c>
      <c r="AE27" s="62">
        <v>3000000</v>
      </c>
      <c r="AF27" s="63">
        <v>0</v>
      </c>
      <c r="AG27" s="59"/>
      <c r="AH27" s="60"/>
      <c r="AI27" s="61"/>
      <c r="AJ27" s="64"/>
      <c r="AK27" s="65">
        <f t="shared" si="8"/>
        <v>3000000</v>
      </c>
      <c r="AL27" s="62">
        <v>3225000</v>
      </c>
      <c r="AM27" s="49" t="s">
        <v>163</v>
      </c>
      <c r="AN27" s="67" t="s">
        <v>163</v>
      </c>
      <c r="AO27" s="62">
        <v>655680</v>
      </c>
      <c r="AP27" s="62">
        <v>0</v>
      </c>
      <c r="AQ27" s="68">
        <v>0</v>
      </c>
      <c r="AR27" s="69">
        <f t="shared" si="9"/>
        <v>150000</v>
      </c>
      <c r="AS27" s="70" t="str">
        <f>IFERROR(IF(#REF!&gt;0,#REF!/T27,""),"")</f>
        <v/>
      </c>
      <c r="AT27" s="70">
        <f t="shared" si="10"/>
        <v>32784</v>
      </c>
      <c r="AU27" s="70">
        <f t="shared" si="11"/>
        <v>161250</v>
      </c>
      <c r="AV27" s="71" t="str">
        <f t="shared" si="12"/>
        <v/>
      </c>
      <c r="AW27" s="115">
        <f t="shared" si="13"/>
        <v>140458</v>
      </c>
      <c r="AX27" s="116">
        <f t="shared" si="14"/>
        <v>182.65019505851757</v>
      </c>
      <c r="AY27" s="72">
        <f t="shared" si="15"/>
        <v>170893.15</v>
      </c>
      <c r="AZ27" s="73">
        <f t="shared" si="16"/>
        <v>222.22776332899869</v>
      </c>
      <c r="BA27" s="66">
        <v>18000</v>
      </c>
      <c r="BB27" s="62">
        <v>276005</v>
      </c>
      <c r="BC27" s="62">
        <v>2533155</v>
      </c>
      <c r="BD27" s="62">
        <v>196641</v>
      </c>
      <c r="BE27" s="62">
        <v>412062</v>
      </c>
      <c r="BF27" s="62">
        <v>289000</v>
      </c>
      <c r="BG27" s="62">
        <v>87500</v>
      </c>
      <c r="BH27" s="62">
        <v>0</v>
      </c>
      <c r="BI27" s="62">
        <v>35000</v>
      </c>
      <c r="BJ27" s="47">
        <f t="shared" si="17"/>
        <v>3847363</v>
      </c>
      <c r="BK27" s="69">
        <f t="shared" si="18"/>
        <v>900</v>
      </c>
      <c r="BL27" s="70">
        <f t="shared" si="19"/>
        <v>13800.25</v>
      </c>
      <c r="BM27" s="70">
        <f t="shared" si="20"/>
        <v>126657.75</v>
      </c>
      <c r="BN27" s="70">
        <f t="shared" si="21"/>
        <v>9832.0499999999993</v>
      </c>
      <c r="BO27" s="70">
        <f t="shared" si="22"/>
        <v>20603.099999999999</v>
      </c>
      <c r="BP27" s="70">
        <f t="shared" si="23"/>
        <v>14450</v>
      </c>
      <c r="BQ27" s="70">
        <f t="shared" si="24"/>
        <v>4375</v>
      </c>
      <c r="BR27" s="70" t="str">
        <f t="shared" si="25"/>
        <v/>
      </c>
      <c r="BS27" s="70">
        <f t="shared" si="26"/>
        <v>1750</v>
      </c>
      <c r="BT27" s="71">
        <f t="shared" si="27"/>
        <v>192368.15</v>
      </c>
      <c r="BU27" s="65">
        <f t="shared" si="28"/>
        <v>1.1703511053315996</v>
      </c>
      <c r="BV27" s="48">
        <f t="shared" si="29"/>
        <v>17.945708712613783</v>
      </c>
      <c r="BW27" s="48">
        <f t="shared" si="30"/>
        <v>164.70448634590377</v>
      </c>
      <c r="BX27" s="48">
        <f t="shared" si="31"/>
        <v>12.785500650195058</v>
      </c>
      <c r="BY27" s="48">
        <f t="shared" si="32"/>
        <v>26.792067620286087</v>
      </c>
      <c r="BZ27" s="48">
        <f t="shared" si="33"/>
        <v>18.790637191157348</v>
      </c>
      <c r="CA27" s="48">
        <f t="shared" si="34"/>
        <v>5.6892067620286086</v>
      </c>
      <c r="CB27" s="48" t="str">
        <f t="shared" si="35"/>
        <v/>
      </c>
      <c r="CC27" s="48">
        <f t="shared" si="36"/>
        <v>2.2756827048114436</v>
      </c>
      <c r="CD27" s="47">
        <f t="shared" si="37"/>
        <v>250.15364109232769</v>
      </c>
      <c r="CE27" s="66">
        <v>141108</v>
      </c>
      <c r="CF27" s="62">
        <v>1440</v>
      </c>
      <c r="CG27" s="74">
        <v>-10691</v>
      </c>
      <c r="CH27" s="75">
        <f t="shared" si="38"/>
        <v>131857</v>
      </c>
      <c r="CI27" s="62">
        <f>6880+0+612</f>
        <v>7492</v>
      </c>
      <c r="CJ27" s="62">
        <v>4219</v>
      </c>
      <c r="CK27" s="62">
        <v>32063</v>
      </c>
      <c r="CL27" s="62">
        <f>14120+0</f>
        <v>14120</v>
      </c>
      <c r="CM27" s="62">
        <f>3060+15500</f>
        <v>18560</v>
      </c>
      <c r="CN27" s="62">
        <v>4200</v>
      </c>
      <c r="CO27" s="62">
        <v>0</v>
      </c>
      <c r="CP27" s="75">
        <f t="shared" si="3"/>
        <v>80654</v>
      </c>
      <c r="CQ27" s="62">
        <v>5000</v>
      </c>
      <c r="CR27" s="75">
        <f t="shared" si="4"/>
        <v>85654</v>
      </c>
      <c r="CS27" s="75">
        <f t="shared" si="39"/>
        <v>51203</v>
      </c>
      <c r="CT27" s="62">
        <v>0</v>
      </c>
      <c r="CU27" s="47">
        <f t="shared" si="40"/>
        <v>51203</v>
      </c>
      <c r="CV27" s="76">
        <f t="shared" si="41"/>
        <v>0.38832219753217501</v>
      </c>
      <c r="CW27" s="75">
        <f t="shared" si="42"/>
        <v>4282.7</v>
      </c>
      <c r="CX27" s="77">
        <f t="shared" si="43"/>
        <v>0.64959767020332637</v>
      </c>
      <c r="CY27" s="75">
        <f t="shared" si="44"/>
        <v>2560.15</v>
      </c>
      <c r="CZ27" s="77">
        <f t="shared" si="45"/>
        <v>0.38832219753217501</v>
      </c>
      <c r="DA27" s="77" t="str">
        <f t="shared" si="46"/>
        <v/>
      </c>
      <c r="DB27" s="47">
        <f t="shared" si="47"/>
        <v>150000</v>
      </c>
      <c r="DC27" s="69">
        <f t="shared" si="48"/>
        <v>7055.4</v>
      </c>
      <c r="DD27" s="70">
        <f t="shared" si="49"/>
        <v>72</v>
      </c>
      <c r="DE27" s="70">
        <f t="shared" si="50"/>
        <v>-534.54999999999995</v>
      </c>
      <c r="DF27" s="70">
        <f t="shared" si="51"/>
        <v>6592.85</v>
      </c>
      <c r="DG27" s="70">
        <f t="shared" si="52"/>
        <v>374.6</v>
      </c>
      <c r="DH27" s="70">
        <f t="shared" si="53"/>
        <v>210.95</v>
      </c>
      <c r="DI27" s="70">
        <f t="shared" si="54"/>
        <v>1603.15</v>
      </c>
      <c r="DJ27" s="70">
        <f t="shared" si="55"/>
        <v>706</v>
      </c>
      <c r="DK27" s="70">
        <f t="shared" si="56"/>
        <v>928</v>
      </c>
      <c r="DL27" s="70">
        <f t="shared" si="57"/>
        <v>210</v>
      </c>
      <c r="DM27" s="70" t="str">
        <f t="shared" si="58"/>
        <v/>
      </c>
      <c r="DN27" s="70">
        <f t="shared" si="59"/>
        <v>4032.7</v>
      </c>
      <c r="DO27" s="70">
        <f t="shared" si="60"/>
        <v>250</v>
      </c>
      <c r="DP27" s="70">
        <f t="shared" si="61"/>
        <v>4282.7</v>
      </c>
      <c r="DQ27" s="70">
        <f t="shared" si="62"/>
        <v>2560.15</v>
      </c>
      <c r="DR27" s="70" t="str">
        <f t="shared" si="63"/>
        <v/>
      </c>
      <c r="DS27" s="71">
        <f t="shared" si="64"/>
        <v>2560.15</v>
      </c>
      <c r="DT27" s="106">
        <f t="shared" si="65"/>
        <v>1.0701593392842246</v>
      </c>
      <c r="DU27" s="92">
        <f t="shared" si="66"/>
        <v>1.0920921907824385E-2</v>
      </c>
      <c r="DV27" s="92" t="str">
        <f t="shared" si="67"/>
        <v/>
      </c>
      <c r="DW27" s="92">
        <f t="shared" si="68"/>
        <v>1</v>
      </c>
      <c r="DX27" s="92">
        <f t="shared" si="69"/>
        <v>5.6819129814875205E-2</v>
      </c>
      <c r="DY27" s="92">
        <f t="shared" si="70"/>
        <v>3.1996784395216027E-2</v>
      </c>
      <c r="DZ27" s="92">
        <f t="shared" si="71"/>
        <v>0.24316494384067588</v>
      </c>
      <c r="EA27" s="92">
        <f t="shared" si="72"/>
        <v>0.10708570648505578</v>
      </c>
      <c r="EB27" s="92">
        <f t="shared" si="73"/>
        <v>0.14075854903418097</v>
      </c>
      <c r="EC27" s="92">
        <f t="shared" si="74"/>
        <v>3.1852688897821127E-2</v>
      </c>
      <c r="ED27" s="92" t="str">
        <f t="shared" si="75"/>
        <v/>
      </c>
      <c r="EE27" s="92">
        <f t="shared" si="76"/>
        <v>0.61167780246782499</v>
      </c>
      <c r="EF27" s="92">
        <f t="shared" si="77"/>
        <v>3.7919867735501336E-2</v>
      </c>
      <c r="EG27" s="92">
        <f t="shared" si="78"/>
        <v>0.64959767020332637</v>
      </c>
      <c r="EH27" s="92">
        <f t="shared" si="79"/>
        <v>0.38832219753217501</v>
      </c>
      <c r="EI27" s="92" t="str">
        <f t="shared" si="80"/>
        <v/>
      </c>
      <c r="EJ27" s="122">
        <f t="shared" si="81"/>
        <v>0.38832219753217501</v>
      </c>
    </row>
    <row r="28" spans="2:140" ht="12" hidden="1" customHeight="1" outlineLevel="1">
      <c r="B28" s="121">
        <v>44768</v>
      </c>
      <c r="C28" s="117" t="s">
        <v>295</v>
      </c>
      <c r="D28" s="50" t="s">
        <v>296</v>
      </c>
      <c r="E28" s="50" t="s">
        <v>297</v>
      </c>
      <c r="F28" s="50" t="s">
        <v>298</v>
      </c>
      <c r="G28" s="50" t="s">
        <v>162</v>
      </c>
      <c r="H28" s="50" t="s">
        <v>299</v>
      </c>
      <c r="I28" s="51" t="s">
        <v>248</v>
      </c>
      <c r="J28" s="52" t="s">
        <v>300</v>
      </c>
      <c r="K28" s="50" t="s">
        <v>301</v>
      </c>
      <c r="L28" s="49">
        <v>2</v>
      </c>
      <c r="M28" s="50" t="s">
        <v>283</v>
      </c>
      <c r="N28" s="50" t="s">
        <v>244</v>
      </c>
      <c r="O28" s="50" t="s">
        <v>160</v>
      </c>
      <c r="P28" s="50" t="s">
        <v>177</v>
      </c>
      <c r="Q28" s="53">
        <v>0.09</v>
      </c>
      <c r="R28" s="49">
        <f>64-6</f>
        <v>58</v>
      </c>
      <c r="S28" s="49">
        <v>6</v>
      </c>
      <c r="T28" s="54">
        <f t="shared" si="0"/>
        <v>64</v>
      </c>
      <c r="U28" s="55">
        <v>48076</v>
      </c>
      <c r="V28" s="49">
        <v>7.92</v>
      </c>
      <c r="W28" s="56">
        <f t="shared" si="7"/>
        <v>8.0808080808080813</v>
      </c>
      <c r="X28" s="49" t="s">
        <v>163</v>
      </c>
      <c r="Y28" s="57" t="s">
        <v>162</v>
      </c>
      <c r="Z28" s="58">
        <v>2100250</v>
      </c>
      <c r="AA28" s="114">
        <v>5.2499999999999998E-2</v>
      </c>
      <c r="AB28" s="59">
        <v>15</v>
      </c>
      <c r="AC28" s="60">
        <v>35</v>
      </c>
      <c r="AD28" s="61">
        <v>5.2499999999999998E-2</v>
      </c>
      <c r="AE28" s="62">
        <v>2100000</v>
      </c>
      <c r="AF28" s="63">
        <v>1.2</v>
      </c>
      <c r="AG28" s="59"/>
      <c r="AH28" s="60"/>
      <c r="AI28" s="61"/>
      <c r="AJ28" s="64"/>
      <c r="AK28" s="65">
        <f t="shared" si="8"/>
        <v>2100000</v>
      </c>
      <c r="AL28" s="62">
        <v>250</v>
      </c>
      <c r="AM28" s="49" t="s">
        <v>163</v>
      </c>
      <c r="AN28" s="67">
        <v>0.85</v>
      </c>
      <c r="AO28" s="62">
        <v>7162062</v>
      </c>
      <c r="AP28" s="62">
        <v>0</v>
      </c>
      <c r="AQ28" s="68">
        <v>134375</v>
      </c>
      <c r="AR28" s="69">
        <f t="shared" si="9"/>
        <v>32812.5</v>
      </c>
      <c r="AS28" s="70" t="str">
        <f>IFERROR(IF(#REF!&gt;0,#REF!/T28,""),"")</f>
        <v/>
      </c>
      <c r="AT28" s="70">
        <f t="shared" si="10"/>
        <v>111907.21875</v>
      </c>
      <c r="AU28" s="70">
        <f t="shared" si="11"/>
        <v>3.90625</v>
      </c>
      <c r="AV28" s="71">
        <f t="shared" si="12"/>
        <v>2099.609375</v>
      </c>
      <c r="AW28" s="115">
        <f t="shared" si="13"/>
        <v>82062.5</v>
      </c>
      <c r="AX28" s="116">
        <f t="shared" si="14"/>
        <v>109.24369747899159</v>
      </c>
      <c r="AY28" s="72">
        <f t="shared" si="15"/>
        <v>98228.8125</v>
      </c>
      <c r="AZ28" s="73">
        <f t="shared" si="16"/>
        <v>130.76470588235296</v>
      </c>
      <c r="BA28" s="66">
        <v>50769</v>
      </c>
      <c r="BB28" s="62">
        <v>1152000</v>
      </c>
      <c r="BC28" s="62">
        <v>4100000</v>
      </c>
      <c r="BD28" s="62">
        <v>262600</v>
      </c>
      <c r="BE28" s="62">
        <v>772044</v>
      </c>
      <c r="BF28" s="62">
        <v>822000</v>
      </c>
      <c r="BG28" s="62">
        <v>739179</v>
      </c>
      <c r="BH28" s="62">
        <v>1137576</v>
      </c>
      <c r="BI28" s="62">
        <v>204688</v>
      </c>
      <c r="BJ28" s="47">
        <f t="shared" si="17"/>
        <v>9240856</v>
      </c>
      <c r="BK28" s="69">
        <f t="shared" si="18"/>
        <v>793.265625</v>
      </c>
      <c r="BL28" s="70">
        <f t="shared" si="19"/>
        <v>18000</v>
      </c>
      <c r="BM28" s="70">
        <f t="shared" si="20"/>
        <v>64062.5</v>
      </c>
      <c r="BN28" s="70">
        <f t="shared" si="21"/>
        <v>4103.125</v>
      </c>
      <c r="BO28" s="70">
        <f t="shared" si="22"/>
        <v>12063.1875</v>
      </c>
      <c r="BP28" s="70">
        <f t="shared" si="23"/>
        <v>12843.75</v>
      </c>
      <c r="BQ28" s="70">
        <f t="shared" si="24"/>
        <v>11549.671875</v>
      </c>
      <c r="BR28" s="70">
        <f t="shared" si="25"/>
        <v>17774.625</v>
      </c>
      <c r="BS28" s="70">
        <f t="shared" si="26"/>
        <v>3198.25</v>
      </c>
      <c r="BT28" s="71">
        <f t="shared" si="27"/>
        <v>144388.375</v>
      </c>
      <c r="BU28" s="65">
        <f t="shared" si="28"/>
        <v>1.0560154754971296</v>
      </c>
      <c r="BV28" s="48">
        <f t="shared" si="29"/>
        <v>23.962060071553374</v>
      </c>
      <c r="BW28" s="48">
        <f t="shared" si="30"/>
        <v>85.281637407438225</v>
      </c>
      <c r="BX28" s="48">
        <f t="shared" si="31"/>
        <v>5.46218487394958</v>
      </c>
      <c r="BY28" s="48">
        <f t="shared" si="32"/>
        <v>16.058823529411764</v>
      </c>
      <c r="BZ28" s="48">
        <f t="shared" si="33"/>
        <v>17.09792828022298</v>
      </c>
      <c r="CA28" s="48">
        <f t="shared" si="34"/>
        <v>15.37521840419336</v>
      </c>
      <c r="CB28" s="48">
        <f t="shared" si="35"/>
        <v>23.662035111074132</v>
      </c>
      <c r="CC28" s="48">
        <f t="shared" si="36"/>
        <v>4.2575921457691992</v>
      </c>
      <c r="CD28" s="47">
        <f t="shared" si="37"/>
        <v>192.21349529910975</v>
      </c>
      <c r="CE28" s="66">
        <v>456132</v>
      </c>
      <c r="CF28" s="62">
        <v>15360</v>
      </c>
      <c r="CG28" s="74">
        <v>-35362</v>
      </c>
      <c r="CH28" s="75">
        <f t="shared" si="38"/>
        <v>436130</v>
      </c>
      <c r="CI28" s="62">
        <f>24000+6000+2320</f>
        <v>32320</v>
      </c>
      <c r="CJ28" s="62">
        <v>21807</v>
      </c>
      <c r="CK28" s="62">
        <v>71575</v>
      </c>
      <c r="CL28" s="62">
        <f>51000+0</f>
        <v>51000</v>
      </c>
      <c r="CM28" s="62">
        <f>11000+26000</f>
        <v>37000</v>
      </c>
      <c r="CN28" s="62">
        <v>26448</v>
      </c>
      <c r="CO28" s="62">
        <v>22000</v>
      </c>
      <c r="CP28" s="75">
        <f t="shared" si="3"/>
        <v>262150</v>
      </c>
      <c r="CQ28" s="62">
        <v>16000</v>
      </c>
      <c r="CR28" s="75">
        <f t="shared" si="4"/>
        <v>278150</v>
      </c>
      <c r="CS28" s="75">
        <f t="shared" si="39"/>
        <v>173980</v>
      </c>
      <c r="CT28" s="62">
        <v>131227</v>
      </c>
      <c r="CU28" s="47">
        <f t="shared" si="40"/>
        <v>42753</v>
      </c>
      <c r="CV28" s="76">
        <f t="shared" si="41"/>
        <v>0.39891775388072365</v>
      </c>
      <c r="CW28" s="75">
        <f t="shared" si="42"/>
        <v>4346.09375</v>
      </c>
      <c r="CX28" s="77">
        <f t="shared" si="43"/>
        <v>0.6377685552472887</v>
      </c>
      <c r="CY28" s="75">
        <f t="shared" si="44"/>
        <v>668.015625</v>
      </c>
      <c r="CZ28" s="77">
        <f t="shared" si="45"/>
        <v>9.8028110884369343E-2</v>
      </c>
      <c r="DA28" s="77">
        <f t="shared" si="46"/>
        <v>0.30088964299635429</v>
      </c>
      <c r="DB28" s="47">
        <f t="shared" si="47"/>
        <v>32812.5</v>
      </c>
      <c r="DC28" s="69">
        <f t="shared" si="48"/>
        <v>7127.0625</v>
      </c>
      <c r="DD28" s="70">
        <f t="shared" si="49"/>
        <v>240</v>
      </c>
      <c r="DE28" s="70">
        <f t="shared" si="50"/>
        <v>-552.53125</v>
      </c>
      <c r="DF28" s="70">
        <f t="shared" si="51"/>
        <v>6814.53125</v>
      </c>
      <c r="DG28" s="70">
        <f t="shared" si="52"/>
        <v>505</v>
      </c>
      <c r="DH28" s="70">
        <f t="shared" si="53"/>
        <v>340.734375</v>
      </c>
      <c r="DI28" s="70">
        <f t="shared" si="54"/>
        <v>1118.359375</v>
      </c>
      <c r="DJ28" s="70">
        <f t="shared" si="55"/>
        <v>796.875</v>
      </c>
      <c r="DK28" s="70">
        <f t="shared" si="56"/>
        <v>578.125</v>
      </c>
      <c r="DL28" s="70">
        <f t="shared" si="57"/>
        <v>413.25</v>
      </c>
      <c r="DM28" s="70">
        <f t="shared" si="58"/>
        <v>343.75</v>
      </c>
      <c r="DN28" s="70">
        <f t="shared" si="59"/>
        <v>4096.09375</v>
      </c>
      <c r="DO28" s="70">
        <f t="shared" si="60"/>
        <v>250</v>
      </c>
      <c r="DP28" s="70">
        <f t="shared" si="61"/>
        <v>4346.09375</v>
      </c>
      <c r="DQ28" s="70">
        <f t="shared" si="62"/>
        <v>2718.4375</v>
      </c>
      <c r="DR28" s="70">
        <f t="shared" si="63"/>
        <v>2050.421875</v>
      </c>
      <c r="DS28" s="71">
        <f t="shared" si="64"/>
        <v>668.015625</v>
      </c>
      <c r="DT28" s="106">
        <f t="shared" si="65"/>
        <v>1.0458624721986565</v>
      </c>
      <c r="DU28" s="92">
        <f t="shared" si="66"/>
        <v>3.5218856762891798E-2</v>
      </c>
      <c r="DV28" s="92" t="str">
        <f t="shared" si="67"/>
        <v/>
      </c>
      <c r="DW28" s="92">
        <f t="shared" si="68"/>
        <v>1</v>
      </c>
      <c r="DX28" s="92">
        <f t="shared" si="69"/>
        <v>7.4106344438584826E-2</v>
      </c>
      <c r="DY28" s="92">
        <f t="shared" si="70"/>
        <v>5.000114644716025E-2</v>
      </c>
      <c r="DZ28" s="92">
        <f t="shared" si="71"/>
        <v>0.16411391098984249</v>
      </c>
      <c r="EA28" s="92">
        <f t="shared" si="72"/>
        <v>0.11693761034553918</v>
      </c>
      <c r="EB28" s="92">
        <f t="shared" si="73"/>
        <v>8.4837089858528419E-2</v>
      </c>
      <c r="EC28" s="92">
        <f t="shared" si="74"/>
        <v>6.0642468988604314E-2</v>
      </c>
      <c r="ED28" s="92">
        <f t="shared" si="75"/>
        <v>5.0443675051016899E-2</v>
      </c>
      <c r="EE28" s="92">
        <f t="shared" si="76"/>
        <v>0.60108224611927641</v>
      </c>
      <c r="EF28" s="92">
        <f t="shared" si="77"/>
        <v>3.6686309128012289E-2</v>
      </c>
      <c r="EG28" s="92">
        <f t="shared" si="78"/>
        <v>0.6377685552472887</v>
      </c>
      <c r="EH28" s="92">
        <f t="shared" si="79"/>
        <v>0.39891775388072365</v>
      </c>
      <c r="EI28" s="92">
        <f t="shared" si="80"/>
        <v>0.30088964299635429</v>
      </c>
      <c r="EJ28" s="122">
        <f t="shared" si="81"/>
        <v>9.8028110884369343E-2</v>
      </c>
    </row>
    <row r="29" spans="2:140" ht="12" hidden="1" customHeight="1" outlineLevel="1">
      <c r="B29" s="121">
        <v>44776</v>
      </c>
      <c r="C29" s="117">
        <v>22448</v>
      </c>
      <c r="D29" s="50" t="s">
        <v>302</v>
      </c>
      <c r="E29" s="50" t="s">
        <v>303</v>
      </c>
      <c r="F29" s="50" t="s">
        <v>304</v>
      </c>
      <c r="G29" s="50" t="s">
        <v>162</v>
      </c>
      <c r="H29" s="50" t="s">
        <v>305</v>
      </c>
      <c r="I29" s="51" t="s">
        <v>306</v>
      </c>
      <c r="J29" s="52" t="s">
        <v>307</v>
      </c>
      <c r="K29" s="50" t="s">
        <v>205</v>
      </c>
      <c r="L29" s="49">
        <v>6</v>
      </c>
      <c r="M29" s="50" t="s">
        <v>159</v>
      </c>
      <c r="N29" s="50" t="s">
        <v>160</v>
      </c>
      <c r="O29" s="50" t="s">
        <v>160</v>
      </c>
      <c r="P29" s="50" t="s">
        <v>161</v>
      </c>
      <c r="Q29" s="53">
        <v>0.04</v>
      </c>
      <c r="R29" s="49">
        <v>160</v>
      </c>
      <c r="S29" s="49">
        <v>0</v>
      </c>
      <c r="T29" s="54">
        <f t="shared" si="0"/>
        <v>160</v>
      </c>
      <c r="U29" s="55">
        <v>155704</v>
      </c>
      <c r="V29" s="49">
        <v>14.28</v>
      </c>
      <c r="W29" s="56">
        <f t="shared" si="7"/>
        <v>11.204481792717088</v>
      </c>
      <c r="X29" s="49">
        <v>1999</v>
      </c>
      <c r="Y29" s="57" t="s">
        <v>162</v>
      </c>
      <c r="Z29" s="58">
        <v>27616000</v>
      </c>
      <c r="AA29" s="114">
        <v>3.7499999999999999E-2</v>
      </c>
      <c r="AB29" s="59">
        <v>18</v>
      </c>
      <c r="AC29" s="60">
        <v>40</v>
      </c>
      <c r="AD29" s="61">
        <v>3.7499999999999999E-2</v>
      </c>
      <c r="AE29" s="62">
        <v>27616000</v>
      </c>
      <c r="AF29" s="63">
        <v>1.1599999999999999</v>
      </c>
      <c r="AG29" s="59"/>
      <c r="AH29" s="60"/>
      <c r="AI29" s="61"/>
      <c r="AJ29" s="64"/>
      <c r="AK29" s="65">
        <f t="shared" si="8"/>
        <v>27616000</v>
      </c>
      <c r="AL29" s="62">
        <v>1188200</v>
      </c>
      <c r="AM29" s="49" t="s">
        <v>163</v>
      </c>
      <c r="AN29" s="67">
        <v>0.9</v>
      </c>
      <c r="AO29" s="62">
        <v>15696350</v>
      </c>
      <c r="AP29" s="62">
        <v>0</v>
      </c>
      <c r="AQ29" s="68">
        <v>1995638</v>
      </c>
      <c r="AR29" s="69">
        <f t="shared" si="9"/>
        <v>172600</v>
      </c>
      <c r="AS29" s="70" t="str">
        <f>IFERROR(IF(#REF!&gt;0,#REF!/T29,""),"")</f>
        <v/>
      </c>
      <c r="AT29" s="70">
        <f t="shared" si="10"/>
        <v>98102.1875</v>
      </c>
      <c r="AU29" s="70">
        <f t="shared" si="11"/>
        <v>7426.25</v>
      </c>
      <c r="AV29" s="71">
        <f t="shared" si="12"/>
        <v>12472.737499999999</v>
      </c>
      <c r="AW29" s="115">
        <f t="shared" si="13"/>
        <v>68612.5</v>
      </c>
      <c r="AX29" s="116">
        <f t="shared" si="14"/>
        <v>70.505574680162354</v>
      </c>
      <c r="AY29" s="72">
        <f t="shared" si="15"/>
        <v>86040.074999999997</v>
      </c>
      <c r="AZ29" s="73">
        <f t="shared" si="16"/>
        <v>88.413990648923601</v>
      </c>
      <c r="BA29" s="66">
        <v>21500000</v>
      </c>
      <c r="BB29" s="62">
        <v>1250000</v>
      </c>
      <c r="BC29" s="62">
        <v>9728000</v>
      </c>
      <c r="BD29" s="62">
        <v>1097800</v>
      </c>
      <c r="BE29" s="62">
        <v>1690612</v>
      </c>
      <c r="BF29" s="62">
        <v>2245329</v>
      </c>
      <c r="BG29" s="62">
        <v>2700310</v>
      </c>
      <c r="BH29" s="62">
        <v>5692602</v>
      </c>
      <c r="BI29" s="62">
        <v>591535</v>
      </c>
      <c r="BJ29" s="47">
        <f t="shared" si="17"/>
        <v>46496188</v>
      </c>
      <c r="BK29" s="69">
        <f t="shared" si="18"/>
        <v>134375</v>
      </c>
      <c r="BL29" s="70">
        <f t="shared" si="19"/>
        <v>7812.5</v>
      </c>
      <c r="BM29" s="70">
        <f t="shared" si="20"/>
        <v>60800</v>
      </c>
      <c r="BN29" s="70">
        <f t="shared" si="21"/>
        <v>6861.25</v>
      </c>
      <c r="BO29" s="70">
        <f t="shared" si="22"/>
        <v>10566.325000000001</v>
      </c>
      <c r="BP29" s="70">
        <f t="shared" si="23"/>
        <v>14033.30625</v>
      </c>
      <c r="BQ29" s="70">
        <f t="shared" si="24"/>
        <v>16876.9375</v>
      </c>
      <c r="BR29" s="70">
        <f t="shared" si="25"/>
        <v>35578.762499999997</v>
      </c>
      <c r="BS29" s="70">
        <f t="shared" si="26"/>
        <v>3697.09375</v>
      </c>
      <c r="BT29" s="71">
        <f t="shared" si="27"/>
        <v>290601.17499999999</v>
      </c>
      <c r="BU29" s="65">
        <f t="shared" si="28"/>
        <v>138.08251554231106</v>
      </c>
      <c r="BV29" s="48">
        <f t="shared" si="29"/>
        <v>8.0280532292041311</v>
      </c>
      <c r="BW29" s="48">
        <f t="shared" si="30"/>
        <v>62.477521450958228</v>
      </c>
      <c r="BX29" s="48">
        <f t="shared" si="31"/>
        <v>7.050557468016236</v>
      </c>
      <c r="BY29" s="48">
        <f t="shared" si="32"/>
        <v>10.857858500745003</v>
      </c>
      <c r="BZ29" s="48">
        <f t="shared" si="33"/>
        <v>14.420496583260546</v>
      </c>
      <c r="CA29" s="48">
        <f t="shared" si="34"/>
        <v>17.342585932281764</v>
      </c>
      <c r="CB29" s="48">
        <f t="shared" si="35"/>
        <v>36.560409494939115</v>
      </c>
      <c r="CC29" s="48">
        <f t="shared" si="36"/>
        <v>3.7990995735498125</v>
      </c>
      <c r="CD29" s="47">
        <f t="shared" si="37"/>
        <v>298.61909777526591</v>
      </c>
      <c r="CE29" s="66">
        <v>2545536</v>
      </c>
      <c r="CF29" s="62">
        <v>57600</v>
      </c>
      <c r="CG29" s="74">
        <v>-195235</v>
      </c>
      <c r="CH29" s="75">
        <f t="shared" si="38"/>
        <v>2407901</v>
      </c>
      <c r="CI29" s="62">
        <f>58500+0+6400</f>
        <v>64900</v>
      </c>
      <c r="CJ29" s="62">
        <v>79335</v>
      </c>
      <c r="CK29" s="62">
        <v>268403</v>
      </c>
      <c r="CL29" s="62">
        <f>145700+5500</f>
        <v>151200</v>
      </c>
      <c r="CM29" s="62">
        <f>30761+60325</f>
        <v>91086</v>
      </c>
      <c r="CN29" s="62">
        <v>92185</v>
      </c>
      <c r="CO29" s="62">
        <v>0</v>
      </c>
      <c r="CP29" s="75">
        <f t="shared" si="3"/>
        <v>747109</v>
      </c>
      <c r="CQ29" s="62">
        <v>48000</v>
      </c>
      <c r="CR29" s="75">
        <f t="shared" si="4"/>
        <v>795109</v>
      </c>
      <c r="CS29" s="75">
        <f t="shared" si="39"/>
        <v>1660792</v>
      </c>
      <c r="CT29" s="62">
        <f>5000+60000+1333939</f>
        <v>1398939</v>
      </c>
      <c r="CU29" s="47">
        <f t="shared" si="40"/>
        <v>261853</v>
      </c>
      <c r="CV29" s="76">
        <f t="shared" si="41"/>
        <v>0.6897260310951322</v>
      </c>
      <c r="CW29" s="75">
        <f t="shared" si="42"/>
        <v>4969.4312499999996</v>
      </c>
      <c r="CX29" s="77">
        <f t="shared" si="43"/>
        <v>0.33020834328321635</v>
      </c>
      <c r="CY29" s="75">
        <f t="shared" si="44"/>
        <v>1636.58125</v>
      </c>
      <c r="CZ29" s="77">
        <f t="shared" si="45"/>
        <v>0.10874741112695248</v>
      </c>
      <c r="DA29" s="77">
        <f t="shared" si="46"/>
        <v>0.58097861996817979</v>
      </c>
      <c r="DB29" s="47">
        <f t="shared" si="47"/>
        <v>172600</v>
      </c>
      <c r="DC29" s="69">
        <f t="shared" si="48"/>
        <v>15909.6</v>
      </c>
      <c r="DD29" s="70">
        <f t="shared" si="49"/>
        <v>360</v>
      </c>
      <c r="DE29" s="70">
        <f t="shared" si="50"/>
        <v>-1220.21875</v>
      </c>
      <c r="DF29" s="70">
        <f t="shared" si="51"/>
        <v>15049.38125</v>
      </c>
      <c r="DG29" s="70">
        <f t="shared" si="52"/>
        <v>405.625</v>
      </c>
      <c r="DH29" s="70">
        <f t="shared" si="53"/>
        <v>495.84375</v>
      </c>
      <c r="DI29" s="70">
        <f t="shared" si="54"/>
        <v>1677.51875</v>
      </c>
      <c r="DJ29" s="70">
        <f t="shared" si="55"/>
        <v>945</v>
      </c>
      <c r="DK29" s="70">
        <f t="shared" si="56"/>
        <v>569.28750000000002</v>
      </c>
      <c r="DL29" s="70">
        <f t="shared" si="57"/>
        <v>576.15625</v>
      </c>
      <c r="DM29" s="70" t="str">
        <f t="shared" si="58"/>
        <v/>
      </c>
      <c r="DN29" s="70">
        <f t="shared" si="59"/>
        <v>4669.4312499999996</v>
      </c>
      <c r="DO29" s="70">
        <f t="shared" si="60"/>
        <v>300</v>
      </c>
      <c r="DP29" s="70">
        <f t="shared" si="61"/>
        <v>4969.4312499999996</v>
      </c>
      <c r="DQ29" s="70">
        <f t="shared" si="62"/>
        <v>10379.950000000001</v>
      </c>
      <c r="DR29" s="70">
        <f t="shared" si="63"/>
        <v>8743.3687499999996</v>
      </c>
      <c r="DS29" s="71">
        <f t="shared" si="64"/>
        <v>1636.58125</v>
      </c>
      <c r="DT29" s="106">
        <f t="shared" si="65"/>
        <v>1.0571597420325836</v>
      </c>
      <c r="DU29" s="92">
        <f t="shared" si="66"/>
        <v>2.3921249254018333E-2</v>
      </c>
      <c r="DV29" s="92" t="str">
        <f t="shared" si="67"/>
        <v/>
      </c>
      <c r="DW29" s="92">
        <f t="shared" si="68"/>
        <v>1</v>
      </c>
      <c r="DX29" s="92">
        <f t="shared" si="69"/>
        <v>2.6952935357392186E-2</v>
      </c>
      <c r="DY29" s="92">
        <f t="shared" si="70"/>
        <v>3.2947783152214312E-2</v>
      </c>
      <c r="DZ29" s="92">
        <f t="shared" si="71"/>
        <v>0.11146762263066463</v>
      </c>
      <c r="EA29" s="92">
        <f t="shared" si="72"/>
        <v>6.2793279291798121E-2</v>
      </c>
      <c r="EB29" s="92">
        <f t="shared" si="73"/>
        <v>3.7827967179713783E-2</v>
      </c>
      <c r="EC29" s="92">
        <f t="shared" si="74"/>
        <v>3.8284381293084722E-2</v>
      </c>
      <c r="ED29" s="92" t="str">
        <f t="shared" si="75"/>
        <v/>
      </c>
      <c r="EE29" s="92">
        <f t="shared" si="76"/>
        <v>0.31027396890486775</v>
      </c>
      <c r="EF29" s="92">
        <f t="shared" si="77"/>
        <v>1.9934374378348611E-2</v>
      </c>
      <c r="EG29" s="92">
        <f t="shared" si="78"/>
        <v>0.33020834328321635</v>
      </c>
      <c r="EH29" s="92">
        <f t="shared" si="79"/>
        <v>0.6897260310951322</v>
      </c>
      <c r="EI29" s="92">
        <f t="shared" si="80"/>
        <v>0.58097861996817979</v>
      </c>
      <c r="EJ29" s="122">
        <f t="shared" si="81"/>
        <v>0.10874741112695248</v>
      </c>
    </row>
    <row r="30" spans="2:140" ht="12" hidden="1" customHeight="1" outlineLevel="1">
      <c r="B30" s="121">
        <v>44796</v>
      </c>
      <c r="C30" s="117">
        <v>22211</v>
      </c>
      <c r="D30" s="50" t="s">
        <v>308</v>
      </c>
      <c r="E30" s="50" t="s">
        <v>309</v>
      </c>
      <c r="F30" s="50" t="s">
        <v>309</v>
      </c>
      <c r="G30" s="50" t="s">
        <v>309</v>
      </c>
      <c r="H30" s="50" t="s">
        <v>310</v>
      </c>
      <c r="I30" s="51" t="s">
        <v>182</v>
      </c>
      <c r="J30" s="52" t="s">
        <v>311</v>
      </c>
      <c r="K30" s="50" t="s">
        <v>312</v>
      </c>
      <c r="L30" s="49">
        <v>10</v>
      </c>
      <c r="M30" s="50" t="s">
        <v>283</v>
      </c>
      <c r="N30" s="50" t="s">
        <v>160</v>
      </c>
      <c r="O30" s="50" t="s">
        <v>283</v>
      </c>
      <c r="P30" s="50" t="s">
        <v>177</v>
      </c>
      <c r="Q30" s="53">
        <v>0.09</v>
      </c>
      <c r="R30" s="49">
        <f>72-6</f>
        <v>66</v>
      </c>
      <c r="S30" s="49">
        <v>6</v>
      </c>
      <c r="T30" s="54">
        <f t="shared" si="0"/>
        <v>72</v>
      </c>
      <c r="U30" s="55">
        <v>61832</v>
      </c>
      <c r="V30" s="49">
        <v>25</v>
      </c>
      <c r="W30" s="56">
        <f t="shared" si="7"/>
        <v>2.88</v>
      </c>
      <c r="X30" s="49" t="s">
        <v>163</v>
      </c>
      <c r="Y30" s="57" t="s">
        <v>162</v>
      </c>
      <c r="Z30" s="58">
        <v>5709250</v>
      </c>
      <c r="AA30" s="114">
        <f>(((3000000*0.0425)/(Z30))+((1000000*0.005)/(Z30))+((1520000*0.005)/(Z30))+(((250+189000)*0)/(Z30)))</f>
        <v>2.4539125103997899E-2</v>
      </c>
      <c r="AB30" s="59">
        <v>15</v>
      </c>
      <c r="AC30" s="60">
        <v>35</v>
      </c>
      <c r="AD30" s="61">
        <v>4.2500000000000003E-2</v>
      </c>
      <c r="AE30" s="62">
        <v>3000000</v>
      </c>
      <c r="AF30" s="63">
        <v>1.35</v>
      </c>
      <c r="AG30" s="59">
        <v>15</v>
      </c>
      <c r="AH30" s="60">
        <v>35</v>
      </c>
      <c r="AI30" s="61">
        <v>5.0000000000000001E-3</v>
      </c>
      <c r="AJ30" s="64">
        <v>1000000</v>
      </c>
      <c r="AK30" s="65">
        <f t="shared" si="8"/>
        <v>4000000</v>
      </c>
      <c r="AL30" s="62">
        <v>189250</v>
      </c>
      <c r="AM30" s="49" t="s">
        <v>163</v>
      </c>
      <c r="AN30" s="67">
        <v>0.88</v>
      </c>
      <c r="AO30" s="62">
        <v>8323228</v>
      </c>
      <c r="AP30" s="62">
        <v>0</v>
      </c>
      <c r="AQ30" s="68">
        <v>28042</v>
      </c>
      <c r="AR30" s="69">
        <f t="shared" si="9"/>
        <v>55555.555555555555</v>
      </c>
      <c r="AS30" s="70" t="str">
        <f>IFERROR(IF(#REF!&gt;0,#REF!/T30,""),"")</f>
        <v/>
      </c>
      <c r="AT30" s="70">
        <f t="shared" si="10"/>
        <v>115600.38888888889</v>
      </c>
      <c r="AU30" s="70">
        <f t="shared" si="11"/>
        <v>2628.4722222222222</v>
      </c>
      <c r="AV30" s="71">
        <f t="shared" si="12"/>
        <v>389.47222222222223</v>
      </c>
      <c r="AW30" s="115">
        <f t="shared" si="13"/>
        <v>108291.66666666667</v>
      </c>
      <c r="AX30" s="116">
        <f t="shared" si="14"/>
        <v>126.09975417259672</v>
      </c>
      <c r="AY30" s="72">
        <f t="shared" si="15"/>
        <v>132094.18055555556</v>
      </c>
      <c r="AZ30" s="73">
        <f t="shared" si="16"/>
        <v>153.81648660887566</v>
      </c>
      <c r="BA30" s="66">
        <v>750000</v>
      </c>
      <c r="BB30" s="62">
        <v>2423000</v>
      </c>
      <c r="BC30" s="62">
        <v>5374000</v>
      </c>
      <c r="BD30" s="62">
        <v>545790</v>
      </c>
      <c r="BE30" s="62">
        <v>1167991</v>
      </c>
      <c r="BF30" s="62">
        <v>920000</v>
      </c>
      <c r="BG30" s="62">
        <v>926899</v>
      </c>
      <c r="BH30" s="62">
        <v>1626637</v>
      </c>
      <c r="BI30" s="62">
        <v>298161</v>
      </c>
      <c r="BJ30" s="47">
        <f t="shared" si="17"/>
        <v>14032478</v>
      </c>
      <c r="BK30" s="69">
        <f t="shared" si="18"/>
        <v>10416.666666666666</v>
      </c>
      <c r="BL30" s="70">
        <f t="shared" si="19"/>
        <v>33652.777777777781</v>
      </c>
      <c r="BM30" s="70">
        <f t="shared" si="20"/>
        <v>74638.888888888891</v>
      </c>
      <c r="BN30" s="70">
        <f t="shared" si="21"/>
        <v>7580.416666666667</v>
      </c>
      <c r="BO30" s="70">
        <f t="shared" si="22"/>
        <v>16222.097222222223</v>
      </c>
      <c r="BP30" s="70">
        <f t="shared" si="23"/>
        <v>12777.777777777777</v>
      </c>
      <c r="BQ30" s="70">
        <f t="shared" si="24"/>
        <v>12873.597222222223</v>
      </c>
      <c r="BR30" s="70">
        <f t="shared" si="25"/>
        <v>22592.180555555555</v>
      </c>
      <c r="BS30" s="70">
        <f t="shared" si="26"/>
        <v>4141.125</v>
      </c>
      <c r="BT30" s="71">
        <f t="shared" si="27"/>
        <v>194895.52777777778</v>
      </c>
      <c r="BU30" s="65">
        <f t="shared" si="28"/>
        <v>12.129641609522578</v>
      </c>
      <c r="BV30" s="48">
        <f t="shared" si="29"/>
        <v>39.186828826497603</v>
      </c>
      <c r="BW30" s="48">
        <f t="shared" si="30"/>
        <v>86.912925346099101</v>
      </c>
      <c r="BX30" s="48">
        <f t="shared" si="31"/>
        <v>8.8269827920817701</v>
      </c>
      <c r="BY30" s="48">
        <f t="shared" si="32"/>
        <v>18.889749644197181</v>
      </c>
      <c r="BZ30" s="48">
        <f t="shared" si="33"/>
        <v>14.879027041014362</v>
      </c>
      <c r="CA30" s="48">
        <f t="shared" si="34"/>
        <v>14.99060357096649</v>
      </c>
      <c r="CB30" s="48">
        <f t="shared" si="35"/>
        <v>26.307365118385302</v>
      </c>
      <c r="CC30" s="48">
        <f t="shared" si="36"/>
        <v>4.8221147625824816</v>
      </c>
      <c r="CD30" s="47">
        <f t="shared" si="37"/>
        <v>226.94523871134689</v>
      </c>
      <c r="CE30" s="66">
        <v>660360</v>
      </c>
      <c r="CF30" s="62">
        <v>17280</v>
      </c>
      <c r="CG30" s="74">
        <v>-50823</v>
      </c>
      <c r="CH30" s="75">
        <f t="shared" si="38"/>
        <v>626817</v>
      </c>
      <c r="CI30" s="62">
        <f>26000+5000+2640</f>
        <v>33640</v>
      </c>
      <c r="CJ30" s="62">
        <v>31341</v>
      </c>
      <c r="CK30" s="62">
        <v>109250</v>
      </c>
      <c r="CL30" s="62">
        <f>47500+0</f>
        <v>47500</v>
      </c>
      <c r="CM30" s="62">
        <f>20000+58500</f>
        <v>78500</v>
      </c>
      <c r="CN30" s="62">
        <v>37099</v>
      </c>
      <c r="CO30" s="62">
        <v>45000</v>
      </c>
      <c r="CP30" s="75">
        <f t="shared" si="3"/>
        <v>382330</v>
      </c>
      <c r="CQ30" s="62">
        <v>18000</v>
      </c>
      <c r="CR30" s="75">
        <f t="shared" si="4"/>
        <v>400330</v>
      </c>
      <c r="CS30" s="75">
        <f t="shared" si="39"/>
        <v>244487</v>
      </c>
      <c r="CT30" s="62">
        <v>195992</v>
      </c>
      <c r="CU30" s="47">
        <f t="shared" si="40"/>
        <v>48495</v>
      </c>
      <c r="CV30" s="76">
        <f t="shared" si="41"/>
        <v>0.39004526041891013</v>
      </c>
      <c r="CW30" s="75">
        <f t="shared" si="42"/>
        <v>5560.1388888888887</v>
      </c>
      <c r="CX30" s="77">
        <f t="shared" si="43"/>
        <v>0.63867125492767429</v>
      </c>
      <c r="CY30" s="75">
        <f t="shared" si="44"/>
        <v>673.54166666666663</v>
      </c>
      <c r="CZ30" s="77">
        <f t="shared" si="45"/>
        <v>7.7367078429589495E-2</v>
      </c>
      <c r="DA30" s="77">
        <f t="shared" si="46"/>
        <v>0.31267818198932062</v>
      </c>
      <c r="DB30" s="47">
        <f t="shared" si="47"/>
        <v>55555.555555555555</v>
      </c>
      <c r="DC30" s="69">
        <f t="shared" si="48"/>
        <v>9171.6666666666661</v>
      </c>
      <c r="DD30" s="70">
        <f t="shared" si="49"/>
        <v>240</v>
      </c>
      <c r="DE30" s="70">
        <f t="shared" si="50"/>
        <v>-705.875</v>
      </c>
      <c r="DF30" s="70">
        <f t="shared" si="51"/>
        <v>8705.7916666666661</v>
      </c>
      <c r="DG30" s="70">
        <f t="shared" si="52"/>
        <v>467.22222222222223</v>
      </c>
      <c r="DH30" s="70">
        <f t="shared" si="53"/>
        <v>435.29166666666669</v>
      </c>
      <c r="DI30" s="70">
        <f t="shared" si="54"/>
        <v>1517.3611111111111</v>
      </c>
      <c r="DJ30" s="70">
        <f t="shared" si="55"/>
        <v>659.72222222222217</v>
      </c>
      <c r="DK30" s="70">
        <f t="shared" si="56"/>
        <v>1090.2777777777778</v>
      </c>
      <c r="DL30" s="70">
        <f t="shared" si="57"/>
        <v>515.26388888888891</v>
      </c>
      <c r="DM30" s="70">
        <f t="shared" si="58"/>
        <v>625</v>
      </c>
      <c r="DN30" s="70">
        <f t="shared" si="59"/>
        <v>5310.1388888888887</v>
      </c>
      <c r="DO30" s="70">
        <f t="shared" si="60"/>
        <v>250</v>
      </c>
      <c r="DP30" s="70">
        <f t="shared" si="61"/>
        <v>5560.1388888888887</v>
      </c>
      <c r="DQ30" s="70">
        <f t="shared" si="62"/>
        <v>3395.6527777777778</v>
      </c>
      <c r="DR30" s="70">
        <f t="shared" si="63"/>
        <v>2722.1111111111113</v>
      </c>
      <c r="DS30" s="71">
        <f t="shared" si="64"/>
        <v>673.54166666666663</v>
      </c>
      <c r="DT30" s="106">
        <f t="shared" si="65"/>
        <v>1.05351322634836</v>
      </c>
      <c r="DU30" s="92">
        <f t="shared" si="66"/>
        <v>2.7567854732721032E-2</v>
      </c>
      <c r="DV30" s="92" t="str">
        <f t="shared" si="67"/>
        <v/>
      </c>
      <c r="DW30" s="92">
        <f t="shared" si="68"/>
        <v>1</v>
      </c>
      <c r="DX30" s="92">
        <f t="shared" si="69"/>
        <v>5.3667976458838862E-2</v>
      </c>
      <c r="DY30" s="92">
        <f t="shared" si="70"/>
        <v>5.0000239304294557E-2</v>
      </c>
      <c r="DZ30" s="92">
        <f t="shared" si="71"/>
        <v>0.17429329453413037</v>
      </c>
      <c r="EA30" s="92">
        <f t="shared" si="72"/>
        <v>7.5779693275708854E-2</v>
      </c>
      <c r="EB30" s="92">
        <f t="shared" si="73"/>
        <v>0.12523591415038202</v>
      </c>
      <c r="EC30" s="92">
        <f t="shared" si="74"/>
        <v>5.9186333491274168E-2</v>
      </c>
      <c r="ED30" s="92">
        <f t="shared" si="75"/>
        <v>7.1791288366461023E-2</v>
      </c>
      <c r="EE30" s="92">
        <f t="shared" si="76"/>
        <v>0.60995473958108981</v>
      </c>
      <c r="EF30" s="92">
        <f t="shared" si="77"/>
        <v>2.8716515346584408E-2</v>
      </c>
      <c r="EG30" s="92">
        <f t="shared" si="78"/>
        <v>0.63867125492767429</v>
      </c>
      <c r="EH30" s="92">
        <f t="shared" si="79"/>
        <v>0.39004526041891013</v>
      </c>
      <c r="EI30" s="92">
        <f t="shared" si="80"/>
        <v>0.31267818198932062</v>
      </c>
      <c r="EJ30" s="122">
        <f t="shared" si="81"/>
        <v>7.7367078429589495E-2</v>
      </c>
    </row>
    <row r="31" spans="2:140" ht="12" hidden="1" customHeight="1" outlineLevel="1">
      <c r="B31" s="121">
        <v>44796</v>
      </c>
      <c r="C31" s="117" t="s">
        <v>313</v>
      </c>
      <c r="D31" s="50" t="s">
        <v>314</v>
      </c>
      <c r="E31" s="50" t="s">
        <v>315</v>
      </c>
      <c r="F31" s="50" t="s">
        <v>316</v>
      </c>
      <c r="G31" s="50" t="s">
        <v>162</v>
      </c>
      <c r="H31" s="50" t="s">
        <v>317</v>
      </c>
      <c r="I31" s="51" t="s">
        <v>226</v>
      </c>
      <c r="J31" s="52" t="s">
        <v>175</v>
      </c>
      <c r="K31" s="50" t="s">
        <v>176</v>
      </c>
      <c r="L31" s="49">
        <v>6</v>
      </c>
      <c r="M31" s="50" t="s">
        <v>159</v>
      </c>
      <c r="N31" s="50" t="s">
        <v>244</v>
      </c>
      <c r="O31" s="50" t="s">
        <v>318</v>
      </c>
      <c r="P31" s="50" t="s">
        <v>177</v>
      </c>
      <c r="Q31" s="53">
        <v>0.09</v>
      </c>
      <c r="R31" s="49">
        <v>82</v>
      </c>
      <c r="S31" s="49">
        <v>3</v>
      </c>
      <c r="T31" s="54">
        <f t="shared" si="0"/>
        <v>85</v>
      </c>
      <c r="U31" s="55">
        <v>59564</v>
      </c>
      <c r="V31" s="49">
        <v>1.38</v>
      </c>
      <c r="W31" s="56">
        <f t="shared" si="7"/>
        <v>61.594202898550726</v>
      </c>
      <c r="X31" s="49" t="s">
        <v>163</v>
      </c>
      <c r="Y31" s="57" t="s">
        <v>162</v>
      </c>
      <c r="Z31" s="58">
        <v>273500</v>
      </c>
      <c r="AA31" s="114">
        <v>4.7500000000000001E-2</v>
      </c>
      <c r="AB31" s="59">
        <v>15</v>
      </c>
      <c r="AC31" s="60">
        <v>35</v>
      </c>
      <c r="AD31" s="61">
        <v>4.7500000000000001E-2</v>
      </c>
      <c r="AE31" s="62">
        <v>4273000</v>
      </c>
      <c r="AF31" s="63">
        <v>1.1499999999999999</v>
      </c>
      <c r="AG31" s="59"/>
      <c r="AH31" s="60"/>
      <c r="AI31" s="61"/>
      <c r="AJ31" s="64"/>
      <c r="AK31" s="65">
        <f t="shared" si="8"/>
        <v>4273000</v>
      </c>
      <c r="AL31" s="62">
        <v>500</v>
      </c>
      <c r="AM31" s="49" t="s">
        <v>163</v>
      </c>
      <c r="AN31" s="67">
        <v>0.92</v>
      </c>
      <c r="AO31" s="62">
        <v>14234068</v>
      </c>
      <c r="AP31" s="62">
        <v>0</v>
      </c>
      <c r="AQ31" s="68">
        <v>439019</v>
      </c>
      <c r="AR31" s="69">
        <f t="shared" si="9"/>
        <v>50270.588235294119</v>
      </c>
      <c r="AS31" s="70" t="str">
        <f>IFERROR(IF(#REF!&gt;0,#REF!/T31,""),"")</f>
        <v/>
      </c>
      <c r="AT31" s="70">
        <f t="shared" si="10"/>
        <v>167459.62352941177</v>
      </c>
      <c r="AU31" s="70">
        <f t="shared" si="11"/>
        <v>5.882352941176471</v>
      </c>
      <c r="AV31" s="71">
        <f t="shared" si="12"/>
        <v>5164.9294117647059</v>
      </c>
      <c r="AW31" s="115">
        <f t="shared" si="13"/>
        <v>90981.905882352934</v>
      </c>
      <c r="AX31" s="116">
        <f t="shared" si="14"/>
        <v>129.83449734739105</v>
      </c>
      <c r="AY31" s="72">
        <f t="shared" si="15"/>
        <v>109057.70588235295</v>
      </c>
      <c r="AZ31" s="73">
        <f t="shared" si="16"/>
        <v>155.62932308105567</v>
      </c>
      <c r="BA31" s="66">
        <v>3914000</v>
      </c>
      <c r="BB31" s="62">
        <v>2000937</v>
      </c>
      <c r="BC31" s="62">
        <v>5732525</v>
      </c>
      <c r="BD31" s="62">
        <v>489313</v>
      </c>
      <c r="BE31" s="62">
        <v>1047130</v>
      </c>
      <c r="BF31" s="62">
        <v>2095434</v>
      </c>
      <c r="BG31" s="62">
        <v>1136864</v>
      </c>
      <c r="BH31" s="62">
        <v>1735000</v>
      </c>
      <c r="BI31" s="62">
        <v>355865</v>
      </c>
      <c r="BJ31" s="47">
        <f t="shared" si="17"/>
        <v>18507068</v>
      </c>
      <c r="BK31" s="69">
        <f t="shared" si="18"/>
        <v>46047.058823529413</v>
      </c>
      <c r="BL31" s="70">
        <f t="shared" si="19"/>
        <v>23540.435294117648</v>
      </c>
      <c r="BM31" s="70">
        <f t="shared" si="20"/>
        <v>67441.470588235301</v>
      </c>
      <c r="BN31" s="70">
        <f t="shared" si="21"/>
        <v>5756.623529411765</v>
      </c>
      <c r="BO31" s="70">
        <f t="shared" si="22"/>
        <v>12319.176470588236</v>
      </c>
      <c r="BP31" s="70">
        <f t="shared" si="23"/>
        <v>24652.164705882355</v>
      </c>
      <c r="BQ31" s="70">
        <f t="shared" si="24"/>
        <v>13374.870588235293</v>
      </c>
      <c r="BR31" s="70">
        <f t="shared" si="25"/>
        <v>20411.764705882353</v>
      </c>
      <c r="BS31" s="70">
        <f t="shared" si="26"/>
        <v>4186.6470588235297</v>
      </c>
      <c r="BT31" s="71">
        <f t="shared" si="27"/>
        <v>217730.21176470589</v>
      </c>
      <c r="BU31" s="65">
        <f t="shared" si="28"/>
        <v>65.710832046202398</v>
      </c>
      <c r="BV31" s="48">
        <f t="shared" si="29"/>
        <v>33.593059566180912</v>
      </c>
      <c r="BW31" s="48">
        <f t="shared" si="30"/>
        <v>96.241437781210124</v>
      </c>
      <c r="BX31" s="48">
        <f t="shared" si="31"/>
        <v>8.2149116916258151</v>
      </c>
      <c r="BY31" s="48">
        <f t="shared" si="32"/>
        <v>17.579914042038816</v>
      </c>
      <c r="BZ31" s="48">
        <f t="shared" si="33"/>
        <v>35.179537975958631</v>
      </c>
      <c r="CA31" s="48">
        <f t="shared" si="34"/>
        <v>19.086428043784835</v>
      </c>
      <c r="CB31" s="48">
        <f t="shared" si="35"/>
        <v>29.128332549862332</v>
      </c>
      <c r="CC31" s="48">
        <f t="shared" si="36"/>
        <v>5.9744980189376129</v>
      </c>
      <c r="CD31" s="47">
        <f t="shared" si="37"/>
        <v>310.7089517158015</v>
      </c>
      <c r="CE31" s="66">
        <v>790128</v>
      </c>
      <c r="CF31" s="62">
        <v>20400</v>
      </c>
      <c r="CG31" s="74">
        <v>-60790</v>
      </c>
      <c r="CH31" s="75">
        <f t="shared" si="38"/>
        <v>749738</v>
      </c>
      <c r="CI31" s="62">
        <f>34425+3280</f>
        <v>37705</v>
      </c>
      <c r="CJ31" s="62">
        <v>37466</v>
      </c>
      <c r="CK31" s="62">
        <v>126126</v>
      </c>
      <c r="CL31" s="62">
        <v>59500</v>
      </c>
      <c r="CM31" s="62">
        <f>16625+54350</f>
        <v>70975</v>
      </c>
      <c r="CN31" s="62">
        <v>35020</v>
      </c>
      <c r="CO31" s="62">
        <v>72803</v>
      </c>
      <c r="CP31" s="75">
        <f t="shared" si="3"/>
        <v>439595</v>
      </c>
      <c r="CQ31" s="62">
        <v>21250</v>
      </c>
      <c r="CR31" s="75">
        <f t="shared" si="4"/>
        <v>460845</v>
      </c>
      <c r="CS31" s="75">
        <f t="shared" si="39"/>
        <v>310143</v>
      </c>
      <c r="CT31" s="62">
        <f>3280+250666</f>
        <v>253946</v>
      </c>
      <c r="CU31" s="47">
        <f t="shared" si="40"/>
        <v>56197</v>
      </c>
      <c r="CV31" s="76">
        <f t="shared" si="41"/>
        <v>0.41366850819886414</v>
      </c>
      <c r="CW31" s="75">
        <f t="shared" si="42"/>
        <v>5421.7058823529414</v>
      </c>
      <c r="CX31" s="77">
        <f t="shared" si="43"/>
        <v>0.61467472637107901</v>
      </c>
      <c r="CY31" s="75">
        <f t="shared" si="44"/>
        <v>661.14117647058822</v>
      </c>
      <c r="CZ31" s="77">
        <f t="shared" si="45"/>
        <v>7.4955517794216109E-2</v>
      </c>
      <c r="DA31" s="77">
        <f t="shared" si="46"/>
        <v>0.33871299040464803</v>
      </c>
      <c r="DB31" s="47">
        <f t="shared" si="47"/>
        <v>50270.588235294119</v>
      </c>
      <c r="DC31" s="69">
        <f t="shared" si="48"/>
        <v>9295.623529411765</v>
      </c>
      <c r="DD31" s="70">
        <f t="shared" si="49"/>
        <v>240</v>
      </c>
      <c r="DE31" s="70">
        <f t="shared" si="50"/>
        <v>-715.17647058823525</v>
      </c>
      <c r="DF31" s="70">
        <f t="shared" si="51"/>
        <v>8820.447058823529</v>
      </c>
      <c r="DG31" s="70">
        <f t="shared" si="52"/>
        <v>443.58823529411762</v>
      </c>
      <c r="DH31" s="70">
        <f t="shared" si="53"/>
        <v>440.77647058823527</v>
      </c>
      <c r="DI31" s="70">
        <f t="shared" si="54"/>
        <v>1483.835294117647</v>
      </c>
      <c r="DJ31" s="70">
        <f t="shared" si="55"/>
        <v>700</v>
      </c>
      <c r="DK31" s="70">
        <f t="shared" si="56"/>
        <v>835</v>
      </c>
      <c r="DL31" s="70">
        <f t="shared" si="57"/>
        <v>412</v>
      </c>
      <c r="DM31" s="70">
        <f t="shared" si="58"/>
        <v>856.50588235294117</v>
      </c>
      <c r="DN31" s="70">
        <f t="shared" si="59"/>
        <v>5171.7058823529414</v>
      </c>
      <c r="DO31" s="70">
        <f t="shared" si="60"/>
        <v>250</v>
      </c>
      <c r="DP31" s="70">
        <f t="shared" si="61"/>
        <v>5421.7058823529414</v>
      </c>
      <c r="DQ31" s="70">
        <f t="shared" si="62"/>
        <v>3648.741176470588</v>
      </c>
      <c r="DR31" s="70">
        <f t="shared" si="63"/>
        <v>2987.6</v>
      </c>
      <c r="DS31" s="71">
        <f t="shared" si="64"/>
        <v>661.14117647058822</v>
      </c>
      <c r="DT31" s="106">
        <f t="shared" si="65"/>
        <v>1.0538721526720001</v>
      </c>
      <c r="DU31" s="92">
        <f t="shared" si="66"/>
        <v>2.7209505187145377E-2</v>
      </c>
      <c r="DV31" s="92" t="str">
        <f t="shared" si="67"/>
        <v/>
      </c>
      <c r="DW31" s="92">
        <f t="shared" si="68"/>
        <v>1</v>
      </c>
      <c r="DX31" s="92">
        <f t="shared" si="69"/>
        <v>5.0290901621633161E-2</v>
      </c>
      <c r="DY31" s="92">
        <f t="shared" si="70"/>
        <v>4.9972123595175916E-2</v>
      </c>
      <c r="DZ31" s="92">
        <f t="shared" si="71"/>
        <v>0.16822676721734792</v>
      </c>
      <c r="EA31" s="92">
        <f t="shared" si="72"/>
        <v>7.9361056795840684E-2</v>
      </c>
      <c r="EB31" s="92">
        <f t="shared" si="73"/>
        <v>9.4666403463609952E-2</v>
      </c>
      <c r="EC31" s="92">
        <f t="shared" si="74"/>
        <v>4.6709650571266227E-2</v>
      </c>
      <c r="ED31" s="92">
        <f t="shared" si="75"/>
        <v>9.7104588536261999E-2</v>
      </c>
      <c r="EE31" s="92">
        <f t="shared" si="76"/>
        <v>0.58633149180113586</v>
      </c>
      <c r="EF31" s="92">
        <f t="shared" si="77"/>
        <v>2.8343234569943102E-2</v>
      </c>
      <c r="EG31" s="92">
        <f t="shared" si="78"/>
        <v>0.61467472637107901</v>
      </c>
      <c r="EH31" s="92">
        <f t="shared" si="79"/>
        <v>0.41366850819886414</v>
      </c>
      <c r="EI31" s="92">
        <f t="shared" si="80"/>
        <v>0.33871299040464803</v>
      </c>
      <c r="EJ31" s="122">
        <f t="shared" si="81"/>
        <v>7.4955517794216109E-2</v>
      </c>
    </row>
    <row r="32" spans="2:140" ht="12" hidden="1" customHeight="1" outlineLevel="1">
      <c r="B32" s="121">
        <v>44799</v>
      </c>
      <c r="C32" s="117">
        <v>22220</v>
      </c>
      <c r="D32" s="50" t="s">
        <v>319</v>
      </c>
      <c r="E32" s="50" t="s">
        <v>320</v>
      </c>
      <c r="F32" s="50" t="s">
        <v>298</v>
      </c>
      <c r="G32" s="50" t="s">
        <v>162</v>
      </c>
      <c r="H32" s="50" t="s">
        <v>259</v>
      </c>
      <c r="I32" s="51" t="s">
        <v>321</v>
      </c>
      <c r="J32" s="52" t="s">
        <v>322</v>
      </c>
      <c r="K32" s="50" t="s">
        <v>323</v>
      </c>
      <c r="L32" s="49">
        <v>2</v>
      </c>
      <c r="M32" s="50" t="s">
        <v>283</v>
      </c>
      <c r="N32" s="50" t="s">
        <v>160</v>
      </c>
      <c r="O32" s="50" t="s">
        <v>160</v>
      </c>
      <c r="P32" s="50" t="s">
        <v>177</v>
      </c>
      <c r="Q32" s="53">
        <v>0.09</v>
      </c>
      <c r="R32" s="49">
        <f>80-12</f>
        <v>68</v>
      </c>
      <c r="S32" s="49">
        <v>12</v>
      </c>
      <c r="T32" s="54">
        <f t="shared" si="0"/>
        <v>80</v>
      </c>
      <c r="U32" s="55">
        <v>64921</v>
      </c>
      <c r="V32" s="49">
        <v>5</v>
      </c>
      <c r="W32" s="56">
        <f t="shared" si="7"/>
        <v>16</v>
      </c>
      <c r="X32" s="49" t="s">
        <v>163</v>
      </c>
      <c r="Y32" s="57" t="s">
        <v>162</v>
      </c>
      <c r="Z32" s="58">
        <v>5697925</v>
      </c>
      <c r="AA32" s="114">
        <f>(((2850000*0.045)/(Z32))+((2649000*0.005)/(Z32))+((250*0)/(Z32)))</f>
        <v>2.483272419345639E-2</v>
      </c>
      <c r="AB32" s="59">
        <v>15</v>
      </c>
      <c r="AC32" s="60">
        <v>35</v>
      </c>
      <c r="AD32" s="61">
        <v>4.4999999999999998E-2</v>
      </c>
      <c r="AE32" s="62">
        <v>2850000</v>
      </c>
      <c r="AF32" s="63">
        <v>1.81</v>
      </c>
      <c r="AG32" s="59">
        <v>15</v>
      </c>
      <c r="AH32" s="60">
        <v>35</v>
      </c>
      <c r="AI32" s="61">
        <v>5.0000000000000001E-3</v>
      </c>
      <c r="AJ32" s="64">
        <v>2649000</v>
      </c>
      <c r="AK32" s="65">
        <f t="shared" si="8"/>
        <v>5499000</v>
      </c>
      <c r="AL32" s="62">
        <v>198925</v>
      </c>
      <c r="AM32" s="49" t="s">
        <v>163</v>
      </c>
      <c r="AN32" s="67">
        <v>0.86</v>
      </c>
      <c r="AO32" s="62">
        <v>7739548</v>
      </c>
      <c r="AP32" s="62">
        <v>0</v>
      </c>
      <c r="AQ32" s="68">
        <v>322</v>
      </c>
      <c r="AR32" s="69">
        <f t="shared" si="9"/>
        <v>68737.5</v>
      </c>
      <c r="AS32" s="70" t="str">
        <f>IFERROR(IF(#REF!&gt;0,#REF!/T32,""),"")</f>
        <v/>
      </c>
      <c r="AT32" s="70">
        <f t="shared" si="10"/>
        <v>96744.35</v>
      </c>
      <c r="AU32" s="70">
        <f t="shared" si="11"/>
        <v>2486.5625</v>
      </c>
      <c r="AV32" s="71">
        <f t="shared" si="12"/>
        <v>4.0250000000000004</v>
      </c>
      <c r="AW32" s="115">
        <f t="shared" si="13"/>
        <v>98244.25</v>
      </c>
      <c r="AX32" s="116">
        <f t="shared" si="14"/>
        <v>121.06313827575053</v>
      </c>
      <c r="AY32" s="72">
        <f t="shared" si="15"/>
        <v>119838.33750000001</v>
      </c>
      <c r="AZ32" s="73">
        <f t="shared" si="16"/>
        <v>147.67281773232082</v>
      </c>
      <c r="BA32" s="66">
        <v>75000</v>
      </c>
      <c r="BB32" s="62">
        <v>1037920</v>
      </c>
      <c r="BC32" s="62">
        <v>6821620</v>
      </c>
      <c r="BD32" s="62">
        <v>550168</v>
      </c>
      <c r="BE32" s="62">
        <v>1177359</v>
      </c>
      <c r="BF32" s="62">
        <v>986197</v>
      </c>
      <c r="BG32" s="62">
        <v>827875</v>
      </c>
      <c r="BH32" s="62">
        <v>1648000</v>
      </c>
      <c r="BI32" s="62">
        <v>313334</v>
      </c>
      <c r="BJ32" s="47">
        <f t="shared" si="17"/>
        <v>13437473</v>
      </c>
      <c r="BK32" s="69">
        <f t="shared" ref="BK32:BP32" si="82">IFERROR(IF(BA32&gt;0,BA32/$T32,""),"")</f>
        <v>937.5</v>
      </c>
      <c r="BL32" s="70">
        <f t="shared" si="82"/>
        <v>12974</v>
      </c>
      <c r="BM32" s="70">
        <f t="shared" si="82"/>
        <v>85270.25</v>
      </c>
      <c r="BN32" s="70">
        <f t="shared" si="82"/>
        <v>6877.1</v>
      </c>
      <c r="BO32" s="70">
        <f t="shared" si="82"/>
        <v>14716.987499999999</v>
      </c>
      <c r="BP32" s="70">
        <f t="shared" si="82"/>
        <v>12327.4625</v>
      </c>
      <c r="BQ32" s="70" t="str">
        <f>IFERROR(IF(#REF!&gt;0,#REF!/$T32,""),"")</f>
        <v/>
      </c>
      <c r="BR32" s="70">
        <f t="shared" ref="BR32:BR60" si="83">IFERROR(IF(BH32&gt;0,BH32/$T32,""),"")</f>
        <v>20600</v>
      </c>
      <c r="BS32" s="70">
        <f t="shared" ref="BS32:BS60" si="84">IFERROR(IF(BI32&gt;0,BI32/$T32,""),"")</f>
        <v>3916.6750000000002</v>
      </c>
      <c r="BT32" s="71">
        <f t="shared" ref="BT32:BT60" si="85">IFERROR(IF(BJ32&gt;0,BJ32/$T32,""),"")</f>
        <v>167968.41250000001</v>
      </c>
      <c r="BU32" s="65">
        <f t="shared" ref="BU32:BZ32" si="86">IFERROR(IF(BA32&gt;0,BA32/$U32,""),"")</f>
        <v>1.1552502271992113</v>
      </c>
      <c r="BV32" s="48">
        <f t="shared" si="86"/>
        <v>15.987430877528073</v>
      </c>
      <c r="BW32" s="48">
        <f t="shared" si="86"/>
        <v>105.07570739822245</v>
      </c>
      <c r="BX32" s="48">
        <f t="shared" si="86"/>
        <v>8.4744227599698103</v>
      </c>
      <c r="BY32" s="48">
        <f t="shared" si="86"/>
        <v>18.135256696600482</v>
      </c>
      <c r="BZ32" s="48">
        <f t="shared" si="86"/>
        <v>15.190724110842408</v>
      </c>
      <c r="CA32" s="48" t="str">
        <f>IFERROR(IF(#REF!&gt;0,#REF!/$U32,""),"")</f>
        <v/>
      </c>
      <c r="CB32" s="48">
        <f t="shared" ref="CB32:CB60" si="87">IFERROR(IF(BH32&gt;0,BH32/$U32,""),"")</f>
        <v>25.384698325657336</v>
      </c>
      <c r="CC32" s="48">
        <f t="shared" ref="CC32:CC60" si="88">IFERROR(IF(BI32&gt;0,BI32/$U32,""),"")</f>
        <v>4.8263889958565027</v>
      </c>
      <c r="CD32" s="47">
        <f t="shared" ref="CD32:CD60" si="89">IFERROR(IF(BJ32&gt;0,BJ32/$U32,""),"")</f>
        <v>206.98191648311024</v>
      </c>
      <c r="CE32" s="66">
        <v>711360</v>
      </c>
      <c r="CF32" s="62">
        <v>19200</v>
      </c>
      <c r="CG32" s="74">
        <v>-54792</v>
      </c>
      <c r="CH32" s="75">
        <f t="shared" si="38"/>
        <v>675768</v>
      </c>
      <c r="CI32" s="62">
        <f>38000+8000+2720</f>
        <v>48720</v>
      </c>
      <c r="CJ32" s="62">
        <v>27078</v>
      </c>
      <c r="CK32" s="62">
        <v>92000</v>
      </c>
      <c r="CL32" s="62">
        <f>54000+0</f>
        <v>54000</v>
      </c>
      <c r="CM32" s="62">
        <f>16000+50000</f>
        <v>66000</v>
      </c>
      <c r="CN32" s="62">
        <v>32000</v>
      </c>
      <c r="CO32" s="62">
        <v>42500</v>
      </c>
      <c r="CP32" s="75">
        <f t="shared" si="3"/>
        <v>362298</v>
      </c>
      <c r="CQ32" s="62">
        <v>20000</v>
      </c>
      <c r="CR32" s="75">
        <f t="shared" si="4"/>
        <v>382298</v>
      </c>
      <c r="CS32" s="75">
        <f t="shared" si="39"/>
        <v>313470</v>
      </c>
      <c r="CT32" s="62">
        <v>244371</v>
      </c>
      <c r="CU32" s="47">
        <f t="shared" si="40"/>
        <v>69099</v>
      </c>
      <c r="CV32" s="76">
        <f t="shared" si="41"/>
        <v>0.46387221650033739</v>
      </c>
      <c r="CW32" s="75">
        <f t="shared" si="42"/>
        <v>4778.7250000000004</v>
      </c>
      <c r="CX32" s="77">
        <f t="shared" si="43"/>
        <v>0.56572373950823363</v>
      </c>
      <c r="CY32" s="75">
        <f t="shared" si="44"/>
        <v>863.73749999999995</v>
      </c>
      <c r="CZ32" s="77">
        <f t="shared" si="45"/>
        <v>0.10225254821181234</v>
      </c>
      <c r="DA32" s="77">
        <f t="shared" si="46"/>
        <v>0.36161966828852504</v>
      </c>
      <c r="DB32" s="47">
        <f t="shared" si="47"/>
        <v>68737.5</v>
      </c>
      <c r="DC32" s="69">
        <f t="shared" si="48"/>
        <v>8892</v>
      </c>
      <c r="DD32" s="70">
        <f t="shared" si="49"/>
        <v>240</v>
      </c>
      <c r="DE32" s="70">
        <f t="shared" si="50"/>
        <v>-684.9</v>
      </c>
      <c r="DF32" s="70">
        <f t="shared" si="51"/>
        <v>8447.1</v>
      </c>
      <c r="DG32" s="70">
        <f t="shared" si="52"/>
        <v>609</v>
      </c>
      <c r="DH32" s="70">
        <f t="shared" si="53"/>
        <v>338.47500000000002</v>
      </c>
      <c r="DI32" s="70">
        <f t="shared" si="54"/>
        <v>1150</v>
      </c>
      <c r="DJ32" s="70">
        <f t="shared" si="55"/>
        <v>675</v>
      </c>
      <c r="DK32" s="70">
        <f t="shared" si="56"/>
        <v>825</v>
      </c>
      <c r="DL32" s="70">
        <f t="shared" si="57"/>
        <v>400</v>
      </c>
      <c r="DM32" s="70">
        <f t="shared" si="58"/>
        <v>531.25</v>
      </c>
      <c r="DN32" s="70">
        <f t="shared" si="59"/>
        <v>4528.7250000000004</v>
      </c>
      <c r="DO32" s="70">
        <f t="shared" si="60"/>
        <v>250</v>
      </c>
      <c r="DP32" s="70">
        <f t="shared" si="61"/>
        <v>4778.7250000000004</v>
      </c>
      <c r="DQ32" s="70">
        <f t="shared" si="62"/>
        <v>3918.375</v>
      </c>
      <c r="DR32" s="70">
        <f t="shared" si="63"/>
        <v>3054.6374999999998</v>
      </c>
      <c r="DS32" s="71">
        <f t="shared" si="64"/>
        <v>863.73749999999995</v>
      </c>
      <c r="DT32" s="106">
        <f t="shared" si="65"/>
        <v>1.052668963312853</v>
      </c>
      <c r="DU32" s="92">
        <f t="shared" si="66"/>
        <v>2.8412117768228148E-2</v>
      </c>
      <c r="DV32" s="92" t="str">
        <f t="shared" si="67"/>
        <v/>
      </c>
      <c r="DW32" s="92">
        <f t="shared" si="68"/>
        <v>1</v>
      </c>
      <c r="DX32" s="92">
        <f t="shared" si="69"/>
        <v>7.2095748836878928E-2</v>
      </c>
      <c r="DY32" s="92">
        <f t="shared" si="70"/>
        <v>4.006996484000426E-2</v>
      </c>
      <c r="DZ32" s="92">
        <f t="shared" si="71"/>
        <v>0.13614139763942654</v>
      </c>
      <c r="EA32" s="92">
        <f t="shared" si="72"/>
        <v>7.9909081223141665E-2</v>
      </c>
      <c r="EB32" s="92">
        <f t="shared" si="73"/>
        <v>9.7666654828284266E-2</v>
      </c>
      <c r="EC32" s="92">
        <f t="shared" si="74"/>
        <v>4.7353529613713585E-2</v>
      </c>
      <c r="ED32" s="92">
        <f t="shared" si="75"/>
        <v>6.2891406518213358E-2</v>
      </c>
      <c r="EE32" s="92">
        <f t="shared" si="76"/>
        <v>0.53612778349966261</v>
      </c>
      <c r="EF32" s="92">
        <f t="shared" si="77"/>
        <v>2.9595956008570987E-2</v>
      </c>
      <c r="EG32" s="92">
        <f t="shared" si="78"/>
        <v>0.56572373950823363</v>
      </c>
      <c r="EH32" s="92">
        <f t="shared" si="79"/>
        <v>0.46387221650033739</v>
      </c>
      <c r="EI32" s="92">
        <f t="shared" si="80"/>
        <v>0.36161966828852504</v>
      </c>
      <c r="EJ32" s="122">
        <f t="shared" si="81"/>
        <v>0.10225254821181234</v>
      </c>
    </row>
    <row r="33" spans="2:140" ht="12" hidden="1" customHeight="1" outlineLevel="1">
      <c r="B33" s="121">
        <v>44799</v>
      </c>
      <c r="C33" s="117">
        <v>22269</v>
      </c>
      <c r="D33" s="50" t="s">
        <v>324</v>
      </c>
      <c r="E33" s="50" t="s">
        <v>325</v>
      </c>
      <c r="F33" s="50" t="s">
        <v>326</v>
      </c>
      <c r="G33" s="50" t="s">
        <v>154</v>
      </c>
      <c r="H33" s="50" t="s">
        <v>327</v>
      </c>
      <c r="I33" s="51" t="s">
        <v>328</v>
      </c>
      <c r="J33" s="52" t="s">
        <v>329</v>
      </c>
      <c r="K33" s="50" t="s">
        <v>330</v>
      </c>
      <c r="L33" s="49">
        <v>3</v>
      </c>
      <c r="M33" s="50" t="s">
        <v>283</v>
      </c>
      <c r="N33" s="50" t="s">
        <v>244</v>
      </c>
      <c r="O33" s="50" t="s">
        <v>160</v>
      </c>
      <c r="P33" s="50" t="s">
        <v>177</v>
      </c>
      <c r="Q33" s="53">
        <v>0.09</v>
      </c>
      <c r="R33" s="49">
        <v>42</v>
      </c>
      <c r="S33" s="49">
        <v>6</v>
      </c>
      <c r="T33" s="54">
        <f t="shared" si="0"/>
        <v>48</v>
      </c>
      <c r="U33" s="55">
        <v>44400</v>
      </c>
      <c r="V33" s="49">
        <v>7.66</v>
      </c>
      <c r="W33" s="56">
        <f t="shared" si="7"/>
        <v>6.2663185378590081</v>
      </c>
      <c r="X33" s="49" t="s">
        <v>163</v>
      </c>
      <c r="Y33" s="57" t="s">
        <v>162</v>
      </c>
      <c r="Z33" s="58">
        <v>3137750</v>
      </c>
      <c r="AA33" s="114">
        <f>(((2500000*0.005)/(Z33))+((450000*0.0325)/(Z33))+(((250+75000+112500)*0)/(Z33)))</f>
        <v>8.6447295036252095E-3</v>
      </c>
      <c r="AB33" s="59">
        <v>40</v>
      </c>
      <c r="AC33" s="60">
        <v>40</v>
      </c>
      <c r="AD33" s="61">
        <v>5.0000000000000001E-3</v>
      </c>
      <c r="AE33" s="62">
        <v>2500000</v>
      </c>
      <c r="AF33" s="63">
        <v>1.77</v>
      </c>
      <c r="AG33" s="59">
        <v>15</v>
      </c>
      <c r="AH33" s="60">
        <v>40</v>
      </c>
      <c r="AI33" s="61">
        <v>3.2500000000000001E-2</v>
      </c>
      <c r="AJ33" s="64">
        <v>450000</v>
      </c>
      <c r="AK33" s="65">
        <f t="shared" si="8"/>
        <v>2950000</v>
      </c>
      <c r="AL33" s="62">
        <v>187750</v>
      </c>
      <c r="AM33" s="49" t="s">
        <v>163</v>
      </c>
      <c r="AN33" s="67">
        <v>0.8</v>
      </c>
      <c r="AO33" s="62">
        <v>7282026</v>
      </c>
      <c r="AP33" s="62">
        <v>0</v>
      </c>
      <c r="AQ33" s="68">
        <v>128928</v>
      </c>
      <c r="AR33" s="69">
        <f t="shared" si="9"/>
        <v>61458.333333333336</v>
      </c>
      <c r="AS33" s="70" t="str">
        <f>IFERROR(IF(#REF!&gt;0,#REF!/T33,""),"")</f>
        <v/>
      </c>
      <c r="AT33" s="70">
        <f t="shared" si="10"/>
        <v>151708.875</v>
      </c>
      <c r="AU33" s="70">
        <f t="shared" si="11"/>
        <v>3911.4583333333335</v>
      </c>
      <c r="AV33" s="71">
        <f t="shared" si="12"/>
        <v>2686</v>
      </c>
      <c r="AW33" s="115">
        <f t="shared" si="13"/>
        <v>118408.64583333333</v>
      </c>
      <c r="AX33" s="116">
        <f t="shared" si="14"/>
        <v>128.00934684684685</v>
      </c>
      <c r="AY33" s="72">
        <f t="shared" si="15"/>
        <v>141596.14583333334</v>
      </c>
      <c r="AZ33" s="73">
        <f t="shared" si="16"/>
        <v>153.07691441441443</v>
      </c>
      <c r="BA33" s="66">
        <v>750000</v>
      </c>
      <c r="BB33" s="62">
        <v>1583615</v>
      </c>
      <c r="BC33" s="62">
        <v>4100000</v>
      </c>
      <c r="BD33" s="62">
        <v>355000</v>
      </c>
      <c r="BE33" s="62">
        <v>758000</v>
      </c>
      <c r="BF33" s="62">
        <v>789361</v>
      </c>
      <c r="BG33" s="62">
        <v>380000</v>
      </c>
      <c r="BH33" s="62">
        <v>1453800</v>
      </c>
      <c r="BI33" s="62">
        <v>250000</v>
      </c>
      <c r="BJ33" s="47">
        <f t="shared" si="17"/>
        <v>10419776</v>
      </c>
      <c r="BK33" s="69">
        <f t="shared" ref="BK33:BK61" si="90">IFERROR(IF(BA33&gt;0,BA33/$T33,""),"")</f>
        <v>15625</v>
      </c>
      <c r="BL33" s="70">
        <f t="shared" ref="BL33:BL61" si="91">IFERROR(IF(BB33&gt;0,BB33/$T33,""),"")</f>
        <v>32991.979166666664</v>
      </c>
      <c r="BM33" s="70">
        <f t="shared" ref="BM33:BM61" si="92">IFERROR(IF(BC33&gt;0,BC33/$T33,""),"")</f>
        <v>85416.666666666672</v>
      </c>
      <c r="BN33" s="70">
        <f t="shared" ref="BN33:BN61" si="93">IFERROR(IF(BD33&gt;0,BD33/$T33,""),"")</f>
        <v>7395.833333333333</v>
      </c>
      <c r="BO33" s="70">
        <f t="shared" ref="BO33:BO61" si="94">IFERROR(IF(BE33&gt;0,BE33/$T33,""),"")</f>
        <v>15791.666666666666</v>
      </c>
      <c r="BP33" s="70">
        <f>IFERROR(IF(BF34&gt;0,BF34/$T33,""),"")</f>
        <v>20833.333333333332</v>
      </c>
      <c r="BQ33" s="70">
        <f>IFERROR(IF(BG33&gt;0,BG33/$T33,""),"")</f>
        <v>7916.666666666667</v>
      </c>
      <c r="BR33" s="70">
        <f t="shared" si="83"/>
        <v>30287.5</v>
      </c>
      <c r="BS33" s="70">
        <f t="shared" si="84"/>
        <v>5208.333333333333</v>
      </c>
      <c r="BT33" s="71">
        <f t="shared" si="85"/>
        <v>217078.66666666666</v>
      </c>
      <c r="BU33" s="65">
        <f t="shared" ref="BU33:BU61" si="95">IFERROR(IF(BA33&gt;0,BA33/$U33,""),"")</f>
        <v>16.891891891891891</v>
      </c>
      <c r="BV33" s="48">
        <f t="shared" ref="BV33:BV61" si="96">IFERROR(IF(BB33&gt;0,BB33/$U33,""),"")</f>
        <v>35.667004504504504</v>
      </c>
      <c r="BW33" s="48">
        <f t="shared" ref="BW33:BW61" si="97">IFERROR(IF(BC33&gt;0,BC33/$U33,""),"")</f>
        <v>92.342342342342349</v>
      </c>
      <c r="BX33" s="48">
        <f t="shared" ref="BX33:BX61" si="98">IFERROR(IF(BD33&gt;0,BD33/$U33,""),"")</f>
        <v>7.9954954954954953</v>
      </c>
      <c r="BY33" s="48">
        <f t="shared" ref="BY33:BY61" si="99">IFERROR(IF(BE33&gt;0,BE33/$U33,""),"")</f>
        <v>17.072072072072071</v>
      </c>
      <c r="BZ33" s="48">
        <f>IFERROR(IF(BF34&gt;0,BF34/$U33,""),"")</f>
        <v>22.522522522522522</v>
      </c>
      <c r="CA33" s="48">
        <f>IFERROR(IF(BG33&gt;0,BG33/$U33,""),"")</f>
        <v>8.5585585585585591</v>
      </c>
      <c r="CB33" s="48">
        <f t="shared" si="87"/>
        <v>32.743243243243242</v>
      </c>
      <c r="CC33" s="48">
        <f t="shared" si="88"/>
        <v>5.6306306306306304</v>
      </c>
      <c r="CD33" s="47">
        <f t="shared" si="89"/>
        <v>234.67963963963965</v>
      </c>
      <c r="CE33" s="66">
        <v>363000</v>
      </c>
      <c r="CF33" s="62">
        <v>5760</v>
      </c>
      <c r="CG33" s="74">
        <v>-27657</v>
      </c>
      <c r="CH33" s="75">
        <f t="shared" si="38"/>
        <v>341103</v>
      </c>
      <c r="CI33" s="62">
        <f>13500+1680+0</f>
        <v>15180</v>
      </c>
      <c r="CJ33" s="62">
        <v>17000</v>
      </c>
      <c r="CK33" s="62">
        <v>41540</v>
      </c>
      <c r="CL33" s="62">
        <f>25200+0</f>
        <v>25200</v>
      </c>
      <c r="CM33" s="62">
        <f>10000+42908</f>
        <v>52908</v>
      </c>
      <c r="CN33" s="62">
        <v>19000</v>
      </c>
      <c r="CO33" s="62">
        <v>35000</v>
      </c>
      <c r="CP33" s="75">
        <f t="shared" si="3"/>
        <v>205828</v>
      </c>
      <c r="CQ33" s="62">
        <v>12000</v>
      </c>
      <c r="CR33" s="75">
        <f t="shared" si="4"/>
        <v>217828</v>
      </c>
      <c r="CS33" s="75">
        <f t="shared" si="39"/>
        <v>135275</v>
      </c>
      <c r="CT33" s="62">
        <v>93470</v>
      </c>
      <c r="CU33" s="47">
        <f t="shared" si="40"/>
        <v>41805</v>
      </c>
      <c r="CV33" s="76">
        <f t="shared" si="41"/>
        <v>0.39658109134191138</v>
      </c>
      <c r="CW33" s="75">
        <f t="shared" si="42"/>
        <v>4538.083333333333</v>
      </c>
      <c r="CX33" s="77">
        <f t="shared" si="43"/>
        <v>0.63859889827999172</v>
      </c>
      <c r="CY33" s="75">
        <f t="shared" si="44"/>
        <v>870.9375</v>
      </c>
      <c r="CZ33" s="77">
        <f t="shared" si="45"/>
        <v>0.12255828884530479</v>
      </c>
      <c r="DA33" s="77">
        <f t="shared" si="46"/>
        <v>0.2740228024966066</v>
      </c>
      <c r="DB33" s="47">
        <f t="shared" si="47"/>
        <v>61458.333333333336</v>
      </c>
      <c r="DC33" s="69">
        <f t="shared" si="48"/>
        <v>7562.5</v>
      </c>
      <c r="DD33" s="70">
        <f t="shared" si="49"/>
        <v>120</v>
      </c>
      <c r="DE33" s="70">
        <f t="shared" si="50"/>
        <v>-576.1875</v>
      </c>
      <c r="DF33" s="70">
        <f t="shared" si="51"/>
        <v>7106.3125</v>
      </c>
      <c r="DG33" s="70">
        <f t="shared" si="52"/>
        <v>316.25</v>
      </c>
      <c r="DH33" s="70">
        <f t="shared" si="53"/>
        <v>354.16666666666669</v>
      </c>
      <c r="DI33" s="70">
        <f t="shared" si="54"/>
        <v>865.41666666666663</v>
      </c>
      <c r="DJ33" s="70">
        <f t="shared" si="55"/>
        <v>525</v>
      </c>
      <c r="DK33" s="70">
        <f t="shared" si="56"/>
        <v>1102.25</v>
      </c>
      <c r="DL33" s="70">
        <f t="shared" si="57"/>
        <v>395.83333333333331</v>
      </c>
      <c r="DM33" s="70">
        <f t="shared" si="58"/>
        <v>729.16666666666663</v>
      </c>
      <c r="DN33" s="70">
        <f t="shared" si="59"/>
        <v>4288.083333333333</v>
      </c>
      <c r="DO33" s="70">
        <f t="shared" si="60"/>
        <v>250</v>
      </c>
      <c r="DP33" s="70">
        <f t="shared" si="61"/>
        <v>4538.083333333333</v>
      </c>
      <c r="DQ33" s="70">
        <f t="shared" si="62"/>
        <v>2818.2291666666665</v>
      </c>
      <c r="DR33" s="70">
        <f t="shared" si="63"/>
        <v>1947.2916666666667</v>
      </c>
      <c r="DS33" s="71">
        <f t="shared" si="64"/>
        <v>870.9375</v>
      </c>
      <c r="DT33" s="106">
        <f t="shared" si="65"/>
        <v>1.0641946860625675</v>
      </c>
      <c r="DU33" s="92">
        <f t="shared" si="66"/>
        <v>1.688639501851347E-2</v>
      </c>
      <c r="DV33" s="92" t="str">
        <f t="shared" si="67"/>
        <v/>
      </c>
      <c r="DW33" s="92">
        <f t="shared" si="68"/>
        <v>1</v>
      </c>
      <c r="DX33" s="92">
        <f t="shared" si="69"/>
        <v>4.4502686871707373E-2</v>
      </c>
      <c r="DY33" s="92">
        <f t="shared" si="70"/>
        <v>4.9838318631029339E-2</v>
      </c>
      <c r="DZ33" s="92">
        <f t="shared" si="71"/>
        <v>0.1217813974078211</v>
      </c>
      <c r="EA33" s="92">
        <f t="shared" si="72"/>
        <v>7.3877978205996425E-2</v>
      </c>
      <c r="EB33" s="92">
        <f t="shared" si="73"/>
        <v>0.15510857424297059</v>
      </c>
      <c r="EC33" s="92">
        <f t="shared" si="74"/>
        <v>5.570165023467985E-2</v>
      </c>
      <c r="ED33" s="92">
        <f t="shared" si="75"/>
        <v>0.10260830306388392</v>
      </c>
      <c r="EE33" s="92">
        <f t="shared" si="76"/>
        <v>0.60341890865808856</v>
      </c>
      <c r="EF33" s="92">
        <f t="shared" si="77"/>
        <v>3.5179989621903059E-2</v>
      </c>
      <c r="EG33" s="92">
        <f t="shared" si="78"/>
        <v>0.63859889827999172</v>
      </c>
      <c r="EH33" s="92">
        <f t="shared" si="79"/>
        <v>0.39658109134191138</v>
      </c>
      <c r="EI33" s="92">
        <f t="shared" si="80"/>
        <v>0.2740228024966066</v>
      </c>
      <c r="EJ33" s="122">
        <f t="shared" si="81"/>
        <v>0.12255828884530479</v>
      </c>
    </row>
    <row r="34" spans="2:140" ht="12" hidden="1" customHeight="1" outlineLevel="1">
      <c r="B34" s="121">
        <v>44799</v>
      </c>
      <c r="C34" s="117">
        <v>22224</v>
      </c>
      <c r="D34" s="50" t="s">
        <v>331</v>
      </c>
      <c r="E34" s="50" t="s">
        <v>332</v>
      </c>
      <c r="F34" s="50" t="s">
        <v>333</v>
      </c>
      <c r="G34" s="50" t="s">
        <v>154</v>
      </c>
      <c r="H34" s="50" t="s">
        <v>310</v>
      </c>
      <c r="I34" s="51" t="s">
        <v>182</v>
      </c>
      <c r="J34" s="52" t="s">
        <v>334</v>
      </c>
      <c r="K34" s="50" t="s">
        <v>335</v>
      </c>
      <c r="L34" s="49">
        <v>7</v>
      </c>
      <c r="M34" s="50" t="s">
        <v>283</v>
      </c>
      <c r="N34" s="50" t="s">
        <v>244</v>
      </c>
      <c r="O34" s="50" t="s">
        <v>283</v>
      </c>
      <c r="P34" s="50" t="s">
        <v>177</v>
      </c>
      <c r="Q34" s="53">
        <v>0.09</v>
      </c>
      <c r="R34" s="49">
        <v>73</v>
      </c>
      <c r="S34" s="49">
        <v>5</v>
      </c>
      <c r="T34" s="54">
        <f t="shared" si="0"/>
        <v>78</v>
      </c>
      <c r="U34" s="55">
        <v>58448</v>
      </c>
      <c r="V34" s="49">
        <v>2.11</v>
      </c>
      <c r="W34" s="56">
        <f t="shared" si="7"/>
        <v>36.966824644549767</v>
      </c>
      <c r="X34" s="49" t="s">
        <v>163</v>
      </c>
      <c r="Y34" s="57" t="s">
        <v>162</v>
      </c>
      <c r="Z34" s="58">
        <v>5483250</v>
      </c>
      <c r="AA34" s="114">
        <f>(((2645000*0.0425)/(Z34))+((2640000*0.005)/(Z34))+(((250+198000)*0)/(Z34)))</f>
        <v>2.2908402863265401E-2</v>
      </c>
      <c r="AB34" s="59">
        <v>15</v>
      </c>
      <c r="AC34" s="60">
        <v>35</v>
      </c>
      <c r="AD34" s="61">
        <v>4.2500000000000003E-2</v>
      </c>
      <c r="AE34" s="62">
        <v>2645000</v>
      </c>
      <c r="AF34" s="63">
        <v>1.81</v>
      </c>
      <c r="AG34" s="59">
        <v>15</v>
      </c>
      <c r="AH34" s="60">
        <v>35</v>
      </c>
      <c r="AI34" s="61">
        <v>5.0000000000000001E-3</v>
      </c>
      <c r="AJ34" s="64">
        <v>2640000</v>
      </c>
      <c r="AK34" s="65">
        <f t="shared" si="8"/>
        <v>5285000</v>
      </c>
      <c r="AL34" s="62">
        <v>198250</v>
      </c>
      <c r="AM34" s="49" t="s">
        <v>163</v>
      </c>
      <c r="AN34" s="67">
        <v>0.88</v>
      </c>
      <c r="AO34" s="62">
        <v>7950913</v>
      </c>
      <c r="AP34" s="62">
        <v>0</v>
      </c>
      <c r="AQ34" s="68">
        <v>31693</v>
      </c>
      <c r="AR34" s="69">
        <f t="shared" si="9"/>
        <v>67756.41025641025</v>
      </c>
      <c r="AS34" s="70" t="str">
        <f>IFERROR(IF(#REF!&gt;0,#REF!/T34,""),"")</f>
        <v/>
      </c>
      <c r="AT34" s="70">
        <f t="shared" si="10"/>
        <v>101934.78205128205</v>
      </c>
      <c r="AU34" s="70">
        <f t="shared" si="11"/>
        <v>2541.6666666666665</v>
      </c>
      <c r="AV34" s="71">
        <f t="shared" si="12"/>
        <v>406.32051282051282</v>
      </c>
      <c r="AW34" s="115">
        <f t="shared" si="13"/>
        <v>94730.769230769234</v>
      </c>
      <c r="AX34" s="116">
        <f t="shared" si="14"/>
        <v>126.42006569942512</v>
      </c>
      <c r="AY34" s="72">
        <f t="shared" si="15"/>
        <v>115552.58974358974</v>
      </c>
      <c r="AZ34" s="73">
        <f t="shared" si="16"/>
        <v>154.20719271831371</v>
      </c>
      <c r="BA34" s="66">
        <v>700000</v>
      </c>
      <c r="BB34" s="62">
        <v>1614000</v>
      </c>
      <c r="BC34" s="62">
        <v>5775000</v>
      </c>
      <c r="BD34" s="62">
        <v>517230</v>
      </c>
      <c r="BE34" s="62">
        <v>1106872</v>
      </c>
      <c r="BF34" s="62">
        <v>1000000</v>
      </c>
      <c r="BG34" s="62">
        <v>862787</v>
      </c>
      <c r="BH34" s="62">
        <v>1569501</v>
      </c>
      <c r="BI34" s="62">
        <v>288761</v>
      </c>
      <c r="BJ34" s="47">
        <f t="shared" si="17"/>
        <v>13434151</v>
      </c>
      <c r="BK34" s="69">
        <f t="shared" si="90"/>
        <v>8974.3589743589746</v>
      </c>
      <c r="BL34" s="70">
        <f t="shared" si="91"/>
        <v>20692.307692307691</v>
      </c>
      <c r="BM34" s="70">
        <f t="shared" si="92"/>
        <v>74038.461538461532</v>
      </c>
      <c r="BN34" s="70">
        <f t="shared" si="93"/>
        <v>6631.1538461538457</v>
      </c>
      <c r="BO34" s="70">
        <f t="shared" si="94"/>
        <v>14190.666666666666</v>
      </c>
      <c r="BP34" s="70" t="str">
        <f>IFERROR(IF(#REF!&gt;0,#REF!/$T34,""),"")</f>
        <v/>
      </c>
      <c r="BQ34" s="70">
        <f>IFERROR(IF(BG34&gt;0,BG34/$T34,""),"")</f>
        <v>11061.371794871795</v>
      </c>
      <c r="BR34" s="70">
        <f t="shared" si="83"/>
        <v>20121.807692307691</v>
      </c>
      <c r="BS34" s="70">
        <f t="shared" si="84"/>
        <v>3702.0641025641025</v>
      </c>
      <c r="BT34" s="71">
        <f t="shared" si="85"/>
        <v>172232.70512820513</v>
      </c>
      <c r="BU34" s="65">
        <f t="shared" si="95"/>
        <v>11.976457705995072</v>
      </c>
      <c r="BV34" s="48">
        <f t="shared" si="96"/>
        <v>27.614289624965782</v>
      </c>
      <c r="BW34" s="48">
        <f t="shared" si="97"/>
        <v>98.805776074459345</v>
      </c>
      <c r="BX34" s="48">
        <f t="shared" si="98"/>
        <v>8.8494045989597598</v>
      </c>
      <c r="BY34" s="48">
        <f t="shared" si="99"/>
        <v>18.937722419928825</v>
      </c>
      <c r="BZ34" s="48" t="str">
        <f>IFERROR(IF(#REF!&gt;0,#REF!/$U34,""),"")</f>
        <v/>
      </c>
      <c r="CA34" s="48">
        <f>IFERROR(IF(BG34&gt;0,BG34/$U34,""),"")</f>
        <v>14.761617163974815</v>
      </c>
      <c r="CB34" s="48">
        <f t="shared" si="87"/>
        <v>26.852946208595675</v>
      </c>
      <c r="CC34" s="48">
        <f t="shared" si="88"/>
        <v>4.9404770052012044</v>
      </c>
      <c r="CD34" s="47">
        <f t="shared" si="89"/>
        <v>229.84791609635917</v>
      </c>
      <c r="CE34" s="66">
        <v>644220</v>
      </c>
      <c r="CF34" s="62">
        <v>18720</v>
      </c>
      <c r="CG34" s="74">
        <v>-49721</v>
      </c>
      <c r="CH34" s="75">
        <f t="shared" si="38"/>
        <v>613219</v>
      </c>
      <c r="CI34" s="62">
        <f>36000+4500+2920</f>
        <v>43420</v>
      </c>
      <c r="CJ34" s="62">
        <v>30661</v>
      </c>
      <c r="CK34" s="62">
        <v>84300</v>
      </c>
      <c r="CL34" s="62">
        <f>67000+0</f>
        <v>67000</v>
      </c>
      <c r="CM34" s="62">
        <f>15000+55000</f>
        <v>70000</v>
      </c>
      <c r="CN34" s="62">
        <v>35069</v>
      </c>
      <c r="CO34" s="62">
        <v>0</v>
      </c>
      <c r="CP34" s="75">
        <f t="shared" si="3"/>
        <v>330450</v>
      </c>
      <c r="CQ34" s="62">
        <v>19500</v>
      </c>
      <c r="CR34" s="75">
        <f t="shared" si="4"/>
        <v>349950</v>
      </c>
      <c r="CS34" s="75">
        <f t="shared" si="39"/>
        <v>282769</v>
      </c>
      <c r="CT34" s="62">
        <v>227572</v>
      </c>
      <c r="CU34" s="47">
        <f t="shared" si="40"/>
        <v>55197</v>
      </c>
      <c r="CV34" s="76">
        <f t="shared" si="41"/>
        <v>0.46112237226830871</v>
      </c>
      <c r="CW34" s="75">
        <f t="shared" si="42"/>
        <v>4486.5384615384619</v>
      </c>
      <c r="CX34" s="77">
        <f t="shared" si="43"/>
        <v>0.57067703381662993</v>
      </c>
      <c r="CY34" s="75">
        <f t="shared" si="44"/>
        <v>707.65384615384619</v>
      </c>
      <c r="CZ34" s="77">
        <f t="shared" si="45"/>
        <v>9.001188808565945E-2</v>
      </c>
      <c r="DA34" s="77">
        <f t="shared" si="46"/>
        <v>0.37111048418264925</v>
      </c>
      <c r="DB34" s="47">
        <f t="shared" si="47"/>
        <v>67756.41025641025</v>
      </c>
      <c r="DC34" s="69">
        <f t="shared" si="48"/>
        <v>8259.2307692307695</v>
      </c>
      <c r="DD34" s="70">
        <f t="shared" si="49"/>
        <v>240</v>
      </c>
      <c r="DE34" s="70">
        <f t="shared" si="50"/>
        <v>-637.4487179487179</v>
      </c>
      <c r="DF34" s="70">
        <f t="shared" si="51"/>
        <v>7861.7820512820517</v>
      </c>
      <c r="DG34" s="70">
        <f t="shared" si="52"/>
        <v>556.66666666666663</v>
      </c>
      <c r="DH34" s="70">
        <f t="shared" si="53"/>
        <v>393.08974358974359</v>
      </c>
      <c r="DI34" s="70">
        <f t="shared" si="54"/>
        <v>1080.7692307692307</v>
      </c>
      <c r="DJ34" s="70">
        <f t="shared" si="55"/>
        <v>858.97435897435901</v>
      </c>
      <c r="DK34" s="70">
        <f t="shared" si="56"/>
        <v>897.43589743589746</v>
      </c>
      <c r="DL34" s="70">
        <f t="shared" si="57"/>
        <v>449.60256410256409</v>
      </c>
      <c r="DM34" s="70" t="str">
        <f t="shared" si="58"/>
        <v/>
      </c>
      <c r="DN34" s="70">
        <f t="shared" si="59"/>
        <v>4236.5384615384619</v>
      </c>
      <c r="DO34" s="70">
        <f t="shared" si="60"/>
        <v>250</v>
      </c>
      <c r="DP34" s="70">
        <f t="shared" si="61"/>
        <v>4486.5384615384619</v>
      </c>
      <c r="DQ34" s="70">
        <f t="shared" si="62"/>
        <v>3625.2435897435898</v>
      </c>
      <c r="DR34" s="70">
        <f t="shared" si="63"/>
        <v>2917.5897435897436</v>
      </c>
      <c r="DS34" s="71">
        <f t="shared" si="64"/>
        <v>707.65384615384619</v>
      </c>
      <c r="DT34" s="106">
        <f t="shared" si="65"/>
        <v>1.0505545327199581</v>
      </c>
      <c r="DU34" s="92">
        <f t="shared" si="66"/>
        <v>3.0527429841541113E-2</v>
      </c>
      <c r="DV34" s="92" t="str">
        <f t="shared" si="67"/>
        <v/>
      </c>
      <c r="DW34" s="92">
        <f t="shared" si="68"/>
        <v>1</v>
      </c>
      <c r="DX34" s="92">
        <f t="shared" si="69"/>
        <v>7.0806677549130087E-2</v>
      </c>
      <c r="DY34" s="92">
        <f t="shared" si="70"/>
        <v>5.0000081536938683E-2</v>
      </c>
      <c r="DZ34" s="92">
        <f t="shared" si="71"/>
        <v>0.13747127861335021</v>
      </c>
      <c r="EA34" s="92">
        <f t="shared" si="72"/>
        <v>0.10925949783030206</v>
      </c>
      <c r="EB34" s="92">
        <f t="shared" si="73"/>
        <v>0.11415171415106186</v>
      </c>
      <c r="EC34" s="92">
        <f t="shared" si="74"/>
        <v>5.7188378050908401E-2</v>
      </c>
      <c r="ED34" s="92" t="str">
        <f t="shared" si="75"/>
        <v/>
      </c>
      <c r="EE34" s="92">
        <f t="shared" si="76"/>
        <v>0.53887762773169123</v>
      </c>
      <c r="EF34" s="92">
        <f t="shared" si="77"/>
        <v>3.1799406084938663E-2</v>
      </c>
      <c r="EG34" s="92">
        <f t="shared" si="78"/>
        <v>0.57067703381662993</v>
      </c>
      <c r="EH34" s="92">
        <f t="shared" si="79"/>
        <v>0.46112237226830871</v>
      </c>
      <c r="EI34" s="92">
        <f t="shared" si="80"/>
        <v>0.37111048418264925</v>
      </c>
      <c r="EJ34" s="122">
        <f t="shared" si="81"/>
        <v>9.001188808565945E-2</v>
      </c>
    </row>
    <row r="35" spans="2:140" ht="12" hidden="1" customHeight="1" outlineLevel="1">
      <c r="B35" s="121">
        <v>44803</v>
      </c>
      <c r="C35" s="117">
        <v>22172</v>
      </c>
      <c r="D35" s="50" t="s">
        <v>336</v>
      </c>
      <c r="E35" s="50" t="s">
        <v>337</v>
      </c>
      <c r="F35" s="50" t="s">
        <v>338</v>
      </c>
      <c r="G35" s="50" t="s">
        <v>337</v>
      </c>
      <c r="H35" s="50" t="s">
        <v>339</v>
      </c>
      <c r="I35" s="51" t="s">
        <v>340</v>
      </c>
      <c r="J35" s="52" t="s">
        <v>341</v>
      </c>
      <c r="K35" s="50" t="s">
        <v>342</v>
      </c>
      <c r="L35" s="49">
        <v>1</v>
      </c>
      <c r="M35" s="50" t="s">
        <v>283</v>
      </c>
      <c r="N35" s="50" t="s">
        <v>244</v>
      </c>
      <c r="O35" s="50" t="s">
        <v>160</v>
      </c>
      <c r="P35" s="50" t="s">
        <v>177</v>
      </c>
      <c r="Q35" s="53">
        <v>0.09</v>
      </c>
      <c r="R35" s="49">
        <v>40</v>
      </c>
      <c r="S35" s="49">
        <v>0</v>
      </c>
      <c r="T35" s="54">
        <f t="shared" si="0"/>
        <v>40</v>
      </c>
      <c r="U35" s="55">
        <v>31500</v>
      </c>
      <c r="V35" s="49">
        <v>8</v>
      </c>
      <c r="W35" s="56">
        <f t="shared" si="7"/>
        <v>5</v>
      </c>
      <c r="X35" s="49" t="s">
        <v>163</v>
      </c>
      <c r="Y35" s="57" t="s">
        <v>162</v>
      </c>
      <c r="Z35" s="58">
        <v>2150250</v>
      </c>
      <c r="AA35" s="114">
        <f>(((2000000*0.005)/(Z35))+((250*0)/(Z35))+((150000*0)/(Z35)))</f>
        <v>4.6506220206952676E-3</v>
      </c>
      <c r="AB35" s="59">
        <v>15</v>
      </c>
      <c r="AC35" s="60">
        <v>30</v>
      </c>
      <c r="AD35" s="61">
        <v>5.0000000000000001E-3</v>
      </c>
      <c r="AE35" s="62">
        <v>2000000</v>
      </c>
      <c r="AF35" s="63">
        <v>1.3</v>
      </c>
      <c r="AG35" s="59"/>
      <c r="AH35" s="60"/>
      <c r="AI35" s="61"/>
      <c r="AJ35" s="64"/>
      <c r="AK35" s="65">
        <f t="shared" si="8"/>
        <v>2000000</v>
      </c>
      <c r="AL35" s="62">
        <v>150250</v>
      </c>
      <c r="AM35" s="49" t="s">
        <v>163</v>
      </c>
      <c r="AN35" s="67">
        <v>0.88</v>
      </c>
      <c r="AO35" s="62">
        <v>6721000</v>
      </c>
      <c r="AP35" s="62">
        <v>0</v>
      </c>
      <c r="AQ35" s="68">
        <v>27271</v>
      </c>
      <c r="AR35" s="69">
        <f t="shared" si="9"/>
        <v>50000</v>
      </c>
      <c r="AS35" s="70" t="str">
        <f>IFERROR(IF(#REF!&gt;0,#REF!/T35,""),"")</f>
        <v/>
      </c>
      <c r="AT35" s="70">
        <f t="shared" si="10"/>
        <v>168025</v>
      </c>
      <c r="AU35" s="70">
        <f t="shared" si="11"/>
        <v>3756.25</v>
      </c>
      <c r="AV35" s="71">
        <f t="shared" si="12"/>
        <v>681.77499999999998</v>
      </c>
      <c r="AW35" s="115">
        <f t="shared" si="13"/>
        <v>115637.5</v>
      </c>
      <c r="AX35" s="116">
        <f t="shared" si="14"/>
        <v>146.84126984126985</v>
      </c>
      <c r="AY35" s="72">
        <f t="shared" si="15"/>
        <v>141054.625</v>
      </c>
      <c r="AZ35" s="73">
        <f t="shared" si="16"/>
        <v>179.11698412698414</v>
      </c>
      <c r="BA35" s="66">
        <v>320000</v>
      </c>
      <c r="BB35" s="62">
        <v>1343900</v>
      </c>
      <c r="BC35" s="62">
        <v>3281600</v>
      </c>
      <c r="BD35" s="62">
        <v>323785</v>
      </c>
      <c r="BE35" s="62">
        <v>692900</v>
      </c>
      <c r="BF35" s="62">
        <v>954637</v>
      </c>
      <c r="BG35" s="62">
        <v>629220</v>
      </c>
      <c r="BH35" s="62">
        <v>1220000</v>
      </c>
      <c r="BI35" s="62">
        <v>125208</v>
      </c>
      <c r="BJ35" s="47">
        <f t="shared" si="17"/>
        <v>8891250</v>
      </c>
      <c r="BK35" s="69">
        <f t="shared" si="90"/>
        <v>8000</v>
      </c>
      <c r="BL35" s="70">
        <f t="shared" si="91"/>
        <v>33597.5</v>
      </c>
      <c r="BM35" s="70">
        <f t="shared" si="92"/>
        <v>82040</v>
      </c>
      <c r="BN35" s="70">
        <f t="shared" si="93"/>
        <v>8094.625</v>
      </c>
      <c r="BO35" s="70">
        <f t="shared" si="94"/>
        <v>17322.5</v>
      </c>
      <c r="BP35" s="70">
        <f t="shared" ref="BP35:BP63" si="100">IFERROR(IF(BF35&gt;0,BF35/$T35,""),"")</f>
        <v>23865.924999999999</v>
      </c>
      <c r="BQ35" s="70">
        <f>IFERROR(IF(BG36&gt;0,BG36/$T35,""),"")</f>
        <v>53226.85</v>
      </c>
      <c r="BR35" s="70">
        <f t="shared" si="83"/>
        <v>30500</v>
      </c>
      <c r="BS35" s="70">
        <f t="shared" si="84"/>
        <v>3130.2</v>
      </c>
      <c r="BT35" s="71">
        <f t="shared" si="85"/>
        <v>222281.25</v>
      </c>
      <c r="BU35" s="65">
        <f t="shared" si="95"/>
        <v>10.158730158730158</v>
      </c>
      <c r="BV35" s="48">
        <f t="shared" si="96"/>
        <v>42.663492063492065</v>
      </c>
      <c r="BW35" s="48">
        <f t="shared" si="97"/>
        <v>104.17777777777778</v>
      </c>
      <c r="BX35" s="48">
        <f t="shared" si="98"/>
        <v>10.278888888888888</v>
      </c>
      <c r="BY35" s="48">
        <f t="shared" si="99"/>
        <v>21.996825396825397</v>
      </c>
      <c r="BZ35" s="48">
        <f t="shared" ref="BZ35:BZ63" si="101">IFERROR(IF(BF35&gt;0,BF35/$U35,""),"")</f>
        <v>30.305936507936508</v>
      </c>
      <c r="CA35" s="48">
        <f>IFERROR(IF(BG36&gt;0,BG36/$U35,""),"")</f>
        <v>67.58965079365079</v>
      </c>
      <c r="CB35" s="48">
        <f t="shared" si="87"/>
        <v>38.730158730158728</v>
      </c>
      <c r="CC35" s="48">
        <f t="shared" si="88"/>
        <v>3.9748571428571426</v>
      </c>
      <c r="CD35" s="47">
        <f t="shared" si="89"/>
        <v>282.26190476190476</v>
      </c>
      <c r="CE35" s="66">
        <v>287976</v>
      </c>
      <c r="CF35" s="62">
        <v>9600</v>
      </c>
      <c r="CG35" s="74">
        <v>-22318</v>
      </c>
      <c r="CH35" s="75">
        <f t="shared" si="38"/>
        <v>275258</v>
      </c>
      <c r="CI35" s="62">
        <f>25500+5000+1600</f>
        <v>32100</v>
      </c>
      <c r="CJ35" s="62">
        <v>11010</v>
      </c>
      <c r="CK35" s="62">
        <v>45000</v>
      </c>
      <c r="CL35" s="62">
        <f>27000+0</f>
        <v>27000</v>
      </c>
      <c r="CM35" s="62">
        <f>7500+18000</f>
        <v>25500</v>
      </c>
      <c r="CN35" s="62">
        <v>11000</v>
      </c>
      <c r="CO35" s="62">
        <v>17000</v>
      </c>
      <c r="CP35" s="75">
        <f t="shared" si="3"/>
        <v>168610</v>
      </c>
      <c r="CQ35" s="62">
        <v>10000</v>
      </c>
      <c r="CR35" s="75">
        <f t="shared" si="4"/>
        <v>178610</v>
      </c>
      <c r="CS35" s="75">
        <f t="shared" si="39"/>
        <v>106648</v>
      </c>
      <c r="CT35" s="62">
        <f>71805</f>
        <v>71805</v>
      </c>
      <c r="CU35" s="47">
        <f t="shared" si="40"/>
        <v>34843</v>
      </c>
      <c r="CV35" s="76">
        <f t="shared" si="41"/>
        <v>0.38744741297255664</v>
      </c>
      <c r="CW35" s="75">
        <f t="shared" si="42"/>
        <v>4465.25</v>
      </c>
      <c r="CX35" s="77">
        <f t="shared" si="43"/>
        <v>0.64888213966533215</v>
      </c>
      <c r="CY35" s="75">
        <f t="shared" si="44"/>
        <v>871.07500000000005</v>
      </c>
      <c r="CZ35" s="77">
        <f t="shared" si="45"/>
        <v>0.12658306025619601</v>
      </c>
      <c r="DA35" s="77">
        <f t="shared" si="46"/>
        <v>0.26086435271636066</v>
      </c>
      <c r="DB35" s="47">
        <f t="shared" si="47"/>
        <v>50000</v>
      </c>
      <c r="DC35" s="69">
        <f t="shared" si="48"/>
        <v>7199.4</v>
      </c>
      <c r="DD35" s="70">
        <f t="shared" si="49"/>
        <v>240</v>
      </c>
      <c r="DE35" s="70">
        <f t="shared" si="50"/>
        <v>-557.95000000000005</v>
      </c>
      <c r="DF35" s="70">
        <f t="shared" si="51"/>
        <v>6881.45</v>
      </c>
      <c r="DG35" s="70">
        <f t="shared" si="52"/>
        <v>802.5</v>
      </c>
      <c r="DH35" s="70">
        <f t="shared" si="53"/>
        <v>275.25</v>
      </c>
      <c r="DI35" s="70">
        <f t="shared" si="54"/>
        <v>1125</v>
      </c>
      <c r="DJ35" s="70">
        <f t="shared" si="55"/>
        <v>675</v>
      </c>
      <c r="DK35" s="70">
        <f t="shared" si="56"/>
        <v>637.5</v>
      </c>
      <c r="DL35" s="70">
        <f t="shared" si="57"/>
        <v>275</v>
      </c>
      <c r="DM35" s="70">
        <f t="shared" si="58"/>
        <v>425</v>
      </c>
      <c r="DN35" s="70">
        <f t="shared" si="59"/>
        <v>4215.25</v>
      </c>
      <c r="DO35" s="70">
        <f t="shared" si="60"/>
        <v>250</v>
      </c>
      <c r="DP35" s="70">
        <f t="shared" si="61"/>
        <v>4465.25</v>
      </c>
      <c r="DQ35" s="70">
        <f t="shared" si="62"/>
        <v>2666.2</v>
      </c>
      <c r="DR35" s="70">
        <f t="shared" si="63"/>
        <v>1795.125</v>
      </c>
      <c r="DS35" s="71">
        <f t="shared" si="64"/>
        <v>871.07500000000005</v>
      </c>
      <c r="DT35" s="106">
        <f t="shared" si="65"/>
        <v>1.0462039250448669</v>
      </c>
      <c r="DU35" s="92">
        <f t="shared" si="66"/>
        <v>3.4876370532373267E-2</v>
      </c>
      <c r="DV35" s="92" t="str">
        <f t="shared" si="67"/>
        <v/>
      </c>
      <c r="DW35" s="92">
        <f t="shared" si="68"/>
        <v>1</v>
      </c>
      <c r="DX35" s="92">
        <f t="shared" si="69"/>
        <v>0.11661786396762311</v>
      </c>
      <c r="DY35" s="92">
        <f t="shared" si="70"/>
        <v>3.9998837454315588E-2</v>
      </c>
      <c r="DZ35" s="92">
        <f t="shared" si="71"/>
        <v>0.16348298687049967</v>
      </c>
      <c r="EA35" s="92">
        <f t="shared" si="72"/>
        <v>9.8089792122299804E-2</v>
      </c>
      <c r="EB35" s="92">
        <f t="shared" si="73"/>
        <v>9.2640359226616481E-2</v>
      </c>
      <c r="EC35" s="92">
        <f t="shared" si="74"/>
        <v>3.9962507901677699E-2</v>
      </c>
      <c r="ED35" s="92">
        <f t="shared" si="75"/>
        <v>6.1760239484410992E-2</v>
      </c>
      <c r="EE35" s="92">
        <f t="shared" si="76"/>
        <v>0.61255258702744331</v>
      </c>
      <c r="EF35" s="92">
        <f t="shared" si="77"/>
        <v>3.6329552637888819E-2</v>
      </c>
      <c r="EG35" s="92">
        <f t="shared" si="78"/>
        <v>0.64888213966533215</v>
      </c>
      <c r="EH35" s="92">
        <f t="shared" si="79"/>
        <v>0.38744741297255664</v>
      </c>
      <c r="EI35" s="92">
        <f t="shared" si="80"/>
        <v>0.26086435271636066</v>
      </c>
      <c r="EJ35" s="122">
        <f t="shared" si="81"/>
        <v>0.12658306025619601</v>
      </c>
    </row>
    <row r="36" spans="2:140" ht="12" hidden="1" customHeight="1" outlineLevel="1">
      <c r="B36" s="121">
        <v>44810</v>
      </c>
      <c r="C36" s="117">
        <v>22420</v>
      </c>
      <c r="D36" s="50" t="s">
        <v>343</v>
      </c>
      <c r="E36" s="50" t="s">
        <v>344</v>
      </c>
      <c r="F36" s="50" t="s">
        <v>345</v>
      </c>
      <c r="G36" s="50" t="s">
        <v>162</v>
      </c>
      <c r="H36" s="50" t="s">
        <v>346</v>
      </c>
      <c r="I36" s="51" t="s">
        <v>248</v>
      </c>
      <c r="J36" s="52" t="s">
        <v>347</v>
      </c>
      <c r="K36" s="50" t="s">
        <v>347</v>
      </c>
      <c r="L36" s="49">
        <v>1</v>
      </c>
      <c r="M36" s="50" t="s">
        <v>159</v>
      </c>
      <c r="N36" s="50" t="s">
        <v>160</v>
      </c>
      <c r="O36" s="50" t="s">
        <v>160</v>
      </c>
      <c r="P36" s="50" t="s">
        <v>161</v>
      </c>
      <c r="Q36" s="53">
        <v>0.04</v>
      </c>
      <c r="R36" s="49">
        <v>243</v>
      </c>
      <c r="S36" s="49">
        <v>1</v>
      </c>
      <c r="T36" s="54">
        <f t="shared" si="0"/>
        <v>244</v>
      </c>
      <c r="U36" s="55">
        <v>196328</v>
      </c>
      <c r="V36" s="49">
        <v>19.899999999999999</v>
      </c>
      <c r="W36" s="56">
        <f t="shared" ref="W36:W64" si="102">IFERROR(IF(T36&gt;0,T36/V36,""),"")</f>
        <v>12.261306532663317</v>
      </c>
      <c r="X36" s="49" t="s">
        <v>348</v>
      </c>
      <c r="Y36" s="57" t="s">
        <v>249</v>
      </c>
      <c r="Z36" s="58">
        <v>29000000</v>
      </c>
      <c r="AA36" s="114">
        <v>3.2500000000000001E-2</v>
      </c>
      <c r="AB36" s="59">
        <v>40</v>
      </c>
      <c r="AC36" s="60">
        <v>40</v>
      </c>
      <c r="AD36" s="61">
        <v>0.03</v>
      </c>
      <c r="AE36" s="62">
        <v>26641556</v>
      </c>
      <c r="AF36" s="63">
        <v>1.18</v>
      </c>
      <c r="AG36" s="59"/>
      <c r="AH36" s="60"/>
      <c r="AI36" s="61"/>
      <c r="AJ36" s="64"/>
      <c r="AK36" s="65">
        <f t="shared" ref="AK36:AK64" si="103">IFERROR(IF(AE36&gt;0,AJ36+AE36,""),"")</f>
        <v>26641556</v>
      </c>
      <c r="AL36" s="62">
        <v>1171611</v>
      </c>
      <c r="AM36" s="49" t="s">
        <v>163</v>
      </c>
      <c r="AN36" s="67">
        <v>0.85</v>
      </c>
      <c r="AO36" s="62">
        <v>13350445</v>
      </c>
      <c r="AP36" s="62">
        <v>0</v>
      </c>
      <c r="AQ36" s="68">
        <v>2823003</v>
      </c>
      <c r="AR36" s="69">
        <f t="shared" ref="AR36:AR64" si="104">IFERROR(IF(AK36&gt;0,AK36/T36,""),"")</f>
        <v>109186.70491803279</v>
      </c>
      <c r="AS36" s="70" t="str">
        <f>IFERROR(IF(#REF!&gt;0,#REF!/T36,""),"")</f>
        <v/>
      </c>
      <c r="AT36" s="70">
        <f t="shared" ref="AT36:AT64" si="105">IFERROR(IF(AO36&gt;0,AO36/T36,""),"")</f>
        <v>54714.938524590165</v>
      </c>
      <c r="AU36" s="70">
        <f t="shared" ref="AU36:AU64" si="106">IFERROR(IF(AL36&gt;0,AL36/T36,""),"")</f>
        <v>4801.6844262295081</v>
      </c>
      <c r="AV36" s="71">
        <f t="shared" ref="AV36:AV64" si="107">IFERROR(IF(AQ36&gt;0,AQ36/T36,""),"")</f>
        <v>11569.684426229509</v>
      </c>
      <c r="AW36" s="115">
        <f t="shared" ref="AW36:AW64" si="108">IFERROR(IF(SUM(BB36:BC36)&gt;0,SUM(BB36:BC36)/T36,""),"")</f>
        <v>49398.028688524588</v>
      </c>
      <c r="AX36" s="116">
        <f t="shared" ref="AX36:AX64" si="109">IFERROR(IF(SUM(BB36:BC36)&gt;0,SUM(BB36:BC36)/U36,""),"")</f>
        <v>61.392766187196933</v>
      </c>
      <c r="AY36" s="72">
        <f t="shared" ref="AY36:AY64" si="110">IFERROR(IF(SUM(BL36:BO36)&gt;0,SUM(BL36:BO36),""),"")</f>
        <v>59020.762295081964</v>
      </c>
      <c r="AZ36" s="73">
        <f t="shared" ref="AZ36:AZ64" si="111">IFERROR(IF(SUM(BV36:BY36)&gt;0,SUM(BV36:BY36),""),"")</f>
        <v>73.352074080110825</v>
      </c>
      <c r="BA36" s="66">
        <v>20575000</v>
      </c>
      <c r="BB36" s="62">
        <v>934880</v>
      </c>
      <c r="BC36" s="62">
        <v>11118239</v>
      </c>
      <c r="BD36" s="62">
        <v>602656</v>
      </c>
      <c r="BE36" s="62">
        <v>1745291</v>
      </c>
      <c r="BF36" s="62">
        <v>1291147</v>
      </c>
      <c r="BG36" s="67">
        <v>2129074</v>
      </c>
      <c r="BH36" s="62">
        <v>4898540</v>
      </c>
      <c r="BI36" s="62">
        <v>1191788</v>
      </c>
      <c r="BJ36" s="47">
        <f t="shared" ref="BJ36:BJ64" si="112">IFERROR(IF(SUM(BA36:BI36)&gt;0,SUM(BA36:BI36),""),"")</f>
        <v>44486615</v>
      </c>
      <c r="BK36" s="69">
        <f t="shared" si="90"/>
        <v>84323.770491803283</v>
      </c>
      <c r="BL36" s="70">
        <f t="shared" si="91"/>
        <v>3831.4754098360654</v>
      </c>
      <c r="BM36" s="70">
        <f t="shared" si="92"/>
        <v>45566.553278688523</v>
      </c>
      <c r="BN36" s="70">
        <f t="shared" si="93"/>
        <v>2469.9016393442621</v>
      </c>
      <c r="BO36" s="70">
        <f t="shared" si="94"/>
        <v>7152.8319672131147</v>
      </c>
      <c r="BP36" s="70">
        <f t="shared" si="100"/>
        <v>5291.5860655737706</v>
      </c>
      <c r="BQ36" s="70">
        <f t="shared" ref="BQ36:BQ64" si="113">IFERROR(IF(BG36&gt;0,BG36/$T36,""),"")</f>
        <v>8725.7131147540986</v>
      </c>
      <c r="BR36" s="70">
        <f t="shared" si="83"/>
        <v>20075.983606557376</v>
      </c>
      <c r="BS36" s="70">
        <f t="shared" si="84"/>
        <v>4884.377049180328</v>
      </c>
      <c r="BT36" s="71">
        <f t="shared" si="85"/>
        <v>182322.19262295082</v>
      </c>
      <c r="BU36" s="65">
        <f t="shared" si="95"/>
        <v>104.79911169064016</v>
      </c>
      <c r="BV36" s="48">
        <f t="shared" si="96"/>
        <v>4.7618271464080522</v>
      </c>
      <c r="BW36" s="48">
        <f t="shared" si="97"/>
        <v>56.630939040788881</v>
      </c>
      <c r="BX36" s="48">
        <f t="shared" si="98"/>
        <v>3.0696385640356953</v>
      </c>
      <c r="BY36" s="48">
        <f t="shared" si="99"/>
        <v>8.8896693288782043</v>
      </c>
      <c r="BZ36" s="48">
        <f t="shared" si="101"/>
        <v>6.5764791573285519</v>
      </c>
      <c r="CA36" s="48">
        <f t="shared" ref="CA36:CA64" si="114">IFERROR(IF(BG36&gt;0,BG36/$U36,""),"")</f>
        <v>10.84447455278921</v>
      </c>
      <c r="CB36" s="48">
        <f t="shared" si="87"/>
        <v>24.950796626054359</v>
      </c>
      <c r="CC36" s="48">
        <f t="shared" si="88"/>
        <v>6.0703924045474915</v>
      </c>
      <c r="CD36" s="47">
        <f t="shared" si="89"/>
        <v>226.59332851147059</v>
      </c>
      <c r="CE36" s="66">
        <v>2633088</v>
      </c>
      <c r="CF36" s="62">
        <v>87840</v>
      </c>
      <c r="CG36" s="74">
        <v>-204070</v>
      </c>
      <c r="CH36" s="75">
        <f t="shared" ref="CH36:CH64" si="115">IFERROR(IF(SUM(CE36:CG36)&gt;0,SUM(CE36:CG36),""),"")</f>
        <v>2516858</v>
      </c>
      <c r="CI36" s="62">
        <f>89399+0+9760</f>
        <v>99159</v>
      </c>
      <c r="CJ36" s="62">
        <v>125843</v>
      </c>
      <c r="CK36" s="62">
        <v>316692</v>
      </c>
      <c r="CL36" s="62">
        <f>118929+0</f>
        <v>118929</v>
      </c>
      <c r="CM36" s="62">
        <f>72623+174008+4034</f>
        <v>250665</v>
      </c>
      <c r="CN36" s="62">
        <v>100528</v>
      </c>
      <c r="CO36" s="62">
        <v>0</v>
      </c>
      <c r="CP36" s="75">
        <f t="shared" si="3"/>
        <v>1011816</v>
      </c>
      <c r="CQ36" s="62">
        <v>73200</v>
      </c>
      <c r="CR36" s="75">
        <f t="shared" si="4"/>
        <v>1085016</v>
      </c>
      <c r="CS36" s="75">
        <f t="shared" ref="CS36:CS64" si="116">IFERROR(IF(CH36-CR36&gt;0,CH36-CP36,""),"")</f>
        <v>1505042</v>
      </c>
      <c r="CT36" s="62">
        <f>2500+1211075</f>
        <v>1213575</v>
      </c>
      <c r="CU36" s="47">
        <f t="shared" ref="CU36:CU64" si="117">IFERROR(IF(CS36-CT36&gt;0,CS36-CT36,""),"")</f>
        <v>291467</v>
      </c>
      <c r="CV36" s="76">
        <f t="shared" ref="CV36:CV64" si="118">IFERROR(IF(CU36&gt;0,CS36/CH36,""),"")</f>
        <v>0.59798447111438147</v>
      </c>
      <c r="CW36" s="75">
        <f t="shared" ref="CW36:CW64" si="119">IFERROR(IF(CU36&gt;0,CR36/T36,""),"")</f>
        <v>4446.7868852459014</v>
      </c>
      <c r="CX36" s="77">
        <f t="shared" ref="CX36:CX64" si="120">IFERROR(IF(CU36&gt;0,CR36/CH36,""),"")</f>
        <v>0.43109941045541705</v>
      </c>
      <c r="CY36" s="75">
        <f t="shared" ref="CY36:CY64" si="121">IFERROR(IF(CU36&gt;0,CU36/T36,""),"")</f>
        <v>1194.5368852459017</v>
      </c>
      <c r="CZ36" s="77">
        <f t="shared" ref="CZ36:CZ64" si="122">IFERROR(IF(CU36&gt;0,CU36/CH36,""),"")</f>
        <v>0.11580589767082608</v>
      </c>
      <c r="DA36" s="77">
        <f t="shared" ref="DA36:DA64" si="123">IFERROR(IF(CT36&gt;0,CT36/CH36,""),"")</f>
        <v>0.48217857344355541</v>
      </c>
      <c r="DB36" s="47">
        <f t="shared" ref="DB36:DB64" si="124">IFERROR(IF(AR36&gt;0,AR36,""),"")</f>
        <v>109186.70491803279</v>
      </c>
      <c r="DC36" s="69">
        <f t="shared" ref="DC36:DC64" si="125">IFERROR(IF(ABS(CE36)&gt;0,CE36/$T36,""),"")</f>
        <v>10791.344262295082</v>
      </c>
      <c r="DD36" s="70">
        <f t="shared" ref="DD36:DD64" si="126">IFERROR(IF(ABS(CF36)&gt;0,CF36/$T36,""),"")</f>
        <v>360</v>
      </c>
      <c r="DE36" s="70">
        <f t="shared" ref="DE36:DE64" si="127">IFERROR(IF(ABS(CG36)&gt;0,CG36/$T36,""),"")</f>
        <v>-836.35245901639348</v>
      </c>
      <c r="DF36" s="70">
        <f t="shared" ref="DF36:DF64" si="128">IFERROR(IF(ABS(CH36)&gt;0,CH36/$T36,""),"")</f>
        <v>10314.991803278688</v>
      </c>
      <c r="DG36" s="70">
        <f t="shared" ref="DG36:DG64" si="129">IFERROR(IF(ABS(CI36)&gt;0,CI36/$T36,""),"")</f>
        <v>406.38934426229508</v>
      </c>
      <c r="DH36" s="70">
        <f t="shared" ref="DH36:DH64" si="130">IFERROR(IF(ABS(CJ36)&gt;0,CJ36/$T36,""),"")</f>
        <v>515.75</v>
      </c>
      <c r="DI36" s="70">
        <f t="shared" ref="DI36:DI64" si="131">IFERROR(IF(ABS(CK36)&gt;0,CK36/$T36,""),"")</f>
        <v>1297.9180327868853</v>
      </c>
      <c r="DJ36" s="70">
        <f t="shared" ref="DJ36:DJ64" si="132">IFERROR(IF(ABS(CL36)&gt;0,CL36/$T36,""),"")</f>
        <v>487.4139344262295</v>
      </c>
      <c r="DK36" s="70">
        <f t="shared" ref="DK36:DK64" si="133">IFERROR(IF(ABS(CM36)&gt;0,CM36/$T36,""),"")</f>
        <v>1027.3155737704917</v>
      </c>
      <c r="DL36" s="70">
        <f t="shared" ref="DL36:DL64" si="134">IFERROR(IF(ABS(CN36)&gt;0,CN36/$T36,""),"")</f>
        <v>412</v>
      </c>
      <c r="DM36" s="70" t="str">
        <f t="shared" ref="DM36:DM64" si="135">IFERROR(IF(ABS(CO36)&gt;0,CO36/$T36,""),"")</f>
        <v/>
      </c>
      <c r="DN36" s="70">
        <f t="shared" ref="DN36:DN64" si="136">IFERROR(IF(ABS(CP36)&gt;0,CP36/$T36,""),"")</f>
        <v>4146.7868852459014</v>
      </c>
      <c r="DO36" s="70">
        <f t="shared" ref="DO36:DO64" si="137">IFERROR(IF(ABS(CQ36)&gt;0,CQ36/$T36,""),"")</f>
        <v>300</v>
      </c>
      <c r="DP36" s="70">
        <f t="shared" ref="DP36:DP64" si="138">IFERROR(IF(ABS(CR36)&gt;0,CR36/$T36,""),"")</f>
        <v>4446.7868852459014</v>
      </c>
      <c r="DQ36" s="70">
        <f t="shared" ref="DQ36:DQ64" si="139">IFERROR(IF(ABS(CS36)&gt;0,CS36/$T36,""),"")</f>
        <v>6168.2049180327867</v>
      </c>
      <c r="DR36" s="70">
        <f t="shared" ref="DR36:DR64" si="140">IFERROR(IF(ABS(CT36)&gt;0,CT36/$T36,""),"")</f>
        <v>4973.6680327868853</v>
      </c>
      <c r="DS36" s="71">
        <f t="shared" ref="DS36:DS64" si="141">IFERROR(IF(ABS(CU36)&gt;0,CU36/$T36,""),"")</f>
        <v>1194.5368852459017</v>
      </c>
      <c r="DT36" s="106">
        <f t="shared" ref="DT36:DT64" si="142">IFERROR(IF(ABS(CE36&gt;0),CE36/$CH36,""),"")</f>
        <v>1.0461805950117169</v>
      </c>
      <c r="DU36" s="92">
        <f t="shared" ref="DU36:DU64" si="143">IFERROR(IF(ABS(CF36&gt;0),CF36/$CH36,""),"")</f>
        <v>3.4900657883758242E-2</v>
      </c>
      <c r="DV36" s="92" t="str">
        <f t="shared" ref="DV36:DV64" si="144">IFERROR(IF(ABS(CG36&gt;0),CG36/$CH36,""),"")</f>
        <v/>
      </c>
      <c r="DW36" s="92">
        <f t="shared" ref="DW36:DW64" si="145">IFERROR(IF(ABS(CH36&gt;0),CH36/$CH36,""),"")</f>
        <v>1</v>
      </c>
      <c r="DX36" s="92">
        <f t="shared" ref="DX36:DX64" si="146">IFERROR(IF(ABS(CI36&gt;0),CI36/$CH36,""),"")</f>
        <v>3.9397931865842249E-2</v>
      </c>
      <c r="DY36" s="92">
        <f t="shared" ref="DY36:DY64" si="147">IFERROR(IF(ABS(CJ36&gt;0),CJ36/$CH36,""),"")</f>
        <v>5.0000039732078644E-2</v>
      </c>
      <c r="DZ36" s="92">
        <f t="shared" ref="DZ36:DZ64" si="148">IFERROR(IF(ABS(CK36&gt;0),CK36/$CH36,""),"")</f>
        <v>0.12582831450959886</v>
      </c>
      <c r="EA36" s="92">
        <f t="shared" ref="EA36:EA64" si="149">IFERROR(IF(ABS(CL36&gt;0),CL36/$CH36,""),"")</f>
        <v>4.725296381440669E-2</v>
      </c>
      <c r="EB36" s="92">
        <f t="shared" ref="EB36:EB64" si="150">IFERROR(IF(ABS(CM36&gt;0),CM36/$CH36,""),"")</f>
        <v>9.9594414941168705E-2</v>
      </c>
      <c r="EC36" s="92">
        <f t="shared" ref="EC36:EC64" si="151">IFERROR(IF(ABS(CN36&gt;0),CN36/$CH36,""),"")</f>
        <v>3.9941864022523324E-2</v>
      </c>
      <c r="ED36" s="92" t="str">
        <f t="shared" ref="ED36:ED64" si="152">IFERROR(IF(ABS(CO36&gt;0),CO36/$CH36,""),"")</f>
        <v/>
      </c>
      <c r="EE36" s="92">
        <f t="shared" ref="EE36:EE64" si="153">IFERROR(IF(ABS(CP36&gt;0),CP36/$CH36,""),"")</f>
        <v>0.40201552888561848</v>
      </c>
      <c r="EF36" s="92">
        <f t="shared" ref="EF36:EF64" si="154">IFERROR(IF(ABS(CQ36&gt;0),CQ36/$CH36,""),"")</f>
        <v>2.9083881569798534E-2</v>
      </c>
      <c r="EG36" s="92">
        <f t="shared" ref="EG36:EG64" si="155">IFERROR(IF(ABS(CR36&gt;0),CR36/$CH36,""),"")</f>
        <v>0.43109941045541705</v>
      </c>
      <c r="EH36" s="92">
        <f t="shared" ref="EH36:EH64" si="156">IFERROR(IF(ABS(CS36&gt;0),CS36/$CH36,""),"")</f>
        <v>0.59798447111438147</v>
      </c>
      <c r="EI36" s="92">
        <f t="shared" ref="EI36:EI64" si="157">IFERROR(IF(ABS(CT36&gt;0),CT36/$CH36,""),"")</f>
        <v>0.48217857344355541</v>
      </c>
      <c r="EJ36" s="122">
        <f t="shared" ref="EJ36:EJ64" si="158">IFERROR(IF(ABS(CU36&gt;0),CU36/$CH36,""),"")</f>
        <v>0.11580589767082608</v>
      </c>
    </row>
    <row r="37" spans="2:140" ht="12" hidden="1" customHeight="1" outlineLevel="1">
      <c r="B37" s="121">
        <v>44811</v>
      </c>
      <c r="C37" s="117">
        <v>22457</v>
      </c>
      <c r="D37" s="50" t="s">
        <v>349</v>
      </c>
      <c r="E37" s="50" t="s">
        <v>350</v>
      </c>
      <c r="F37" s="50" t="s">
        <v>351</v>
      </c>
      <c r="G37" s="50" t="s">
        <v>352</v>
      </c>
      <c r="H37" s="50" t="s">
        <v>353</v>
      </c>
      <c r="I37" s="51" t="s">
        <v>328</v>
      </c>
      <c r="J37" s="52" t="s">
        <v>354</v>
      </c>
      <c r="K37" s="50" t="s">
        <v>355</v>
      </c>
      <c r="L37" s="49">
        <v>9</v>
      </c>
      <c r="M37" s="50" t="s">
        <v>283</v>
      </c>
      <c r="N37" s="50" t="s">
        <v>160</v>
      </c>
      <c r="O37" s="50" t="s">
        <v>160</v>
      </c>
      <c r="P37" s="50" t="s">
        <v>177</v>
      </c>
      <c r="Q37" s="53">
        <v>0.04</v>
      </c>
      <c r="R37" s="49">
        <v>192</v>
      </c>
      <c r="S37" s="49">
        <v>0</v>
      </c>
      <c r="T37" s="54">
        <f t="shared" si="0"/>
        <v>192</v>
      </c>
      <c r="U37" s="55">
        <v>193080</v>
      </c>
      <c r="V37" s="49">
        <v>10.02</v>
      </c>
      <c r="W37" s="56">
        <f t="shared" si="102"/>
        <v>19.161676646706589</v>
      </c>
      <c r="X37" s="49" t="s">
        <v>163</v>
      </c>
      <c r="Y37" s="57" t="s">
        <v>162</v>
      </c>
      <c r="Z37" s="58">
        <v>44574570</v>
      </c>
      <c r="AA37" s="114">
        <v>4.2500000000000003E-2</v>
      </c>
      <c r="AB37" s="59">
        <v>18</v>
      </c>
      <c r="AC37" s="60">
        <v>43</v>
      </c>
      <c r="AD37" s="61">
        <v>4.5499999999999999E-2</v>
      </c>
      <c r="AE37" s="62">
        <v>30000000</v>
      </c>
      <c r="AF37" s="63">
        <v>1.25</v>
      </c>
      <c r="AG37" s="59"/>
      <c r="AH37" s="60"/>
      <c r="AI37" s="61"/>
      <c r="AJ37" s="64"/>
      <c r="AK37" s="65">
        <f t="shared" si="103"/>
        <v>30000000</v>
      </c>
      <c r="AL37" s="62">
        <v>5000000</v>
      </c>
      <c r="AM37" s="49" t="s">
        <v>163</v>
      </c>
      <c r="AN37" s="67">
        <v>0.92</v>
      </c>
      <c r="AO37" s="62">
        <v>17989874</v>
      </c>
      <c r="AP37" s="62">
        <v>0</v>
      </c>
      <c r="AQ37" s="68">
        <v>3566304</v>
      </c>
      <c r="AR37" s="69">
        <f t="shared" si="104"/>
        <v>156250</v>
      </c>
      <c r="AS37" s="70" t="str">
        <f>IFERROR(IF(#REF!&gt;0,#REF!/T37,""),"")</f>
        <v/>
      </c>
      <c r="AT37" s="70">
        <f t="shared" si="105"/>
        <v>93697.260416666672</v>
      </c>
      <c r="AU37" s="70">
        <f t="shared" si="106"/>
        <v>26041.666666666668</v>
      </c>
      <c r="AV37" s="71">
        <f t="shared" si="107"/>
        <v>18574.5</v>
      </c>
      <c r="AW37" s="115">
        <f t="shared" si="108"/>
        <v>153508.77083333334</v>
      </c>
      <c r="AX37" s="116">
        <f t="shared" si="109"/>
        <v>152.6501139424073</v>
      </c>
      <c r="AY37" s="72">
        <f t="shared" si="110"/>
        <v>185052.08333333334</v>
      </c>
      <c r="AZ37" s="73">
        <f t="shared" si="111"/>
        <v>184.01698777708722</v>
      </c>
      <c r="BA37" s="66">
        <v>2875000</v>
      </c>
      <c r="BB37" s="62">
        <v>5989604</v>
      </c>
      <c r="BC37" s="62">
        <v>23484080</v>
      </c>
      <c r="BD37" s="62">
        <v>1930000</v>
      </c>
      <c r="BE37" s="62">
        <v>4126316</v>
      </c>
      <c r="BF37" s="62">
        <v>4827467</v>
      </c>
      <c r="BG37" s="67">
        <v>5388752</v>
      </c>
      <c r="BH37" s="62">
        <v>6378000</v>
      </c>
      <c r="BI37" s="62">
        <v>1556959</v>
      </c>
      <c r="BJ37" s="47">
        <f t="shared" si="112"/>
        <v>56556178</v>
      </c>
      <c r="BK37" s="69">
        <f t="shared" si="90"/>
        <v>14973.958333333334</v>
      </c>
      <c r="BL37" s="70">
        <f t="shared" si="91"/>
        <v>31195.854166666668</v>
      </c>
      <c r="BM37" s="70">
        <f t="shared" si="92"/>
        <v>122312.91666666667</v>
      </c>
      <c r="BN37" s="70">
        <f t="shared" si="93"/>
        <v>10052.083333333334</v>
      </c>
      <c r="BO37" s="70">
        <f t="shared" si="94"/>
        <v>21491.229166666668</v>
      </c>
      <c r="BP37" s="70">
        <f t="shared" si="100"/>
        <v>25143.057291666668</v>
      </c>
      <c r="BQ37" s="70">
        <f t="shared" si="113"/>
        <v>28066.416666666668</v>
      </c>
      <c r="BR37" s="70">
        <f t="shared" si="83"/>
        <v>33218.75</v>
      </c>
      <c r="BS37" s="70">
        <f t="shared" si="84"/>
        <v>8109.161458333333</v>
      </c>
      <c r="BT37" s="71">
        <f t="shared" si="85"/>
        <v>294563.42708333331</v>
      </c>
      <c r="BU37" s="65">
        <f t="shared" si="95"/>
        <v>14.890200952972862</v>
      </c>
      <c r="BV37" s="48">
        <f t="shared" si="96"/>
        <v>31.021359022166976</v>
      </c>
      <c r="BW37" s="48">
        <f t="shared" si="97"/>
        <v>121.62875492024031</v>
      </c>
      <c r="BX37" s="48">
        <f t="shared" si="98"/>
        <v>9.995856639734825</v>
      </c>
      <c r="BY37" s="48">
        <f t="shared" si="99"/>
        <v>21.3710171949451</v>
      </c>
      <c r="BZ37" s="48">
        <f t="shared" si="101"/>
        <v>25.002418686554797</v>
      </c>
      <c r="CA37" s="48">
        <f t="shared" si="114"/>
        <v>27.909426144603273</v>
      </c>
      <c r="CB37" s="48">
        <f t="shared" si="87"/>
        <v>33.032939714108139</v>
      </c>
      <c r="CC37" s="48">
        <f t="shared" si="88"/>
        <v>8.0638025688833643</v>
      </c>
      <c r="CD37" s="47">
        <f t="shared" si="89"/>
        <v>292.91577584420963</v>
      </c>
      <c r="CE37" s="66">
        <v>3326400</v>
      </c>
      <c r="CF37" s="62">
        <v>34560</v>
      </c>
      <c r="CG37" s="74">
        <v>-252072</v>
      </c>
      <c r="CH37" s="75">
        <f t="shared" si="115"/>
        <v>3108888</v>
      </c>
      <c r="CI37" s="62">
        <f>77000+27960+7680</f>
        <v>112640</v>
      </c>
      <c r="CJ37" s="62">
        <v>155444</v>
      </c>
      <c r="CK37" s="62">
        <v>265000</v>
      </c>
      <c r="CL37" s="62">
        <f>129000+0</f>
        <v>129000</v>
      </c>
      <c r="CM37" s="62">
        <f>35000+42000</f>
        <v>77000</v>
      </c>
      <c r="CN37" s="62">
        <v>62400</v>
      </c>
      <c r="CO37" s="62">
        <v>222144</v>
      </c>
      <c r="CP37" s="75">
        <f t="shared" si="3"/>
        <v>1023628</v>
      </c>
      <c r="CQ37" s="62">
        <v>48000</v>
      </c>
      <c r="CR37" s="75">
        <f t="shared" si="4"/>
        <v>1071628</v>
      </c>
      <c r="CS37" s="75">
        <f t="shared" si="116"/>
        <v>2085260</v>
      </c>
      <c r="CT37" s="62">
        <f>3600+1631743</f>
        <v>1635343</v>
      </c>
      <c r="CU37" s="47">
        <f t="shared" si="117"/>
        <v>449917</v>
      </c>
      <c r="CV37" s="76">
        <f t="shared" si="118"/>
        <v>0.67074143552292653</v>
      </c>
      <c r="CW37" s="75">
        <f t="shared" si="119"/>
        <v>5581.395833333333</v>
      </c>
      <c r="CX37" s="77">
        <f t="shared" si="120"/>
        <v>0.34469816860562363</v>
      </c>
      <c r="CY37" s="75">
        <f t="shared" si="121"/>
        <v>2343.3177083333335</v>
      </c>
      <c r="CZ37" s="77">
        <f t="shared" si="122"/>
        <v>0.14471959105635199</v>
      </c>
      <c r="DA37" s="77">
        <f t="shared" si="123"/>
        <v>0.52602184446657452</v>
      </c>
      <c r="DB37" s="47">
        <f t="shared" si="124"/>
        <v>156250</v>
      </c>
      <c r="DC37" s="69">
        <f t="shared" si="125"/>
        <v>17325</v>
      </c>
      <c r="DD37" s="70">
        <f t="shared" si="126"/>
        <v>180</v>
      </c>
      <c r="DE37" s="70">
        <f t="shared" si="127"/>
        <v>-1312.875</v>
      </c>
      <c r="DF37" s="70">
        <f t="shared" si="128"/>
        <v>16192.125</v>
      </c>
      <c r="DG37" s="70">
        <f t="shared" si="129"/>
        <v>586.66666666666663</v>
      </c>
      <c r="DH37" s="70">
        <f t="shared" si="130"/>
        <v>809.60416666666663</v>
      </c>
      <c r="DI37" s="70">
        <f t="shared" si="131"/>
        <v>1380.2083333333333</v>
      </c>
      <c r="DJ37" s="70">
        <f t="shared" si="132"/>
        <v>671.875</v>
      </c>
      <c r="DK37" s="70">
        <f t="shared" si="133"/>
        <v>401.04166666666669</v>
      </c>
      <c r="DL37" s="70">
        <f t="shared" si="134"/>
        <v>325</v>
      </c>
      <c r="DM37" s="70">
        <f t="shared" si="135"/>
        <v>1157</v>
      </c>
      <c r="DN37" s="70">
        <f t="shared" si="136"/>
        <v>5331.395833333333</v>
      </c>
      <c r="DO37" s="70">
        <f t="shared" si="137"/>
        <v>250</v>
      </c>
      <c r="DP37" s="70">
        <f t="shared" si="138"/>
        <v>5581.395833333333</v>
      </c>
      <c r="DQ37" s="70">
        <f t="shared" si="139"/>
        <v>10860.729166666666</v>
      </c>
      <c r="DR37" s="70">
        <f t="shared" si="140"/>
        <v>8517.4114583333339</v>
      </c>
      <c r="DS37" s="71">
        <f t="shared" si="141"/>
        <v>2343.3177083333335</v>
      </c>
      <c r="DT37" s="106">
        <f t="shared" si="142"/>
        <v>1.0699645661085251</v>
      </c>
      <c r="DU37" s="92">
        <f t="shared" si="143"/>
        <v>1.1116514972556104E-2</v>
      </c>
      <c r="DV37" s="92" t="str">
        <f t="shared" si="144"/>
        <v/>
      </c>
      <c r="DW37" s="92">
        <f t="shared" si="145"/>
        <v>1</v>
      </c>
      <c r="DX37" s="92">
        <f t="shared" si="146"/>
        <v>3.6231604354997671E-2</v>
      </c>
      <c r="DY37" s="92">
        <f t="shared" si="147"/>
        <v>4.9999871336632265E-2</v>
      </c>
      <c r="DZ37" s="92">
        <f t="shared" si="148"/>
        <v>8.5239481126370586E-2</v>
      </c>
      <c r="EA37" s="92">
        <f t="shared" si="149"/>
        <v>4.1493936095478509E-2</v>
      </c>
      <c r="EB37" s="92">
        <f t="shared" si="150"/>
        <v>2.4767698289549188E-2</v>
      </c>
      <c r="EC37" s="92">
        <f t="shared" si="151"/>
        <v>2.0071485367115185E-2</v>
      </c>
      <c r="ED37" s="92">
        <f t="shared" si="152"/>
        <v>7.145448790693007E-2</v>
      </c>
      <c r="EE37" s="92">
        <f t="shared" si="153"/>
        <v>0.32925856447707347</v>
      </c>
      <c r="EF37" s="92">
        <f t="shared" si="154"/>
        <v>1.5439604128550144E-2</v>
      </c>
      <c r="EG37" s="92">
        <f t="shared" si="155"/>
        <v>0.34469816860562363</v>
      </c>
      <c r="EH37" s="92">
        <f t="shared" si="156"/>
        <v>0.67074143552292653</v>
      </c>
      <c r="EI37" s="92">
        <f t="shared" si="157"/>
        <v>0.52602184446657452</v>
      </c>
      <c r="EJ37" s="122">
        <f t="shared" si="158"/>
        <v>0.14471959105635199</v>
      </c>
    </row>
    <row r="38" spans="2:140" ht="12" hidden="1" customHeight="1" outlineLevel="1">
      <c r="B38" s="121">
        <v>44823</v>
      </c>
      <c r="C38" s="117">
        <v>21513</v>
      </c>
      <c r="D38" s="50" t="s">
        <v>356</v>
      </c>
      <c r="E38" s="50" t="s">
        <v>357</v>
      </c>
      <c r="F38" s="50" t="s">
        <v>358</v>
      </c>
      <c r="G38" s="50" t="s">
        <v>162</v>
      </c>
      <c r="H38" s="50" t="s">
        <v>359</v>
      </c>
      <c r="I38" s="51" t="s">
        <v>163</v>
      </c>
      <c r="J38" s="52" t="s">
        <v>360</v>
      </c>
      <c r="K38" s="50" t="s">
        <v>294</v>
      </c>
      <c r="L38" s="49">
        <v>7</v>
      </c>
      <c r="M38" s="50" t="s">
        <v>159</v>
      </c>
      <c r="N38" s="50" t="s">
        <v>361</v>
      </c>
      <c r="O38" s="50" t="s">
        <v>160</v>
      </c>
      <c r="P38" s="50" t="s">
        <v>273</v>
      </c>
      <c r="Q38" s="53" t="s">
        <v>163</v>
      </c>
      <c r="R38" s="49">
        <v>123</v>
      </c>
      <c r="S38" s="49">
        <v>0</v>
      </c>
      <c r="T38" s="54">
        <f t="shared" si="0"/>
        <v>123</v>
      </c>
      <c r="U38" s="55">
        <v>55048</v>
      </c>
      <c r="V38" s="49">
        <v>3.35</v>
      </c>
      <c r="W38" s="56">
        <f t="shared" si="102"/>
        <v>36.71641791044776</v>
      </c>
      <c r="X38" s="49" t="s">
        <v>163</v>
      </c>
      <c r="Y38" s="57" t="s">
        <v>162</v>
      </c>
      <c r="Z38" s="58">
        <v>24324545</v>
      </c>
      <c r="AA38" s="114">
        <v>0</v>
      </c>
      <c r="AB38" s="59">
        <v>40</v>
      </c>
      <c r="AC38" s="60">
        <v>0</v>
      </c>
      <c r="AD38" s="61">
        <v>0</v>
      </c>
      <c r="AE38" s="62">
        <v>15681500</v>
      </c>
      <c r="AF38" s="63">
        <v>0</v>
      </c>
      <c r="AG38" s="59">
        <v>30</v>
      </c>
      <c r="AH38" s="60">
        <v>30</v>
      </c>
      <c r="AI38" s="61">
        <v>0</v>
      </c>
      <c r="AJ38" s="64">
        <v>6000000</v>
      </c>
      <c r="AK38" s="65">
        <f t="shared" si="103"/>
        <v>21681500</v>
      </c>
      <c r="AL38" s="62">
        <v>2643045</v>
      </c>
      <c r="AM38" s="49" t="s">
        <v>163</v>
      </c>
      <c r="AN38" s="67" t="s">
        <v>163</v>
      </c>
      <c r="AO38" s="62">
        <v>0</v>
      </c>
      <c r="AP38" s="62">
        <v>0</v>
      </c>
      <c r="AQ38" s="68">
        <v>0</v>
      </c>
      <c r="AR38" s="69">
        <f t="shared" si="104"/>
        <v>176272.35772357724</v>
      </c>
      <c r="AS38" s="70" t="str">
        <f>IFERROR(IF(#REF!&gt;0,#REF!/T38,""),"")</f>
        <v/>
      </c>
      <c r="AT38" s="70" t="str">
        <f t="shared" si="105"/>
        <v/>
      </c>
      <c r="AU38" s="70">
        <f t="shared" si="106"/>
        <v>21488.170731707316</v>
      </c>
      <c r="AV38" s="71" t="str">
        <f t="shared" si="107"/>
        <v/>
      </c>
      <c r="AW38" s="115">
        <f t="shared" si="108"/>
        <v>40745</v>
      </c>
      <c r="AX38" s="116">
        <f t="shared" si="109"/>
        <v>91.041182240953347</v>
      </c>
      <c r="AY38" s="72">
        <f t="shared" si="110"/>
        <v>48697.772357723574</v>
      </c>
      <c r="AZ38" s="73">
        <f t="shared" si="111"/>
        <v>108.81096497602093</v>
      </c>
      <c r="BA38" s="66">
        <v>16353324</v>
      </c>
      <c r="BB38" s="62">
        <v>424410</v>
      </c>
      <c r="BC38" s="62">
        <v>4587225</v>
      </c>
      <c r="BD38" s="62">
        <v>490000</v>
      </c>
      <c r="BE38" s="62">
        <v>488191</v>
      </c>
      <c r="BF38" s="62">
        <v>1211472</v>
      </c>
      <c r="BG38" s="67">
        <v>36000</v>
      </c>
      <c r="BH38" s="62">
        <v>613923</v>
      </c>
      <c r="BI38" s="62">
        <v>120000</v>
      </c>
      <c r="BJ38" s="47">
        <f t="shared" si="112"/>
        <v>24324545</v>
      </c>
      <c r="BK38" s="69">
        <f t="shared" si="90"/>
        <v>132953.85365853659</v>
      </c>
      <c r="BL38" s="70">
        <f t="shared" si="91"/>
        <v>3450.4878048780488</v>
      </c>
      <c r="BM38" s="70">
        <f t="shared" si="92"/>
        <v>37294.512195121948</v>
      </c>
      <c r="BN38" s="70">
        <f t="shared" si="93"/>
        <v>3983.7398373983738</v>
      </c>
      <c r="BO38" s="70">
        <f t="shared" si="94"/>
        <v>3969.0325203252032</v>
      </c>
      <c r="BP38" s="70">
        <f t="shared" si="100"/>
        <v>9849.3658536585372</v>
      </c>
      <c r="BQ38" s="70">
        <f t="shared" si="113"/>
        <v>292.6829268292683</v>
      </c>
      <c r="BR38" s="70">
        <f t="shared" si="83"/>
        <v>4991.2439024390242</v>
      </c>
      <c r="BS38" s="70">
        <f t="shared" si="84"/>
        <v>975.60975609756099</v>
      </c>
      <c r="BT38" s="71">
        <f t="shared" si="85"/>
        <v>197760.52845528454</v>
      </c>
      <c r="BU38" s="65">
        <f t="shared" si="95"/>
        <v>297.07389914256646</v>
      </c>
      <c r="BV38" s="48">
        <f t="shared" si="96"/>
        <v>7.7098168870803665</v>
      </c>
      <c r="BW38" s="48">
        <f t="shared" si="97"/>
        <v>83.331365353872982</v>
      </c>
      <c r="BX38" s="48">
        <f t="shared" si="98"/>
        <v>8.9013224821973544</v>
      </c>
      <c r="BY38" s="48">
        <f t="shared" si="99"/>
        <v>8.8684602528702232</v>
      </c>
      <c r="BZ38" s="48">
        <f t="shared" si="101"/>
        <v>22.007557041127743</v>
      </c>
      <c r="CA38" s="48">
        <f t="shared" si="114"/>
        <v>0.65397471297776488</v>
      </c>
      <c r="CB38" s="48">
        <f t="shared" si="87"/>
        <v>11.152503269873565</v>
      </c>
      <c r="CC38" s="48">
        <f t="shared" si="88"/>
        <v>2.1799157099258828</v>
      </c>
      <c r="CD38" s="47">
        <f t="shared" si="89"/>
        <v>441.87881485249238</v>
      </c>
      <c r="CE38" s="66">
        <v>1115040</v>
      </c>
      <c r="CF38" s="62">
        <v>17474</v>
      </c>
      <c r="CG38" s="74">
        <v>-84939</v>
      </c>
      <c r="CH38" s="75">
        <f t="shared" si="115"/>
        <v>1047575</v>
      </c>
      <c r="CI38" s="62">
        <f>38618+0+3910</f>
        <v>42528</v>
      </c>
      <c r="CJ38" s="62">
        <v>52142</v>
      </c>
      <c r="CK38" s="62">
        <v>318480</v>
      </c>
      <c r="CL38" s="62">
        <f>141541+8277</f>
        <v>149818</v>
      </c>
      <c r="CM38" s="62">
        <f>63454+43429+20167</f>
        <v>127050</v>
      </c>
      <c r="CN38" s="62">
        <v>37000</v>
      </c>
      <c r="CO38" s="62">
        <v>0</v>
      </c>
      <c r="CP38" s="75">
        <f t="shared" si="3"/>
        <v>727018</v>
      </c>
      <c r="CQ38" s="62">
        <v>36900</v>
      </c>
      <c r="CR38" s="75">
        <f t="shared" si="4"/>
        <v>763918</v>
      </c>
      <c r="CS38" s="75">
        <f t="shared" si="116"/>
        <v>320557</v>
      </c>
      <c r="CT38" s="62">
        <f>0</f>
        <v>0</v>
      </c>
      <c r="CU38" s="47">
        <f t="shared" si="117"/>
        <v>320557</v>
      </c>
      <c r="CV38" s="76">
        <f t="shared" si="118"/>
        <v>0.305999093143689</v>
      </c>
      <c r="CW38" s="75">
        <f t="shared" si="119"/>
        <v>6210.7154471544718</v>
      </c>
      <c r="CX38" s="77">
        <f t="shared" si="120"/>
        <v>0.72922511514688682</v>
      </c>
      <c r="CY38" s="75">
        <f t="shared" si="121"/>
        <v>2606.1544715447153</v>
      </c>
      <c r="CZ38" s="77">
        <f t="shared" si="122"/>
        <v>0.305999093143689</v>
      </c>
      <c r="DA38" s="77" t="str">
        <f t="shared" si="123"/>
        <v/>
      </c>
      <c r="DB38" s="47">
        <f t="shared" si="124"/>
        <v>176272.35772357724</v>
      </c>
      <c r="DC38" s="69">
        <f t="shared" si="125"/>
        <v>9065.3658536585372</v>
      </c>
      <c r="DD38" s="70">
        <f t="shared" si="126"/>
        <v>142.0650406504065</v>
      </c>
      <c r="DE38" s="70">
        <f t="shared" si="127"/>
        <v>-690.56097560975604</v>
      </c>
      <c r="DF38" s="70">
        <f t="shared" si="128"/>
        <v>8516.8699186991871</v>
      </c>
      <c r="DG38" s="70">
        <f t="shared" si="129"/>
        <v>345.7560975609756</v>
      </c>
      <c r="DH38" s="70">
        <f t="shared" si="130"/>
        <v>423.91869918699189</v>
      </c>
      <c r="DI38" s="70">
        <f t="shared" si="131"/>
        <v>2589.268292682927</v>
      </c>
      <c r="DJ38" s="70">
        <f t="shared" si="132"/>
        <v>1218.0325203252032</v>
      </c>
      <c r="DK38" s="70">
        <f t="shared" si="133"/>
        <v>1032.9268292682927</v>
      </c>
      <c r="DL38" s="70">
        <f t="shared" si="134"/>
        <v>300.8130081300813</v>
      </c>
      <c r="DM38" s="70" t="str">
        <f t="shared" si="135"/>
        <v/>
      </c>
      <c r="DN38" s="70">
        <f t="shared" si="136"/>
        <v>5910.7154471544718</v>
      </c>
      <c r="DO38" s="70">
        <f t="shared" si="137"/>
        <v>300</v>
      </c>
      <c r="DP38" s="70">
        <f t="shared" si="138"/>
        <v>6210.7154471544718</v>
      </c>
      <c r="DQ38" s="70">
        <f t="shared" si="139"/>
        <v>2606.1544715447153</v>
      </c>
      <c r="DR38" s="70" t="str">
        <f t="shared" si="140"/>
        <v/>
      </c>
      <c r="DS38" s="71">
        <f t="shared" si="141"/>
        <v>2606.1544715447153</v>
      </c>
      <c r="DT38" s="106">
        <f t="shared" si="142"/>
        <v>1.0644011168651408</v>
      </c>
      <c r="DU38" s="92">
        <f t="shared" si="143"/>
        <v>1.6680428608930147E-2</v>
      </c>
      <c r="DV38" s="92" t="str">
        <f t="shared" si="144"/>
        <v/>
      </c>
      <c r="DW38" s="92">
        <f t="shared" si="145"/>
        <v>1</v>
      </c>
      <c r="DX38" s="92">
        <f t="shared" si="146"/>
        <v>4.059661599408157E-2</v>
      </c>
      <c r="DY38" s="92">
        <f t="shared" si="147"/>
        <v>4.9774001861441902E-2</v>
      </c>
      <c r="DZ38" s="92">
        <f t="shared" si="148"/>
        <v>0.30401641887215713</v>
      </c>
      <c r="EA38" s="92">
        <f t="shared" si="149"/>
        <v>0.1430141040021001</v>
      </c>
      <c r="EB38" s="92">
        <f t="shared" si="150"/>
        <v>0.12128009927690142</v>
      </c>
      <c r="EC38" s="92">
        <f t="shared" si="151"/>
        <v>3.5319666849628902E-2</v>
      </c>
      <c r="ED38" s="92" t="str">
        <f t="shared" si="152"/>
        <v/>
      </c>
      <c r="EE38" s="92">
        <f t="shared" si="153"/>
        <v>0.694000906856311</v>
      </c>
      <c r="EF38" s="92">
        <f t="shared" si="154"/>
        <v>3.5224208290575855E-2</v>
      </c>
      <c r="EG38" s="92">
        <f t="shared" si="155"/>
        <v>0.72922511514688682</v>
      </c>
      <c r="EH38" s="92">
        <f t="shared" si="156"/>
        <v>0.305999093143689</v>
      </c>
      <c r="EI38" s="92" t="str">
        <f t="shared" si="157"/>
        <v/>
      </c>
      <c r="EJ38" s="122">
        <f t="shared" si="158"/>
        <v>0.305999093143689</v>
      </c>
    </row>
    <row r="39" spans="2:140" ht="12" hidden="1" customHeight="1" outlineLevel="1">
      <c r="B39" s="121">
        <v>44824</v>
      </c>
      <c r="C39" s="117">
        <v>22450</v>
      </c>
      <c r="D39" s="50" t="s">
        <v>362</v>
      </c>
      <c r="E39" s="50" t="s">
        <v>363</v>
      </c>
      <c r="F39" s="50" t="s">
        <v>364</v>
      </c>
      <c r="G39" s="50" t="s">
        <v>162</v>
      </c>
      <c r="H39" s="50" t="s">
        <v>365</v>
      </c>
      <c r="I39" s="51" t="s">
        <v>366</v>
      </c>
      <c r="J39" s="52" t="s">
        <v>360</v>
      </c>
      <c r="K39" s="50" t="s">
        <v>294</v>
      </c>
      <c r="L39" s="49">
        <v>7</v>
      </c>
      <c r="M39" s="50" t="s">
        <v>159</v>
      </c>
      <c r="N39" s="50" t="s">
        <v>160</v>
      </c>
      <c r="O39" s="50" t="s">
        <v>160</v>
      </c>
      <c r="P39" s="50" t="s">
        <v>177</v>
      </c>
      <c r="Q39" s="53">
        <v>0.04</v>
      </c>
      <c r="R39" s="49">
        <v>288</v>
      </c>
      <c r="S39" s="49">
        <v>0</v>
      </c>
      <c r="T39" s="54">
        <f t="shared" si="0"/>
        <v>288</v>
      </c>
      <c r="U39" s="55">
        <v>264584</v>
      </c>
      <c r="V39" s="49">
        <v>26.17</v>
      </c>
      <c r="W39" s="56">
        <f t="shared" si="102"/>
        <v>11.004967520061138</v>
      </c>
      <c r="X39" s="49" t="s">
        <v>163</v>
      </c>
      <c r="Y39" s="57" t="s">
        <v>162</v>
      </c>
      <c r="Z39" s="58">
        <v>55000000</v>
      </c>
      <c r="AA39" s="114">
        <v>4.2000000000000003E-2</v>
      </c>
      <c r="AB39" s="59">
        <v>18</v>
      </c>
      <c r="AC39" s="60">
        <v>40</v>
      </c>
      <c r="AD39" s="61">
        <v>5.2499999999999998E-2</v>
      </c>
      <c r="AE39" s="62">
        <v>35394000</v>
      </c>
      <c r="AF39" s="63">
        <v>1.1499999999999999</v>
      </c>
      <c r="AG39" s="59"/>
      <c r="AH39" s="60"/>
      <c r="AI39" s="61"/>
      <c r="AJ39" s="64"/>
      <c r="AK39" s="65">
        <f t="shared" si="103"/>
        <v>35394000</v>
      </c>
      <c r="AL39" s="62">
        <v>0</v>
      </c>
      <c r="AM39" s="49" t="s">
        <v>163</v>
      </c>
      <c r="AN39" s="67">
        <v>0.94</v>
      </c>
      <c r="AO39" s="62">
        <v>31797262</v>
      </c>
      <c r="AP39" s="62">
        <v>0</v>
      </c>
      <c r="AQ39" s="68">
        <v>6573988</v>
      </c>
      <c r="AR39" s="69">
        <f t="shared" si="104"/>
        <v>122895.83333333333</v>
      </c>
      <c r="AS39" s="70" t="str">
        <f>IFERROR(IF(#REF!&gt;0,#REF!/T39,""),"")</f>
        <v/>
      </c>
      <c r="AT39" s="70">
        <f t="shared" si="105"/>
        <v>110407.15972222222</v>
      </c>
      <c r="AU39" s="70" t="str">
        <f t="shared" si="106"/>
        <v/>
      </c>
      <c r="AV39" s="71">
        <f t="shared" si="107"/>
        <v>22826.347222222223</v>
      </c>
      <c r="AW39" s="115">
        <f t="shared" si="108"/>
        <v>143117.15625</v>
      </c>
      <c r="AX39" s="116">
        <f t="shared" si="109"/>
        <v>155.78319550690895</v>
      </c>
      <c r="AY39" s="72">
        <f t="shared" si="110"/>
        <v>170427.92361111109</v>
      </c>
      <c r="AZ39" s="73">
        <f t="shared" si="111"/>
        <v>185.51099839748434</v>
      </c>
      <c r="BA39" s="66">
        <v>3183673</v>
      </c>
      <c r="BB39" s="62">
        <v>5312591</v>
      </c>
      <c r="BC39" s="62">
        <v>35905150</v>
      </c>
      <c r="BD39" s="62">
        <v>2885242</v>
      </c>
      <c r="BE39" s="62">
        <v>4980259</v>
      </c>
      <c r="BF39" s="62">
        <v>3197500</v>
      </c>
      <c r="BG39" s="67">
        <v>7962984</v>
      </c>
      <c r="BH39" s="62">
        <v>8485851</v>
      </c>
      <c r="BI39" s="62">
        <v>1852000</v>
      </c>
      <c r="BJ39" s="47">
        <f t="shared" si="112"/>
        <v>73765250</v>
      </c>
      <c r="BK39" s="69">
        <f t="shared" si="90"/>
        <v>11054.420138888889</v>
      </c>
      <c r="BL39" s="70">
        <f t="shared" si="91"/>
        <v>18446.496527777777</v>
      </c>
      <c r="BM39" s="70">
        <f t="shared" si="92"/>
        <v>124670.65972222222</v>
      </c>
      <c r="BN39" s="70">
        <f t="shared" si="93"/>
        <v>10018.201388888889</v>
      </c>
      <c r="BO39" s="70">
        <f t="shared" si="94"/>
        <v>17292.565972222223</v>
      </c>
      <c r="BP39" s="70">
        <f t="shared" si="100"/>
        <v>11102.430555555555</v>
      </c>
      <c r="BQ39" s="70">
        <f t="shared" si="113"/>
        <v>27649.25</v>
      </c>
      <c r="BR39" s="70">
        <f t="shared" si="83"/>
        <v>29464.760416666668</v>
      </c>
      <c r="BS39" s="70">
        <f t="shared" si="84"/>
        <v>6430.5555555555557</v>
      </c>
      <c r="BT39" s="71">
        <f t="shared" si="85"/>
        <v>256129.34027777778</v>
      </c>
      <c r="BU39" s="65">
        <f t="shared" si="95"/>
        <v>12.032749523780728</v>
      </c>
      <c r="BV39" s="48">
        <f t="shared" si="96"/>
        <v>20.079033501647871</v>
      </c>
      <c r="BW39" s="48">
        <f t="shared" si="97"/>
        <v>135.70416200526108</v>
      </c>
      <c r="BX39" s="48">
        <f t="shared" si="98"/>
        <v>10.904824176820972</v>
      </c>
      <c r="BY39" s="48">
        <f t="shared" si="99"/>
        <v>18.822978713754424</v>
      </c>
      <c r="BZ39" s="48">
        <f t="shared" si="101"/>
        <v>12.085008919662565</v>
      </c>
      <c r="CA39" s="48">
        <f t="shared" si="114"/>
        <v>30.096241647265142</v>
      </c>
      <c r="CB39" s="48">
        <f t="shared" si="87"/>
        <v>32.072426904121187</v>
      </c>
      <c r="CC39" s="48">
        <f t="shared" si="88"/>
        <v>6.999667402412844</v>
      </c>
      <c r="CD39" s="47">
        <f t="shared" si="89"/>
        <v>278.79709279472684</v>
      </c>
      <c r="CE39" s="66">
        <v>4261224</v>
      </c>
      <c r="CF39" s="62">
        <v>69120</v>
      </c>
      <c r="CG39" s="74">
        <v>-324776</v>
      </c>
      <c r="CH39" s="75">
        <f t="shared" si="115"/>
        <v>4005568</v>
      </c>
      <c r="CI39" s="62">
        <f>155480+0+11520</f>
        <v>167000</v>
      </c>
      <c r="CJ39" s="62">
        <v>201361</v>
      </c>
      <c r="CK39" s="62">
        <v>388800</v>
      </c>
      <c r="CL39" s="62">
        <f>244800+0</f>
        <v>244800</v>
      </c>
      <c r="CM39" s="62">
        <f>100000+129000</f>
        <v>229000</v>
      </c>
      <c r="CN39" s="62">
        <v>208800</v>
      </c>
      <c r="CO39" s="62">
        <v>0</v>
      </c>
      <c r="CP39" s="75">
        <f t="shared" si="3"/>
        <v>1439761</v>
      </c>
      <c r="CQ39" s="62">
        <v>86400</v>
      </c>
      <c r="CR39" s="75">
        <f t="shared" si="4"/>
        <v>1526161</v>
      </c>
      <c r="CS39" s="75">
        <f t="shared" si="116"/>
        <v>2565807</v>
      </c>
      <c r="CT39" s="62">
        <f>4500+2150842</f>
        <v>2155342</v>
      </c>
      <c r="CU39" s="47">
        <f t="shared" si="117"/>
        <v>410465</v>
      </c>
      <c r="CV39" s="76">
        <f t="shared" si="118"/>
        <v>0.6405600903542269</v>
      </c>
      <c r="CW39" s="75">
        <f t="shared" si="119"/>
        <v>5299.1701388888887</v>
      </c>
      <c r="CX39" s="77">
        <f t="shared" si="120"/>
        <v>0.38100988424113635</v>
      </c>
      <c r="CY39" s="75">
        <f t="shared" si="121"/>
        <v>1425.2256944444443</v>
      </c>
      <c r="CZ39" s="77">
        <f t="shared" si="122"/>
        <v>0.10247360673941873</v>
      </c>
      <c r="DA39" s="77">
        <f t="shared" si="123"/>
        <v>0.53808648361480815</v>
      </c>
      <c r="DB39" s="47">
        <f t="shared" si="124"/>
        <v>122895.83333333333</v>
      </c>
      <c r="DC39" s="69">
        <f t="shared" si="125"/>
        <v>14795.916666666666</v>
      </c>
      <c r="DD39" s="70">
        <f t="shared" si="126"/>
        <v>240</v>
      </c>
      <c r="DE39" s="70">
        <f t="shared" si="127"/>
        <v>-1127.6944444444443</v>
      </c>
      <c r="DF39" s="70">
        <f t="shared" si="128"/>
        <v>13908.222222222223</v>
      </c>
      <c r="DG39" s="70">
        <f t="shared" si="129"/>
        <v>579.86111111111109</v>
      </c>
      <c r="DH39" s="70">
        <f t="shared" si="130"/>
        <v>699.17013888888891</v>
      </c>
      <c r="DI39" s="70">
        <f t="shared" si="131"/>
        <v>1350</v>
      </c>
      <c r="DJ39" s="70">
        <f t="shared" si="132"/>
        <v>850</v>
      </c>
      <c r="DK39" s="70">
        <f t="shared" si="133"/>
        <v>795.13888888888891</v>
      </c>
      <c r="DL39" s="70">
        <f t="shared" si="134"/>
        <v>725</v>
      </c>
      <c r="DM39" s="70" t="str">
        <f t="shared" si="135"/>
        <v/>
      </c>
      <c r="DN39" s="70">
        <f t="shared" si="136"/>
        <v>4999.1701388888887</v>
      </c>
      <c r="DO39" s="70">
        <f t="shared" si="137"/>
        <v>300</v>
      </c>
      <c r="DP39" s="70">
        <f t="shared" si="138"/>
        <v>5299.1701388888887</v>
      </c>
      <c r="DQ39" s="70">
        <f t="shared" si="139"/>
        <v>8909.0520833333339</v>
      </c>
      <c r="DR39" s="70">
        <f t="shared" si="140"/>
        <v>7483.8263888888887</v>
      </c>
      <c r="DS39" s="71">
        <f t="shared" si="141"/>
        <v>1425.2256944444443</v>
      </c>
      <c r="DT39" s="106">
        <f t="shared" si="142"/>
        <v>1.0638251553837059</v>
      </c>
      <c r="DU39" s="92">
        <f t="shared" si="143"/>
        <v>1.7255979676290605E-2</v>
      </c>
      <c r="DV39" s="92" t="str">
        <f t="shared" si="144"/>
        <v/>
      </c>
      <c r="DW39" s="92">
        <f t="shared" si="145"/>
        <v>1</v>
      </c>
      <c r="DX39" s="92">
        <f t="shared" si="146"/>
        <v>4.1691964785019256E-2</v>
      </c>
      <c r="DY39" s="92">
        <f t="shared" si="147"/>
        <v>5.0270273778899768E-2</v>
      </c>
      <c r="DZ39" s="92">
        <f t="shared" si="148"/>
        <v>9.7064885679134641E-2</v>
      </c>
      <c r="EA39" s="92">
        <f t="shared" si="149"/>
        <v>6.1114928020195886E-2</v>
      </c>
      <c r="EB39" s="92">
        <f t="shared" si="150"/>
        <v>5.7170418777062332E-2</v>
      </c>
      <c r="EC39" s="92">
        <f t="shared" si="151"/>
        <v>5.21274386054612E-2</v>
      </c>
      <c r="ED39" s="92" t="str">
        <f t="shared" si="152"/>
        <v/>
      </c>
      <c r="EE39" s="92">
        <f t="shared" si="153"/>
        <v>0.3594399096457731</v>
      </c>
      <c r="EF39" s="92">
        <f t="shared" si="154"/>
        <v>2.1569974595363254E-2</v>
      </c>
      <c r="EG39" s="92">
        <f t="shared" si="155"/>
        <v>0.38100988424113635</v>
      </c>
      <c r="EH39" s="92">
        <f t="shared" si="156"/>
        <v>0.6405600903542269</v>
      </c>
      <c r="EI39" s="92">
        <f t="shared" si="157"/>
        <v>0.53808648361480815</v>
      </c>
      <c r="EJ39" s="122">
        <f t="shared" si="158"/>
        <v>0.10247360673941873</v>
      </c>
    </row>
    <row r="40" spans="2:140" ht="12" hidden="1" customHeight="1" outlineLevel="1">
      <c r="B40" s="121">
        <v>44824</v>
      </c>
      <c r="C40" s="117">
        <v>22459</v>
      </c>
      <c r="D40" s="50" t="s">
        <v>367</v>
      </c>
      <c r="E40" s="50" t="s">
        <v>171</v>
      </c>
      <c r="F40" s="50" t="s">
        <v>368</v>
      </c>
      <c r="G40" s="50" t="s">
        <v>171</v>
      </c>
      <c r="H40" s="50" t="s">
        <v>369</v>
      </c>
      <c r="I40" s="51" t="s">
        <v>226</v>
      </c>
      <c r="J40" s="52" t="s">
        <v>370</v>
      </c>
      <c r="K40" s="50" t="s">
        <v>184</v>
      </c>
      <c r="L40" s="49">
        <v>9</v>
      </c>
      <c r="M40" s="50" t="s">
        <v>159</v>
      </c>
      <c r="N40" s="50" t="s">
        <v>160</v>
      </c>
      <c r="O40" s="50" t="s">
        <v>160</v>
      </c>
      <c r="P40" s="50" t="s">
        <v>177</v>
      </c>
      <c r="Q40" s="53">
        <v>0.04</v>
      </c>
      <c r="R40" s="49">
        <v>300</v>
      </c>
      <c r="S40" s="49">
        <v>0</v>
      </c>
      <c r="T40" s="54">
        <f t="shared" si="0"/>
        <v>300</v>
      </c>
      <c r="U40" s="55">
        <v>325183</v>
      </c>
      <c r="V40" s="49">
        <v>14.69</v>
      </c>
      <c r="W40" s="56">
        <f t="shared" si="102"/>
        <v>20.422055820285909</v>
      </c>
      <c r="X40" s="49" t="s">
        <v>163</v>
      </c>
      <c r="Y40" s="57" t="s">
        <v>162</v>
      </c>
      <c r="Z40" s="58">
        <v>58350000</v>
      </c>
      <c r="AA40" s="114">
        <f>(((36000000*0.055)/(Z40))+((22350000*0.0425)/(Z40)))</f>
        <v>5.02120822622108E-2</v>
      </c>
      <c r="AB40" s="59">
        <v>40</v>
      </c>
      <c r="AC40" s="60">
        <v>40</v>
      </c>
      <c r="AD40" s="61">
        <v>5.2999999999999999E-2</v>
      </c>
      <c r="AE40" s="62">
        <v>36000000</v>
      </c>
      <c r="AF40" s="63">
        <v>1.18</v>
      </c>
      <c r="AG40" s="59"/>
      <c r="AH40" s="60"/>
      <c r="AI40" s="61"/>
      <c r="AJ40" s="64"/>
      <c r="AK40" s="65">
        <f t="shared" si="103"/>
        <v>36000000</v>
      </c>
      <c r="AL40" s="62">
        <v>0</v>
      </c>
      <c r="AM40" s="49" t="s">
        <v>163</v>
      </c>
      <c r="AN40" s="67">
        <v>0.91</v>
      </c>
      <c r="AO40" s="62">
        <v>29338620</v>
      </c>
      <c r="AP40" s="62">
        <v>0</v>
      </c>
      <c r="AQ40" s="68">
        <v>6360102</v>
      </c>
      <c r="AR40" s="69">
        <f t="shared" si="104"/>
        <v>120000</v>
      </c>
      <c r="AS40" s="70" t="str">
        <f>IFERROR(IF(#REF!&gt;0,#REF!/T40,""),"")</f>
        <v/>
      </c>
      <c r="AT40" s="70">
        <f t="shared" si="105"/>
        <v>97795.4</v>
      </c>
      <c r="AU40" s="70" t="str">
        <f t="shared" si="106"/>
        <v/>
      </c>
      <c r="AV40" s="71">
        <f t="shared" si="107"/>
        <v>21200.34</v>
      </c>
      <c r="AW40" s="115">
        <f t="shared" si="108"/>
        <v>131444.35333333333</v>
      </c>
      <c r="AX40" s="116">
        <f t="shared" si="109"/>
        <v>121.26496772586513</v>
      </c>
      <c r="AY40" s="72">
        <f t="shared" si="110"/>
        <v>155887.64333333331</v>
      </c>
      <c r="AZ40" s="73">
        <f t="shared" si="111"/>
        <v>143.81530707324799</v>
      </c>
      <c r="BA40" s="66">
        <v>2354000</v>
      </c>
      <c r="BB40" s="62">
        <v>7000500</v>
      </c>
      <c r="BC40" s="62">
        <v>32432806</v>
      </c>
      <c r="BD40" s="62">
        <v>1949600</v>
      </c>
      <c r="BE40" s="62">
        <v>5383387</v>
      </c>
      <c r="BF40" s="62">
        <v>5888668</v>
      </c>
      <c r="BG40" s="67">
        <v>6957009</v>
      </c>
      <c r="BH40" s="62">
        <v>8087000</v>
      </c>
      <c r="BI40" s="62">
        <v>1645852</v>
      </c>
      <c r="BJ40" s="47">
        <f t="shared" si="112"/>
        <v>71698822</v>
      </c>
      <c r="BK40" s="69">
        <f t="shared" si="90"/>
        <v>7846.666666666667</v>
      </c>
      <c r="BL40" s="70">
        <f t="shared" si="91"/>
        <v>23335</v>
      </c>
      <c r="BM40" s="70">
        <f t="shared" si="92"/>
        <v>108109.35333333333</v>
      </c>
      <c r="BN40" s="70">
        <f t="shared" si="93"/>
        <v>6498.666666666667</v>
      </c>
      <c r="BO40" s="70">
        <f t="shared" si="94"/>
        <v>17944.623333333333</v>
      </c>
      <c r="BP40" s="70">
        <f t="shared" si="100"/>
        <v>19628.893333333333</v>
      </c>
      <c r="BQ40" s="70">
        <f t="shared" si="113"/>
        <v>23190.03</v>
      </c>
      <c r="BR40" s="70">
        <f t="shared" si="83"/>
        <v>26956.666666666668</v>
      </c>
      <c r="BS40" s="70">
        <f t="shared" si="84"/>
        <v>5486.1733333333332</v>
      </c>
      <c r="BT40" s="71">
        <f t="shared" si="85"/>
        <v>238996.07333333333</v>
      </c>
      <c r="BU40" s="65">
        <f t="shared" si="95"/>
        <v>7.2390008087753666</v>
      </c>
      <c r="BV40" s="48">
        <f t="shared" si="96"/>
        <v>21.527878148611705</v>
      </c>
      <c r="BW40" s="48">
        <f t="shared" si="97"/>
        <v>99.737089577253428</v>
      </c>
      <c r="BX40" s="48">
        <f t="shared" si="98"/>
        <v>5.9953933631216882</v>
      </c>
      <c r="BY40" s="48">
        <f t="shared" si="99"/>
        <v>16.55494598426117</v>
      </c>
      <c r="BZ40" s="48">
        <f t="shared" si="101"/>
        <v>18.108781824388114</v>
      </c>
      <c r="CA40" s="48">
        <f t="shared" si="114"/>
        <v>21.394134994756797</v>
      </c>
      <c r="CB40" s="48">
        <f t="shared" si="87"/>
        <v>24.869073721566011</v>
      </c>
      <c r="CC40" s="48">
        <f t="shared" si="88"/>
        <v>5.0613100930860471</v>
      </c>
      <c r="CD40" s="47">
        <f t="shared" si="89"/>
        <v>220.48760851582031</v>
      </c>
      <c r="CE40" s="66">
        <v>4226508</v>
      </c>
      <c r="CF40" s="62">
        <v>54000</v>
      </c>
      <c r="CG40" s="74">
        <v>-321038</v>
      </c>
      <c r="CH40" s="75">
        <f t="shared" si="115"/>
        <v>3959470</v>
      </c>
      <c r="CI40" s="62">
        <f>150000+36000+12000</f>
        <v>198000</v>
      </c>
      <c r="CJ40" s="62">
        <v>158314</v>
      </c>
      <c r="CK40" s="62">
        <v>405000</v>
      </c>
      <c r="CL40" s="62">
        <f>240000+0</f>
        <v>240000</v>
      </c>
      <c r="CM40" s="62">
        <f>39600+80400</f>
        <v>120000</v>
      </c>
      <c r="CN40" s="62">
        <v>195000</v>
      </c>
      <c r="CO40" s="62">
        <v>0</v>
      </c>
      <c r="CP40" s="75">
        <f t="shared" si="3"/>
        <v>1316314</v>
      </c>
      <c r="CQ40" s="62">
        <v>75000</v>
      </c>
      <c r="CR40" s="75">
        <f t="shared" si="4"/>
        <v>1391314</v>
      </c>
      <c r="CS40" s="75">
        <f t="shared" si="116"/>
        <v>2643156</v>
      </c>
      <c r="CT40" s="62">
        <f>3500+10000+2169644</f>
        <v>2183144</v>
      </c>
      <c r="CU40" s="47">
        <f t="shared" si="117"/>
        <v>460012</v>
      </c>
      <c r="CV40" s="76">
        <f t="shared" si="118"/>
        <v>0.66755298057568313</v>
      </c>
      <c r="CW40" s="75">
        <f t="shared" si="119"/>
        <v>4637.7133333333331</v>
      </c>
      <c r="CX40" s="77">
        <f t="shared" si="120"/>
        <v>0.35138894852088792</v>
      </c>
      <c r="CY40" s="75">
        <f t="shared" si="121"/>
        <v>1533.3733333333332</v>
      </c>
      <c r="CZ40" s="77">
        <f t="shared" si="122"/>
        <v>0.11618019583429096</v>
      </c>
      <c r="DA40" s="77">
        <f t="shared" si="123"/>
        <v>0.55137278474139217</v>
      </c>
      <c r="DB40" s="47">
        <f t="shared" si="124"/>
        <v>120000</v>
      </c>
      <c r="DC40" s="69">
        <f t="shared" si="125"/>
        <v>14088.36</v>
      </c>
      <c r="DD40" s="70">
        <f t="shared" si="126"/>
        <v>180</v>
      </c>
      <c r="DE40" s="70">
        <f t="shared" si="127"/>
        <v>-1070.1266666666668</v>
      </c>
      <c r="DF40" s="70">
        <f t="shared" si="128"/>
        <v>13198.233333333334</v>
      </c>
      <c r="DG40" s="70">
        <f t="shared" si="129"/>
        <v>660</v>
      </c>
      <c r="DH40" s="70">
        <f t="shared" si="130"/>
        <v>527.71333333333337</v>
      </c>
      <c r="DI40" s="70">
        <f t="shared" si="131"/>
        <v>1350</v>
      </c>
      <c r="DJ40" s="70">
        <f t="shared" si="132"/>
        <v>800</v>
      </c>
      <c r="DK40" s="70">
        <f t="shared" si="133"/>
        <v>400</v>
      </c>
      <c r="DL40" s="70">
        <f t="shared" si="134"/>
        <v>650</v>
      </c>
      <c r="DM40" s="70" t="str">
        <f t="shared" si="135"/>
        <v/>
      </c>
      <c r="DN40" s="70">
        <f t="shared" si="136"/>
        <v>4387.7133333333331</v>
      </c>
      <c r="DO40" s="70">
        <f t="shared" si="137"/>
        <v>250</v>
      </c>
      <c r="DP40" s="70">
        <f t="shared" si="138"/>
        <v>4637.7133333333331</v>
      </c>
      <c r="DQ40" s="70">
        <f t="shared" si="139"/>
        <v>8810.52</v>
      </c>
      <c r="DR40" s="70">
        <f t="shared" si="140"/>
        <v>7277.1466666666665</v>
      </c>
      <c r="DS40" s="71">
        <f t="shared" si="141"/>
        <v>1533.3733333333332</v>
      </c>
      <c r="DT40" s="106">
        <f t="shared" si="142"/>
        <v>1.0674428648278684</v>
      </c>
      <c r="DU40" s="92">
        <f t="shared" si="143"/>
        <v>1.3638188949531125E-2</v>
      </c>
      <c r="DV40" s="92" t="str">
        <f t="shared" si="144"/>
        <v/>
      </c>
      <c r="DW40" s="92">
        <f t="shared" si="145"/>
        <v>1</v>
      </c>
      <c r="DX40" s="92">
        <f t="shared" si="146"/>
        <v>5.0006692814947455E-2</v>
      </c>
      <c r="DY40" s="92">
        <f t="shared" si="147"/>
        <v>3.9983634173260563E-2</v>
      </c>
      <c r="DZ40" s="92">
        <f t="shared" si="148"/>
        <v>0.10228641712148343</v>
      </c>
      <c r="EA40" s="92">
        <f t="shared" si="149"/>
        <v>6.0614173109027218E-2</v>
      </c>
      <c r="EB40" s="92">
        <f t="shared" si="150"/>
        <v>3.0307086554513609E-2</v>
      </c>
      <c r="EC40" s="92">
        <f t="shared" si="151"/>
        <v>4.9249015651084617E-2</v>
      </c>
      <c r="ED40" s="92" t="str">
        <f t="shared" si="152"/>
        <v/>
      </c>
      <c r="EE40" s="92">
        <f t="shared" si="153"/>
        <v>0.33244701942431687</v>
      </c>
      <c r="EF40" s="92">
        <f t="shared" si="154"/>
        <v>1.8941929096571004E-2</v>
      </c>
      <c r="EG40" s="92">
        <f t="shared" si="155"/>
        <v>0.35138894852088792</v>
      </c>
      <c r="EH40" s="92">
        <f t="shared" si="156"/>
        <v>0.66755298057568313</v>
      </c>
      <c r="EI40" s="92">
        <f t="shared" si="157"/>
        <v>0.55137278474139217</v>
      </c>
      <c r="EJ40" s="122">
        <f t="shared" si="158"/>
        <v>0.11618019583429096</v>
      </c>
    </row>
    <row r="41" spans="2:140" ht="12" hidden="1" customHeight="1" outlineLevel="1">
      <c r="B41" s="121">
        <v>44824</v>
      </c>
      <c r="C41" s="117">
        <v>21515</v>
      </c>
      <c r="D41" s="50" t="s">
        <v>371</v>
      </c>
      <c r="E41" s="50" t="s">
        <v>372</v>
      </c>
      <c r="F41" s="50" t="s">
        <v>372</v>
      </c>
      <c r="G41" s="50" t="s">
        <v>373</v>
      </c>
      <c r="H41" s="50" t="s">
        <v>374</v>
      </c>
      <c r="I41" s="51" t="s">
        <v>375</v>
      </c>
      <c r="J41" s="52" t="s">
        <v>183</v>
      </c>
      <c r="K41" s="50" t="s">
        <v>184</v>
      </c>
      <c r="L41" s="49">
        <v>9</v>
      </c>
      <c r="M41" s="50" t="s">
        <v>159</v>
      </c>
      <c r="N41" s="50" t="s">
        <v>160</v>
      </c>
      <c r="O41" s="50" t="s">
        <v>160</v>
      </c>
      <c r="P41" s="50" t="s">
        <v>177</v>
      </c>
      <c r="Q41" s="53" t="s">
        <v>163</v>
      </c>
      <c r="R41" s="49">
        <f>239-119</f>
        <v>120</v>
      </c>
      <c r="S41" s="49">
        <v>119</v>
      </c>
      <c r="T41" s="54">
        <f t="shared" si="0"/>
        <v>239</v>
      </c>
      <c r="U41" s="55">
        <v>203809</v>
      </c>
      <c r="V41" s="49">
        <v>14.04</v>
      </c>
      <c r="W41" s="56">
        <f t="shared" si="102"/>
        <v>17.022792022792025</v>
      </c>
      <c r="X41" s="49" t="s">
        <v>163</v>
      </c>
      <c r="Y41" s="57" t="s">
        <v>162</v>
      </c>
      <c r="Z41" s="58">
        <v>36426700</v>
      </c>
      <c r="AA41" s="114">
        <f>(((33426700*0.031)/(Z41))+((3000000*0)/(Z41)))</f>
        <v>2.8446927665695766E-2</v>
      </c>
      <c r="AB41" s="59">
        <v>40</v>
      </c>
      <c r="AC41" s="60">
        <v>40</v>
      </c>
      <c r="AD41" s="61">
        <v>3.1E-2</v>
      </c>
      <c r="AE41" s="62">
        <v>33426700</v>
      </c>
      <c r="AF41" s="63">
        <v>1.28</v>
      </c>
      <c r="AG41" s="59"/>
      <c r="AH41" s="60"/>
      <c r="AI41" s="61"/>
      <c r="AJ41" s="64"/>
      <c r="AK41" s="65">
        <f t="shared" si="103"/>
        <v>33426700</v>
      </c>
      <c r="AL41" s="62">
        <v>0</v>
      </c>
      <c r="AM41" s="49" t="s">
        <v>163</v>
      </c>
      <c r="AN41" s="67" t="s">
        <v>163</v>
      </c>
      <c r="AO41" s="62">
        <v>40497523</v>
      </c>
      <c r="AP41" s="62">
        <v>0</v>
      </c>
      <c r="AQ41" s="68">
        <v>2175792</v>
      </c>
      <c r="AR41" s="69">
        <f t="shared" si="104"/>
        <v>139860.66945606694</v>
      </c>
      <c r="AS41" s="70" t="str">
        <f>IFERROR(IF(#REF!&gt;0,#REF!/T41,""),"")</f>
        <v/>
      </c>
      <c r="AT41" s="70">
        <f t="shared" si="105"/>
        <v>169445.70292887031</v>
      </c>
      <c r="AU41" s="70" t="str">
        <f t="shared" si="106"/>
        <v/>
      </c>
      <c r="AV41" s="71">
        <f t="shared" si="107"/>
        <v>9103.7322175732224</v>
      </c>
      <c r="AW41" s="115">
        <f t="shared" si="108"/>
        <v>113329.89539748954</v>
      </c>
      <c r="AX41" s="116">
        <f t="shared" si="109"/>
        <v>132.89817917756329</v>
      </c>
      <c r="AY41" s="72">
        <f t="shared" si="110"/>
        <v>125543.43933054393</v>
      </c>
      <c r="AZ41" s="73">
        <f t="shared" si="111"/>
        <v>147.22059379124573</v>
      </c>
      <c r="BA41" s="66">
        <v>1525034</v>
      </c>
      <c r="BB41" s="62">
        <v>5561018</v>
      </c>
      <c r="BC41" s="62">
        <v>21524827</v>
      </c>
      <c r="BD41" s="62">
        <v>0</v>
      </c>
      <c r="BE41" s="62">
        <v>2919037</v>
      </c>
      <c r="BF41" s="62">
        <v>2594536</v>
      </c>
      <c r="BG41" s="67">
        <v>3862652</v>
      </c>
      <c r="BH41" s="62">
        <v>2175792</v>
      </c>
      <c r="BI41" s="62">
        <v>334627</v>
      </c>
      <c r="BJ41" s="47">
        <f t="shared" si="112"/>
        <v>40497523</v>
      </c>
      <c r="BK41" s="69">
        <f t="shared" si="90"/>
        <v>6380.8953974895394</v>
      </c>
      <c r="BL41" s="70">
        <f t="shared" si="91"/>
        <v>23267.857740585772</v>
      </c>
      <c r="BM41" s="70">
        <f t="shared" si="92"/>
        <v>90062.037656903762</v>
      </c>
      <c r="BN41" s="70" t="str">
        <f t="shared" si="93"/>
        <v/>
      </c>
      <c r="BO41" s="70">
        <f t="shared" si="94"/>
        <v>12213.543933054394</v>
      </c>
      <c r="BP41" s="70">
        <f t="shared" si="100"/>
        <v>10855.799163179916</v>
      </c>
      <c r="BQ41" s="70">
        <f t="shared" si="113"/>
        <v>16161.723849372385</v>
      </c>
      <c r="BR41" s="70">
        <f t="shared" si="83"/>
        <v>9103.7322175732224</v>
      </c>
      <c r="BS41" s="70">
        <f t="shared" si="84"/>
        <v>1400.1129707112971</v>
      </c>
      <c r="BT41" s="71">
        <f t="shared" si="85"/>
        <v>169445.70292887031</v>
      </c>
      <c r="BU41" s="65">
        <f t="shared" si="95"/>
        <v>7.4826626890863501</v>
      </c>
      <c r="BV41" s="48">
        <f t="shared" si="96"/>
        <v>27.285438817716589</v>
      </c>
      <c r="BW41" s="48">
        <f t="shared" si="97"/>
        <v>105.61274035984673</v>
      </c>
      <c r="BX41" s="48" t="str">
        <f t="shared" si="98"/>
        <v/>
      </c>
      <c r="BY41" s="48">
        <f t="shared" si="99"/>
        <v>14.322414613682419</v>
      </c>
      <c r="BZ41" s="48">
        <f t="shared" si="101"/>
        <v>12.730232717887827</v>
      </c>
      <c r="CA41" s="48">
        <f t="shared" si="114"/>
        <v>18.952313195197465</v>
      </c>
      <c r="CB41" s="48">
        <f t="shared" si="87"/>
        <v>10.675642390669696</v>
      </c>
      <c r="CC41" s="48">
        <f t="shared" si="88"/>
        <v>1.641865668346344</v>
      </c>
      <c r="CD41" s="47">
        <f t="shared" si="89"/>
        <v>198.70331045243341</v>
      </c>
      <c r="CE41" s="66">
        <v>3071352</v>
      </c>
      <c r="CF41" s="62">
        <v>86040</v>
      </c>
      <c r="CG41" s="74">
        <v>-236804</v>
      </c>
      <c r="CH41" s="75">
        <f t="shared" si="115"/>
        <v>2920588</v>
      </c>
      <c r="CI41" s="62">
        <f>149375+0+850</f>
        <v>150225</v>
      </c>
      <c r="CJ41" s="62">
        <v>148262</v>
      </c>
      <c r="CK41" s="62">
        <v>274850</v>
      </c>
      <c r="CL41" s="62">
        <f>130255+0</f>
        <v>130255</v>
      </c>
      <c r="CM41" s="62">
        <f>35850+89625</f>
        <v>125475</v>
      </c>
      <c r="CN41" s="62">
        <v>51385</v>
      </c>
      <c r="CO41" s="62">
        <v>0</v>
      </c>
      <c r="CP41" s="75">
        <f t="shared" si="3"/>
        <v>880452</v>
      </c>
      <c r="CQ41" s="62">
        <v>59750</v>
      </c>
      <c r="CR41" s="75">
        <f t="shared" si="4"/>
        <v>940202</v>
      </c>
      <c r="CS41" s="75">
        <f t="shared" si="116"/>
        <v>2040136</v>
      </c>
      <c r="CT41" s="62">
        <f>1542729</f>
        <v>1542729</v>
      </c>
      <c r="CU41" s="47">
        <f t="shared" si="117"/>
        <v>497407</v>
      </c>
      <c r="CV41" s="76">
        <f t="shared" si="118"/>
        <v>0.69853604822042681</v>
      </c>
      <c r="CW41" s="75">
        <f t="shared" si="119"/>
        <v>3933.899581589958</v>
      </c>
      <c r="CX41" s="77">
        <f t="shared" si="120"/>
        <v>0.32192216087993242</v>
      </c>
      <c r="CY41" s="75">
        <f t="shared" si="121"/>
        <v>2081.2008368200836</v>
      </c>
      <c r="CZ41" s="77">
        <f t="shared" si="122"/>
        <v>0.17031056759803162</v>
      </c>
      <c r="DA41" s="77">
        <f t="shared" si="123"/>
        <v>0.52822548062239527</v>
      </c>
      <c r="DB41" s="47">
        <f t="shared" si="124"/>
        <v>139860.66945606694</v>
      </c>
      <c r="DC41" s="69">
        <f t="shared" si="125"/>
        <v>12850.845188284518</v>
      </c>
      <c r="DD41" s="70">
        <f t="shared" si="126"/>
        <v>360</v>
      </c>
      <c r="DE41" s="70">
        <f t="shared" si="127"/>
        <v>-990.81171548117152</v>
      </c>
      <c r="DF41" s="70">
        <f t="shared" si="128"/>
        <v>12220.033472803347</v>
      </c>
      <c r="DG41" s="70">
        <f t="shared" si="129"/>
        <v>628.55648535564853</v>
      </c>
      <c r="DH41" s="70">
        <f t="shared" si="130"/>
        <v>620.34309623430966</v>
      </c>
      <c r="DI41" s="70">
        <f t="shared" si="131"/>
        <v>1150</v>
      </c>
      <c r="DJ41" s="70">
        <f t="shared" si="132"/>
        <v>545</v>
      </c>
      <c r="DK41" s="70">
        <f t="shared" si="133"/>
        <v>525</v>
      </c>
      <c r="DL41" s="70">
        <f t="shared" si="134"/>
        <v>215</v>
      </c>
      <c r="DM41" s="70" t="str">
        <f t="shared" si="135"/>
        <v/>
      </c>
      <c r="DN41" s="70">
        <f t="shared" si="136"/>
        <v>3683.899581589958</v>
      </c>
      <c r="DO41" s="70">
        <f t="shared" si="137"/>
        <v>250</v>
      </c>
      <c r="DP41" s="70">
        <f t="shared" si="138"/>
        <v>3933.899581589958</v>
      </c>
      <c r="DQ41" s="70">
        <f t="shared" si="139"/>
        <v>8536.1338912133888</v>
      </c>
      <c r="DR41" s="70">
        <f t="shared" si="140"/>
        <v>6454.9330543933056</v>
      </c>
      <c r="DS41" s="71">
        <f t="shared" si="141"/>
        <v>2081.2008368200836</v>
      </c>
      <c r="DT41" s="106">
        <f t="shared" si="142"/>
        <v>1.0516211119130805</v>
      </c>
      <c r="DU41" s="92">
        <f t="shared" si="143"/>
        <v>2.9459821104517309E-2</v>
      </c>
      <c r="DV41" s="92" t="str">
        <f t="shared" si="144"/>
        <v/>
      </c>
      <c r="DW41" s="92">
        <f t="shared" si="145"/>
        <v>1</v>
      </c>
      <c r="DX41" s="92">
        <f t="shared" si="146"/>
        <v>5.1436560035170997E-2</v>
      </c>
      <c r="DY41" s="92">
        <f t="shared" si="147"/>
        <v>5.0764435106903129E-2</v>
      </c>
      <c r="DZ41" s="92">
        <f t="shared" si="148"/>
        <v>9.4107761861652511E-2</v>
      </c>
      <c r="EA41" s="92">
        <f t="shared" si="149"/>
        <v>4.4598895838783147E-2</v>
      </c>
      <c r="EB41" s="92">
        <f t="shared" si="150"/>
        <v>4.2962239110754412E-2</v>
      </c>
      <c r="EC41" s="92">
        <f t="shared" si="151"/>
        <v>1.7594059826308947E-2</v>
      </c>
      <c r="ED41" s="92" t="str">
        <f t="shared" si="152"/>
        <v/>
      </c>
      <c r="EE41" s="92">
        <f t="shared" si="153"/>
        <v>0.30146395177957314</v>
      </c>
      <c r="EF41" s="92">
        <f t="shared" si="154"/>
        <v>2.0458209100359243E-2</v>
      </c>
      <c r="EG41" s="92">
        <f t="shared" si="155"/>
        <v>0.32192216087993242</v>
      </c>
      <c r="EH41" s="92">
        <f t="shared" si="156"/>
        <v>0.69853604822042681</v>
      </c>
      <c r="EI41" s="92">
        <f t="shared" si="157"/>
        <v>0.52822548062239527</v>
      </c>
      <c r="EJ41" s="122">
        <f t="shared" si="158"/>
        <v>0.17031056759803162</v>
      </c>
    </row>
    <row r="42" spans="2:140" ht="12" hidden="1" customHeight="1" outlineLevel="1">
      <c r="B42" s="121">
        <v>44826</v>
      </c>
      <c r="C42" s="117">
        <v>22458</v>
      </c>
      <c r="D42" s="50" t="s">
        <v>376</v>
      </c>
      <c r="E42" s="50" t="s">
        <v>377</v>
      </c>
      <c r="F42" s="50" t="s">
        <v>378</v>
      </c>
      <c r="G42" s="50" t="s">
        <v>162</v>
      </c>
      <c r="H42" s="50" t="s">
        <v>369</v>
      </c>
      <c r="I42" s="51" t="s">
        <v>379</v>
      </c>
      <c r="J42" s="52" t="s">
        <v>380</v>
      </c>
      <c r="K42" s="50" t="s">
        <v>381</v>
      </c>
      <c r="L42" s="49">
        <v>4</v>
      </c>
      <c r="M42" s="50" t="s">
        <v>283</v>
      </c>
      <c r="N42" s="50" t="s">
        <v>160</v>
      </c>
      <c r="O42" s="50" t="s">
        <v>160</v>
      </c>
      <c r="P42" s="50" t="s">
        <v>161</v>
      </c>
      <c r="Q42" s="53">
        <v>0.04</v>
      </c>
      <c r="R42" s="49">
        <v>100</v>
      </c>
      <c r="S42" s="49">
        <v>0</v>
      </c>
      <c r="T42" s="54">
        <f t="shared" si="0"/>
        <v>100</v>
      </c>
      <c r="U42" s="55">
        <v>142641</v>
      </c>
      <c r="V42" s="49">
        <v>18.428999999999998</v>
      </c>
      <c r="W42" s="56">
        <f t="shared" si="102"/>
        <v>5.4262303977426889</v>
      </c>
      <c r="X42" s="49">
        <v>2001</v>
      </c>
      <c r="Y42" s="57" t="s">
        <v>162</v>
      </c>
      <c r="Z42" s="58">
        <v>11300000</v>
      </c>
      <c r="AA42" s="114">
        <f>(((7000000*0.0475)/(Z42))+((1800000*0.033)/(Z42))+((2500000*0.03)/(Z42)))</f>
        <v>4.1318584070796457E-2</v>
      </c>
      <c r="AB42" s="59">
        <v>15</v>
      </c>
      <c r="AC42" s="60">
        <v>40</v>
      </c>
      <c r="AD42" s="61">
        <v>4.7500000000000001E-2</v>
      </c>
      <c r="AE42" s="62">
        <v>7000000</v>
      </c>
      <c r="AF42" s="63">
        <v>1.1599999999999999</v>
      </c>
      <c r="AG42" s="59">
        <v>40</v>
      </c>
      <c r="AH42" s="60">
        <v>0</v>
      </c>
      <c r="AI42" s="61">
        <v>0.03</v>
      </c>
      <c r="AJ42" s="64">
        <v>2500000</v>
      </c>
      <c r="AK42" s="65">
        <f t="shared" si="103"/>
        <v>9500000</v>
      </c>
      <c r="AL42" s="62">
        <v>151732</v>
      </c>
      <c r="AM42" s="49" t="s">
        <v>163</v>
      </c>
      <c r="AN42" s="67">
        <v>0.9</v>
      </c>
      <c r="AO42" s="62">
        <v>4651300</v>
      </c>
      <c r="AP42" s="62">
        <v>0</v>
      </c>
      <c r="AQ42" s="68">
        <v>651926</v>
      </c>
      <c r="AR42" s="69">
        <f t="shared" si="104"/>
        <v>95000</v>
      </c>
      <c r="AS42" s="70" t="str">
        <f>IFERROR(IF(#REF!&gt;0,#REF!/T42,""),"")</f>
        <v/>
      </c>
      <c r="AT42" s="70">
        <f t="shared" si="105"/>
        <v>46513</v>
      </c>
      <c r="AU42" s="70">
        <f t="shared" si="106"/>
        <v>1517.32</v>
      </c>
      <c r="AV42" s="71">
        <f t="shared" si="107"/>
        <v>6519.26</v>
      </c>
      <c r="AW42" s="115">
        <f t="shared" si="108"/>
        <v>39651.25</v>
      </c>
      <c r="AX42" s="116">
        <f t="shared" si="109"/>
        <v>27.797933273042112</v>
      </c>
      <c r="AY42" s="72">
        <f t="shared" si="110"/>
        <v>49167.56</v>
      </c>
      <c r="AZ42" s="73">
        <f t="shared" si="111"/>
        <v>34.46944426917927</v>
      </c>
      <c r="BA42" s="66">
        <v>6000000</v>
      </c>
      <c r="BB42" s="62">
        <v>117094</v>
      </c>
      <c r="BC42" s="62">
        <v>3848031</v>
      </c>
      <c r="BD42" s="62">
        <v>396513</v>
      </c>
      <c r="BE42" s="62">
        <v>555118</v>
      </c>
      <c r="BF42" s="62">
        <v>683093</v>
      </c>
      <c r="BG42" s="67">
        <v>1220921</v>
      </c>
      <c r="BH42" s="62">
        <v>1685422</v>
      </c>
      <c r="BI42" s="62">
        <v>448767</v>
      </c>
      <c r="BJ42" s="47">
        <f t="shared" si="112"/>
        <v>14954959</v>
      </c>
      <c r="BK42" s="69">
        <f t="shared" si="90"/>
        <v>60000</v>
      </c>
      <c r="BL42" s="70">
        <f t="shared" si="91"/>
        <v>1170.94</v>
      </c>
      <c r="BM42" s="70">
        <f t="shared" si="92"/>
        <v>38480.31</v>
      </c>
      <c r="BN42" s="70">
        <f t="shared" si="93"/>
        <v>3965.13</v>
      </c>
      <c r="BO42" s="70">
        <f t="shared" si="94"/>
        <v>5551.18</v>
      </c>
      <c r="BP42" s="70">
        <f t="shared" si="100"/>
        <v>6830.93</v>
      </c>
      <c r="BQ42" s="70">
        <f t="shared" si="113"/>
        <v>12209.21</v>
      </c>
      <c r="BR42" s="70">
        <f t="shared" si="83"/>
        <v>16854.22</v>
      </c>
      <c r="BS42" s="70">
        <f t="shared" si="84"/>
        <v>4487.67</v>
      </c>
      <c r="BT42" s="71">
        <f t="shared" si="85"/>
        <v>149549.59</v>
      </c>
      <c r="BU42" s="65">
        <f t="shared" si="95"/>
        <v>42.063642290785957</v>
      </c>
      <c r="BV42" s="48">
        <f t="shared" si="96"/>
        <v>0.8209000217328819</v>
      </c>
      <c r="BW42" s="48">
        <f t="shared" si="97"/>
        <v>26.97703325130923</v>
      </c>
      <c r="BX42" s="48">
        <f t="shared" si="98"/>
        <v>2.7797968326077354</v>
      </c>
      <c r="BY42" s="48">
        <f t="shared" si="99"/>
        <v>3.8917141635294201</v>
      </c>
      <c r="BZ42" s="48">
        <f t="shared" si="101"/>
        <v>4.788896600556642</v>
      </c>
      <c r="CA42" s="48">
        <f t="shared" si="114"/>
        <v>8.5593973682181144</v>
      </c>
      <c r="CB42" s="48">
        <f t="shared" si="87"/>
        <v>11.815831352836842</v>
      </c>
      <c r="CC42" s="48">
        <f t="shared" si="88"/>
        <v>3.1461290933181902</v>
      </c>
      <c r="CD42" s="47">
        <f t="shared" si="89"/>
        <v>104.84334097489501</v>
      </c>
      <c r="CE42" s="66">
        <v>1028952</v>
      </c>
      <c r="CF42" s="62">
        <v>24000</v>
      </c>
      <c r="CG42" s="74">
        <v>-78971</v>
      </c>
      <c r="CH42" s="75">
        <f t="shared" si="115"/>
        <v>973981</v>
      </c>
      <c r="CI42" s="62">
        <f>24109+0+4000</f>
        <v>28109</v>
      </c>
      <c r="CJ42" s="62">
        <v>38933</v>
      </c>
      <c r="CK42" s="62">
        <v>120389</v>
      </c>
      <c r="CL42" s="62">
        <f>71001+678</f>
        <v>71679</v>
      </c>
      <c r="CM42" s="62">
        <f>9095+5167</f>
        <v>14262</v>
      </c>
      <c r="CN42" s="62">
        <v>114822</v>
      </c>
      <c r="CO42" s="62">
        <v>98271</v>
      </c>
      <c r="CP42" s="75">
        <f t="shared" si="3"/>
        <v>486465</v>
      </c>
      <c r="CQ42" s="62">
        <v>30000</v>
      </c>
      <c r="CR42" s="75">
        <f t="shared" si="4"/>
        <v>516465</v>
      </c>
      <c r="CS42" s="75">
        <f t="shared" si="116"/>
        <v>487516</v>
      </c>
      <c r="CT42" s="62">
        <f>4000+391237</f>
        <v>395237</v>
      </c>
      <c r="CU42" s="47">
        <f t="shared" si="117"/>
        <v>92279</v>
      </c>
      <c r="CV42" s="76">
        <f t="shared" si="118"/>
        <v>0.50053953824561259</v>
      </c>
      <c r="CW42" s="75">
        <f t="shared" si="119"/>
        <v>5164.6499999999996</v>
      </c>
      <c r="CX42" s="77">
        <f t="shared" si="120"/>
        <v>0.53026188395872198</v>
      </c>
      <c r="CY42" s="75">
        <f t="shared" si="121"/>
        <v>922.79</v>
      </c>
      <c r="CZ42" s="77">
        <f t="shared" si="122"/>
        <v>9.4744147986459692E-2</v>
      </c>
      <c r="DA42" s="77">
        <f t="shared" si="123"/>
        <v>0.4057953902591529</v>
      </c>
      <c r="DB42" s="47">
        <f t="shared" si="124"/>
        <v>95000</v>
      </c>
      <c r="DC42" s="69">
        <f t="shared" si="125"/>
        <v>10289.52</v>
      </c>
      <c r="DD42" s="70">
        <f t="shared" si="126"/>
        <v>240</v>
      </c>
      <c r="DE42" s="70">
        <f t="shared" si="127"/>
        <v>-789.71</v>
      </c>
      <c r="DF42" s="70">
        <f t="shared" si="128"/>
        <v>9739.81</v>
      </c>
      <c r="DG42" s="70">
        <f t="shared" si="129"/>
        <v>281.08999999999997</v>
      </c>
      <c r="DH42" s="70">
        <f t="shared" si="130"/>
        <v>389.33</v>
      </c>
      <c r="DI42" s="70">
        <f t="shared" si="131"/>
        <v>1203.8900000000001</v>
      </c>
      <c r="DJ42" s="70">
        <f t="shared" si="132"/>
        <v>716.79</v>
      </c>
      <c r="DK42" s="70">
        <f t="shared" si="133"/>
        <v>142.62</v>
      </c>
      <c r="DL42" s="70">
        <f t="shared" si="134"/>
        <v>1148.22</v>
      </c>
      <c r="DM42" s="70">
        <f t="shared" si="135"/>
        <v>982.71</v>
      </c>
      <c r="DN42" s="70">
        <f t="shared" si="136"/>
        <v>4864.6499999999996</v>
      </c>
      <c r="DO42" s="70">
        <f t="shared" si="137"/>
        <v>300</v>
      </c>
      <c r="DP42" s="70">
        <f t="shared" si="138"/>
        <v>5164.6499999999996</v>
      </c>
      <c r="DQ42" s="70">
        <f t="shared" si="139"/>
        <v>4875.16</v>
      </c>
      <c r="DR42" s="70">
        <f t="shared" si="140"/>
        <v>3952.37</v>
      </c>
      <c r="DS42" s="71">
        <f t="shared" si="141"/>
        <v>922.79</v>
      </c>
      <c r="DT42" s="106">
        <f t="shared" si="142"/>
        <v>1.0564394993331492</v>
      </c>
      <c r="DU42" s="92">
        <f t="shared" si="143"/>
        <v>2.4641137763467665E-2</v>
      </c>
      <c r="DV42" s="92" t="str">
        <f t="shared" si="144"/>
        <v/>
      </c>
      <c r="DW42" s="92">
        <f t="shared" si="145"/>
        <v>1</v>
      </c>
      <c r="DX42" s="92">
        <f t="shared" si="146"/>
        <v>2.8859905891388024E-2</v>
      </c>
      <c r="DY42" s="92">
        <f t="shared" si="147"/>
        <v>3.9973059022711942E-2</v>
      </c>
      <c r="DZ42" s="92">
        <f t="shared" si="148"/>
        <v>0.1236050805919212</v>
      </c>
      <c r="EA42" s="92">
        <f t="shared" si="149"/>
        <v>7.3593838072816609E-2</v>
      </c>
      <c r="EB42" s="92">
        <f t="shared" si="150"/>
        <v>1.464299611594066E-2</v>
      </c>
      <c r="EC42" s="92">
        <f t="shared" si="151"/>
        <v>0.11788936334487017</v>
      </c>
      <c r="ED42" s="92">
        <f t="shared" si="152"/>
        <v>0.10089621871473879</v>
      </c>
      <c r="EE42" s="92">
        <f t="shared" si="153"/>
        <v>0.49946046175438741</v>
      </c>
      <c r="EF42" s="92">
        <f t="shared" si="154"/>
        <v>3.0801422204334582E-2</v>
      </c>
      <c r="EG42" s="92">
        <f t="shared" si="155"/>
        <v>0.53026188395872198</v>
      </c>
      <c r="EH42" s="92">
        <f t="shared" si="156"/>
        <v>0.50053953824561259</v>
      </c>
      <c r="EI42" s="92">
        <f t="shared" si="157"/>
        <v>0.4057953902591529</v>
      </c>
      <c r="EJ42" s="122">
        <f t="shared" si="158"/>
        <v>9.4744147986459692E-2</v>
      </c>
    </row>
    <row r="43" spans="2:140" ht="12" hidden="1" customHeight="1" outlineLevel="1">
      <c r="B43" s="121">
        <v>44834</v>
      </c>
      <c r="C43" s="117" t="s">
        <v>382</v>
      </c>
      <c r="D43" s="50" t="s">
        <v>383</v>
      </c>
      <c r="E43" s="50" t="s">
        <v>384</v>
      </c>
      <c r="F43" s="50" t="s">
        <v>385</v>
      </c>
      <c r="G43" s="50" t="s">
        <v>162</v>
      </c>
      <c r="H43" s="50" t="s">
        <v>242</v>
      </c>
      <c r="I43" s="51" t="s">
        <v>386</v>
      </c>
      <c r="J43" s="52" t="s">
        <v>360</v>
      </c>
      <c r="K43" s="50" t="s">
        <v>294</v>
      </c>
      <c r="L43" s="49">
        <v>7</v>
      </c>
      <c r="M43" s="50" t="s">
        <v>159</v>
      </c>
      <c r="N43" s="50" t="s">
        <v>244</v>
      </c>
      <c r="O43" s="50" t="s">
        <v>160</v>
      </c>
      <c r="P43" s="50" t="s">
        <v>177</v>
      </c>
      <c r="Q43" s="53">
        <v>0.09</v>
      </c>
      <c r="R43" s="49">
        <f>134-27</f>
        <v>107</v>
      </c>
      <c r="S43" s="49">
        <f>134-R43</f>
        <v>27</v>
      </c>
      <c r="T43" s="54">
        <f t="shared" si="0"/>
        <v>134</v>
      </c>
      <c r="U43" s="55">
        <v>118271</v>
      </c>
      <c r="V43" s="49">
        <v>4.46</v>
      </c>
      <c r="W43" s="56">
        <f t="shared" si="102"/>
        <v>30.044843049327355</v>
      </c>
      <c r="X43" s="49" t="s">
        <v>163</v>
      </c>
      <c r="Y43" s="57" t="s">
        <v>162</v>
      </c>
      <c r="Z43" s="58">
        <v>13950000</v>
      </c>
      <c r="AA43" s="114">
        <f>(((11250000*0.0467)/(Z43))+((700000*0)/(Z43))+((2000000*0)/(Z43)))</f>
        <v>3.7661290322580643E-2</v>
      </c>
      <c r="AB43" s="59">
        <v>15</v>
      </c>
      <c r="AC43" s="60">
        <v>30</v>
      </c>
      <c r="AD43" s="61">
        <v>4.6699999999999998E-2</v>
      </c>
      <c r="AE43" s="62">
        <v>11250000</v>
      </c>
      <c r="AF43" s="63">
        <v>1.19</v>
      </c>
      <c r="AG43" s="59"/>
      <c r="AH43" s="60"/>
      <c r="AI43" s="61"/>
      <c r="AJ43" s="64"/>
      <c r="AK43" s="65">
        <f t="shared" si="103"/>
        <v>11250000</v>
      </c>
      <c r="AL43" s="62">
        <v>2700000</v>
      </c>
      <c r="AM43" s="49" t="s">
        <v>163</v>
      </c>
      <c r="AN43" s="67">
        <v>0.91</v>
      </c>
      <c r="AO43" s="62">
        <v>28387813</v>
      </c>
      <c r="AP43" s="62">
        <v>0</v>
      </c>
      <c r="AQ43" s="68">
        <v>289178</v>
      </c>
      <c r="AR43" s="69">
        <f t="shared" si="104"/>
        <v>83955.223880597012</v>
      </c>
      <c r="AS43" s="70" t="str">
        <f>IFERROR(IF(#REF!&gt;0,#REF!/T43,""),"")</f>
        <v/>
      </c>
      <c r="AT43" s="70">
        <f t="shared" si="105"/>
        <v>211849.35074626867</v>
      </c>
      <c r="AU43" s="70">
        <f t="shared" si="106"/>
        <v>20149.253731343284</v>
      </c>
      <c r="AV43" s="71">
        <f t="shared" si="107"/>
        <v>2158.0447761194032</v>
      </c>
      <c r="AW43" s="115">
        <f t="shared" si="108"/>
        <v>102128.99253731343</v>
      </c>
      <c r="AX43" s="116">
        <f t="shared" si="109"/>
        <v>115.71124789677943</v>
      </c>
      <c r="AY43" s="72">
        <f t="shared" si="110"/>
        <v>122114.66417910447</v>
      </c>
      <c r="AZ43" s="73">
        <f t="shared" si="111"/>
        <v>138.35483761868929</v>
      </c>
      <c r="BA43" s="66">
        <v>4125000</v>
      </c>
      <c r="BB43" s="62">
        <v>1677950</v>
      </c>
      <c r="BC43" s="62">
        <v>12007335</v>
      </c>
      <c r="BD43" s="62">
        <v>878080</v>
      </c>
      <c r="BE43" s="62">
        <v>1800000</v>
      </c>
      <c r="BF43" s="62">
        <v>2099000</v>
      </c>
      <c r="BG43" s="67">
        <v>1453715</v>
      </c>
      <c r="BH43" s="62">
        <v>2908000</v>
      </c>
      <c r="BI43" s="62">
        <v>788733</v>
      </c>
      <c r="BJ43" s="47">
        <f t="shared" si="112"/>
        <v>27737813</v>
      </c>
      <c r="BK43" s="69">
        <f t="shared" si="90"/>
        <v>30783.582089552237</v>
      </c>
      <c r="BL43" s="70">
        <f t="shared" si="91"/>
        <v>12522.014925373134</v>
      </c>
      <c r="BM43" s="70">
        <f t="shared" si="92"/>
        <v>89606.977611940296</v>
      </c>
      <c r="BN43" s="70">
        <f t="shared" si="93"/>
        <v>6552.8358208955224</v>
      </c>
      <c r="BO43" s="70">
        <f t="shared" si="94"/>
        <v>13432.835820895523</v>
      </c>
      <c r="BP43" s="70">
        <f t="shared" si="100"/>
        <v>15664.179104477613</v>
      </c>
      <c r="BQ43" s="70">
        <f t="shared" si="113"/>
        <v>10848.619402985074</v>
      </c>
      <c r="BR43" s="70">
        <f t="shared" si="83"/>
        <v>21701.492537313432</v>
      </c>
      <c r="BS43" s="70">
        <f t="shared" si="84"/>
        <v>5886.0671641791041</v>
      </c>
      <c r="BT43" s="71">
        <f t="shared" si="85"/>
        <v>206998.60447761195</v>
      </c>
      <c r="BU43" s="65">
        <f t="shared" si="95"/>
        <v>34.877527035367926</v>
      </c>
      <c r="BV43" s="48">
        <f t="shared" si="96"/>
        <v>14.187332482180754</v>
      </c>
      <c r="BW43" s="48">
        <f t="shared" si="97"/>
        <v>101.52391541459868</v>
      </c>
      <c r="BX43" s="48">
        <f t="shared" si="98"/>
        <v>7.4243051973856655</v>
      </c>
      <c r="BY43" s="48">
        <f t="shared" si="99"/>
        <v>15.219284524524186</v>
      </c>
      <c r="BZ43" s="48">
        <f t="shared" si="101"/>
        <v>17.747376787209038</v>
      </c>
      <c r="CA43" s="48">
        <f t="shared" si="114"/>
        <v>12.291390112538155</v>
      </c>
      <c r="CB43" s="48">
        <f t="shared" si="87"/>
        <v>24.587599665175741</v>
      </c>
      <c r="CC43" s="48">
        <f t="shared" si="88"/>
        <v>6.6688621893786308</v>
      </c>
      <c r="CD43" s="47">
        <f t="shared" si="89"/>
        <v>234.52759340835877</v>
      </c>
      <c r="CE43" s="66">
        <v>1804056</v>
      </c>
      <c r="CF43" s="62">
        <v>8880</v>
      </c>
      <c r="CG43" s="74">
        <v>-135970</v>
      </c>
      <c r="CH43" s="75">
        <f t="shared" si="115"/>
        <v>1676966</v>
      </c>
      <c r="CI43" s="62">
        <f>57500+5000+5920</f>
        <v>68420</v>
      </c>
      <c r="CJ43" s="62">
        <v>86847</v>
      </c>
      <c r="CK43" s="62">
        <v>195000</v>
      </c>
      <c r="CL43" s="62">
        <f>82000+0</f>
        <v>82000</v>
      </c>
      <c r="CM43" s="62">
        <f>39000+68000</f>
        <v>107000</v>
      </c>
      <c r="CN43" s="62">
        <v>40000</v>
      </c>
      <c r="CO43" s="62">
        <v>148000</v>
      </c>
      <c r="CP43" s="75">
        <f t="shared" si="3"/>
        <v>727267</v>
      </c>
      <c r="CQ43" s="62">
        <v>36750</v>
      </c>
      <c r="CR43" s="75">
        <f t="shared" si="4"/>
        <v>764017</v>
      </c>
      <c r="CS43" s="75">
        <f t="shared" si="116"/>
        <v>949699</v>
      </c>
      <c r="CT43" s="62">
        <f>766515</f>
        <v>766515</v>
      </c>
      <c r="CU43" s="47">
        <f t="shared" si="117"/>
        <v>183184</v>
      </c>
      <c r="CV43" s="76">
        <f t="shared" si="118"/>
        <v>0.56631977034716263</v>
      </c>
      <c r="CW43" s="75">
        <f t="shared" si="119"/>
        <v>5701.6194029850749</v>
      </c>
      <c r="CX43" s="77">
        <f t="shared" si="120"/>
        <v>0.45559480633477362</v>
      </c>
      <c r="CY43" s="75">
        <f t="shared" si="121"/>
        <v>1367.044776119403</v>
      </c>
      <c r="CZ43" s="77">
        <f t="shared" si="122"/>
        <v>0.10923536911302913</v>
      </c>
      <c r="DA43" s="77">
        <f t="shared" si="123"/>
        <v>0.45708440123413357</v>
      </c>
      <c r="DB43" s="47">
        <f t="shared" si="124"/>
        <v>83955.223880597012</v>
      </c>
      <c r="DC43" s="69">
        <f t="shared" si="125"/>
        <v>13463.10447761194</v>
      </c>
      <c r="DD43" s="70">
        <f t="shared" si="126"/>
        <v>66.268656716417908</v>
      </c>
      <c r="DE43" s="70">
        <f t="shared" si="127"/>
        <v>-1014.7014925373135</v>
      </c>
      <c r="DF43" s="70">
        <f t="shared" si="128"/>
        <v>12514.671641791045</v>
      </c>
      <c r="DG43" s="70">
        <f t="shared" si="129"/>
        <v>510.59701492537312</v>
      </c>
      <c r="DH43" s="70">
        <f t="shared" si="130"/>
        <v>648.11194029850742</v>
      </c>
      <c r="DI43" s="70">
        <f t="shared" si="131"/>
        <v>1455.2238805970148</v>
      </c>
      <c r="DJ43" s="70">
        <f t="shared" si="132"/>
        <v>611.94029850746267</v>
      </c>
      <c r="DK43" s="70">
        <f t="shared" si="133"/>
        <v>798.50746268656712</v>
      </c>
      <c r="DL43" s="70">
        <f t="shared" si="134"/>
        <v>298.50746268656718</v>
      </c>
      <c r="DM43" s="70">
        <f t="shared" si="135"/>
        <v>1104.4776119402984</v>
      </c>
      <c r="DN43" s="70">
        <f t="shared" si="136"/>
        <v>5427.3656716417909</v>
      </c>
      <c r="DO43" s="70">
        <f t="shared" si="137"/>
        <v>274.25373134328356</v>
      </c>
      <c r="DP43" s="70">
        <f t="shared" si="138"/>
        <v>5701.6194029850749</v>
      </c>
      <c r="DQ43" s="70">
        <f t="shared" si="139"/>
        <v>7087.3059701492539</v>
      </c>
      <c r="DR43" s="70">
        <f t="shared" si="140"/>
        <v>5720.2611940298511</v>
      </c>
      <c r="DS43" s="71">
        <f t="shared" si="141"/>
        <v>1367.044776119403</v>
      </c>
      <c r="DT43" s="106">
        <f t="shared" si="142"/>
        <v>1.0757856748437356</v>
      </c>
      <c r="DU43" s="92">
        <f t="shared" si="143"/>
        <v>5.2952773043699157E-3</v>
      </c>
      <c r="DV43" s="92" t="str">
        <f t="shared" si="144"/>
        <v/>
      </c>
      <c r="DW43" s="92">
        <f t="shared" si="145"/>
        <v>1</v>
      </c>
      <c r="DX43" s="92">
        <f t="shared" si="146"/>
        <v>4.0799873104165496E-2</v>
      </c>
      <c r="DY43" s="92">
        <f t="shared" si="147"/>
        <v>5.1788169825744829E-2</v>
      </c>
      <c r="DZ43" s="92">
        <f t="shared" si="148"/>
        <v>0.11628142729190694</v>
      </c>
      <c r="EA43" s="92">
        <f t="shared" si="149"/>
        <v>4.889783096377625E-2</v>
      </c>
      <c r="EB43" s="92">
        <f t="shared" si="150"/>
        <v>6.3805706257610464E-2</v>
      </c>
      <c r="EC43" s="92">
        <f t="shared" si="151"/>
        <v>2.3852600470134756E-2</v>
      </c>
      <c r="ED43" s="92">
        <f t="shared" si="152"/>
        <v>8.8254621739498593E-2</v>
      </c>
      <c r="EE43" s="92">
        <f t="shared" si="153"/>
        <v>0.43368022965283731</v>
      </c>
      <c r="EF43" s="92">
        <f t="shared" si="154"/>
        <v>2.1914576681936308E-2</v>
      </c>
      <c r="EG43" s="92">
        <f t="shared" si="155"/>
        <v>0.45559480633477362</v>
      </c>
      <c r="EH43" s="92">
        <f t="shared" si="156"/>
        <v>0.56631977034716263</v>
      </c>
      <c r="EI43" s="92">
        <f t="shared" si="157"/>
        <v>0.45708440123413357</v>
      </c>
      <c r="EJ43" s="122">
        <f t="shared" si="158"/>
        <v>0.10923536911302913</v>
      </c>
    </row>
    <row r="44" spans="2:140" ht="12" hidden="1" customHeight="1" outlineLevel="1">
      <c r="B44" s="121">
        <v>44837</v>
      </c>
      <c r="C44" s="117">
        <v>22454</v>
      </c>
      <c r="D44" s="50" t="s">
        <v>387</v>
      </c>
      <c r="E44" s="50" t="s">
        <v>388</v>
      </c>
      <c r="F44" s="50" t="s">
        <v>389</v>
      </c>
      <c r="G44" s="50" t="s">
        <v>162</v>
      </c>
      <c r="H44" s="50" t="s">
        <v>390</v>
      </c>
      <c r="I44" s="51" t="s">
        <v>391</v>
      </c>
      <c r="J44" s="52" t="s">
        <v>360</v>
      </c>
      <c r="K44" s="50" t="s">
        <v>294</v>
      </c>
      <c r="L44" s="49">
        <v>7</v>
      </c>
      <c r="M44" s="50" t="s">
        <v>159</v>
      </c>
      <c r="N44" s="50" t="s">
        <v>244</v>
      </c>
      <c r="O44" s="50" t="s">
        <v>160</v>
      </c>
      <c r="P44" s="50" t="s">
        <v>161</v>
      </c>
      <c r="Q44" s="53">
        <v>0.04</v>
      </c>
      <c r="R44" s="49">
        <v>175</v>
      </c>
      <c r="S44" s="49">
        <v>1</v>
      </c>
      <c r="T44" s="54">
        <f t="shared" si="0"/>
        <v>176</v>
      </c>
      <c r="U44" s="55">
        <v>144656</v>
      </c>
      <c r="V44" s="49">
        <v>4.8099999999999996</v>
      </c>
      <c r="W44" s="56">
        <f t="shared" si="102"/>
        <v>36.590436590436596</v>
      </c>
      <c r="X44" s="49">
        <v>2004</v>
      </c>
      <c r="Y44" s="57" t="s">
        <v>162</v>
      </c>
      <c r="Z44" s="58">
        <v>51000000</v>
      </c>
      <c r="AA44" s="114">
        <f>(((17000000*0.0145)/(Z44))+((6000000*0)/(Z44))+((28000000*0.045)/(Z44)))</f>
        <v>2.953921568627451E-2</v>
      </c>
      <c r="AB44" s="59">
        <v>17</v>
      </c>
      <c r="AC44" s="60">
        <v>40</v>
      </c>
      <c r="AD44" s="61">
        <v>5.5E-2</v>
      </c>
      <c r="AE44" s="62">
        <v>17000000</v>
      </c>
      <c r="AF44" s="63">
        <v>1.1499999999999999</v>
      </c>
      <c r="AG44" s="59"/>
      <c r="AH44" s="60"/>
      <c r="AI44" s="61"/>
      <c r="AJ44" s="64"/>
      <c r="AK44" s="65">
        <f t="shared" si="103"/>
        <v>17000000</v>
      </c>
      <c r="AL44" s="62">
        <v>11569848</v>
      </c>
      <c r="AM44" s="49" t="s">
        <v>163</v>
      </c>
      <c r="AN44" s="67">
        <v>0.93</v>
      </c>
      <c r="AO44" s="62">
        <v>17596036</v>
      </c>
      <c r="AP44" s="62">
        <v>0</v>
      </c>
      <c r="AQ44" s="68">
        <v>1085562</v>
      </c>
      <c r="AR44" s="69">
        <f t="shared" si="104"/>
        <v>96590.909090909088</v>
      </c>
      <c r="AS44" s="70" t="str">
        <f>IFERROR(IF(#REF!&gt;0,#REF!/T44,""),"")</f>
        <v/>
      </c>
      <c r="AT44" s="70">
        <f t="shared" si="105"/>
        <v>99977.477272727279</v>
      </c>
      <c r="AU44" s="70">
        <f t="shared" si="106"/>
        <v>65737.772727272721</v>
      </c>
      <c r="AV44" s="71">
        <f t="shared" si="107"/>
        <v>6167.965909090909</v>
      </c>
      <c r="AW44" s="115">
        <f t="shared" si="108"/>
        <v>68653.977272727279</v>
      </c>
      <c r="AX44" s="116">
        <f t="shared" si="109"/>
        <v>83.529891604910958</v>
      </c>
      <c r="AY44" s="72">
        <f t="shared" si="110"/>
        <v>85130.931818181823</v>
      </c>
      <c r="AZ44" s="73">
        <f t="shared" si="111"/>
        <v>103.57706559008959</v>
      </c>
      <c r="BA44" s="66">
        <v>19915000</v>
      </c>
      <c r="BB44" s="62">
        <v>715450</v>
      </c>
      <c r="BC44" s="62">
        <v>11367650</v>
      </c>
      <c r="BD44" s="62">
        <v>1208310</v>
      </c>
      <c r="BE44" s="62">
        <v>1691634</v>
      </c>
      <c r="BF44" s="62">
        <v>1633787</v>
      </c>
      <c r="BG44" s="67">
        <v>4573614</v>
      </c>
      <c r="BH44" s="62">
        <v>5370000</v>
      </c>
      <c r="BI44" s="62">
        <v>776000</v>
      </c>
      <c r="BJ44" s="47">
        <f t="shared" si="112"/>
        <v>47251445</v>
      </c>
      <c r="BK44" s="69">
        <f t="shared" si="90"/>
        <v>113153.40909090909</v>
      </c>
      <c r="BL44" s="70">
        <f t="shared" si="91"/>
        <v>4065.056818181818</v>
      </c>
      <c r="BM44" s="70">
        <f t="shared" si="92"/>
        <v>64588.920454545456</v>
      </c>
      <c r="BN44" s="70">
        <f t="shared" si="93"/>
        <v>6865.397727272727</v>
      </c>
      <c r="BO44" s="70">
        <f t="shared" si="94"/>
        <v>9611.556818181818</v>
      </c>
      <c r="BP44" s="70">
        <f t="shared" si="100"/>
        <v>9282.880681818182</v>
      </c>
      <c r="BQ44" s="70">
        <f t="shared" si="113"/>
        <v>25986.44318181818</v>
      </c>
      <c r="BR44" s="70">
        <f t="shared" si="83"/>
        <v>30511.363636363636</v>
      </c>
      <c r="BS44" s="70">
        <f t="shared" si="84"/>
        <v>4409.090909090909</v>
      </c>
      <c r="BT44" s="71">
        <f t="shared" si="85"/>
        <v>268474.11931818182</v>
      </c>
      <c r="BU44" s="65">
        <f t="shared" si="95"/>
        <v>137.67144121225527</v>
      </c>
      <c r="BV44" s="48">
        <f t="shared" si="96"/>
        <v>4.945871585001659</v>
      </c>
      <c r="BW44" s="48">
        <f t="shared" si="97"/>
        <v>78.584020019909303</v>
      </c>
      <c r="BX44" s="48">
        <f t="shared" si="98"/>
        <v>8.3529891604910969</v>
      </c>
      <c r="BY44" s="48">
        <f t="shared" si="99"/>
        <v>11.694184824687534</v>
      </c>
      <c r="BZ44" s="48">
        <f t="shared" si="101"/>
        <v>11.294291284149983</v>
      </c>
      <c r="CA44" s="48">
        <f t="shared" si="114"/>
        <v>31.617174538214798</v>
      </c>
      <c r="CB44" s="48">
        <f t="shared" si="87"/>
        <v>37.122552814954098</v>
      </c>
      <c r="CC44" s="48">
        <f t="shared" si="88"/>
        <v>5.3644508350846145</v>
      </c>
      <c r="CD44" s="47">
        <f t="shared" si="89"/>
        <v>326.6469762747484</v>
      </c>
      <c r="CE44" s="66">
        <v>2371356</v>
      </c>
      <c r="CF44" s="62">
        <v>25000</v>
      </c>
      <c r="CG44" s="74">
        <v>-179727</v>
      </c>
      <c r="CH44" s="75">
        <f t="shared" si="115"/>
        <v>2216629</v>
      </c>
      <c r="CI44" s="62">
        <f>88200+7200+7040</f>
        <v>102440</v>
      </c>
      <c r="CJ44" s="62">
        <v>105040</v>
      </c>
      <c r="CK44" s="62">
        <v>272850</v>
      </c>
      <c r="CL44" s="62">
        <f>133944+15000</f>
        <v>148944</v>
      </c>
      <c r="CM44" s="62">
        <f>49515+153672</f>
        <v>203187</v>
      </c>
      <c r="CN44" s="62">
        <v>115757</v>
      </c>
      <c r="CO44" s="62">
        <v>0</v>
      </c>
      <c r="CP44" s="75">
        <f t="shared" si="3"/>
        <v>948218</v>
      </c>
      <c r="CQ44" s="62">
        <v>52800</v>
      </c>
      <c r="CR44" s="75">
        <f t="shared" si="4"/>
        <v>1001018</v>
      </c>
      <c r="CS44" s="75">
        <f t="shared" si="116"/>
        <v>1268411</v>
      </c>
      <c r="CT44" s="62">
        <f>3500+2112+1+1052171</f>
        <v>1057784</v>
      </c>
      <c r="CU44" s="47">
        <f t="shared" si="117"/>
        <v>210627</v>
      </c>
      <c r="CV44" s="76">
        <f t="shared" si="118"/>
        <v>0.57222521224796752</v>
      </c>
      <c r="CW44" s="75">
        <f t="shared" si="119"/>
        <v>5687.602272727273</v>
      </c>
      <c r="CX44" s="77">
        <f t="shared" si="120"/>
        <v>0.45159474138432726</v>
      </c>
      <c r="CY44" s="75">
        <f t="shared" si="121"/>
        <v>1196.7443181818182</v>
      </c>
      <c r="CZ44" s="77">
        <f t="shared" si="122"/>
        <v>9.5021313896010567E-2</v>
      </c>
      <c r="DA44" s="77">
        <f t="shared" si="123"/>
        <v>0.47720389835195698</v>
      </c>
      <c r="DB44" s="47">
        <f t="shared" si="124"/>
        <v>96590.909090909088</v>
      </c>
      <c r="DC44" s="69">
        <f t="shared" si="125"/>
        <v>13473.613636363636</v>
      </c>
      <c r="DD44" s="70">
        <f t="shared" si="126"/>
        <v>142.04545454545453</v>
      </c>
      <c r="DE44" s="70">
        <f t="shared" si="127"/>
        <v>-1021.1761363636364</v>
      </c>
      <c r="DF44" s="70">
        <f t="shared" si="128"/>
        <v>12594.482954545454</v>
      </c>
      <c r="DG44" s="70">
        <f t="shared" si="129"/>
        <v>582.0454545454545</v>
      </c>
      <c r="DH44" s="70">
        <f t="shared" si="130"/>
        <v>596.81818181818187</v>
      </c>
      <c r="DI44" s="70">
        <f t="shared" si="131"/>
        <v>1550.284090909091</v>
      </c>
      <c r="DJ44" s="70">
        <f t="shared" si="132"/>
        <v>846.27272727272725</v>
      </c>
      <c r="DK44" s="70">
        <f t="shared" si="133"/>
        <v>1154.471590909091</v>
      </c>
      <c r="DL44" s="70">
        <f t="shared" si="134"/>
        <v>657.71022727272725</v>
      </c>
      <c r="DM44" s="70" t="str">
        <f t="shared" si="135"/>
        <v/>
      </c>
      <c r="DN44" s="70">
        <f t="shared" si="136"/>
        <v>5387.602272727273</v>
      </c>
      <c r="DO44" s="70">
        <f t="shared" si="137"/>
        <v>300</v>
      </c>
      <c r="DP44" s="70">
        <f t="shared" si="138"/>
        <v>5687.602272727273</v>
      </c>
      <c r="DQ44" s="70">
        <f t="shared" si="139"/>
        <v>7206.880681818182</v>
      </c>
      <c r="DR44" s="70">
        <f t="shared" si="140"/>
        <v>6010.136363636364</v>
      </c>
      <c r="DS44" s="71">
        <f t="shared" si="141"/>
        <v>1196.7443181818182</v>
      </c>
      <c r="DT44" s="106">
        <f t="shared" si="142"/>
        <v>1.0698028402587894</v>
      </c>
      <c r="DU44" s="92">
        <f t="shared" si="143"/>
        <v>1.1278387136503221E-2</v>
      </c>
      <c r="DV44" s="92" t="str">
        <f t="shared" si="144"/>
        <v/>
      </c>
      <c r="DW44" s="92">
        <f t="shared" si="145"/>
        <v>1</v>
      </c>
      <c r="DX44" s="92">
        <f t="shared" si="146"/>
        <v>4.62143191305356E-2</v>
      </c>
      <c r="DY44" s="92">
        <f t="shared" si="147"/>
        <v>4.7387271392731939E-2</v>
      </c>
      <c r="DZ44" s="92">
        <f t="shared" si="148"/>
        <v>0.12309231720779616</v>
      </c>
      <c r="EA44" s="92">
        <f t="shared" si="149"/>
        <v>6.7193923746373438E-2</v>
      </c>
      <c r="EB44" s="92">
        <f t="shared" si="150"/>
        <v>9.1664865884187208E-2</v>
      </c>
      <c r="EC44" s="92">
        <f t="shared" si="151"/>
        <v>5.2222090390408135E-2</v>
      </c>
      <c r="ED44" s="92" t="str">
        <f t="shared" si="152"/>
        <v/>
      </c>
      <c r="EE44" s="92">
        <f t="shared" si="153"/>
        <v>0.42777478775203248</v>
      </c>
      <c r="EF44" s="92">
        <f t="shared" si="154"/>
        <v>2.3819953632294805E-2</v>
      </c>
      <c r="EG44" s="92">
        <f t="shared" si="155"/>
        <v>0.45159474138432726</v>
      </c>
      <c r="EH44" s="92">
        <f t="shared" si="156"/>
        <v>0.57222521224796752</v>
      </c>
      <c r="EI44" s="92">
        <f t="shared" si="157"/>
        <v>0.47720389835195698</v>
      </c>
      <c r="EJ44" s="122">
        <f t="shared" si="158"/>
        <v>9.5021313896010567E-2</v>
      </c>
    </row>
    <row r="45" spans="2:140" ht="12" hidden="1" customHeight="1" outlineLevel="1">
      <c r="B45" s="121">
        <v>44841</v>
      </c>
      <c r="C45" s="117">
        <v>22451</v>
      </c>
      <c r="D45" s="50" t="s">
        <v>392</v>
      </c>
      <c r="E45" s="50" t="s">
        <v>393</v>
      </c>
      <c r="F45" s="50" t="s">
        <v>394</v>
      </c>
      <c r="G45" s="50" t="s">
        <v>393</v>
      </c>
      <c r="H45" s="50" t="s">
        <v>395</v>
      </c>
      <c r="I45" s="51" t="s">
        <v>396</v>
      </c>
      <c r="J45" s="52" t="s">
        <v>360</v>
      </c>
      <c r="K45" s="50" t="s">
        <v>294</v>
      </c>
      <c r="L45" s="49">
        <v>7</v>
      </c>
      <c r="M45" s="50" t="s">
        <v>159</v>
      </c>
      <c r="N45" s="50" t="s">
        <v>160</v>
      </c>
      <c r="O45" s="50" t="s">
        <v>160</v>
      </c>
      <c r="P45" s="50" t="s">
        <v>177</v>
      </c>
      <c r="Q45" s="53">
        <v>0.04</v>
      </c>
      <c r="R45" s="49">
        <v>240</v>
      </c>
      <c r="S45" s="49">
        <v>0</v>
      </c>
      <c r="T45" s="54">
        <f t="shared" si="0"/>
        <v>240</v>
      </c>
      <c r="U45" s="55">
        <v>286384</v>
      </c>
      <c r="V45" s="49">
        <v>28.02</v>
      </c>
      <c r="W45" s="56">
        <f t="shared" si="102"/>
        <v>8.565310492505354</v>
      </c>
      <c r="X45" s="49" t="s">
        <v>163</v>
      </c>
      <c r="Y45" s="57" t="s">
        <v>162</v>
      </c>
      <c r="Z45" s="58">
        <v>54000000</v>
      </c>
      <c r="AA45" s="114">
        <v>2.92E-2</v>
      </c>
      <c r="AB45" s="59">
        <v>17</v>
      </c>
      <c r="AC45" s="60">
        <v>35</v>
      </c>
      <c r="AD45" s="61">
        <v>5.5500000000000001E-2</v>
      </c>
      <c r="AE45" s="62">
        <v>39418104</v>
      </c>
      <c r="AF45" s="63">
        <v>1.1499999999999999</v>
      </c>
      <c r="AG45" s="59"/>
      <c r="AH45" s="60"/>
      <c r="AI45" s="61"/>
      <c r="AJ45" s="64"/>
      <c r="AK45" s="65">
        <f t="shared" si="103"/>
        <v>39418104</v>
      </c>
      <c r="AL45" s="62">
        <v>2122778</v>
      </c>
      <c r="AM45" s="49" t="s">
        <v>163</v>
      </c>
      <c r="AN45" s="67">
        <v>0.86</v>
      </c>
      <c r="AO45" s="62">
        <v>18546849</v>
      </c>
      <c r="AP45" s="62">
        <v>0</v>
      </c>
      <c r="AQ45" s="68">
        <v>6466111</v>
      </c>
      <c r="AR45" s="69">
        <f t="shared" si="104"/>
        <v>164242.1</v>
      </c>
      <c r="AS45" s="70" t="str">
        <f>IFERROR(IF(#REF!&gt;0,#REF!/T45,""),"")</f>
        <v/>
      </c>
      <c r="AT45" s="70">
        <f t="shared" si="105"/>
        <v>77278.537500000006</v>
      </c>
      <c r="AU45" s="70">
        <f t="shared" si="106"/>
        <v>8844.9083333333328</v>
      </c>
      <c r="AV45" s="71">
        <f t="shared" si="107"/>
        <v>26942.129166666666</v>
      </c>
      <c r="AW45" s="115">
        <f t="shared" si="108"/>
        <v>141618.33333333334</v>
      </c>
      <c r="AX45" s="116">
        <f t="shared" si="109"/>
        <v>118.68121124085144</v>
      </c>
      <c r="AY45" s="72">
        <f t="shared" si="110"/>
        <v>168588.31666666665</v>
      </c>
      <c r="AZ45" s="73">
        <f t="shared" si="111"/>
        <v>141.28301860439129</v>
      </c>
      <c r="BA45" s="66">
        <v>4455000</v>
      </c>
      <c r="BB45" s="62">
        <v>6425494</v>
      </c>
      <c r="BC45" s="62">
        <v>27562906</v>
      </c>
      <c r="BD45" s="62">
        <v>1714420</v>
      </c>
      <c r="BE45" s="62">
        <v>4758376</v>
      </c>
      <c r="BF45" s="62">
        <v>4552525</v>
      </c>
      <c r="BG45" s="67">
        <v>10034762</v>
      </c>
      <c r="BH45" s="62">
        <v>7460000</v>
      </c>
      <c r="BI45" s="62">
        <v>590359</v>
      </c>
      <c r="BJ45" s="47">
        <f t="shared" si="112"/>
        <v>67553842</v>
      </c>
      <c r="BK45" s="69">
        <f t="shared" si="90"/>
        <v>18562.5</v>
      </c>
      <c r="BL45" s="70">
        <f t="shared" si="91"/>
        <v>26772.891666666666</v>
      </c>
      <c r="BM45" s="70">
        <f t="shared" si="92"/>
        <v>114845.44166666667</v>
      </c>
      <c r="BN45" s="70">
        <f t="shared" si="93"/>
        <v>7143.416666666667</v>
      </c>
      <c r="BO45" s="70">
        <f t="shared" si="94"/>
        <v>19826.566666666666</v>
      </c>
      <c r="BP45" s="70">
        <f t="shared" si="100"/>
        <v>18968.854166666668</v>
      </c>
      <c r="BQ45" s="70">
        <f t="shared" si="113"/>
        <v>41811.508333333331</v>
      </c>
      <c r="BR45" s="70">
        <f t="shared" si="83"/>
        <v>31083.333333333332</v>
      </c>
      <c r="BS45" s="70">
        <f t="shared" si="84"/>
        <v>2459.8291666666669</v>
      </c>
      <c r="BT45" s="71">
        <f t="shared" si="85"/>
        <v>281474.34166666667</v>
      </c>
      <c r="BU45" s="65">
        <f t="shared" si="95"/>
        <v>15.556036650092183</v>
      </c>
      <c r="BV45" s="48">
        <f t="shared" si="96"/>
        <v>22.436637521649253</v>
      </c>
      <c r="BW45" s="48">
        <f t="shared" si="97"/>
        <v>96.244573719202194</v>
      </c>
      <c r="BX45" s="48">
        <f t="shared" si="98"/>
        <v>5.98643778982066</v>
      </c>
      <c r="BY45" s="48">
        <f t="shared" si="99"/>
        <v>16.615369573719203</v>
      </c>
      <c r="BZ45" s="48">
        <f t="shared" si="101"/>
        <v>15.896575926029387</v>
      </c>
      <c r="CA45" s="48">
        <f t="shared" si="114"/>
        <v>35.039534331526902</v>
      </c>
      <c r="CB45" s="48">
        <f t="shared" si="87"/>
        <v>26.048941281635845</v>
      </c>
      <c r="CC45" s="48">
        <f t="shared" si="88"/>
        <v>2.0614245209229565</v>
      </c>
      <c r="CD45" s="47">
        <f t="shared" si="89"/>
        <v>235.88553131459858</v>
      </c>
      <c r="CE45" s="66">
        <v>4131108</v>
      </c>
      <c r="CF45" s="62">
        <f>66960+19440</f>
        <v>86400</v>
      </c>
      <c r="CG45" s="74">
        <v>-316313</v>
      </c>
      <c r="CH45" s="75">
        <f t="shared" si="115"/>
        <v>3901195</v>
      </c>
      <c r="CI45" s="62">
        <f>67700+5000+9600</f>
        <v>82300</v>
      </c>
      <c r="CJ45" s="62">
        <v>139268</v>
      </c>
      <c r="CK45" s="62">
        <v>281851</v>
      </c>
      <c r="CL45" s="62">
        <f>150500+0</f>
        <v>150500</v>
      </c>
      <c r="CM45" s="62">
        <f>30000+63120</f>
        <v>93120</v>
      </c>
      <c r="CN45" s="62">
        <v>112560</v>
      </c>
      <c r="CO45" s="62">
        <v>0</v>
      </c>
      <c r="CP45" s="75">
        <f t="shared" si="3"/>
        <v>859599</v>
      </c>
      <c r="CQ45" s="62">
        <v>60000</v>
      </c>
      <c r="CR45" s="75">
        <f t="shared" si="4"/>
        <v>919599</v>
      </c>
      <c r="CS45" s="75">
        <f t="shared" si="116"/>
        <v>3041596</v>
      </c>
      <c r="CT45" s="62">
        <f>6000+2500+(2606635-11521)</f>
        <v>2603614</v>
      </c>
      <c r="CU45" s="47">
        <f t="shared" si="117"/>
        <v>437982</v>
      </c>
      <c r="CV45" s="76">
        <f t="shared" si="118"/>
        <v>0.77965751519726645</v>
      </c>
      <c r="CW45" s="75">
        <f t="shared" si="119"/>
        <v>3831.6624999999999</v>
      </c>
      <c r="CX45" s="77">
        <f t="shared" si="120"/>
        <v>0.23572238762738085</v>
      </c>
      <c r="CY45" s="75">
        <f t="shared" si="121"/>
        <v>1824.925</v>
      </c>
      <c r="CZ45" s="77">
        <f t="shared" si="122"/>
        <v>0.11226867664907804</v>
      </c>
      <c r="DA45" s="77">
        <f t="shared" si="123"/>
        <v>0.66738883854818842</v>
      </c>
      <c r="DB45" s="47">
        <f t="shared" si="124"/>
        <v>164242.1</v>
      </c>
      <c r="DC45" s="69">
        <f t="shared" si="125"/>
        <v>17212.95</v>
      </c>
      <c r="DD45" s="70">
        <f t="shared" si="126"/>
        <v>360</v>
      </c>
      <c r="DE45" s="70">
        <f t="shared" si="127"/>
        <v>-1317.9708333333333</v>
      </c>
      <c r="DF45" s="70">
        <f t="shared" si="128"/>
        <v>16254.979166666666</v>
      </c>
      <c r="DG45" s="70">
        <f t="shared" si="129"/>
        <v>342.91666666666669</v>
      </c>
      <c r="DH45" s="70">
        <f t="shared" si="130"/>
        <v>580.2833333333333</v>
      </c>
      <c r="DI45" s="70">
        <f t="shared" si="131"/>
        <v>1174.3791666666666</v>
      </c>
      <c r="DJ45" s="70">
        <f t="shared" si="132"/>
        <v>627.08333333333337</v>
      </c>
      <c r="DK45" s="70">
        <f t="shared" si="133"/>
        <v>388</v>
      </c>
      <c r="DL45" s="70">
        <f t="shared" si="134"/>
        <v>469</v>
      </c>
      <c r="DM45" s="70" t="str">
        <f t="shared" si="135"/>
        <v/>
      </c>
      <c r="DN45" s="70">
        <f t="shared" si="136"/>
        <v>3581.6624999999999</v>
      </c>
      <c r="DO45" s="70">
        <f t="shared" si="137"/>
        <v>250</v>
      </c>
      <c r="DP45" s="70">
        <f t="shared" si="138"/>
        <v>3831.6624999999999</v>
      </c>
      <c r="DQ45" s="70">
        <f t="shared" si="139"/>
        <v>12673.316666666668</v>
      </c>
      <c r="DR45" s="70">
        <f t="shared" si="140"/>
        <v>10848.391666666666</v>
      </c>
      <c r="DS45" s="71">
        <f t="shared" si="141"/>
        <v>1824.925</v>
      </c>
      <c r="DT45" s="106">
        <f t="shared" si="142"/>
        <v>1.0589339933020523</v>
      </c>
      <c r="DU45" s="92">
        <f t="shared" si="143"/>
        <v>2.214706006749214E-2</v>
      </c>
      <c r="DV45" s="92" t="str">
        <f t="shared" si="144"/>
        <v/>
      </c>
      <c r="DW45" s="92">
        <f t="shared" si="145"/>
        <v>1</v>
      </c>
      <c r="DX45" s="92">
        <f t="shared" si="146"/>
        <v>2.1096100041141239E-2</v>
      </c>
      <c r="DY45" s="92">
        <f t="shared" si="147"/>
        <v>3.5698805109716382E-2</v>
      </c>
      <c r="DZ45" s="92">
        <f t="shared" si="148"/>
        <v>7.2247349850494524E-2</v>
      </c>
      <c r="EA45" s="92">
        <f t="shared" si="149"/>
        <v>3.8577922918490361E-2</v>
      </c>
      <c r="EB45" s="92">
        <f t="shared" si="150"/>
        <v>2.3869609183852641E-2</v>
      </c>
      <c r="EC45" s="92">
        <f t="shared" si="151"/>
        <v>2.8852697699038372E-2</v>
      </c>
      <c r="ED45" s="92" t="str">
        <f t="shared" si="152"/>
        <v/>
      </c>
      <c r="EE45" s="92">
        <f t="shared" si="153"/>
        <v>0.22034248480273352</v>
      </c>
      <c r="EF45" s="92">
        <f t="shared" si="154"/>
        <v>1.537990282464732E-2</v>
      </c>
      <c r="EG45" s="92">
        <f t="shared" si="155"/>
        <v>0.23572238762738085</v>
      </c>
      <c r="EH45" s="92">
        <f t="shared" si="156"/>
        <v>0.77965751519726645</v>
      </c>
      <c r="EI45" s="92">
        <f t="shared" si="157"/>
        <v>0.66738883854818842</v>
      </c>
      <c r="EJ45" s="122">
        <f t="shared" si="158"/>
        <v>0.11226867664907804</v>
      </c>
    </row>
    <row r="46" spans="2:140" ht="12" hidden="1" customHeight="1" outlineLevel="1">
      <c r="B46" s="121">
        <v>44846</v>
      </c>
      <c r="C46" s="117">
        <v>22449</v>
      </c>
      <c r="D46" s="50" t="s">
        <v>397</v>
      </c>
      <c r="E46" s="50" t="s">
        <v>398</v>
      </c>
      <c r="F46" s="50" t="s">
        <v>399</v>
      </c>
      <c r="G46" s="50" t="s">
        <v>162</v>
      </c>
      <c r="H46" s="50" t="s">
        <v>400</v>
      </c>
      <c r="I46" s="51" t="s">
        <v>401</v>
      </c>
      <c r="J46" s="52" t="s">
        <v>360</v>
      </c>
      <c r="K46" s="50" t="s">
        <v>294</v>
      </c>
      <c r="L46" s="49">
        <v>7</v>
      </c>
      <c r="M46" s="50" t="s">
        <v>159</v>
      </c>
      <c r="N46" s="50" t="s">
        <v>160</v>
      </c>
      <c r="O46" s="50" t="s">
        <v>160</v>
      </c>
      <c r="P46" s="50" t="s">
        <v>177</v>
      </c>
      <c r="Q46" s="53">
        <v>0.04</v>
      </c>
      <c r="R46" s="49">
        <v>150</v>
      </c>
      <c r="S46" s="49">
        <v>0</v>
      </c>
      <c r="T46" s="54">
        <f t="shared" si="0"/>
        <v>150</v>
      </c>
      <c r="U46" s="55">
        <v>128625</v>
      </c>
      <c r="V46" s="49">
        <v>10.49</v>
      </c>
      <c r="W46" s="56">
        <f t="shared" si="102"/>
        <v>14.299332697807435</v>
      </c>
      <c r="X46" s="49" t="s">
        <v>163</v>
      </c>
      <c r="Y46" s="57" t="s">
        <v>162</v>
      </c>
      <c r="Z46" s="58">
        <v>27662821</v>
      </c>
      <c r="AA46" s="114">
        <v>4.4999999999999998E-2</v>
      </c>
      <c r="AB46" s="59">
        <v>18</v>
      </c>
      <c r="AC46" s="60">
        <v>35</v>
      </c>
      <c r="AD46" s="61">
        <v>5.7500000000000002E-2</v>
      </c>
      <c r="AE46" s="62">
        <v>18076534</v>
      </c>
      <c r="AF46" s="63">
        <v>1.1499999999999999</v>
      </c>
      <c r="AG46" s="59"/>
      <c r="AH46" s="60"/>
      <c r="AI46" s="61"/>
      <c r="AJ46" s="64"/>
      <c r="AK46" s="65">
        <f t="shared" si="103"/>
        <v>18076534</v>
      </c>
      <c r="AL46" s="62">
        <v>0</v>
      </c>
      <c r="AM46" s="49" t="s">
        <v>163</v>
      </c>
      <c r="AN46" s="67">
        <v>0.88</v>
      </c>
      <c r="AO46" s="62">
        <v>17119261</v>
      </c>
      <c r="AP46" s="62">
        <v>0</v>
      </c>
      <c r="AQ46" s="68">
        <v>3591625</v>
      </c>
      <c r="AR46" s="69">
        <f t="shared" si="104"/>
        <v>120510.22666666667</v>
      </c>
      <c r="AS46" s="70" t="str">
        <f>IFERROR(IF(#REF!&gt;0,#REF!/T46,""),"")</f>
        <v/>
      </c>
      <c r="AT46" s="70">
        <f t="shared" si="105"/>
        <v>114128.40666666666</v>
      </c>
      <c r="AU46" s="70" t="str">
        <f t="shared" si="106"/>
        <v/>
      </c>
      <c r="AV46" s="71">
        <f t="shared" si="107"/>
        <v>23944.166666666668</v>
      </c>
      <c r="AW46" s="115">
        <f t="shared" si="108"/>
        <v>145925.65333333332</v>
      </c>
      <c r="AX46" s="116">
        <f t="shared" si="109"/>
        <v>170.17568901846454</v>
      </c>
      <c r="AY46" s="72">
        <f t="shared" si="110"/>
        <v>169094.74</v>
      </c>
      <c r="AZ46" s="73">
        <f t="shared" si="111"/>
        <v>197.19503206997086</v>
      </c>
      <c r="BA46" s="66">
        <v>3000000</v>
      </c>
      <c r="BB46" s="62">
        <v>2981250</v>
      </c>
      <c r="BC46" s="62">
        <v>18907598</v>
      </c>
      <c r="BD46" s="62">
        <v>1314866</v>
      </c>
      <c r="BE46" s="62">
        <v>2160497</v>
      </c>
      <c r="BF46" s="62">
        <v>1922525</v>
      </c>
      <c r="BG46" s="67">
        <v>3976085</v>
      </c>
      <c r="BH46" s="62">
        <v>4524599</v>
      </c>
      <c r="BI46" s="62">
        <v>0</v>
      </c>
      <c r="BJ46" s="47">
        <f t="shared" si="112"/>
        <v>38787420</v>
      </c>
      <c r="BK46" s="69">
        <f t="shared" si="90"/>
        <v>20000</v>
      </c>
      <c r="BL46" s="70">
        <f t="shared" si="91"/>
        <v>19875</v>
      </c>
      <c r="BM46" s="70">
        <f t="shared" si="92"/>
        <v>126050.65333333334</v>
      </c>
      <c r="BN46" s="70">
        <f t="shared" si="93"/>
        <v>8765.7733333333326</v>
      </c>
      <c r="BO46" s="70">
        <f t="shared" si="94"/>
        <v>14403.313333333334</v>
      </c>
      <c r="BP46" s="70">
        <f t="shared" si="100"/>
        <v>12816.833333333334</v>
      </c>
      <c r="BQ46" s="70">
        <f t="shared" si="113"/>
        <v>26507.233333333334</v>
      </c>
      <c r="BR46" s="70">
        <f t="shared" si="83"/>
        <v>30163.993333333332</v>
      </c>
      <c r="BS46" s="70" t="str">
        <f t="shared" si="84"/>
        <v/>
      </c>
      <c r="BT46" s="71">
        <f t="shared" si="85"/>
        <v>258582.8</v>
      </c>
      <c r="BU46" s="65">
        <f t="shared" si="95"/>
        <v>23.323615160349853</v>
      </c>
      <c r="BV46" s="48">
        <f t="shared" si="96"/>
        <v>23.177842565597668</v>
      </c>
      <c r="BW46" s="48">
        <f t="shared" si="97"/>
        <v>146.99784645286687</v>
      </c>
      <c r="BX46" s="48">
        <f t="shared" si="98"/>
        <v>10.22247619047619</v>
      </c>
      <c r="BY46" s="48">
        <f t="shared" si="99"/>
        <v>16.796866861030125</v>
      </c>
      <c r="BZ46" s="48">
        <f t="shared" si="101"/>
        <v>14.946744412050535</v>
      </c>
      <c r="CA46" s="48">
        <f t="shared" si="114"/>
        <v>30.912225461613218</v>
      </c>
      <c r="CB46" s="48">
        <f t="shared" si="87"/>
        <v>35.176668610301263</v>
      </c>
      <c r="CC46" s="48" t="str">
        <f t="shared" si="88"/>
        <v/>
      </c>
      <c r="CD46" s="47">
        <f t="shared" si="89"/>
        <v>301.5542857142857</v>
      </c>
      <c r="CE46" s="66">
        <v>2326080</v>
      </c>
      <c r="CF46" s="62">
        <v>54000</v>
      </c>
      <c r="CG46" s="74">
        <v>-178506</v>
      </c>
      <c r="CH46" s="75">
        <f t="shared" si="115"/>
        <v>2201574</v>
      </c>
      <c r="CI46" s="62">
        <f>77500+6000</f>
        <v>83500</v>
      </c>
      <c r="CJ46" s="62">
        <v>110000</v>
      </c>
      <c r="CK46" s="62">
        <v>202500</v>
      </c>
      <c r="CL46" s="62">
        <f>135000+0</f>
        <v>135000</v>
      </c>
      <c r="CM46" s="62">
        <f>30000+80000</f>
        <v>110000</v>
      </c>
      <c r="CN46" s="62">
        <v>108750</v>
      </c>
      <c r="CO46" s="62">
        <v>0</v>
      </c>
      <c r="CP46" s="75">
        <f t="shared" si="3"/>
        <v>749750</v>
      </c>
      <c r="CQ46" s="62">
        <v>45000</v>
      </c>
      <c r="CR46" s="75">
        <f t="shared" si="4"/>
        <v>794750</v>
      </c>
      <c r="CS46" s="75">
        <f t="shared" si="116"/>
        <v>1451824</v>
      </c>
      <c r="CT46" s="62">
        <f>5000+1218645</f>
        <v>1223645</v>
      </c>
      <c r="CU46" s="47">
        <f t="shared" si="117"/>
        <v>228179</v>
      </c>
      <c r="CV46" s="76">
        <f t="shared" si="118"/>
        <v>0.6594481947915446</v>
      </c>
      <c r="CW46" s="75">
        <f t="shared" si="119"/>
        <v>5298.333333333333</v>
      </c>
      <c r="CX46" s="77">
        <f t="shared" si="120"/>
        <v>0.36099172682816932</v>
      </c>
      <c r="CY46" s="75">
        <f t="shared" si="121"/>
        <v>1521.1933333333334</v>
      </c>
      <c r="CZ46" s="77">
        <f t="shared" si="122"/>
        <v>0.10364357500588216</v>
      </c>
      <c r="DA46" s="77">
        <f t="shared" si="123"/>
        <v>0.55580461978566242</v>
      </c>
      <c r="DB46" s="47">
        <f t="shared" si="124"/>
        <v>120510.22666666667</v>
      </c>
      <c r="DC46" s="69">
        <f t="shared" si="125"/>
        <v>15507.2</v>
      </c>
      <c r="DD46" s="70">
        <f t="shared" si="126"/>
        <v>360</v>
      </c>
      <c r="DE46" s="70">
        <f t="shared" si="127"/>
        <v>-1190.04</v>
      </c>
      <c r="DF46" s="70">
        <f t="shared" si="128"/>
        <v>14677.16</v>
      </c>
      <c r="DG46" s="70">
        <f t="shared" si="129"/>
        <v>556.66666666666663</v>
      </c>
      <c r="DH46" s="70">
        <f t="shared" si="130"/>
        <v>733.33333333333337</v>
      </c>
      <c r="DI46" s="70">
        <f t="shared" si="131"/>
        <v>1350</v>
      </c>
      <c r="DJ46" s="70">
        <f t="shared" si="132"/>
        <v>900</v>
      </c>
      <c r="DK46" s="70">
        <f t="shared" si="133"/>
        <v>733.33333333333337</v>
      </c>
      <c r="DL46" s="70">
        <f t="shared" si="134"/>
        <v>725</v>
      </c>
      <c r="DM46" s="70" t="str">
        <f t="shared" si="135"/>
        <v/>
      </c>
      <c r="DN46" s="70">
        <f t="shared" si="136"/>
        <v>4998.333333333333</v>
      </c>
      <c r="DO46" s="70">
        <f t="shared" si="137"/>
        <v>300</v>
      </c>
      <c r="DP46" s="70">
        <f t="shared" si="138"/>
        <v>5298.333333333333</v>
      </c>
      <c r="DQ46" s="70">
        <f t="shared" si="139"/>
        <v>9678.8266666666659</v>
      </c>
      <c r="DR46" s="70">
        <f t="shared" si="140"/>
        <v>8157.6333333333332</v>
      </c>
      <c r="DS46" s="71">
        <f t="shared" si="141"/>
        <v>1521.1933333333334</v>
      </c>
      <c r="DT46" s="106">
        <f t="shared" si="142"/>
        <v>1.0565531751374244</v>
      </c>
      <c r="DU46" s="92">
        <f t="shared" si="143"/>
        <v>2.4527905943656676E-2</v>
      </c>
      <c r="DV46" s="92" t="str">
        <f t="shared" si="144"/>
        <v/>
      </c>
      <c r="DW46" s="92">
        <f t="shared" si="145"/>
        <v>1</v>
      </c>
      <c r="DX46" s="92">
        <f t="shared" si="146"/>
        <v>3.7927410116580226E-2</v>
      </c>
      <c r="DY46" s="92">
        <f t="shared" si="147"/>
        <v>4.9964252848189519E-2</v>
      </c>
      <c r="DZ46" s="92">
        <f t="shared" si="148"/>
        <v>9.1979647288712524E-2</v>
      </c>
      <c r="EA46" s="92">
        <f t="shared" si="149"/>
        <v>6.1319764859141687E-2</v>
      </c>
      <c r="EB46" s="92">
        <f t="shared" si="150"/>
        <v>4.9964252848189519E-2</v>
      </c>
      <c r="EC46" s="92">
        <f t="shared" si="151"/>
        <v>4.9396477247641915E-2</v>
      </c>
      <c r="ED46" s="92" t="str">
        <f t="shared" si="152"/>
        <v/>
      </c>
      <c r="EE46" s="92">
        <f t="shared" si="153"/>
        <v>0.3405518052084554</v>
      </c>
      <c r="EF46" s="92">
        <f t="shared" si="154"/>
        <v>2.0439921619713895E-2</v>
      </c>
      <c r="EG46" s="92">
        <f t="shared" si="155"/>
        <v>0.36099172682816932</v>
      </c>
      <c r="EH46" s="92">
        <f t="shared" si="156"/>
        <v>0.6594481947915446</v>
      </c>
      <c r="EI46" s="92">
        <f t="shared" si="157"/>
        <v>0.55580461978566242</v>
      </c>
      <c r="EJ46" s="122">
        <f t="shared" si="158"/>
        <v>0.10364357500588216</v>
      </c>
    </row>
    <row r="47" spans="2:140" ht="12" hidden="1" customHeight="1" outlineLevel="1">
      <c r="B47" s="121">
        <v>44852</v>
      </c>
      <c r="C47" s="117">
        <v>22462</v>
      </c>
      <c r="D47" s="50" t="s">
        <v>402</v>
      </c>
      <c r="E47" s="50" t="s">
        <v>257</v>
      </c>
      <c r="F47" s="50" t="s">
        <v>258</v>
      </c>
      <c r="G47" s="50" t="s">
        <v>154</v>
      </c>
      <c r="H47" s="50" t="s">
        <v>403</v>
      </c>
      <c r="I47" s="51" t="s">
        <v>404</v>
      </c>
      <c r="J47" s="52" t="s">
        <v>405</v>
      </c>
      <c r="K47" s="50" t="s">
        <v>184</v>
      </c>
      <c r="L47" s="49">
        <v>9</v>
      </c>
      <c r="M47" s="50" t="s">
        <v>159</v>
      </c>
      <c r="N47" s="50" t="s">
        <v>160</v>
      </c>
      <c r="O47" s="50" t="s">
        <v>160</v>
      </c>
      <c r="P47" s="50" t="s">
        <v>177</v>
      </c>
      <c r="Q47" s="53">
        <v>0.04</v>
      </c>
      <c r="R47" s="49">
        <v>240</v>
      </c>
      <c r="S47" s="49">
        <v>0</v>
      </c>
      <c r="T47" s="54">
        <f t="shared" si="0"/>
        <v>240</v>
      </c>
      <c r="U47" s="55">
        <v>232292</v>
      </c>
      <c r="V47" s="49">
        <v>12.82</v>
      </c>
      <c r="W47" s="56">
        <f t="shared" si="102"/>
        <v>18.720748829953198</v>
      </c>
      <c r="X47" s="49" t="s">
        <v>163</v>
      </c>
      <c r="Y47" s="57" t="s">
        <v>162</v>
      </c>
      <c r="Z47" s="58">
        <v>50000000</v>
      </c>
      <c r="AA47" s="114">
        <v>3.9399999999999998E-2</v>
      </c>
      <c r="AB47" s="59">
        <v>17</v>
      </c>
      <c r="AC47" s="60">
        <v>40</v>
      </c>
      <c r="AD47" s="61">
        <v>5.2999999999999999E-2</v>
      </c>
      <c r="AE47" s="62">
        <v>28400000</v>
      </c>
      <c r="AF47" s="63">
        <v>1.17</v>
      </c>
      <c r="AG47" s="59"/>
      <c r="AH47" s="60"/>
      <c r="AI47" s="61"/>
      <c r="AJ47" s="64"/>
      <c r="AK47" s="65">
        <f t="shared" si="103"/>
        <v>28400000</v>
      </c>
      <c r="AL47" s="62">
        <v>1734355</v>
      </c>
      <c r="AM47" s="49" t="s">
        <v>163</v>
      </c>
      <c r="AN47" s="67">
        <v>0.9</v>
      </c>
      <c r="AO47" s="62">
        <v>26113638</v>
      </c>
      <c r="AP47" s="62">
        <v>0</v>
      </c>
      <c r="AQ47" s="68">
        <v>6605113</v>
      </c>
      <c r="AR47" s="69">
        <f t="shared" si="104"/>
        <v>118333.33333333333</v>
      </c>
      <c r="AS47" s="70" t="str">
        <f>IFERROR(IF(#REF!&gt;0,#REF!/T47,""),"")</f>
        <v/>
      </c>
      <c r="AT47" s="70">
        <f t="shared" si="105"/>
        <v>108806.825</v>
      </c>
      <c r="AU47" s="70">
        <f t="shared" si="106"/>
        <v>7226.479166666667</v>
      </c>
      <c r="AV47" s="71">
        <f t="shared" si="107"/>
        <v>27521.304166666665</v>
      </c>
      <c r="AW47" s="115">
        <f t="shared" si="108"/>
        <v>137889.58333333334</v>
      </c>
      <c r="AX47" s="116">
        <f t="shared" si="109"/>
        <v>142.46508704561501</v>
      </c>
      <c r="AY47" s="72">
        <f t="shared" si="110"/>
        <v>164704.97916666669</v>
      </c>
      <c r="AZ47" s="73">
        <f t="shared" si="111"/>
        <v>170.17028136999983</v>
      </c>
      <c r="BA47" s="66">
        <v>1980816</v>
      </c>
      <c r="BB47" s="62">
        <v>4025000</v>
      </c>
      <c r="BC47" s="62">
        <v>29068500</v>
      </c>
      <c r="BD47" s="62">
        <v>1862105</v>
      </c>
      <c r="BE47" s="62">
        <v>4573590</v>
      </c>
      <c r="BF47" s="62">
        <v>4362985</v>
      </c>
      <c r="BG47" s="67">
        <v>8682184</v>
      </c>
      <c r="BH47" s="62">
        <v>7279504</v>
      </c>
      <c r="BI47" s="62">
        <v>1018422</v>
      </c>
      <c r="BJ47" s="47">
        <f t="shared" si="112"/>
        <v>62853106</v>
      </c>
      <c r="BK47" s="69">
        <f t="shared" si="90"/>
        <v>8253.4</v>
      </c>
      <c r="BL47" s="70">
        <f t="shared" si="91"/>
        <v>16770.833333333332</v>
      </c>
      <c r="BM47" s="70">
        <f t="shared" si="92"/>
        <v>121118.75</v>
      </c>
      <c r="BN47" s="70">
        <f t="shared" si="93"/>
        <v>7758.770833333333</v>
      </c>
      <c r="BO47" s="70">
        <f t="shared" si="94"/>
        <v>19056.625</v>
      </c>
      <c r="BP47" s="70">
        <f t="shared" si="100"/>
        <v>18179.104166666668</v>
      </c>
      <c r="BQ47" s="70">
        <f t="shared" si="113"/>
        <v>36175.76666666667</v>
      </c>
      <c r="BR47" s="70">
        <f t="shared" si="83"/>
        <v>30331.266666666666</v>
      </c>
      <c r="BS47" s="70">
        <f t="shared" si="84"/>
        <v>4243.4250000000002</v>
      </c>
      <c r="BT47" s="71">
        <f t="shared" si="85"/>
        <v>261887.94166666668</v>
      </c>
      <c r="BU47" s="65">
        <f t="shared" si="95"/>
        <v>8.5272674048180743</v>
      </c>
      <c r="BV47" s="48">
        <f t="shared" si="96"/>
        <v>17.327329395760508</v>
      </c>
      <c r="BW47" s="48">
        <f t="shared" si="97"/>
        <v>125.13775764985449</v>
      </c>
      <c r="BX47" s="48">
        <f t="shared" si="98"/>
        <v>8.0162252681969246</v>
      </c>
      <c r="BY47" s="48">
        <f t="shared" si="99"/>
        <v>19.688969056187901</v>
      </c>
      <c r="BZ47" s="48">
        <f t="shared" si="101"/>
        <v>18.782329998450226</v>
      </c>
      <c r="CA47" s="48">
        <f t="shared" si="114"/>
        <v>37.376164482633925</v>
      </c>
      <c r="CB47" s="48">
        <f t="shared" si="87"/>
        <v>31.337730098324524</v>
      </c>
      <c r="CC47" s="48">
        <f t="shared" si="88"/>
        <v>4.3842319150035296</v>
      </c>
      <c r="CD47" s="47">
        <f t="shared" si="89"/>
        <v>270.57800526923012</v>
      </c>
      <c r="CE47" s="66">
        <v>3214944</v>
      </c>
      <c r="CF47" s="62">
        <v>86400</v>
      </c>
      <c r="CG47" s="74">
        <v>-247601</v>
      </c>
      <c r="CH47" s="75">
        <f t="shared" si="115"/>
        <v>3053743</v>
      </c>
      <c r="CI47" s="62">
        <f>114000+9600+9600</f>
        <v>133200</v>
      </c>
      <c r="CJ47" s="62">
        <v>76344</v>
      </c>
      <c r="CK47" s="62">
        <v>312000</v>
      </c>
      <c r="CL47" s="62">
        <f>180000+9600</f>
        <v>189600</v>
      </c>
      <c r="CM47" s="62">
        <f>78000+114000</f>
        <v>192000</v>
      </c>
      <c r="CN47" s="62">
        <v>72000</v>
      </c>
      <c r="CO47" s="62">
        <v>0</v>
      </c>
      <c r="CP47" s="75">
        <f t="shared" si="3"/>
        <v>975144</v>
      </c>
      <c r="CQ47" s="62">
        <v>60000</v>
      </c>
      <c r="CR47" s="75">
        <f t="shared" si="4"/>
        <v>1035144</v>
      </c>
      <c r="CS47" s="75">
        <f t="shared" si="116"/>
        <v>2078599</v>
      </c>
      <c r="CT47" s="62">
        <f>4500+4000+1711608+7500</f>
        <v>1727608</v>
      </c>
      <c r="CU47" s="47">
        <f t="shared" si="117"/>
        <v>350991</v>
      </c>
      <c r="CV47" s="76">
        <f t="shared" si="118"/>
        <v>0.68067253858625298</v>
      </c>
      <c r="CW47" s="75">
        <f t="shared" si="119"/>
        <v>4313.1000000000004</v>
      </c>
      <c r="CX47" s="77">
        <f t="shared" si="120"/>
        <v>0.33897548025488722</v>
      </c>
      <c r="CY47" s="75">
        <f t="shared" si="121"/>
        <v>1462.4625000000001</v>
      </c>
      <c r="CZ47" s="77">
        <f t="shared" si="122"/>
        <v>0.11493796301784401</v>
      </c>
      <c r="DA47" s="77">
        <f t="shared" si="123"/>
        <v>0.565734575568409</v>
      </c>
      <c r="DB47" s="47">
        <f t="shared" si="124"/>
        <v>118333.33333333333</v>
      </c>
      <c r="DC47" s="69">
        <f t="shared" si="125"/>
        <v>13395.6</v>
      </c>
      <c r="DD47" s="70">
        <f t="shared" si="126"/>
        <v>360</v>
      </c>
      <c r="DE47" s="70">
        <f t="shared" si="127"/>
        <v>-1031.6708333333333</v>
      </c>
      <c r="DF47" s="70">
        <f t="shared" si="128"/>
        <v>12723.929166666667</v>
      </c>
      <c r="DG47" s="70">
        <f t="shared" si="129"/>
        <v>555</v>
      </c>
      <c r="DH47" s="70">
        <f t="shared" si="130"/>
        <v>318.10000000000002</v>
      </c>
      <c r="DI47" s="70">
        <f t="shared" si="131"/>
        <v>1300</v>
      </c>
      <c r="DJ47" s="70">
        <f t="shared" si="132"/>
        <v>790</v>
      </c>
      <c r="DK47" s="70">
        <f t="shared" si="133"/>
        <v>800</v>
      </c>
      <c r="DL47" s="70">
        <f t="shared" si="134"/>
        <v>300</v>
      </c>
      <c r="DM47" s="70" t="str">
        <f t="shared" si="135"/>
        <v/>
      </c>
      <c r="DN47" s="70">
        <f t="shared" si="136"/>
        <v>4063.1</v>
      </c>
      <c r="DO47" s="70">
        <f t="shared" si="137"/>
        <v>250</v>
      </c>
      <c r="DP47" s="70">
        <f t="shared" si="138"/>
        <v>4313.1000000000004</v>
      </c>
      <c r="DQ47" s="70">
        <f t="shared" si="139"/>
        <v>8660.8291666666664</v>
      </c>
      <c r="DR47" s="70">
        <f t="shared" si="140"/>
        <v>7198.3666666666668</v>
      </c>
      <c r="DS47" s="71">
        <f t="shared" si="141"/>
        <v>1462.4625000000001</v>
      </c>
      <c r="DT47" s="106">
        <f t="shared" si="142"/>
        <v>1.0527880047535108</v>
      </c>
      <c r="DU47" s="92">
        <f t="shared" si="143"/>
        <v>2.829314713124189E-2</v>
      </c>
      <c r="DV47" s="92" t="str">
        <f t="shared" si="144"/>
        <v/>
      </c>
      <c r="DW47" s="92">
        <f t="shared" si="145"/>
        <v>1</v>
      </c>
      <c r="DX47" s="92">
        <f t="shared" si="146"/>
        <v>4.3618601827331245E-2</v>
      </c>
      <c r="DY47" s="92">
        <f t="shared" si="147"/>
        <v>2.5000139173466791E-2</v>
      </c>
      <c r="DZ47" s="92">
        <f t="shared" si="148"/>
        <v>0.10216969797392904</v>
      </c>
      <c r="EA47" s="92">
        <f t="shared" si="149"/>
        <v>6.2087739538003034E-2</v>
      </c>
      <c r="EB47" s="92">
        <f t="shared" si="150"/>
        <v>6.2873660291648648E-2</v>
      </c>
      <c r="EC47" s="92">
        <f t="shared" si="151"/>
        <v>2.3577622609368239E-2</v>
      </c>
      <c r="ED47" s="92" t="str">
        <f t="shared" si="152"/>
        <v/>
      </c>
      <c r="EE47" s="92">
        <f t="shared" si="153"/>
        <v>0.31932746141374702</v>
      </c>
      <c r="EF47" s="92">
        <f t="shared" si="154"/>
        <v>1.9648018841140202E-2</v>
      </c>
      <c r="EG47" s="92">
        <f t="shared" si="155"/>
        <v>0.33897548025488722</v>
      </c>
      <c r="EH47" s="92">
        <f t="shared" si="156"/>
        <v>0.68067253858625298</v>
      </c>
      <c r="EI47" s="92">
        <f t="shared" si="157"/>
        <v>0.565734575568409</v>
      </c>
      <c r="EJ47" s="122">
        <f t="shared" si="158"/>
        <v>0.11493796301784401</v>
      </c>
    </row>
    <row r="48" spans="2:140" ht="12" hidden="1" customHeight="1" outlineLevel="1">
      <c r="B48" s="121">
        <v>44859</v>
      </c>
      <c r="C48" s="117">
        <v>22456</v>
      </c>
      <c r="D48" s="50" t="s">
        <v>406</v>
      </c>
      <c r="E48" s="50" t="s">
        <v>332</v>
      </c>
      <c r="F48" s="50" t="s">
        <v>333</v>
      </c>
      <c r="G48" s="50" t="s">
        <v>162</v>
      </c>
      <c r="H48" s="50" t="s">
        <v>407</v>
      </c>
      <c r="I48" s="51" t="s">
        <v>408</v>
      </c>
      <c r="J48" s="52" t="s">
        <v>409</v>
      </c>
      <c r="K48" s="50" t="s">
        <v>410</v>
      </c>
      <c r="L48" s="49">
        <v>8</v>
      </c>
      <c r="M48" s="50" t="s">
        <v>159</v>
      </c>
      <c r="N48" s="50" t="s">
        <v>160</v>
      </c>
      <c r="O48" s="50" t="s">
        <v>160</v>
      </c>
      <c r="P48" s="50" t="s">
        <v>161</v>
      </c>
      <c r="Q48" s="53">
        <v>0.04</v>
      </c>
      <c r="R48" s="49">
        <v>237</v>
      </c>
      <c r="S48" s="49">
        <v>0</v>
      </c>
      <c r="T48" s="54">
        <f t="shared" si="0"/>
        <v>237</v>
      </c>
      <c r="U48" s="55">
        <v>241338</v>
      </c>
      <c r="V48" s="49">
        <v>25</v>
      </c>
      <c r="W48" s="56">
        <f t="shared" si="102"/>
        <v>9.48</v>
      </c>
      <c r="X48" s="49" t="s">
        <v>411</v>
      </c>
      <c r="Y48" s="57" t="s">
        <v>162</v>
      </c>
      <c r="Z48" s="58">
        <v>38100000</v>
      </c>
      <c r="AA48" s="114">
        <v>3.85E-2</v>
      </c>
      <c r="AB48" s="59">
        <v>15</v>
      </c>
      <c r="AC48" s="60">
        <v>35</v>
      </c>
      <c r="AD48" s="61">
        <v>4.9000000000000002E-2</v>
      </c>
      <c r="AE48" s="62">
        <v>13692852</v>
      </c>
      <c r="AF48" s="63">
        <v>1.1599999999999999</v>
      </c>
      <c r="AG48" s="59"/>
      <c r="AH48" s="60"/>
      <c r="AI48" s="61"/>
      <c r="AJ48" s="64"/>
      <c r="AK48" s="65">
        <f t="shared" si="103"/>
        <v>13692852</v>
      </c>
      <c r="AL48" s="62">
        <v>13400000</v>
      </c>
      <c r="AM48" s="49" t="s">
        <v>163</v>
      </c>
      <c r="AN48" s="67">
        <v>0.87</v>
      </c>
      <c r="AO48" s="62">
        <v>15820783</v>
      </c>
      <c r="AP48" s="62">
        <v>0</v>
      </c>
      <c r="AQ48" s="68">
        <v>569702</v>
      </c>
      <c r="AR48" s="69">
        <f t="shared" si="104"/>
        <v>57775.746835443038</v>
      </c>
      <c r="AS48" s="70" t="str">
        <f>IFERROR(IF(#REF!&gt;0,#REF!/T48,""),"")</f>
        <v/>
      </c>
      <c r="AT48" s="70">
        <f t="shared" si="105"/>
        <v>66754.358649789036</v>
      </c>
      <c r="AU48" s="70">
        <f t="shared" si="106"/>
        <v>56540.084388185656</v>
      </c>
      <c r="AV48" s="71">
        <f t="shared" si="107"/>
        <v>2403.8059071729958</v>
      </c>
      <c r="AW48" s="115">
        <f t="shared" si="108"/>
        <v>53059.476793248949</v>
      </c>
      <c r="AX48" s="116">
        <f t="shared" si="109"/>
        <v>52.105743811583757</v>
      </c>
      <c r="AY48" s="72">
        <f t="shared" si="110"/>
        <v>65793.751054852328</v>
      </c>
      <c r="AZ48" s="73">
        <f t="shared" si="111"/>
        <v>64.611122160621193</v>
      </c>
      <c r="BA48" s="66">
        <v>16610000</v>
      </c>
      <c r="BB48" s="62">
        <v>1565000</v>
      </c>
      <c r="BC48" s="62">
        <v>11010096</v>
      </c>
      <c r="BD48" s="62">
        <v>1257510</v>
      </c>
      <c r="BE48" s="62">
        <v>1760513</v>
      </c>
      <c r="BF48" s="62">
        <v>1320000</v>
      </c>
      <c r="BG48" s="67">
        <v>4098284</v>
      </c>
      <c r="BH48" s="62">
        <v>5087670</v>
      </c>
      <c r="BI48" s="62">
        <v>774265</v>
      </c>
      <c r="BJ48" s="47">
        <f t="shared" si="112"/>
        <v>43483338</v>
      </c>
      <c r="BK48" s="69">
        <f t="shared" si="90"/>
        <v>70084.38818565401</v>
      </c>
      <c r="BL48" s="70">
        <f t="shared" si="91"/>
        <v>6603.3755274261603</v>
      </c>
      <c r="BM48" s="70">
        <f t="shared" si="92"/>
        <v>46456.101265822785</v>
      </c>
      <c r="BN48" s="70">
        <f t="shared" si="93"/>
        <v>5305.9493670886077</v>
      </c>
      <c r="BO48" s="70">
        <f t="shared" si="94"/>
        <v>7428.3248945147679</v>
      </c>
      <c r="BP48" s="70">
        <f t="shared" si="100"/>
        <v>5569.6202531645567</v>
      </c>
      <c r="BQ48" s="70">
        <f t="shared" si="113"/>
        <v>17292.337552742618</v>
      </c>
      <c r="BR48" s="70">
        <f t="shared" si="83"/>
        <v>21466.962025316454</v>
      </c>
      <c r="BS48" s="70">
        <f t="shared" si="84"/>
        <v>3266.9409282700421</v>
      </c>
      <c r="BT48" s="71">
        <f t="shared" si="85"/>
        <v>183474</v>
      </c>
      <c r="BU48" s="65">
        <f t="shared" si="95"/>
        <v>68.824635987701896</v>
      </c>
      <c r="BV48" s="48">
        <f t="shared" si="96"/>
        <v>6.4846812354457235</v>
      </c>
      <c r="BW48" s="48">
        <f t="shared" si="97"/>
        <v>45.62106257613803</v>
      </c>
      <c r="BX48" s="48">
        <f t="shared" si="98"/>
        <v>5.2105760385848896</v>
      </c>
      <c r="BY48" s="48">
        <f t="shared" si="99"/>
        <v>7.2948023104525603</v>
      </c>
      <c r="BZ48" s="48">
        <f t="shared" si="101"/>
        <v>5.4695074957114089</v>
      </c>
      <c r="CA48" s="48">
        <f t="shared" si="114"/>
        <v>16.981511407237981</v>
      </c>
      <c r="CB48" s="48">
        <f t="shared" si="87"/>
        <v>21.081097879322776</v>
      </c>
      <c r="CC48" s="48">
        <f t="shared" si="88"/>
        <v>3.2082183493689347</v>
      </c>
      <c r="CD48" s="47">
        <f t="shared" si="89"/>
        <v>180.17609327996419</v>
      </c>
      <c r="CE48" s="66">
        <v>2437356</v>
      </c>
      <c r="CF48" s="62">
        <v>0</v>
      </c>
      <c r="CG48" s="74">
        <v>-182802</v>
      </c>
      <c r="CH48" s="75">
        <f t="shared" si="115"/>
        <v>2254554</v>
      </c>
      <c r="CI48" s="62">
        <f>211897+37520+9480</f>
        <v>258897</v>
      </c>
      <c r="CJ48" s="62">
        <v>100572</v>
      </c>
      <c r="CK48" s="62">
        <v>471258</v>
      </c>
      <c r="CL48" s="62">
        <f>52100+0</f>
        <v>52100</v>
      </c>
      <c r="CM48" s="62">
        <f>35364+204312</f>
        <v>239676</v>
      </c>
      <c r="CN48" s="62">
        <v>82950</v>
      </c>
      <c r="CO48" s="62">
        <v>0</v>
      </c>
      <c r="CP48" s="75">
        <f t="shared" si="3"/>
        <v>1205453</v>
      </c>
      <c r="CQ48" s="62">
        <v>71100</v>
      </c>
      <c r="CR48" s="75">
        <f t="shared" si="4"/>
        <v>1276553</v>
      </c>
      <c r="CS48" s="75">
        <f t="shared" si="116"/>
        <v>1049101</v>
      </c>
      <c r="CT48" s="62">
        <f>3000+29098+818824</f>
        <v>850922</v>
      </c>
      <c r="CU48" s="47">
        <f t="shared" si="117"/>
        <v>198179</v>
      </c>
      <c r="CV48" s="76">
        <f t="shared" si="118"/>
        <v>0.46532529271864859</v>
      </c>
      <c r="CW48" s="75">
        <f t="shared" si="119"/>
        <v>5386.2995780590718</v>
      </c>
      <c r="CX48" s="77">
        <f t="shared" si="120"/>
        <v>0.56621087807167181</v>
      </c>
      <c r="CY48" s="75">
        <f t="shared" si="121"/>
        <v>836.19831223628694</v>
      </c>
      <c r="CZ48" s="77">
        <f t="shared" si="122"/>
        <v>8.7901642630870677E-2</v>
      </c>
      <c r="DA48" s="77">
        <f t="shared" si="123"/>
        <v>0.3774236500877779</v>
      </c>
      <c r="DB48" s="47">
        <f t="shared" si="124"/>
        <v>57775.746835443038</v>
      </c>
      <c r="DC48" s="69">
        <f t="shared" si="125"/>
        <v>10284.202531645569</v>
      </c>
      <c r="DD48" s="70" t="str">
        <f t="shared" si="126"/>
        <v/>
      </c>
      <c r="DE48" s="70">
        <f t="shared" si="127"/>
        <v>-771.31645569620252</v>
      </c>
      <c r="DF48" s="70">
        <f t="shared" si="128"/>
        <v>9512.8860759493673</v>
      </c>
      <c r="DG48" s="70">
        <f t="shared" si="129"/>
        <v>1092.3924050632911</v>
      </c>
      <c r="DH48" s="70">
        <f t="shared" si="130"/>
        <v>424.35443037974682</v>
      </c>
      <c r="DI48" s="70">
        <f t="shared" si="131"/>
        <v>1988.4303797468353</v>
      </c>
      <c r="DJ48" s="70">
        <f t="shared" si="132"/>
        <v>219.83122362869199</v>
      </c>
      <c r="DK48" s="70">
        <f t="shared" si="133"/>
        <v>1011.2911392405064</v>
      </c>
      <c r="DL48" s="70">
        <f t="shared" si="134"/>
        <v>350</v>
      </c>
      <c r="DM48" s="70" t="str">
        <f t="shared" si="135"/>
        <v/>
      </c>
      <c r="DN48" s="70">
        <f t="shared" si="136"/>
        <v>5086.2995780590718</v>
      </c>
      <c r="DO48" s="70">
        <f t="shared" si="137"/>
        <v>300</v>
      </c>
      <c r="DP48" s="70">
        <f t="shared" si="138"/>
        <v>5386.2995780590718</v>
      </c>
      <c r="DQ48" s="70">
        <f t="shared" si="139"/>
        <v>4426.5864978902955</v>
      </c>
      <c r="DR48" s="70">
        <f t="shared" si="140"/>
        <v>3590.3881856540083</v>
      </c>
      <c r="DS48" s="71">
        <f t="shared" si="141"/>
        <v>836.19831223628694</v>
      </c>
      <c r="DT48" s="106">
        <f t="shared" si="142"/>
        <v>1.0810812249340669</v>
      </c>
      <c r="DU48" s="92" t="str">
        <f t="shared" si="143"/>
        <v/>
      </c>
      <c r="DV48" s="92" t="str">
        <f t="shared" si="144"/>
        <v/>
      </c>
      <c r="DW48" s="92">
        <f t="shared" si="145"/>
        <v>1</v>
      </c>
      <c r="DX48" s="92">
        <f t="shared" si="146"/>
        <v>0.11483291152041601</v>
      </c>
      <c r="DY48" s="92">
        <f t="shared" si="147"/>
        <v>4.46083793069494E-2</v>
      </c>
      <c r="DZ48" s="92">
        <f t="shared" si="148"/>
        <v>0.20902493353452611</v>
      </c>
      <c r="EA48" s="92">
        <f t="shared" si="149"/>
        <v>2.3108783377998487E-2</v>
      </c>
      <c r="EB48" s="92">
        <f t="shared" si="150"/>
        <v>0.10630750028608763</v>
      </c>
      <c r="EC48" s="92">
        <f t="shared" si="151"/>
        <v>3.6792199255373789E-2</v>
      </c>
      <c r="ED48" s="92" t="str">
        <f t="shared" si="152"/>
        <v/>
      </c>
      <c r="EE48" s="92">
        <f t="shared" si="153"/>
        <v>0.53467470728135147</v>
      </c>
      <c r="EF48" s="92">
        <f t="shared" si="154"/>
        <v>3.1536170790320395E-2</v>
      </c>
      <c r="EG48" s="92">
        <f t="shared" si="155"/>
        <v>0.56621087807167181</v>
      </c>
      <c r="EH48" s="92">
        <f t="shared" si="156"/>
        <v>0.46532529271864859</v>
      </c>
      <c r="EI48" s="92">
        <f t="shared" si="157"/>
        <v>0.3774236500877779</v>
      </c>
      <c r="EJ48" s="122">
        <f t="shared" si="158"/>
        <v>8.7901642630870677E-2</v>
      </c>
    </row>
    <row r="49" spans="2:140" ht="12" hidden="1" customHeight="1" outlineLevel="1">
      <c r="B49" s="121">
        <v>44860</v>
      </c>
      <c r="C49" s="117">
        <v>21017</v>
      </c>
      <c r="D49" s="50" t="s">
        <v>412</v>
      </c>
      <c r="E49" s="50" t="s">
        <v>413</v>
      </c>
      <c r="F49" s="50" t="s">
        <v>414</v>
      </c>
      <c r="G49" s="50" t="s">
        <v>291</v>
      </c>
      <c r="H49" s="50" t="s">
        <v>415</v>
      </c>
      <c r="I49" s="51" t="s">
        <v>226</v>
      </c>
      <c r="J49" s="52" t="s">
        <v>191</v>
      </c>
      <c r="K49" s="50" t="s">
        <v>192</v>
      </c>
      <c r="L49" s="49">
        <v>3</v>
      </c>
      <c r="M49" s="50" t="s">
        <v>159</v>
      </c>
      <c r="N49" s="50" t="s">
        <v>160</v>
      </c>
      <c r="O49" s="50" t="s">
        <v>160</v>
      </c>
      <c r="P49" s="50" t="s">
        <v>231</v>
      </c>
      <c r="Q49" s="53">
        <v>0.09</v>
      </c>
      <c r="R49" s="49">
        <f>210-65</f>
        <v>145</v>
      </c>
      <c r="S49" s="49">
        <v>65</v>
      </c>
      <c r="T49" s="54">
        <f t="shared" si="0"/>
        <v>210</v>
      </c>
      <c r="U49" s="55">
        <v>178872</v>
      </c>
      <c r="V49" s="49">
        <v>8.4</v>
      </c>
      <c r="W49" s="56">
        <f t="shared" si="102"/>
        <v>25</v>
      </c>
      <c r="X49" s="49" t="s">
        <v>163</v>
      </c>
      <c r="Y49" s="57" t="s">
        <v>249</v>
      </c>
      <c r="Z49" s="58">
        <v>33565972</v>
      </c>
      <c r="AA49" s="114">
        <f>(((25421000*0.0365)/(Z49))+((6757472*0)/(Z49))+((477500*0)/(Z49))+((910000*0.0162)/(Z49)))</f>
        <v>2.8082264383703832E-2</v>
      </c>
      <c r="AB49" s="59">
        <v>40</v>
      </c>
      <c r="AC49" s="60">
        <v>40</v>
      </c>
      <c r="AD49" s="61">
        <v>3.6499999999999998E-2</v>
      </c>
      <c r="AE49" s="62">
        <v>25421000</v>
      </c>
      <c r="AF49" s="63">
        <v>1.25</v>
      </c>
      <c r="AG49" s="59">
        <v>40</v>
      </c>
      <c r="AH49" s="60">
        <v>0</v>
      </c>
      <c r="AI49" s="61">
        <v>0</v>
      </c>
      <c r="AJ49" s="64">
        <f>1000000+5757472</f>
        <v>6757472</v>
      </c>
      <c r="AK49" s="65">
        <f t="shared" si="103"/>
        <v>32178472</v>
      </c>
      <c r="AL49" s="62">
        <v>1562500</v>
      </c>
      <c r="AM49" s="49" t="s">
        <v>163</v>
      </c>
      <c r="AN49" s="67">
        <v>0.87</v>
      </c>
      <c r="AO49" s="62">
        <v>51208957</v>
      </c>
      <c r="AP49" s="62">
        <v>0</v>
      </c>
      <c r="AQ49" s="68">
        <v>244725</v>
      </c>
      <c r="AR49" s="69">
        <f t="shared" si="104"/>
        <v>153230.81904761904</v>
      </c>
      <c r="AS49" s="70" t="str">
        <f>IFERROR(IF(#REF!&gt;0,#REF!/T49,""),"")</f>
        <v/>
      </c>
      <c r="AT49" s="70">
        <f t="shared" si="105"/>
        <v>243852.1761904762</v>
      </c>
      <c r="AU49" s="70">
        <f t="shared" si="106"/>
        <v>7440.4761904761908</v>
      </c>
      <c r="AV49" s="71">
        <f t="shared" si="107"/>
        <v>1165.3571428571429</v>
      </c>
      <c r="AW49" s="115">
        <f t="shared" si="108"/>
        <v>136740</v>
      </c>
      <c r="AX49" s="116">
        <f t="shared" si="109"/>
        <v>160.53602576143834</v>
      </c>
      <c r="AY49" s="72">
        <f t="shared" si="110"/>
        <v>163604.54761904763</v>
      </c>
      <c r="AZ49" s="73">
        <f t="shared" si="111"/>
        <v>192.07564627219463</v>
      </c>
      <c r="BA49" s="66">
        <v>910000</v>
      </c>
      <c r="BB49" s="62">
        <v>5063000</v>
      </c>
      <c r="BC49" s="62">
        <v>23652400</v>
      </c>
      <c r="BD49" s="62">
        <v>1612757</v>
      </c>
      <c r="BE49" s="62">
        <v>4028798</v>
      </c>
      <c r="BF49" s="62">
        <v>5031150</v>
      </c>
      <c r="BG49" s="67">
        <v>2212268</v>
      </c>
      <c r="BH49" s="62">
        <v>5892514</v>
      </c>
      <c r="BI49" s="62">
        <v>1846000</v>
      </c>
      <c r="BJ49" s="47">
        <f t="shared" si="112"/>
        <v>50248887</v>
      </c>
      <c r="BK49" s="69">
        <f t="shared" si="90"/>
        <v>4333.333333333333</v>
      </c>
      <c r="BL49" s="70">
        <f t="shared" si="91"/>
        <v>24109.523809523809</v>
      </c>
      <c r="BM49" s="70">
        <f t="shared" si="92"/>
        <v>112630.47619047618</v>
      </c>
      <c r="BN49" s="70">
        <f t="shared" si="93"/>
        <v>7679.7952380952383</v>
      </c>
      <c r="BO49" s="70">
        <f t="shared" si="94"/>
        <v>19184.752380952381</v>
      </c>
      <c r="BP49" s="70">
        <f t="shared" si="100"/>
        <v>23957.857142857141</v>
      </c>
      <c r="BQ49" s="70">
        <f t="shared" si="113"/>
        <v>10534.609523809524</v>
      </c>
      <c r="BR49" s="70">
        <f t="shared" si="83"/>
        <v>28059.590476190475</v>
      </c>
      <c r="BS49" s="70">
        <f t="shared" si="84"/>
        <v>8790.4761904761908</v>
      </c>
      <c r="BT49" s="71">
        <f t="shared" si="85"/>
        <v>239280.41428571427</v>
      </c>
      <c r="BU49" s="65">
        <f t="shared" si="95"/>
        <v>5.0874368263339145</v>
      </c>
      <c r="BV49" s="48">
        <f t="shared" si="96"/>
        <v>28.30515676014133</v>
      </c>
      <c r="BW49" s="48">
        <f t="shared" si="97"/>
        <v>132.23086900129701</v>
      </c>
      <c r="BX49" s="48">
        <f t="shared" si="98"/>
        <v>9.0162630260745118</v>
      </c>
      <c r="BY49" s="48">
        <f t="shared" si="99"/>
        <v>22.523357484681785</v>
      </c>
      <c r="BZ49" s="48">
        <f t="shared" si="101"/>
        <v>28.127096471219645</v>
      </c>
      <c r="CA49" s="48">
        <f t="shared" si="114"/>
        <v>12.367883179033052</v>
      </c>
      <c r="CB49" s="48">
        <f t="shared" si="87"/>
        <v>32.942629366250728</v>
      </c>
      <c r="CC49" s="48">
        <f t="shared" si="88"/>
        <v>10.320228990563084</v>
      </c>
      <c r="CD49" s="47">
        <f t="shared" si="89"/>
        <v>280.92092110559508</v>
      </c>
      <c r="CE49" s="66">
        <v>2951592</v>
      </c>
      <c r="CF49" s="62">
        <v>13424</v>
      </c>
      <c r="CG49" s="74">
        <v>-222376</v>
      </c>
      <c r="CH49" s="75">
        <f t="shared" si="115"/>
        <v>2742640</v>
      </c>
      <c r="CI49" s="62">
        <f>113096+72372+0+5800</f>
        <v>191268</v>
      </c>
      <c r="CJ49" s="62">
        <v>96990</v>
      </c>
      <c r="CK49" s="62">
        <v>287980</v>
      </c>
      <c r="CL49" s="62">
        <f>143094+101228</f>
        <v>244322</v>
      </c>
      <c r="CM49" s="62">
        <f>36444+154523</f>
        <v>190967</v>
      </c>
      <c r="CN49" s="62">
        <v>105000</v>
      </c>
      <c r="CO49" s="62">
        <v>0</v>
      </c>
      <c r="CP49" s="75">
        <f t="shared" si="3"/>
        <v>1116527</v>
      </c>
      <c r="CQ49" s="62">
        <v>73500</v>
      </c>
      <c r="CR49" s="75">
        <f t="shared" si="4"/>
        <v>1190027</v>
      </c>
      <c r="CS49" s="75">
        <f t="shared" si="116"/>
        <v>1626113</v>
      </c>
      <c r="CT49" s="62">
        <f>100+1298317</f>
        <v>1298417</v>
      </c>
      <c r="CU49" s="47">
        <f t="shared" si="117"/>
        <v>327696</v>
      </c>
      <c r="CV49" s="76">
        <f t="shared" si="118"/>
        <v>0.59290063588367414</v>
      </c>
      <c r="CW49" s="75">
        <f t="shared" si="119"/>
        <v>5666.7952380952383</v>
      </c>
      <c r="CX49" s="77">
        <f t="shared" si="120"/>
        <v>0.4338983607035557</v>
      </c>
      <c r="CY49" s="75">
        <f t="shared" si="121"/>
        <v>1560.4571428571428</v>
      </c>
      <c r="CZ49" s="77">
        <f t="shared" si="122"/>
        <v>0.11948195898841991</v>
      </c>
      <c r="DA49" s="77">
        <f t="shared" si="123"/>
        <v>0.47341867689525419</v>
      </c>
      <c r="DB49" s="47">
        <f t="shared" si="124"/>
        <v>153230.81904761904</v>
      </c>
      <c r="DC49" s="69">
        <f t="shared" si="125"/>
        <v>14055.2</v>
      </c>
      <c r="DD49" s="70">
        <f t="shared" si="126"/>
        <v>63.923809523809524</v>
      </c>
      <c r="DE49" s="70">
        <f t="shared" si="127"/>
        <v>-1058.9333333333334</v>
      </c>
      <c r="DF49" s="70">
        <f t="shared" si="128"/>
        <v>13060.190476190477</v>
      </c>
      <c r="DG49" s="70">
        <f t="shared" si="129"/>
        <v>910.8</v>
      </c>
      <c r="DH49" s="70">
        <f t="shared" si="130"/>
        <v>461.85714285714283</v>
      </c>
      <c r="DI49" s="70">
        <f t="shared" si="131"/>
        <v>1371.3333333333333</v>
      </c>
      <c r="DJ49" s="70">
        <f t="shared" si="132"/>
        <v>1163.4380952380952</v>
      </c>
      <c r="DK49" s="70">
        <f t="shared" si="133"/>
        <v>909.36666666666667</v>
      </c>
      <c r="DL49" s="70">
        <f t="shared" si="134"/>
        <v>500</v>
      </c>
      <c r="DM49" s="70" t="str">
        <f t="shared" si="135"/>
        <v/>
      </c>
      <c r="DN49" s="70">
        <f t="shared" si="136"/>
        <v>5316.7952380952383</v>
      </c>
      <c r="DO49" s="70">
        <f t="shared" si="137"/>
        <v>350</v>
      </c>
      <c r="DP49" s="70">
        <f t="shared" si="138"/>
        <v>5666.7952380952383</v>
      </c>
      <c r="DQ49" s="70">
        <f t="shared" si="139"/>
        <v>7743.3952380952378</v>
      </c>
      <c r="DR49" s="70">
        <f t="shared" si="140"/>
        <v>6182.9380952380952</v>
      </c>
      <c r="DS49" s="71">
        <f t="shared" si="141"/>
        <v>1560.4571428571428</v>
      </c>
      <c r="DT49" s="106">
        <f t="shared" si="142"/>
        <v>1.0761864480938075</v>
      </c>
      <c r="DU49" s="92">
        <f t="shared" si="143"/>
        <v>4.8945541522037164E-3</v>
      </c>
      <c r="DV49" s="92" t="str">
        <f t="shared" si="144"/>
        <v/>
      </c>
      <c r="DW49" s="92">
        <f t="shared" si="145"/>
        <v>1</v>
      </c>
      <c r="DX49" s="92">
        <f t="shared" si="146"/>
        <v>6.9738645976139782E-2</v>
      </c>
      <c r="DY49" s="92">
        <f t="shared" si="147"/>
        <v>3.5363737129189395E-2</v>
      </c>
      <c r="DZ49" s="92">
        <f t="shared" si="148"/>
        <v>0.10500102091415571</v>
      </c>
      <c r="EA49" s="92">
        <f t="shared" si="149"/>
        <v>8.9082781553539658E-2</v>
      </c>
      <c r="EB49" s="92">
        <f t="shared" si="150"/>
        <v>6.9628897704401602E-2</v>
      </c>
      <c r="EC49" s="92">
        <f t="shared" si="151"/>
        <v>3.8284280838899745E-2</v>
      </c>
      <c r="ED49" s="92" t="str">
        <f t="shared" si="152"/>
        <v/>
      </c>
      <c r="EE49" s="92">
        <f t="shared" si="153"/>
        <v>0.40709936411632586</v>
      </c>
      <c r="EF49" s="92">
        <f t="shared" si="154"/>
        <v>2.6798996587229822E-2</v>
      </c>
      <c r="EG49" s="92">
        <f t="shared" si="155"/>
        <v>0.4338983607035557</v>
      </c>
      <c r="EH49" s="92">
        <f t="shared" si="156"/>
        <v>0.59290063588367414</v>
      </c>
      <c r="EI49" s="92">
        <f t="shared" si="157"/>
        <v>0.47341867689525419</v>
      </c>
      <c r="EJ49" s="122">
        <f t="shared" si="158"/>
        <v>0.11948195898841991</v>
      </c>
    </row>
    <row r="50" spans="2:140" ht="12" hidden="1" customHeight="1" outlineLevel="1">
      <c r="B50" s="121">
        <v>44860</v>
      </c>
      <c r="C50" s="117">
        <v>22455</v>
      </c>
      <c r="D50" s="50" t="s">
        <v>416</v>
      </c>
      <c r="E50" s="50" t="s">
        <v>417</v>
      </c>
      <c r="F50" s="50" t="s">
        <v>163</v>
      </c>
      <c r="G50" s="50" t="s">
        <v>154</v>
      </c>
      <c r="H50" s="50" t="s">
        <v>418</v>
      </c>
      <c r="I50" s="51" t="s">
        <v>419</v>
      </c>
      <c r="J50" s="52" t="s">
        <v>360</v>
      </c>
      <c r="K50" s="50" t="s">
        <v>294</v>
      </c>
      <c r="L50" s="49">
        <v>7</v>
      </c>
      <c r="M50" s="50" t="s">
        <v>159</v>
      </c>
      <c r="N50" s="50" t="s">
        <v>185</v>
      </c>
      <c r="O50" s="50" t="s">
        <v>160</v>
      </c>
      <c r="P50" s="50" t="s">
        <v>273</v>
      </c>
      <c r="Q50" s="53">
        <v>0.04</v>
      </c>
      <c r="R50" s="49">
        <v>27</v>
      </c>
      <c r="S50" s="49">
        <v>0</v>
      </c>
      <c r="T50" s="54">
        <f t="shared" si="0"/>
        <v>27</v>
      </c>
      <c r="U50" s="55">
        <v>17883</v>
      </c>
      <c r="V50" s="49">
        <v>0.18060000000000001</v>
      </c>
      <c r="W50" s="56">
        <f t="shared" si="102"/>
        <v>149.50166112956811</v>
      </c>
      <c r="X50" s="49" t="s">
        <v>163</v>
      </c>
      <c r="Y50" s="57" t="s">
        <v>162</v>
      </c>
      <c r="Z50" s="58">
        <v>1662400</v>
      </c>
      <c r="AA50" s="114">
        <v>4.2500000000000003E-2</v>
      </c>
      <c r="AB50" s="59">
        <v>40</v>
      </c>
      <c r="AC50" s="60">
        <v>40</v>
      </c>
      <c r="AD50" s="61">
        <v>4.2500000000000003E-2</v>
      </c>
      <c r="AE50" s="62">
        <v>1652400</v>
      </c>
      <c r="AF50" s="63">
        <v>1.1499999999999999</v>
      </c>
      <c r="AG50" s="59"/>
      <c r="AH50" s="60"/>
      <c r="AI50" s="61"/>
      <c r="AJ50" s="64"/>
      <c r="AK50" s="65">
        <f t="shared" si="103"/>
        <v>1652400</v>
      </c>
      <c r="AL50" s="62">
        <v>9712810</v>
      </c>
      <c r="AM50" s="49" t="s">
        <v>163</v>
      </c>
      <c r="AN50" s="67">
        <v>0.9</v>
      </c>
      <c r="AO50" s="62">
        <v>5775578</v>
      </c>
      <c r="AP50" s="62">
        <v>0</v>
      </c>
      <c r="AQ50" s="68">
        <v>159662</v>
      </c>
      <c r="AR50" s="69">
        <f t="shared" si="104"/>
        <v>61200</v>
      </c>
      <c r="AS50" s="70" t="str">
        <f>IFERROR(IF(#REF!&gt;0,#REF!/T50,""),"")</f>
        <v/>
      </c>
      <c r="AT50" s="70">
        <f t="shared" si="105"/>
        <v>213910.29629629629</v>
      </c>
      <c r="AU50" s="70">
        <f t="shared" si="106"/>
        <v>359733.70370370371</v>
      </c>
      <c r="AV50" s="71">
        <f t="shared" si="107"/>
        <v>5913.4074074074078</v>
      </c>
      <c r="AW50" s="115">
        <f t="shared" si="108"/>
        <v>414837.37037037039</v>
      </c>
      <c r="AX50" s="116">
        <f t="shared" si="109"/>
        <v>626.32718224011626</v>
      </c>
      <c r="AY50" s="72">
        <f t="shared" si="110"/>
        <v>505162.11111111107</v>
      </c>
      <c r="AZ50" s="73">
        <f t="shared" si="111"/>
        <v>762.7007213554773</v>
      </c>
      <c r="BA50" s="66">
        <v>510000</v>
      </c>
      <c r="BB50" s="62">
        <v>685384</v>
      </c>
      <c r="BC50" s="62">
        <v>10515225</v>
      </c>
      <c r="BD50" s="62">
        <v>784042</v>
      </c>
      <c r="BE50" s="62">
        <v>1654726</v>
      </c>
      <c r="BF50" s="62">
        <v>1008425</v>
      </c>
      <c r="BG50" s="67">
        <v>1296805</v>
      </c>
      <c r="BH50" s="62">
        <v>975000</v>
      </c>
      <c r="BI50" s="62">
        <v>206043</v>
      </c>
      <c r="BJ50" s="47">
        <f t="shared" si="112"/>
        <v>17635650</v>
      </c>
      <c r="BK50" s="69">
        <f t="shared" si="90"/>
        <v>18888.888888888891</v>
      </c>
      <c r="BL50" s="70">
        <f t="shared" si="91"/>
        <v>25384.592592592591</v>
      </c>
      <c r="BM50" s="70">
        <f t="shared" si="92"/>
        <v>389452.77777777775</v>
      </c>
      <c r="BN50" s="70">
        <f t="shared" si="93"/>
        <v>29038.592592592591</v>
      </c>
      <c r="BO50" s="70">
        <f t="shared" si="94"/>
        <v>61286.148148148146</v>
      </c>
      <c r="BP50" s="70">
        <f t="shared" si="100"/>
        <v>37349.074074074073</v>
      </c>
      <c r="BQ50" s="70">
        <f t="shared" si="113"/>
        <v>48029.814814814818</v>
      </c>
      <c r="BR50" s="70">
        <f t="shared" si="83"/>
        <v>36111.111111111109</v>
      </c>
      <c r="BS50" s="70">
        <f t="shared" si="84"/>
        <v>7631.2222222222226</v>
      </c>
      <c r="BT50" s="71">
        <f t="shared" si="85"/>
        <v>653172.22222222225</v>
      </c>
      <c r="BU50" s="65">
        <f t="shared" si="95"/>
        <v>28.518704915282672</v>
      </c>
      <c r="BV50" s="48">
        <f t="shared" si="96"/>
        <v>38.326007940502151</v>
      </c>
      <c r="BW50" s="48">
        <f t="shared" si="97"/>
        <v>588.00117429961415</v>
      </c>
      <c r="BX50" s="48">
        <f t="shared" si="98"/>
        <v>43.84286752781972</v>
      </c>
      <c r="BY50" s="48">
        <f t="shared" si="99"/>
        <v>92.530671587541235</v>
      </c>
      <c r="BZ50" s="48">
        <f t="shared" si="101"/>
        <v>56.390147067046918</v>
      </c>
      <c r="CA50" s="48">
        <f t="shared" si="114"/>
        <v>72.516076720908131</v>
      </c>
      <c r="CB50" s="48">
        <f t="shared" si="87"/>
        <v>54.521053514510989</v>
      </c>
      <c r="CC50" s="48">
        <f t="shared" si="88"/>
        <v>11.521724542861936</v>
      </c>
      <c r="CD50" s="47">
        <f t="shared" si="89"/>
        <v>986.16842811608785</v>
      </c>
      <c r="CE50" s="66">
        <v>270096</v>
      </c>
      <c r="CF50" s="62">
        <v>1716</v>
      </c>
      <c r="CG50" s="74">
        <v>-13591</v>
      </c>
      <c r="CH50" s="75">
        <f t="shared" si="115"/>
        <v>258221</v>
      </c>
      <c r="CI50" s="62">
        <f>10700+4680+1080</f>
        <v>16460</v>
      </c>
      <c r="CJ50" s="62">
        <v>12911</v>
      </c>
      <c r="CK50" s="62">
        <v>0</v>
      </c>
      <c r="CL50" s="62">
        <f>34200+0</f>
        <v>34200</v>
      </c>
      <c r="CM50" s="62">
        <f>24362+17369</f>
        <v>41731</v>
      </c>
      <c r="CN50" s="62">
        <v>25200</v>
      </c>
      <c r="CO50" s="62">
        <v>8000</v>
      </c>
      <c r="CP50" s="75">
        <f t="shared" si="3"/>
        <v>138502</v>
      </c>
      <c r="CQ50" s="62">
        <v>9450</v>
      </c>
      <c r="CR50" s="75">
        <f t="shared" si="4"/>
        <v>147952</v>
      </c>
      <c r="CS50" s="75">
        <f t="shared" si="116"/>
        <v>119719</v>
      </c>
      <c r="CT50" s="62">
        <f>4000+2500+(90658-545)</f>
        <v>96613</v>
      </c>
      <c r="CU50" s="47">
        <f t="shared" si="117"/>
        <v>23106</v>
      </c>
      <c r="CV50" s="76">
        <f t="shared" si="118"/>
        <v>0.46362999136398664</v>
      </c>
      <c r="CW50" s="75">
        <f t="shared" si="119"/>
        <v>5479.7037037037035</v>
      </c>
      <c r="CX50" s="77">
        <f t="shared" si="120"/>
        <v>0.57296656739769425</v>
      </c>
      <c r="CY50" s="75">
        <f t="shared" si="121"/>
        <v>855.77777777777783</v>
      </c>
      <c r="CZ50" s="77">
        <f t="shared" si="122"/>
        <v>8.948149066110038E-2</v>
      </c>
      <c r="DA50" s="77">
        <f t="shared" si="123"/>
        <v>0.3741485007028863</v>
      </c>
      <c r="DB50" s="47">
        <f t="shared" si="124"/>
        <v>61200</v>
      </c>
      <c r="DC50" s="69">
        <f t="shared" si="125"/>
        <v>10003.555555555555</v>
      </c>
      <c r="DD50" s="70">
        <f t="shared" si="126"/>
        <v>63.555555555555557</v>
      </c>
      <c r="DE50" s="70">
        <f t="shared" si="127"/>
        <v>-503.37037037037038</v>
      </c>
      <c r="DF50" s="70">
        <f t="shared" si="128"/>
        <v>9563.7407407407409</v>
      </c>
      <c r="DG50" s="70">
        <f t="shared" si="129"/>
        <v>609.62962962962968</v>
      </c>
      <c r="DH50" s="70">
        <f t="shared" si="130"/>
        <v>478.18518518518516</v>
      </c>
      <c r="DI50" s="70" t="str">
        <f t="shared" si="131"/>
        <v/>
      </c>
      <c r="DJ50" s="70">
        <f t="shared" si="132"/>
        <v>1266.6666666666667</v>
      </c>
      <c r="DK50" s="70">
        <f t="shared" si="133"/>
        <v>1545.5925925925926</v>
      </c>
      <c r="DL50" s="70">
        <f t="shared" si="134"/>
        <v>933.33333333333337</v>
      </c>
      <c r="DM50" s="70">
        <f t="shared" si="135"/>
        <v>296.2962962962963</v>
      </c>
      <c r="DN50" s="70">
        <f t="shared" si="136"/>
        <v>5129.7037037037035</v>
      </c>
      <c r="DO50" s="70">
        <f t="shared" si="137"/>
        <v>350</v>
      </c>
      <c r="DP50" s="70">
        <f t="shared" si="138"/>
        <v>5479.7037037037035</v>
      </c>
      <c r="DQ50" s="70">
        <f t="shared" si="139"/>
        <v>4434.0370370370374</v>
      </c>
      <c r="DR50" s="70">
        <f t="shared" si="140"/>
        <v>3578.2592592592591</v>
      </c>
      <c r="DS50" s="71">
        <f t="shared" si="141"/>
        <v>855.77777777777783</v>
      </c>
      <c r="DT50" s="106">
        <f t="shared" si="142"/>
        <v>1.0459877391846519</v>
      </c>
      <c r="DU50" s="92">
        <f t="shared" si="143"/>
        <v>6.6454703529147509E-3</v>
      </c>
      <c r="DV50" s="92" t="str">
        <f t="shared" si="144"/>
        <v/>
      </c>
      <c r="DW50" s="92">
        <f t="shared" si="145"/>
        <v>1</v>
      </c>
      <c r="DX50" s="92">
        <f t="shared" si="146"/>
        <v>6.3743847324578565E-2</v>
      </c>
      <c r="DY50" s="92">
        <f t="shared" si="147"/>
        <v>4.9999806367413961E-2</v>
      </c>
      <c r="DZ50" s="92" t="str">
        <f t="shared" si="148"/>
        <v/>
      </c>
      <c r="EA50" s="92">
        <f t="shared" si="149"/>
        <v>0.1324446888517975</v>
      </c>
      <c r="EB50" s="92">
        <f t="shared" si="150"/>
        <v>0.16160962896123862</v>
      </c>
      <c r="EC50" s="92">
        <f t="shared" si="151"/>
        <v>9.7590823364482368E-2</v>
      </c>
      <c r="ED50" s="92">
        <f t="shared" si="152"/>
        <v>3.0981213766502338E-2</v>
      </c>
      <c r="EE50" s="92">
        <f t="shared" si="153"/>
        <v>0.53637000863601336</v>
      </c>
      <c r="EF50" s="92">
        <f t="shared" si="154"/>
        <v>3.6596558761680886E-2</v>
      </c>
      <c r="EG50" s="92">
        <f t="shared" si="155"/>
        <v>0.57296656739769425</v>
      </c>
      <c r="EH50" s="92">
        <f t="shared" si="156"/>
        <v>0.46362999136398664</v>
      </c>
      <c r="EI50" s="92">
        <f t="shared" si="157"/>
        <v>0.3741485007028863</v>
      </c>
      <c r="EJ50" s="122">
        <f t="shared" si="158"/>
        <v>8.948149066110038E-2</v>
      </c>
    </row>
    <row r="51" spans="2:140" ht="12" hidden="1" customHeight="1" outlineLevel="1">
      <c r="B51" s="121">
        <v>44874</v>
      </c>
      <c r="C51" s="117" t="s">
        <v>420</v>
      </c>
      <c r="D51" s="50" t="s">
        <v>421</v>
      </c>
      <c r="E51" s="50" t="s">
        <v>422</v>
      </c>
      <c r="F51" s="50" t="s">
        <v>423</v>
      </c>
      <c r="G51" s="50" t="s">
        <v>154</v>
      </c>
      <c r="H51" s="50" t="s">
        <v>424</v>
      </c>
      <c r="I51" s="51" t="s">
        <v>401</v>
      </c>
      <c r="J51" s="52" t="s">
        <v>175</v>
      </c>
      <c r="K51" s="50" t="s">
        <v>176</v>
      </c>
      <c r="L51" s="49">
        <v>6</v>
      </c>
      <c r="M51" s="50" t="s">
        <v>159</v>
      </c>
      <c r="N51" s="50" t="s">
        <v>160</v>
      </c>
      <c r="O51" s="50" t="s">
        <v>318</v>
      </c>
      <c r="P51" s="50" t="s">
        <v>177</v>
      </c>
      <c r="Q51" s="53">
        <v>0.09</v>
      </c>
      <c r="R51" s="49">
        <v>72</v>
      </c>
      <c r="S51" s="49">
        <v>8</v>
      </c>
      <c r="T51" s="54">
        <f t="shared" si="0"/>
        <v>80</v>
      </c>
      <c r="U51" s="55">
        <v>70352</v>
      </c>
      <c r="V51" s="49">
        <v>3.16</v>
      </c>
      <c r="W51" s="56">
        <f t="shared" si="102"/>
        <v>25.316455696202532</v>
      </c>
      <c r="X51" s="49" t="s">
        <v>163</v>
      </c>
      <c r="Y51" s="57" t="s">
        <v>162</v>
      </c>
      <c r="Z51" s="58">
        <v>8312500</v>
      </c>
      <c r="AA51" s="114">
        <f>(((4312000*0.05)/(Z51))+((4000000*0.01)/(Z51))+((500*0)/(Z51)))</f>
        <v>3.0748872180451126E-2</v>
      </c>
      <c r="AB51" s="59">
        <v>18</v>
      </c>
      <c r="AC51" s="60">
        <v>35</v>
      </c>
      <c r="AD51" s="61">
        <v>0.05</v>
      </c>
      <c r="AE51" s="62">
        <v>4312000</v>
      </c>
      <c r="AF51" s="63">
        <v>1.21</v>
      </c>
      <c r="AG51" s="59"/>
      <c r="AH51" s="60"/>
      <c r="AI51" s="61"/>
      <c r="AJ51" s="64"/>
      <c r="AK51" s="65">
        <f t="shared" si="103"/>
        <v>4312000</v>
      </c>
      <c r="AL51" s="62">
        <v>4000500</v>
      </c>
      <c r="AM51" s="49" t="s">
        <v>163</v>
      </c>
      <c r="AN51" s="67">
        <v>0.93</v>
      </c>
      <c r="AO51" s="62">
        <v>23035699</v>
      </c>
      <c r="AP51" s="62">
        <v>0</v>
      </c>
      <c r="AQ51" s="68">
        <v>774593</v>
      </c>
      <c r="AR51" s="69">
        <f t="shared" si="104"/>
        <v>53900</v>
      </c>
      <c r="AS51" s="70" t="str">
        <f>IFERROR(IF(#REF!&gt;0,#REF!/T51,""),"")</f>
        <v/>
      </c>
      <c r="AT51" s="70">
        <f t="shared" si="105"/>
        <v>287946.23749999999</v>
      </c>
      <c r="AU51" s="70">
        <f t="shared" si="106"/>
        <v>50006.25</v>
      </c>
      <c r="AV51" s="71">
        <f t="shared" si="107"/>
        <v>9682.4125000000004</v>
      </c>
      <c r="AW51" s="115">
        <f t="shared" si="108"/>
        <v>123984</v>
      </c>
      <c r="AX51" s="116">
        <f t="shared" si="109"/>
        <v>140.98703661587447</v>
      </c>
      <c r="AY51" s="72">
        <f t="shared" si="110"/>
        <v>150020.63750000001</v>
      </c>
      <c r="AZ51" s="73">
        <f t="shared" si="111"/>
        <v>170.59431146236068</v>
      </c>
      <c r="BA51" s="66">
        <v>3515000</v>
      </c>
      <c r="BB51" s="62">
        <v>2180000</v>
      </c>
      <c r="BC51" s="62">
        <v>7738720</v>
      </c>
      <c r="BD51" s="62">
        <v>694310</v>
      </c>
      <c r="BE51" s="62">
        <v>1388621</v>
      </c>
      <c r="BF51" s="62">
        <v>2760757</v>
      </c>
      <c r="BG51" s="67">
        <v>2080947</v>
      </c>
      <c r="BH51" s="62">
        <v>2332644</v>
      </c>
      <c r="BI51" s="62">
        <v>344699</v>
      </c>
      <c r="BJ51" s="47">
        <f t="shared" si="112"/>
        <v>23035698</v>
      </c>
      <c r="BK51" s="69">
        <f t="shared" si="90"/>
        <v>43937.5</v>
      </c>
      <c r="BL51" s="70">
        <f t="shared" si="91"/>
        <v>27250</v>
      </c>
      <c r="BM51" s="70">
        <f t="shared" si="92"/>
        <v>96734</v>
      </c>
      <c r="BN51" s="70">
        <f t="shared" si="93"/>
        <v>8678.875</v>
      </c>
      <c r="BO51" s="70">
        <f t="shared" si="94"/>
        <v>17357.762500000001</v>
      </c>
      <c r="BP51" s="70">
        <f t="shared" si="100"/>
        <v>34509.462500000001</v>
      </c>
      <c r="BQ51" s="70">
        <f t="shared" si="113"/>
        <v>26011.837500000001</v>
      </c>
      <c r="BR51" s="70">
        <f t="shared" si="83"/>
        <v>29158.05</v>
      </c>
      <c r="BS51" s="70">
        <f t="shared" si="84"/>
        <v>4308.7375000000002</v>
      </c>
      <c r="BT51" s="71">
        <f t="shared" si="85"/>
        <v>287946.22499999998</v>
      </c>
      <c r="BU51" s="65">
        <f t="shared" si="95"/>
        <v>49.963042983852624</v>
      </c>
      <c r="BV51" s="48">
        <f t="shared" si="96"/>
        <v>30.987036615874459</v>
      </c>
      <c r="BW51" s="48">
        <f t="shared" si="97"/>
        <v>110</v>
      </c>
      <c r="BX51" s="48">
        <f t="shared" si="98"/>
        <v>9.8690868774164198</v>
      </c>
      <c r="BY51" s="48">
        <f t="shared" si="99"/>
        <v>19.73818796906982</v>
      </c>
      <c r="BZ51" s="48">
        <f t="shared" si="101"/>
        <v>39.242054241528315</v>
      </c>
      <c r="CA51" s="48">
        <f t="shared" si="114"/>
        <v>29.579073800318398</v>
      </c>
      <c r="CB51" s="48">
        <f t="shared" si="87"/>
        <v>33.156754605412779</v>
      </c>
      <c r="CC51" s="48">
        <f t="shared" si="88"/>
        <v>4.8996332726859224</v>
      </c>
      <c r="CD51" s="47">
        <f t="shared" si="89"/>
        <v>327.43487036615875</v>
      </c>
      <c r="CE51" s="66">
        <v>803376</v>
      </c>
      <c r="CF51" s="62">
        <v>19200</v>
      </c>
      <c r="CG51" s="74">
        <v>-61693</v>
      </c>
      <c r="CH51" s="75">
        <f t="shared" si="115"/>
        <v>760883</v>
      </c>
      <c r="CI51" s="62">
        <f>31120+0+2880</f>
        <v>34000</v>
      </c>
      <c r="CJ51" s="62">
        <v>38044</v>
      </c>
      <c r="CK51" s="62">
        <v>100000</v>
      </c>
      <c r="CL51" s="62">
        <f>48000+0</f>
        <v>48000</v>
      </c>
      <c r="CM51" s="62">
        <f>5600+50400</f>
        <v>56000</v>
      </c>
      <c r="CN51" s="62">
        <v>30000</v>
      </c>
      <c r="CO51" s="62">
        <v>101863</v>
      </c>
      <c r="CP51" s="75">
        <f t="shared" si="3"/>
        <v>407907</v>
      </c>
      <c r="CQ51" s="62">
        <v>20000</v>
      </c>
      <c r="CR51" s="75">
        <f t="shared" si="4"/>
        <v>427907</v>
      </c>
      <c r="CS51" s="75">
        <f t="shared" si="116"/>
        <v>352976</v>
      </c>
      <c r="CT51" s="62">
        <f>2160+286146</f>
        <v>288306</v>
      </c>
      <c r="CU51" s="47">
        <f t="shared" si="117"/>
        <v>64670</v>
      </c>
      <c r="CV51" s="76">
        <f t="shared" si="118"/>
        <v>0.46390312308199816</v>
      </c>
      <c r="CW51" s="75">
        <f t="shared" si="119"/>
        <v>5348.8374999999996</v>
      </c>
      <c r="CX51" s="77">
        <f t="shared" si="120"/>
        <v>0.56238212708129898</v>
      </c>
      <c r="CY51" s="75">
        <f t="shared" si="121"/>
        <v>808.375</v>
      </c>
      <c r="CZ51" s="77">
        <f t="shared" si="122"/>
        <v>8.4993356403021234E-2</v>
      </c>
      <c r="DA51" s="77">
        <f t="shared" si="123"/>
        <v>0.37890976667897691</v>
      </c>
      <c r="DB51" s="47">
        <f t="shared" si="124"/>
        <v>53900</v>
      </c>
      <c r="DC51" s="69">
        <f t="shared" si="125"/>
        <v>10042.200000000001</v>
      </c>
      <c r="DD51" s="70">
        <f t="shared" si="126"/>
        <v>240</v>
      </c>
      <c r="DE51" s="70">
        <f t="shared" si="127"/>
        <v>-771.16250000000002</v>
      </c>
      <c r="DF51" s="70">
        <f t="shared" si="128"/>
        <v>9511.0375000000004</v>
      </c>
      <c r="DG51" s="70">
        <f t="shared" si="129"/>
        <v>425</v>
      </c>
      <c r="DH51" s="70">
        <f t="shared" si="130"/>
        <v>475.55</v>
      </c>
      <c r="DI51" s="70">
        <f t="shared" si="131"/>
        <v>1250</v>
      </c>
      <c r="DJ51" s="70">
        <f t="shared" si="132"/>
        <v>600</v>
      </c>
      <c r="DK51" s="70">
        <f t="shared" si="133"/>
        <v>700</v>
      </c>
      <c r="DL51" s="70">
        <f t="shared" si="134"/>
        <v>375</v>
      </c>
      <c r="DM51" s="70">
        <f t="shared" si="135"/>
        <v>1273.2874999999999</v>
      </c>
      <c r="DN51" s="70">
        <f t="shared" si="136"/>
        <v>5098.8374999999996</v>
      </c>
      <c r="DO51" s="70">
        <f t="shared" si="137"/>
        <v>250</v>
      </c>
      <c r="DP51" s="70">
        <f t="shared" si="138"/>
        <v>5348.8374999999996</v>
      </c>
      <c r="DQ51" s="70">
        <f t="shared" si="139"/>
        <v>4412.2</v>
      </c>
      <c r="DR51" s="70">
        <f t="shared" si="140"/>
        <v>3603.8249999999998</v>
      </c>
      <c r="DS51" s="71">
        <f t="shared" si="141"/>
        <v>808.375</v>
      </c>
      <c r="DT51" s="106">
        <f t="shared" si="142"/>
        <v>1.0558469567594493</v>
      </c>
      <c r="DU51" s="92">
        <f t="shared" si="143"/>
        <v>2.5233840156765233E-2</v>
      </c>
      <c r="DV51" s="92" t="str">
        <f t="shared" si="144"/>
        <v/>
      </c>
      <c r="DW51" s="92">
        <f t="shared" si="145"/>
        <v>1</v>
      </c>
      <c r="DX51" s="92">
        <f t="shared" si="146"/>
        <v>4.4684925277605099E-2</v>
      </c>
      <c r="DY51" s="92">
        <f t="shared" si="147"/>
        <v>4.9999802860623777E-2</v>
      </c>
      <c r="DZ51" s="92">
        <f t="shared" si="148"/>
        <v>0.1314262508164856</v>
      </c>
      <c r="EA51" s="92">
        <f t="shared" si="149"/>
        <v>6.3084600391913076E-2</v>
      </c>
      <c r="EB51" s="92">
        <f t="shared" si="150"/>
        <v>7.3598700457231922E-2</v>
      </c>
      <c r="EC51" s="92">
        <f t="shared" si="151"/>
        <v>3.9427875244945676E-2</v>
      </c>
      <c r="ED51" s="92">
        <f t="shared" si="152"/>
        <v>0.13387472186919672</v>
      </c>
      <c r="EE51" s="92">
        <f t="shared" si="153"/>
        <v>0.5360968769180019</v>
      </c>
      <c r="EF51" s="92">
        <f t="shared" si="154"/>
        <v>2.6285250163297115E-2</v>
      </c>
      <c r="EG51" s="92">
        <f t="shared" si="155"/>
        <v>0.56238212708129898</v>
      </c>
      <c r="EH51" s="92">
        <f t="shared" si="156"/>
        <v>0.46390312308199816</v>
      </c>
      <c r="EI51" s="92">
        <f t="shared" si="157"/>
        <v>0.37890976667897691</v>
      </c>
      <c r="EJ51" s="122">
        <f t="shared" si="158"/>
        <v>8.4993356403021234E-2</v>
      </c>
    </row>
    <row r="52" spans="2:140" ht="12" hidden="1" customHeight="1" outlineLevel="1">
      <c r="B52" s="121">
        <v>44883</v>
      </c>
      <c r="C52" s="117" t="s">
        <v>425</v>
      </c>
      <c r="D52" s="50" t="s">
        <v>426</v>
      </c>
      <c r="E52" s="50" t="s">
        <v>422</v>
      </c>
      <c r="F52" s="50" t="s">
        <v>427</v>
      </c>
      <c r="G52" s="50" t="s">
        <v>154</v>
      </c>
      <c r="H52" s="50" t="s">
        <v>424</v>
      </c>
      <c r="I52" s="51" t="s">
        <v>401</v>
      </c>
      <c r="J52" s="52" t="s">
        <v>175</v>
      </c>
      <c r="K52" s="50" t="s">
        <v>176</v>
      </c>
      <c r="L52" s="49">
        <v>6</v>
      </c>
      <c r="M52" s="50" t="s">
        <v>159</v>
      </c>
      <c r="N52" s="50" t="s">
        <v>160</v>
      </c>
      <c r="O52" s="50" t="s">
        <v>318</v>
      </c>
      <c r="P52" s="50" t="s">
        <v>177</v>
      </c>
      <c r="Q52" s="53">
        <v>0.09</v>
      </c>
      <c r="R52" s="49">
        <v>67</v>
      </c>
      <c r="S52" s="49">
        <v>7</v>
      </c>
      <c r="T52" s="54">
        <f t="shared" si="0"/>
        <v>74</v>
      </c>
      <c r="U52" s="55">
        <v>69291</v>
      </c>
      <c r="V52" s="49">
        <v>1.5</v>
      </c>
      <c r="W52" s="56">
        <f t="shared" si="102"/>
        <v>49.333333333333336</v>
      </c>
      <c r="X52" s="49" t="s">
        <v>163</v>
      </c>
      <c r="Y52" s="57" t="s">
        <v>162</v>
      </c>
      <c r="Z52" s="58">
        <v>11072000</v>
      </c>
      <c r="AA52" s="114">
        <f>(((4072000*0.05)/(Z52))+((7000000*0.01)/(Z52)))</f>
        <v>2.4710982658959539E-2</v>
      </c>
      <c r="AB52" s="59">
        <v>20</v>
      </c>
      <c r="AC52" s="60">
        <v>35</v>
      </c>
      <c r="AD52" s="61">
        <v>0.05</v>
      </c>
      <c r="AE52" s="62">
        <v>4072000</v>
      </c>
      <c r="AF52" s="63">
        <v>1.1599999999999999</v>
      </c>
      <c r="AG52" s="59">
        <v>40</v>
      </c>
      <c r="AH52" s="60">
        <v>40</v>
      </c>
      <c r="AI52" s="61">
        <v>0.01</v>
      </c>
      <c r="AJ52" s="64">
        <v>7000000</v>
      </c>
      <c r="AK52" s="65">
        <f t="shared" si="103"/>
        <v>11072000</v>
      </c>
      <c r="AL52" s="62">
        <v>7000000</v>
      </c>
      <c r="AM52" s="49" t="s">
        <v>163</v>
      </c>
      <c r="AN52" s="67">
        <v>0.93</v>
      </c>
      <c r="AO52" s="62">
        <v>26214574</v>
      </c>
      <c r="AP52" s="62">
        <v>0</v>
      </c>
      <c r="AQ52" s="68">
        <v>693969</v>
      </c>
      <c r="AR52" s="69">
        <f t="shared" si="104"/>
        <v>149621.62162162163</v>
      </c>
      <c r="AS52" s="70" t="str">
        <f>IFERROR(IF(#REF!&gt;0,#REF!/T52,""),"")</f>
        <v/>
      </c>
      <c r="AT52" s="70">
        <f t="shared" si="105"/>
        <v>354251</v>
      </c>
      <c r="AU52" s="70">
        <f t="shared" si="106"/>
        <v>94594.5945945946</v>
      </c>
      <c r="AV52" s="71">
        <f t="shared" si="107"/>
        <v>9377.95945945946</v>
      </c>
      <c r="AW52" s="115">
        <f t="shared" si="108"/>
        <v>164642.97297297296</v>
      </c>
      <c r="AX52" s="116">
        <f t="shared" si="109"/>
        <v>175.83207054307198</v>
      </c>
      <c r="AY52" s="72">
        <f t="shared" si="110"/>
        <v>195925.13513513515</v>
      </c>
      <c r="AZ52" s="73">
        <f t="shared" si="111"/>
        <v>209.24016105987789</v>
      </c>
      <c r="BA52" s="66">
        <v>3015000</v>
      </c>
      <c r="BB52" s="62">
        <v>1631900</v>
      </c>
      <c r="BC52" s="62">
        <v>10551680</v>
      </c>
      <c r="BD52" s="62">
        <v>609178</v>
      </c>
      <c r="BE52" s="62">
        <v>1705702</v>
      </c>
      <c r="BF52" s="62">
        <v>2878712</v>
      </c>
      <c r="BG52" s="67">
        <v>2321627</v>
      </c>
      <c r="BH52" s="62">
        <v>2672513</v>
      </c>
      <c r="BI52" s="62">
        <v>328262</v>
      </c>
      <c r="BJ52" s="47">
        <f t="shared" si="112"/>
        <v>25714574</v>
      </c>
      <c r="BK52" s="69">
        <f t="shared" si="90"/>
        <v>40743.24324324324</v>
      </c>
      <c r="BL52" s="70">
        <f t="shared" si="91"/>
        <v>22052.702702702703</v>
      </c>
      <c r="BM52" s="70">
        <f t="shared" si="92"/>
        <v>142590.27027027027</v>
      </c>
      <c r="BN52" s="70">
        <f t="shared" si="93"/>
        <v>8232.135135135135</v>
      </c>
      <c r="BO52" s="70">
        <f t="shared" si="94"/>
        <v>23050.027027027027</v>
      </c>
      <c r="BP52" s="70">
        <f t="shared" si="100"/>
        <v>38901.513513513513</v>
      </c>
      <c r="BQ52" s="70">
        <f t="shared" si="113"/>
        <v>31373.337837837837</v>
      </c>
      <c r="BR52" s="70">
        <f t="shared" si="83"/>
        <v>36115.04054054054</v>
      </c>
      <c r="BS52" s="70">
        <f t="shared" si="84"/>
        <v>4435.9729729729734</v>
      </c>
      <c r="BT52" s="71">
        <f t="shared" si="85"/>
        <v>347494.24324324325</v>
      </c>
      <c r="BU52" s="65">
        <f t="shared" si="95"/>
        <v>43.512144434342119</v>
      </c>
      <c r="BV52" s="48">
        <f t="shared" si="96"/>
        <v>23.551399171609589</v>
      </c>
      <c r="BW52" s="48">
        <f t="shared" si="97"/>
        <v>152.28067137146238</v>
      </c>
      <c r="BX52" s="48">
        <f t="shared" si="98"/>
        <v>8.7915890952648965</v>
      </c>
      <c r="BY52" s="48">
        <f t="shared" si="99"/>
        <v>24.616501421541038</v>
      </c>
      <c r="BZ52" s="48">
        <f t="shared" si="101"/>
        <v>41.545251187022849</v>
      </c>
      <c r="CA52" s="48">
        <f t="shared" si="114"/>
        <v>33.505462469873436</v>
      </c>
      <c r="CB52" s="48">
        <f t="shared" si="87"/>
        <v>38.569410168708778</v>
      </c>
      <c r="CC52" s="48">
        <f t="shared" si="88"/>
        <v>4.7374406488577163</v>
      </c>
      <c r="CD52" s="47">
        <f t="shared" si="89"/>
        <v>371.1098699686828</v>
      </c>
      <c r="CE52" s="66">
        <v>779712</v>
      </c>
      <c r="CF52" s="62">
        <v>18480</v>
      </c>
      <c r="CG52" s="74">
        <v>-59864</v>
      </c>
      <c r="CH52" s="75">
        <f t="shared" si="115"/>
        <v>738328</v>
      </c>
      <c r="CI52" s="62">
        <f>30300+0+2800</f>
        <v>33100</v>
      </c>
      <c r="CJ52" s="62">
        <f>36527</f>
        <v>36527</v>
      </c>
      <c r="CK52" s="62">
        <f>96250</f>
        <v>96250</v>
      </c>
      <c r="CL52" s="62">
        <f>46200+0</f>
        <v>46200</v>
      </c>
      <c r="CM52" s="62">
        <f>5390+48510</f>
        <v>53900</v>
      </c>
      <c r="CN52" s="62">
        <v>28875</v>
      </c>
      <c r="CO52" s="62">
        <v>96187</v>
      </c>
      <c r="CP52" s="75">
        <f t="shared" si="3"/>
        <v>391039</v>
      </c>
      <c r="CQ52" s="62">
        <v>19250</v>
      </c>
      <c r="CR52" s="75">
        <f t="shared" si="4"/>
        <v>410289</v>
      </c>
      <c r="CS52" s="75">
        <f t="shared" si="116"/>
        <v>347289</v>
      </c>
      <c r="CT52" s="62">
        <f>2070+271611</f>
        <v>273681</v>
      </c>
      <c r="CU52" s="47">
        <f t="shared" si="117"/>
        <v>73608</v>
      </c>
      <c r="CV52" s="76">
        <f t="shared" si="118"/>
        <v>0.47037224648123871</v>
      </c>
      <c r="CW52" s="75">
        <f t="shared" si="119"/>
        <v>5544.4459459459458</v>
      </c>
      <c r="CX52" s="77">
        <f t="shared" si="120"/>
        <v>0.55570017661527127</v>
      </c>
      <c r="CY52" s="75">
        <f t="shared" si="121"/>
        <v>994.70270270270271</v>
      </c>
      <c r="CZ52" s="77">
        <f t="shared" si="122"/>
        <v>9.9695528274696341E-2</v>
      </c>
      <c r="DA52" s="77">
        <f t="shared" si="123"/>
        <v>0.37067671820654235</v>
      </c>
      <c r="DB52" s="47">
        <f t="shared" si="124"/>
        <v>149621.62162162163</v>
      </c>
      <c r="DC52" s="69">
        <f t="shared" si="125"/>
        <v>10536.648648648648</v>
      </c>
      <c r="DD52" s="70">
        <f t="shared" si="126"/>
        <v>249.72972972972974</v>
      </c>
      <c r="DE52" s="70">
        <f t="shared" si="127"/>
        <v>-808.97297297297303</v>
      </c>
      <c r="DF52" s="70">
        <f t="shared" si="128"/>
        <v>9977.405405405405</v>
      </c>
      <c r="DG52" s="70">
        <f t="shared" si="129"/>
        <v>447.29729729729729</v>
      </c>
      <c r="DH52" s="70">
        <f t="shared" si="130"/>
        <v>493.60810810810813</v>
      </c>
      <c r="DI52" s="70">
        <f t="shared" si="131"/>
        <v>1300.6756756756756</v>
      </c>
      <c r="DJ52" s="70">
        <f t="shared" si="132"/>
        <v>624.32432432432438</v>
      </c>
      <c r="DK52" s="70">
        <f t="shared" si="133"/>
        <v>728.37837837837833</v>
      </c>
      <c r="DL52" s="70">
        <f t="shared" si="134"/>
        <v>390.20270270270271</v>
      </c>
      <c r="DM52" s="70">
        <f t="shared" si="135"/>
        <v>1299.8243243243244</v>
      </c>
      <c r="DN52" s="70">
        <f t="shared" si="136"/>
        <v>5284.3108108108108</v>
      </c>
      <c r="DO52" s="70">
        <f t="shared" si="137"/>
        <v>260.13513513513516</v>
      </c>
      <c r="DP52" s="70">
        <f t="shared" si="138"/>
        <v>5544.4459459459458</v>
      </c>
      <c r="DQ52" s="70">
        <f t="shared" si="139"/>
        <v>4693.094594594595</v>
      </c>
      <c r="DR52" s="70">
        <f t="shared" si="140"/>
        <v>3698.3918918918921</v>
      </c>
      <c r="DS52" s="71">
        <f t="shared" si="141"/>
        <v>994.70270270270271</v>
      </c>
      <c r="DT52" s="106">
        <f t="shared" si="142"/>
        <v>1.0560509692169333</v>
      </c>
      <c r="DU52" s="92">
        <f t="shared" si="143"/>
        <v>2.5029526172649554E-2</v>
      </c>
      <c r="DV52" s="92" t="str">
        <f t="shared" si="144"/>
        <v/>
      </c>
      <c r="DW52" s="92">
        <f t="shared" si="145"/>
        <v>1</v>
      </c>
      <c r="DX52" s="92">
        <f t="shared" si="146"/>
        <v>4.4831023610102827E-2</v>
      </c>
      <c r="DY52" s="92">
        <f t="shared" si="147"/>
        <v>4.9472592127076311E-2</v>
      </c>
      <c r="DZ52" s="92">
        <f t="shared" si="148"/>
        <v>0.13036211548254975</v>
      </c>
      <c r="EA52" s="92">
        <f t="shared" si="149"/>
        <v>6.257381543162388E-2</v>
      </c>
      <c r="EB52" s="92">
        <f t="shared" si="150"/>
        <v>7.300278467022786E-2</v>
      </c>
      <c r="EC52" s="92">
        <f t="shared" si="151"/>
        <v>3.9108634644764925E-2</v>
      </c>
      <c r="ED52" s="92">
        <f t="shared" si="152"/>
        <v>0.13027678755241573</v>
      </c>
      <c r="EE52" s="92">
        <f t="shared" si="153"/>
        <v>0.52962775351876135</v>
      </c>
      <c r="EF52" s="92">
        <f t="shared" si="154"/>
        <v>2.6072423096509954E-2</v>
      </c>
      <c r="EG52" s="92">
        <f t="shared" si="155"/>
        <v>0.55570017661527127</v>
      </c>
      <c r="EH52" s="92">
        <f t="shared" si="156"/>
        <v>0.47037224648123871</v>
      </c>
      <c r="EI52" s="92">
        <f t="shared" si="157"/>
        <v>0.37067671820654235</v>
      </c>
      <c r="EJ52" s="122">
        <f t="shared" si="158"/>
        <v>9.9695528274696341E-2</v>
      </c>
    </row>
    <row r="53" spans="2:140" ht="12" hidden="1" customHeight="1" outlineLevel="1">
      <c r="B53" s="121">
        <v>44886</v>
      </c>
      <c r="C53" s="117">
        <v>22469</v>
      </c>
      <c r="D53" s="50" t="s">
        <v>428</v>
      </c>
      <c r="E53" s="50" t="s">
        <v>171</v>
      </c>
      <c r="F53" s="50" t="s">
        <v>429</v>
      </c>
      <c r="G53" s="50" t="s">
        <v>171</v>
      </c>
      <c r="H53" s="50" t="s">
        <v>430</v>
      </c>
      <c r="I53" s="51" t="s">
        <v>226</v>
      </c>
      <c r="J53" s="52" t="s">
        <v>183</v>
      </c>
      <c r="K53" s="50" t="s">
        <v>184</v>
      </c>
      <c r="L53" s="49">
        <v>9</v>
      </c>
      <c r="M53" s="50" t="s">
        <v>159</v>
      </c>
      <c r="N53" s="50" t="s">
        <v>160</v>
      </c>
      <c r="O53" s="50" t="s">
        <v>160</v>
      </c>
      <c r="P53" s="50" t="s">
        <v>177</v>
      </c>
      <c r="Q53" s="53">
        <v>0.04</v>
      </c>
      <c r="R53" s="49">
        <v>324</v>
      </c>
      <c r="S53" s="49">
        <v>0</v>
      </c>
      <c r="T53" s="54">
        <f t="shared" si="0"/>
        <v>324</v>
      </c>
      <c r="U53" s="55">
        <v>332232</v>
      </c>
      <c r="V53" s="49">
        <v>14.71</v>
      </c>
      <c r="W53" s="56">
        <f t="shared" si="102"/>
        <v>22.025832766825289</v>
      </c>
      <c r="X53" s="49" t="s">
        <v>163</v>
      </c>
      <c r="Y53" s="57" t="s">
        <v>162</v>
      </c>
      <c r="Z53" s="58">
        <v>61975000</v>
      </c>
      <c r="AA53" s="114">
        <v>5.04E-2</v>
      </c>
      <c r="AB53" s="59">
        <v>15</v>
      </c>
      <c r="AC53" s="60">
        <v>40</v>
      </c>
      <c r="AD53" s="61">
        <v>5.2499999999999998E-2</v>
      </c>
      <c r="AE53" s="62">
        <v>37325000</v>
      </c>
      <c r="AF53" s="63">
        <v>1.1499999999999999</v>
      </c>
      <c r="AG53" s="59"/>
      <c r="AH53" s="60"/>
      <c r="AI53" s="61"/>
      <c r="AJ53" s="64"/>
      <c r="AK53" s="65">
        <f t="shared" si="103"/>
        <v>37325000</v>
      </c>
      <c r="AL53" s="62">
        <v>1625100</v>
      </c>
      <c r="AM53" s="49" t="s">
        <v>163</v>
      </c>
      <c r="AN53" s="67">
        <v>0.91</v>
      </c>
      <c r="AO53" s="62">
        <v>30876277</v>
      </c>
      <c r="AP53" s="62">
        <v>0</v>
      </c>
      <c r="AQ53" s="68">
        <v>7290762</v>
      </c>
      <c r="AR53" s="69">
        <f t="shared" si="104"/>
        <v>115200.61728395062</v>
      </c>
      <c r="AS53" s="70" t="str">
        <f>IFERROR(IF(#REF!&gt;0,#REF!/T53,""),"")</f>
        <v/>
      </c>
      <c r="AT53" s="70">
        <f t="shared" si="105"/>
        <v>95297.151234567908</v>
      </c>
      <c r="AU53" s="70">
        <f t="shared" si="106"/>
        <v>5015.7407407407409</v>
      </c>
      <c r="AV53" s="71">
        <f t="shared" si="107"/>
        <v>22502.35185185185</v>
      </c>
      <c r="AW53" s="115">
        <f t="shared" si="108"/>
        <v>124298.01851851853</v>
      </c>
      <c r="AX53" s="116">
        <f t="shared" si="109"/>
        <v>121.21817886296323</v>
      </c>
      <c r="AY53" s="72">
        <f t="shared" si="110"/>
        <v>149866.56172839506</v>
      </c>
      <c r="AZ53" s="73">
        <f t="shared" si="111"/>
        <v>146.1531881335934</v>
      </c>
      <c r="BA53" s="66">
        <v>2883454</v>
      </c>
      <c r="BB53" s="62">
        <v>7432800</v>
      </c>
      <c r="BC53" s="62">
        <v>32839758</v>
      </c>
      <c r="BD53" s="62">
        <v>2688051</v>
      </c>
      <c r="BE53" s="62">
        <v>5596157</v>
      </c>
      <c r="BF53" s="62">
        <v>6061516</v>
      </c>
      <c r="BG53" s="67">
        <v>9396046</v>
      </c>
      <c r="BH53" s="62">
        <v>8511000</v>
      </c>
      <c r="BI53" s="62">
        <v>1708356</v>
      </c>
      <c r="BJ53" s="47">
        <f t="shared" si="112"/>
        <v>77117138</v>
      </c>
      <c r="BK53" s="69">
        <f t="shared" si="90"/>
        <v>8899.5493827160499</v>
      </c>
      <c r="BL53" s="70">
        <f t="shared" si="91"/>
        <v>22940.740740740741</v>
      </c>
      <c r="BM53" s="70">
        <f t="shared" si="92"/>
        <v>101357.27777777778</v>
      </c>
      <c r="BN53" s="70">
        <f t="shared" si="93"/>
        <v>8296.4537037037044</v>
      </c>
      <c r="BO53" s="70">
        <f t="shared" si="94"/>
        <v>17272.089506172841</v>
      </c>
      <c r="BP53" s="70">
        <f t="shared" si="100"/>
        <v>18708.382716049382</v>
      </c>
      <c r="BQ53" s="70">
        <f t="shared" si="113"/>
        <v>29000.141975308641</v>
      </c>
      <c r="BR53" s="70">
        <f t="shared" si="83"/>
        <v>26268.518518518518</v>
      </c>
      <c r="BS53" s="70">
        <f t="shared" si="84"/>
        <v>5272.7037037037035</v>
      </c>
      <c r="BT53" s="71">
        <f t="shared" si="85"/>
        <v>238015.85802469135</v>
      </c>
      <c r="BU53" s="65">
        <f t="shared" si="95"/>
        <v>8.679037540032267</v>
      </c>
      <c r="BV53" s="48">
        <f t="shared" si="96"/>
        <v>22.372318139131693</v>
      </c>
      <c r="BW53" s="48">
        <f t="shared" si="97"/>
        <v>98.845860723831535</v>
      </c>
      <c r="BX53" s="48">
        <f t="shared" si="98"/>
        <v>8.0908852849815798</v>
      </c>
      <c r="BY53" s="48">
        <f t="shared" si="99"/>
        <v>16.844123985648583</v>
      </c>
      <c r="BZ53" s="48">
        <f t="shared" si="101"/>
        <v>18.244828914734281</v>
      </c>
      <c r="CA53" s="48">
        <f t="shared" si="114"/>
        <v>28.281580341448144</v>
      </c>
      <c r="CB53" s="48">
        <f t="shared" si="87"/>
        <v>25.617640684822653</v>
      </c>
      <c r="CC53" s="48">
        <f t="shared" si="88"/>
        <v>5.1420573575092101</v>
      </c>
      <c r="CD53" s="47">
        <f t="shared" si="89"/>
        <v>232.11833297213994</v>
      </c>
      <c r="CE53" s="66">
        <v>4252416</v>
      </c>
      <c r="CF53" s="62">
        <v>77760</v>
      </c>
      <c r="CG53" s="74">
        <v>-324763</v>
      </c>
      <c r="CH53" s="75">
        <f t="shared" si="115"/>
        <v>4005413</v>
      </c>
      <c r="CI53" s="62">
        <f>129600+38880+12960</f>
        <v>181440</v>
      </c>
      <c r="CJ53" s="62">
        <v>160113</v>
      </c>
      <c r="CK53" s="62">
        <v>425000</v>
      </c>
      <c r="CL53" s="62">
        <f>218700+0</f>
        <v>218700</v>
      </c>
      <c r="CM53" s="62">
        <f>49394+80206</f>
        <v>129600</v>
      </c>
      <c r="CN53" s="62">
        <v>209304</v>
      </c>
      <c r="CO53" s="62">
        <v>13249</v>
      </c>
      <c r="CP53" s="75">
        <f t="shared" si="3"/>
        <v>1337406</v>
      </c>
      <c r="CQ53" s="62">
        <v>81000</v>
      </c>
      <c r="CR53" s="75">
        <f t="shared" si="4"/>
        <v>1418406</v>
      </c>
      <c r="CS53" s="75">
        <f t="shared" si="116"/>
        <v>2668007</v>
      </c>
      <c r="CT53" s="62">
        <f>14220+2234440</f>
        <v>2248660</v>
      </c>
      <c r="CU53" s="47">
        <f t="shared" si="117"/>
        <v>419347</v>
      </c>
      <c r="CV53" s="76">
        <f t="shared" si="118"/>
        <v>0.66610034970176613</v>
      </c>
      <c r="CW53" s="75">
        <f t="shared" si="119"/>
        <v>4377.7962962962965</v>
      </c>
      <c r="CX53" s="77">
        <f t="shared" si="120"/>
        <v>0.35412228401915108</v>
      </c>
      <c r="CY53" s="75">
        <f t="shared" si="121"/>
        <v>1294.2808641975309</v>
      </c>
      <c r="CZ53" s="77">
        <f t="shared" si="122"/>
        <v>0.10469507139463521</v>
      </c>
      <c r="DA53" s="77">
        <f t="shared" si="123"/>
        <v>0.56140527830713083</v>
      </c>
      <c r="DB53" s="47">
        <f t="shared" si="124"/>
        <v>115200.61728395062</v>
      </c>
      <c r="DC53" s="69">
        <f t="shared" si="125"/>
        <v>13124.740740740741</v>
      </c>
      <c r="DD53" s="70">
        <f t="shared" si="126"/>
        <v>240</v>
      </c>
      <c r="DE53" s="70">
        <f t="shared" si="127"/>
        <v>-1002.354938271605</v>
      </c>
      <c r="DF53" s="70">
        <f t="shared" si="128"/>
        <v>12362.385802469136</v>
      </c>
      <c r="DG53" s="70">
        <f t="shared" si="129"/>
        <v>560</v>
      </c>
      <c r="DH53" s="70">
        <f t="shared" si="130"/>
        <v>494.17592592592592</v>
      </c>
      <c r="DI53" s="70">
        <f t="shared" si="131"/>
        <v>1311.7283950617284</v>
      </c>
      <c r="DJ53" s="70">
        <f t="shared" si="132"/>
        <v>675</v>
      </c>
      <c r="DK53" s="70">
        <f t="shared" si="133"/>
        <v>400</v>
      </c>
      <c r="DL53" s="70">
        <f t="shared" si="134"/>
        <v>646</v>
      </c>
      <c r="DM53" s="70">
        <f t="shared" si="135"/>
        <v>40.891975308641975</v>
      </c>
      <c r="DN53" s="70">
        <f t="shared" si="136"/>
        <v>4127.7962962962965</v>
      </c>
      <c r="DO53" s="70">
        <f t="shared" si="137"/>
        <v>250</v>
      </c>
      <c r="DP53" s="70">
        <f t="shared" si="138"/>
        <v>4377.7962962962965</v>
      </c>
      <c r="DQ53" s="70">
        <f t="shared" si="139"/>
        <v>8234.5895061728388</v>
      </c>
      <c r="DR53" s="70">
        <f t="shared" si="140"/>
        <v>6940.308641975309</v>
      </c>
      <c r="DS53" s="71">
        <f t="shared" si="141"/>
        <v>1294.2808641975309</v>
      </c>
      <c r="DT53" s="106">
        <f t="shared" si="142"/>
        <v>1.0616672987279963</v>
      </c>
      <c r="DU53" s="92">
        <f t="shared" si="143"/>
        <v>1.9413728372080483E-2</v>
      </c>
      <c r="DV53" s="92" t="str">
        <f t="shared" si="144"/>
        <v/>
      </c>
      <c r="DW53" s="92">
        <f t="shared" si="145"/>
        <v>1</v>
      </c>
      <c r="DX53" s="92">
        <f t="shared" si="146"/>
        <v>4.5298699534854457E-2</v>
      </c>
      <c r="DY53" s="92">
        <f t="shared" si="147"/>
        <v>3.9974154974780379E-2</v>
      </c>
      <c r="DZ53" s="92">
        <f t="shared" si="148"/>
        <v>0.10610641149863946</v>
      </c>
      <c r="EA53" s="92">
        <f t="shared" si="149"/>
        <v>5.4601111046476358E-2</v>
      </c>
      <c r="EB53" s="92">
        <f t="shared" si="150"/>
        <v>3.2356213953467473E-2</v>
      </c>
      <c r="EC53" s="92">
        <f t="shared" si="151"/>
        <v>5.2255285534849961E-2</v>
      </c>
      <c r="ED53" s="92">
        <f t="shared" si="152"/>
        <v>3.3077737551658218E-3</v>
      </c>
      <c r="EE53" s="92">
        <f t="shared" si="153"/>
        <v>0.33389965029823393</v>
      </c>
      <c r="EF53" s="92">
        <f t="shared" si="154"/>
        <v>2.022263372091717E-2</v>
      </c>
      <c r="EG53" s="92">
        <f t="shared" si="155"/>
        <v>0.35412228401915108</v>
      </c>
      <c r="EH53" s="92">
        <f t="shared" si="156"/>
        <v>0.66610034970176613</v>
      </c>
      <c r="EI53" s="92">
        <f t="shared" si="157"/>
        <v>0.56140527830713083</v>
      </c>
      <c r="EJ53" s="122">
        <f t="shared" si="158"/>
        <v>0.10469507139463521</v>
      </c>
    </row>
    <row r="54" spans="2:140" ht="12" hidden="1" customHeight="1" outlineLevel="1">
      <c r="B54" s="121">
        <v>44888</v>
      </c>
      <c r="C54" s="117">
        <v>22610</v>
      </c>
      <c r="D54" s="50" t="s">
        <v>431</v>
      </c>
      <c r="E54" s="50" t="s">
        <v>431</v>
      </c>
      <c r="F54" s="50" t="s">
        <v>432</v>
      </c>
      <c r="G54" s="50" t="s">
        <v>162</v>
      </c>
      <c r="H54" s="50" t="s">
        <v>433</v>
      </c>
      <c r="I54" s="51" t="s">
        <v>182</v>
      </c>
      <c r="J54" s="52" t="s">
        <v>191</v>
      </c>
      <c r="K54" s="50" t="s">
        <v>192</v>
      </c>
      <c r="L54" s="49">
        <v>3</v>
      </c>
      <c r="M54" s="50" t="s">
        <v>159</v>
      </c>
      <c r="N54" s="50" t="s">
        <v>160</v>
      </c>
      <c r="O54" s="50" t="s">
        <v>160</v>
      </c>
      <c r="P54" s="50" t="s">
        <v>177</v>
      </c>
      <c r="Q54" s="53">
        <v>0.04</v>
      </c>
      <c r="R54" s="49">
        <v>240</v>
      </c>
      <c r="S54" s="49">
        <v>0</v>
      </c>
      <c r="T54" s="54">
        <f t="shared" si="0"/>
        <v>240</v>
      </c>
      <c r="U54" s="55">
        <v>234357</v>
      </c>
      <c r="V54" s="49">
        <v>16.611999999999998</v>
      </c>
      <c r="W54" s="56">
        <f t="shared" si="102"/>
        <v>14.447387430772936</v>
      </c>
      <c r="X54" s="49" t="s">
        <v>163</v>
      </c>
      <c r="Y54" s="57" t="s">
        <v>162</v>
      </c>
      <c r="Z54" s="58">
        <v>29228768</v>
      </c>
      <c r="AA54" s="114">
        <f>(((26092000*0.0496)/(Z54))+((3000000*0)/(Z54)))</f>
        <v>4.4277035556202708E-2</v>
      </c>
      <c r="AB54" s="59">
        <v>18</v>
      </c>
      <c r="AC54" s="60">
        <v>40</v>
      </c>
      <c r="AD54" s="61">
        <v>4.9599999999999998E-2</v>
      </c>
      <c r="AE54" s="62">
        <v>26092000</v>
      </c>
      <c r="AF54" s="63">
        <v>1.1499999999999999</v>
      </c>
      <c r="AG54" s="59">
        <v>18</v>
      </c>
      <c r="AH54" s="60">
        <v>0</v>
      </c>
      <c r="AI54" s="61">
        <v>0</v>
      </c>
      <c r="AJ54" s="64">
        <v>3000000</v>
      </c>
      <c r="AK54" s="65">
        <f t="shared" si="103"/>
        <v>29092000</v>
      </c>
      <c r="AL54" s="62">
        <v>136768</v>
      </c>
      <c r="AM54" s="49" t="s">
        <v>163</v>
      </c>
      <c r="AN54" s="67">
        <v>0.88</v>
      </c>
      <c r="AO54" s="62">
        <v>25573602</v>
      </c>
      <c r="AP54" s="62">
        <v>0</v>
      </c>
      <c r="AQ54" s="68">
        <v>2913823</v>
      </c>
      <c r="AR54" s="69">
        <f t="shared" si="104"/>
        <v>121216.66666666667</v>
      </c>
      <c r="AS54" s="70" t="str">
        <f>IFERROR(IF(#REF!&gt;0,#REF!/T54,""),"")</f>
        <v/>
      </c>
      <c r="AT54" s="70">
        <f t="shared" si="105"/>
        <v>106556.675</v>
      </c>
      <c r="AU54" s="70">
        <f t="shared" si="106"/>
        <v>569.86666666666667</v>
      </c>
      <c r="AV54" s="71">
        <f t="shared" si="107"/>
        <v>12140.929166666667</v>
      </c>
      <c r="AW54" s="115">
        <f t="shared" si="108"/>
        <v>137738.04999999999</v>
      </c>
      <c r="AX54" s="116">
        <f t="shared" si="109"/>
        <v>141.05459619298762</v>
      </c>
      <c r="AY54" s="72">
        <f t="shared" si="110"/>
        <v>165393.27916666665</v>
      </c>
      <c r="AZ54" s="73">
        <f t="shared" si="111"/>
        <v>169.3757259224175</v>
      </c>
      <c r="BA54" s="66">
        <v>1600000</v>
      </c>
      <c r="BB54" s="62">
        <v>5212860</v>
      </c>
      <c r="BC54" s="62">
        <v>27844272</v>
      </c>
      <c r="BD54" s="62">
        <v>2009256</v>
      </c>
      <c r="BE54" s="62">
        <v>4627999</v>
      </c>
      <c r="BF54" s="62">
        <v>2002163</v>
      </c>
      <c r="BG54" s="67">
        <v>4778435</v>
      </c>
      <c r="BH54" s="62">
        <v>5306087</v>
      </c>
      <c r="BI54" s="62">
        <v>1421298</v>
      </c>
      <c r="BJ54" s="47">
        <f t="shared" si="112"/>
        <v>54802370</v>
      </c>
      <c r="BK54" s="69">
        <f t="shared" si="90"/>
        <v>6666.666666666667</v>
      </c>
      <c r="BL54" s="70">
        <f t="shared" si="91"/>
        <v>21720.25</v>
      </c>
      <c r="BM54" s="70">
        <f t="shared" si="92"/>
        <v>116017.8</v>
      </c>
      <c r="BN54" s="70">
        <f t="shared" si="93"/>
        <v>8371.9</v>
      </c>
      <c r="BO54" s="70">
        <f t="shared" si="94"/>
        <v>19283.329166666666</v>
      </c>
      <c r="BP54" s="70">
        <f t="shared" si="100"/>
        <v>8342.3458333333328</v>
      </c>
      <c r="BQ54" s="70">
        <f t="shared" si="113"/>
        <v>19910.145833333332</v>
      </c>
      <c r="BR54" s="70">
        <f t="shared" si="83"/>
        <v>22108.695833333335</v>
      </c>
      <c r="BS54" s="70">
        <f t="shared" si="84"/>
        <v>5922.0749999999998</v>
      </c>
      <c r="BT54" s="71">
        <f t="shared" si="85"/>
        <v>228343.20833333334</v>
      </c>
      <c r="BU54" s="65">
        <f t="shared" si="95"/>
        <v>6.8271909949350773</v>
      </c>
      <c r="BV54" s="48">
        <f t="shared" si="96"/>
        <v>22.243244281160795</v>
      </c>
      <c r="BW54" s="48">
        <f t="shared" si="97"/>
        <v>118.81135191182683</v>
      </c>
      <c r="BX54" s="48">
        <f t="shared" si="98"/>
        <v>8.5734840435745472</v>
      </c>
      <c r="BY54" s="48">
        <f t="shared" si="99"/>
        <v>19.747645685855339</v>
      </c>
      <c r="BZ54" s="48">
        <f t="shared" si="101"/>
        <v>8.5432182524951248</v>
      </c>
      <c r="CA54" s="48">
        <f t="shared" si="114"/>
        <v>20.389555251176624</v>
      </c>
      <c r="CB54" s="48">
        <f t="shared" si="87"/>
        <v>22.641043365463801</v>
      </c>
      <c r="CC54" s="48">
        <f t="shared" si="88"/>
        <v>6.0646705666995224</v>
      </c>
      <c r="CD54" s="47">
        <f t="shared" si="89"/>
        <v>233.84140435318767</v>
      </c>
      <c r="CE54" s="66">
        <v>3250332</v>
      </c>
      <c r="CF54" s="62">
        <v>70560</v>
      </c>
      <c r="CG54" s="74">
        <v>-249067</v>
      </c>
      <c r="CH54" s="75">
        <f t="shared" si="115"/>
        <v>3071825</v>
      </c>
      <c r="CI54" s="62">
        <f>101055+0+9600</f>
        <v>110655</v>
      </c>
      <c r="CJ54" s="62">
        <v>122873</v>
      </c>
      <c r="CK54" s="62">
        <v>294040</v>
      </c>
      <c r="CL54" s="62">
        <f>99413+0</f>
        <v>99413</v>
      </c>
      <c r="CM54" s="62">
        <f>30461+167519</f>
        <v>197980</v>
      </c>
      <c r="CN54" s="62">
        <v>96000</v>
      </c>
      <c r="CO54" s="62">
        <v>324000</v>
      </c>
      <c r="CP54" s="75">
        <f t="shared" si="3"/>
        <v>1244961</v>
      </c>
      <c r="CQ54" s="62">
        <v>60000</v>
      </c>
      <c r="CR54" s="75">
        <f t="shared" si="4"/>
        <v>1304961</v>
      </c>
      <c r="CS54" s="75">
        <f t="shared" si="116"/>
        <v>1826864</v>
      </c>
      <c r="CT54" s="62">
        <f>6000+4000+1527634</f>
        <v>1537634</v>
      </c>
      <c r="CU54" s="47">
        <f t="shared" si="117"/>
        <v>289230</v>
      </c>
      <c r="CV54" s="76">
        <f t="shared" si="118"/>
        <v>0.59471617035475655</v>
      </c>
      <c r="CW54" s="75">
        <f t="shared" si="119"/>
        <v>5437.3374999999996</v>
      </c>
      <c r="CX54" s="77">
        <f t="shared" si="120"/>
        <v>0.42481619232866458</v>
      </c>
      <c r="CY54" s="75">
        <f t="shared" si="121"/>
        <v>1205.125</v>
      </c>
      <c r="CZ54" s="77">
        <f t="shared" si="122"/>
        <v>9.4155754315431384E-2</v>
      </c>
      <c r="DA54" s="77">
        <f t="shared" si="123"/>
        <v>0.50056041603932511</v>
      </c>
      <c r="DB54" s="47">
        <f t="shared" si="124"/>
        <v>121216.66666666667</v>
      </c>
      <c r="DC54" s="69">
        <f t="shared" si="125"/>
        <v>13543.05</v>
      </c>
      <c r="DD54" s="70">
        <f t="shared" si="126"/>
        <v>294</v>
      </c>
      <c r="DE54" s="70">
        <f t="shared" si="127"/>
        <v>-1037.7791666666667</v>
      </c>
      <c r="DF54" s="70">
        <f t="shared" si="128"/>
        <v>12799.270833333334</v>
      </c>
      <c r="DG54" s="70">
        <f t="shared" si="129"/>
        <v>461.0625</v>
      </c>
      <c r="DH54" s="70">
        <f t="shared" si="130"/>
        <v>511.97083333333336</v>
      </c>
      <c r="DI54" s="70">
        <f t="shared" si="131"/>
        <v>1225.1666666666667</v>
      </c>
      <c r="DJ54" s="70">
        <f t="shared" si="132"/>
        <v>414.22083333333336</v>
      </c>
      <c r="DK54" s="70">
        <f t="shared" si="133"/>
        <v>824.91666666666663</v>
      </c>
      <c r="DL54" s="70">
        <f t="shared" si="134"/>
        <v>400</v>
      </c>
      <c r="DM54" s="70">
        <f t="shared" si="135"/>
        <v>1350</v>
      </c>
      <c r="DN54" s="70">
        <f t="shared" si="136"/>
        <v>5187.3374999999996</v>
      </c>
      <c r="DO54" s="70">
        <f t="shared" si="137"/>
        <v>250</v>
      </c>
      <c r="DP54" s="70">
        <f t="shared" si="138"/>
        <v>5437.3374999999996</v>
      </c>
      <c r="DQ54" s="70">
        <f t="shared" si="139"/>
        <v>7611.9333333333334</v>
      </c>
      <c r="DR54" s="70">
        <f t="shared" si="140"/>
        <v>6406.8083333333334</v>
      </c>
      <c r="DS54" s="71">
        <f t="shared" si="141"/>
        <v>1205.125</v>
      </c>
      <c r="DT54" s="106">
        <f t="shared" si="142"/>
        <v>1.0581110577588242</v>
      </c>
      <c r="DU54" s="92">
        <f t="shared" si="143"/>
        <v>2.2970058515703207E-2</v>
      </c>
      <c r="DV54" s="92" t="str">
        <f t="shared" si="144"/>
        <v/>
      </c>
      <c r="DW54" s="92">
        <f t="shared" si="145"/>
        <v>1</v>
      </c>
      <c r="DX54" s="92">
        <f t="shared" si="146"/>
        <v>3.6022559878899352E-2</v>
      </c>
      <c r="DY54" s="92">
        <f t="shared" si="147"/>
        <v>0.04</v>
      </c>
      <c r="DZ54" s="92">
        <f t="shared" si="148"/>
        <v>9.5721598723885637E-2</v>
      </c>
      <c r="EA54" s="92">
        <f t="shared" si="149"/>
        <v>3.2362846190782356E-2</v>
      </c>
      <c r="EB54" s="92">
        <f t="shared" si="150"/>
        <v>6.4450286067728471E-2</v>
      </c>
      <c r="EC54" s="92">
        <f t="shared" si="151"/>
        <v>3.1251780293473752E-2</v>
      </c>
      <c r="ED54" s="92">
        <f t="shared" si="152"/>
        <v>0.1054747584904739</v>
      </c>
      <c r="EE54" s="92">
        <f t="shared" si="153"/>
        <v>0.40528382964524345</v>
      </c>
      <c r="EF54" s="92">
        <f t="shared" si="154"/>
        <v>1.9532362683421095E-2</v>
      </c>
      <c r="EG54" s="92">
        <f t="shared" si="155"/>
        <v>0.42481619232866458</v>
      </c>
      <c r="EH54" s="92">
        <f t="shared" si="156"/>
        <v>0.59471617035475655</v>
      </c>
      <c r="EI54" s="92">
        <f t="shared" si="157"/>
        <v>0.50056041603932511</v>
      </c>
      <c r="EJ54" s="122">
        <f t="shared" si="158"/>
        <v>9.4155754315431384E-2</v>
      </c>
    </row>
    <row r="55" spans="2:140" ht="12" hidden="1" customHeight="1" outlineLevel="1">
      <c r="B55" s="121">
        <v>44894</v>
      </c>
      <c r="C55" s="117" t="s">
        <v>434</v>
      </c>
      <c r="D55" s="50" t="s">
        <v>435</v>
      </c>
      <c r="E55" s="50" t="s">
        <v>223</v>
      </c>
      <c r="F55" s="50" t="s">
        <v>436</v>
      </c>
      <c r="G55" s="50" t="s">
        <v>162</v>
      </c>
      <c r="H55" s="50" t="s">
        <v>437</v>
      </c>
      <c r="I55" s="51" t="s">
        <v>438</v>
      </c>
      <c r="J55" s="52" t="s">
        <v>175</v>
      </c>
      <c r="K55" s="50" t="s">
        <v>176</v>
      </c>
      <c r="L55" s="49">
        <v>6</v>
      </c>
      <c r="M55" s="50" t="s">
        <v>159</v>
      </c>
      <c r="N55" s="50" t="s">
        <v>160</v>
      </c>
      <c r="O55" s="50" t="s">
        <v>160</v>
      </c>
      <c r="P55" s="50" t="s">
        <v>161</v>
      </c>
      <c r="Q55" s="53">
        <v>0.04</v>
      </c>
      <c r="R55" s="49">
        <v>216</v>
      </c>
      <c r="S55" s="49">
        <v>0</v>
      </c>
      <c r="T55" s="54">
        <f t="shared" si="0"/>
        <v>216</v>
      </c>
      <c r="U55" s="55">
        <v>249256</v>
      </c>
      <c r="V55" s="49">
        <v>12.93</v>
      </c>
      <c r="W55" s="56">
        <f t="shared" si="102"/>
        <v>16.705336426914155</v>
      </c>
      <c r="X55" s="49">
        <v>2005</v>
      </c>
      <c r="Y55" s="57" t="s">
        <v>162</v>
      </c>
      <c r="Z55" s="58">
        <v>39935531</v>
      </c>
      <c r="AA55" s="114">
        <f>(((27429731*0.0443)/(Z55))+((12505800*0.0464)/(Z55)))</f>
        <v>4.4957614393558464E-2</v>
      </c>
      <c r="AB55" s="59">
        <v>17</v>
      </c>
      <c r="AC55" s="60">
        <v>40</v>
      </c>
      <c r="AD55" s="61">
        <v>4.4299999999999999E-2</v>
      </c>
      <c r="AE55" s="62">
        <v>27429731</v>
      </c>
      <c r="AF55" s="63">
        <v>1.21</v>
      </c>
      <c r="AG55" s="59"/>
      <c r="AH55" s="60"/>
      <c r="AI55" s="61"/>
      <c r="AJ55" s="64"/>
      <c r="AK55" s="65">
        <f t="shared" si="103"/>
        <v>27429731</v>
      </c>
      <c r="AL55" s="62">
        <v>0</v>
      </c>
      <c r="AM55" s="49" t="s">
        <v>163</v>
      </c>
      <c r="AN55" s="67">
        <v>0.91</v>
      </c>
      <c r="AO55" s="62">
        <v>16362098</v>
      </c>
      <c r="AP55" s="62">
        <v>0</v>
      </c>
      <c r="AQ55" s="68">
        <v>5669494</v>
      </c>
      <c r="AR55" s="69">
        <f t="shared" si="104"/>
        <v>126989.49537037036</v>
      </c>
      <c r="AS55" s="70" t="str">
        <f>IFERROR(IF(#REF!&gt;0,#REF!/T55,""),"")</f>
        <v/>
      </c>
      <c r="AT55" s="70">
        <f t="shared" si="105"/>
        <v>75750.453703703708</v>
      </c>
      <c r="AU55" s="70" t="str">
        <f t="shared" si="106"/>
        <v/>
      </c>
      <c r="AV55" s="71">
        <f t="shared" si="107"/>
        <v>26247.657407407409</v>
      </c>
      <c r="AW55" s="115">
        <f t="shared" si="108"/>
        <v>48056.199074074073</v>
      </c>
      <c r="AX55" s="116">
        <f t="shared" si="109"/>
        <v>41.644490002246684</v>
      </c>
      <c r="AY55" s="72">
        <f t="shared" si="110"/>
        <v>59473.796296296299</v>
      </c>
      <c r="AZ55" s="73">
        <f t="shared" si="111"/>
        <v>51.538739288121448</v>
      </c>
      <c r="BA55" s="66">
        <v>27175000</v>
      </c>
      <c r="BB55" s="62">
        <v>736301</v>
      </c>
      <c r="BC55" s="62">
        <v>9643838</v>
      </c>
      <c r="BD55" s="62">
        <v>1038014</v>
      </c>
      <c r="BE55" s="62">
        <v>1428187</v>
      </c>
      <c r="BF55" s="62">
        <v>1136883</v>
      </c>
      <c r="BG55" s="67">
        <v>1819253</v>
      </c>
      <c r="BH55" s="62">
        <v>5847847</v>
      </c>
      <c r="BI55" s="62">
        <v>636000</v>
      </c>
      <c r="BJ55" s="47">
        <f t="shared" si="112"/>
        <v>49461323</v>
      </c>
      <c r="BK55" s="69">
        <f t="shared" si="90"/>
        <v>125810.18518518518</v>
      </c>
      <c r="BL55" s="70">
        <f t="shared" si="91"/>
        <v>3408.8009259259261</v>
      </c>
      <c r="BM55" s="70">
        <f t="shared" si="92"/>
        <v>44647.398148148146</v>
      </c>
      <c r="BN55" s="70">
        <f t="shared" si="93"/>
        <v>4805.6203703703704</v>
      </c>
      <c r="BO55" s="70">
        <f t="shared" si="94"/>
        <v>6611.9768518518522</v>
      </c>
      <c r="BP55" s="70">
        <f t="shared" si="100"/>
        <v>5263.3472222222226</v>
      </c>
      <c r="BQ55" s="70">
        <f t="shared" si="113"/>
        <v>8422.4675925925931</v>
      </c>
      <c r="BR55" s="70">
        <f t="shared" si="83"/>
        <v>27073.365740740741</v>
      </c>
      <c r="BS55" s="70">
        <f t="shared" si="84"/>
        <v>2944.4444444444443</v>
      </c>
      <c r="BT55" s="71">
        <f t="shared" si="85"/>
        <v>228987.60648148149</v>
      </c>
      <c r="BU55" s="65">
        <f t="shared" si="95"/>
        <v>109.02445678338736</v>
      </c>
      <c r="BV55" s="48">
        <f t="shared" si="96"/>
        <v>2.9539950893860127</v>
      </c>
      <c r="BW55" s="48">
        <f t="shared" si="97"/>
        <v>38.690494912860672</v>
      </c>
      <c r="BX55" s="48">
        <f t="shared" si="98"/>
        <v>4.1644494014186222</v>
      </c>
      <c r="BY55" s="48">
        <f t="shared" si="99"/>
        <v>5.7297998844561411</v>
      </c>
      <c r="BZ55" s="48">
        <f t="shared" si="101"/>
        <v>4.5611058510126137</v>
      </c>
      <c r="CA55" s="48">
        <f t="shared" si="114"/>
        <v>7.2987330294957795</v>
      </c>
      <c r="CB55" s="48">
        <f t="shared" si="87"/>
        <v>23.461208556664634</v>
      </c>
      <c r="CC55" s="48">
        <f t="shared" si="88"/>
        <v>2.5515935423821294</v>
      </c>
      <c r="CD55" s="47">
        <f t="shared" si="89"/>
        <v>198.43583705106397</v>
      </c>
      <c r="CE55" s="66">
        <v>2925120</v>
      </c>
      <c r="CF55" s="62">
        <f>22200+13495+42000</f>
        <v>77695</v>
      </c>
      <c r="CG55" s="74">
        <v>-225211</v>
      </c>
      <c r="CH55" s="75">
        <f t="shared" si="115"/>
        <v>2777604</v>
      </c>
      <c r="CI55" s="62">
        <f>51500+20000+8640</f>
        <v>80140</v>
      </c>
      <c r="CJ55" s="62">
        <v>97200</v>
      </c>
      <c r="CK55" s="62">
        <v>271000</v>
      </c>
      <c r="CL55" s="62">
        <f>83500+0</f>
        <v>83500</v>
      </c>
      <c r="CM55" s="62">
        <f>22000+204500</f>
        <v>226500</v>
      </c>
      <c r="CN55" s="62">
        <v>162000</v>
      </c>
      <c r="CO55" s="62">
        <v>0</v>
      </c>
      <c r="CP55" s="75">
        <f t="shared" si="3"/>
        <v>920340</v>
      </c>
      <c r="CQ55" s="62">
        <v>75600</v>
      </c>
      <c r="CR55" s="75">
        <f t="shared" si="4"/>
        <v>995940</v>
      </c>
      <c r="CS55" s="75">
        <f t="shared" si="116"/>
        <v>1857264</v>
      </c>
      <c r="CT55" s="62">
        <f>3000+1464988</f>
        <v>1467988</v>
      </c>
      <c r="CU55" s="47">
        <f t="shared" si="117"/>
        <v>389276</v>
      </c>
      <c r="CV55" s="76">
        <f t="shared" si="118"/>
        <v>0.66865687117386063</v>
      </c>
      <c r="CW55" s="75">
        <f t="shared" si="119"/>
        <v>4610.833333333333</v>
      </c>
      <c r="CX55" s="77">
        <f t="shared" si="120"/>
        <v>0.35856083156562274</v>
      </c>
      <c r="CY55" s="75">
        <f t="shared" si="121"/>
        <v>1802.2037037037037</v>
      </c>
      <c r="CZ55" s="77">
        <f t="shared" si="122"/>
        <v>0.14014812766686685</v>
      </c>
      <c r="DA55" s="77">
        <f t="shared" si="123"/>
        <v>0.52850874350699384</v>
      </c>
      <c r="DB55" s="47">
        <f t="shared" si="124"/>
        <v>126989.49537037036</v>
      </c>
      <c r="DC55" s="69">
        <f t="shared" si="125"/>
        <v>13542.222222222223</v>
      </c>
      <c r="DD55" s="70">
        <f t="shared" si="126"/>
        <v>359.69907407407408</v>
      </c>
      <c r="DE55" s="70">
        <f t="shared" si="127"/>
        <v>-1042.6435185185185</v>
      </c>
      <c r="DF55" s="70">
        <f t="shared" si="128"/>
        <v>12859.277777777777</v>
      </c>
      <c r="DG55" s="70">
        <f t="shared" si="129"/>
        <v>371.01851851851853</v>
      </c>
      <c r="DH55" s="70">
        <f t="shared" si="130"/>
        <v>450</v>
      </c>
      <c r="DI55" s="70">
        <f t="shared" si="131"/>
        <v>1254.6296296296296</v>
      </c>
      <c r="DJ55" s="70">
        <f t="shared" si="132"/>
        <v>386.57407407407408</v>
      </c>
      <c r="DK55" s="70">
        <f t="shared" si="133"/>
        <v>1048.6111111111111</v>
      </c>
      <c r="DL55" s="70">
        <f t="shared" si="134"/>
        <v>750</v>
      </c>
      <c r="DM55" s="70" t="str">
        <f t="shared" si="135"/>
        <v/>
      </c>
      <c r="DN55" s="70">
        <f t="shared" si="136"/>
        <v>4260.833333333333</v>
      </c>
      <c r="DO55" s="70">
        <f t="shared" si="137"/>
        <v>350</v>
      </c>
      <c r="DP55" s="70">
        <f t="shared" si="138"/>
        <v>4610.833333333333</v>
      </c>
      <c r="DQ55" s="70">
        <f t="shared" si="139"/>
        <v>8598.4444444444453</v>
      </c>
      <c r="DR55" s="70">
        <f t="shared" si="140"/>
        <v>6796.2407407407409</v>
      </c>
      <c r="DS55" s="71">
        <f t="shared" si="141"/>
        <v>1802.2037037037037</v>
      </c>
      <c r="DT55" s="106">
        <f t="shared" si="142"/>
        <v>1.0531090825042015</v>
      </c>
      <c r="DU55" s="92">
        <f t="shared" si="143"/>
        <v>2.7971949925187319E-2</v>
      </c>
      <c r="DV55" s="92" t="str">
        <f t="shared" si="144"/>
        <v/>
      </c>
      <c r="DW55" s="92">
        <f t="shared" si="145"/>
        <v>1</v>
      </c>
      <c r="DX55" s="92">
        <f t="shared" si="146"/>
        <v>2.8852204993944423E-2</v>
      </c>
      <c r="DY55" s="92">
        <f t="shared" si="147"/>
        <v>3.4994189236478637E-2</v>
      </c>
      <c r="DZ55" s="92">
        <f t="shared" si="148"/>
        <v>9.7566103735449689E-2</v>
      </c>
      <c r="EA55" s="92">
        <f t="shared" si="149"/>
        <v>3.0061880671254794E-2</v>
      </c>
      <c r="EB55" s="92">
        <f t="shared" si="150"/>
        <v>8.1545101461547434E-2</v>
      </c>
      <c r="EC55" s="92">
        <f t="shared" si="151"/>
        <v>5.8323648727464393E-2</v>
      </c>
      <c r="ED55" s="92" t="str">
        <f t="shared" si="152"/>
        <v/>
      </c>
      <c r="EE55" s="92">
        <f t="shared" si="153"/>
        <v>0.33134312882613937</v>
      </c>
      <c r="EF55" s="92">
        <f t="shared" si="154"/>
        <v>2.7217702739483381E-2</v>
      </c>
      <c r="EG55" s="92">
        <f t="shared" si="155"/>
        <v>0.35856083156562274</v>
      </c>
      <c r="EH55" s="92">
        <f t="shared" si="156"/>
        <v>0.66865687117386063</v>
      </c>
      <c r="EI55" s="92">
        <f t="shared" si="157"/>
        <v>0.52850874350699384</v>
      </c>
      <c r="EJ55" s="122">
        <f t="shared" si="158"/>
        <v>0.14014812766686685</v>
      </c>
    </row>
    <row r="56" spans="2:140" ht="12" hidden="1" customHeight="1" outlineLevel="1">
      <c r="B56" s="121">
        <v>44894</v>
      </c>
      <c r="C56" s="117">
        <v>22461</v>
      </c>
      <c r="D56" s="50" t="s">
        <v>439</v>
      </c>
      <c r="E56" s="50" t="s">
        <v>440</v>
      </c>
      <c r="F56" s="50" t="s">
        <v>441</v>
      </c>
      <c r="G56" s="50" t="s">
        <v>162</v>
      </c>
      <c r="H56" s="50" t="s">
        <v>442</v>
      </c>
      <c r="I56" s="51" t="s">
        <v>321</v>
      </c>
      <c r="J56" s="52" t="s">
        <v>360</v>
      </c>
      <c r="K56" s="50" t="s">
        <v>294</v>
      </c>
      <c r="L56" s="49">
        <v>7</v>
      </c>
      <c r="M56" s="50" t="s">
        <v>159</v>
      </c>
      <c r="N56" s="50" t="s">
        <v>160</v>
      </c>
      <c r="O56" s="50" t="s">
        <v>160</v>
      </c>
      <c r="P56" s="50" t="s">
        <v>177</v>
      </c>
      <c r="Q56" s="53">
        <v>0.04</v>
      </c>
      <c r="R56" s="49">
        <v>66</v>
      </c>
      <c r="S56" s="49">
        <v>0</v>
      </c>
      <c r="T56" s="54">
        <f t="shared" si="0"/>
        <v>66</v>
      </c>
      <c r="U56" s="55">
        <v>44414</v>
      </c>
      <c r="V56" s="49">
        <v>2.6349999999999998</v>
      </c>
      <c r="W56" s="56">
        <f t="shared" si="102"/>
        <v>25.047438330170781</v>
      </c>
      <c r="X56" s="49" t="s">
        <v>163</v>
      </c>
      <c r="Y56" s="57" t="s">
        <v>162</v>
      </c>
      <c r="Z56" s="58">
        <v>15500000</v>
      </c>
      <c r="AA56" s="114">
        <f>(((9000000*0.055)/(Z56))+((6500000*0)/(Z56)))</f>
        <v>3.1935483870967743E-2</v>
      </c>
      <c r="AB56" s="59">
        <v>16</v>
      </c>
      <c r="AC56" s="60">
        <v>40</v>
      </c>
      <c r="AD56" s="61">
        <v>5.5E-2</v>
      </c>
      <c r="AE56" s="62">
        <v>3400000</v>
      </c>
      <c r="AF56" s="63">
        <v>1.61</v>
      </c>
      <c r="AG56" s="59">
        <v>16</v>
      </c>
      <c r="AH56" s="60">
        <v>40</v>
      </c>
      <c r="AI56" s="61">
        <v>0</v>
      </c>
      <c r="AJ56" s="64">
        <v>6500000</v>
      </c>
      <c r="AK56" s="65">
        <f t="shared" si="103"/>
        <v>9900000</v>
      </c>
      <c r="AL56" s="62">
        <v>0</v>
      </c>
      <c r="AM56" s="49" t="s">
        <v>163</v>
      </c>
      <c r="AN56" s="67">
        <v>0.85</v>
      </c>
      <c r="AO56" s="62">
        <v>7286614</v>
      </c>
      <c r="AP56" s="62">
        <v>0</v>
      </c>
      <c r="AQ56" s="68">
        <v>540377</v>
      </c>
      <c r="AR56" s="69">
        <f t="shared" si="104"/>
        <v>150000</v>
      </c>
      <c r="AS56" s="70" t="str">
        <f>IFERROR(IF(#REF!&gt;0,#REF!/T56,""),"")</f>
        <v/>
      </c>
      <c r="AT56" s="70">
        <f t="shared" si="105"/>
        <v>110403.24242424243</v>
      </c>
      <c r="AU56" s="70" t="str">
        <f t="shared" si="106"/>
        <v/>
      </c>
      <c r="AV56" s="71">
        <f t="shared" si="107"/>
        <v>8187.530303030303</v>
      </c>
      <c r="AW56" s="115">
        <f t="shared" si="108"/>
        <v>160376.98484848486</v>
      </c>
      <c r="AX56" s="116">
        <f t="shared" si="109"/>
        <v>238.32307380555682</v>
      </c>
      <c r="AY56" s="72">
        <f t="shared" si="110"/>
        <v>191316.57575757577</v>
      </c>
      <c r="AZ56" s="73">
        <f t="shared" si="111"/>
        <v>284.299860404377</v>
      </c>
      <c r="BA56" s="66">
        <v>45000</v>
      </c>
      <c r="BB56" s="62">
        <v>1097786</v>
      </c>
      <c r="BC56" s="62">
        <v>9487095</v>
      </c>
      <c r="BD56" s="62">
        <v>605629</v>
      </c>
      <c r="BE56" s="62">
        <v>1436384</v>
      </c>
      <c r="BF56" s="62">
        <v>1013950</v>
      </c>
      <c r="BG56" s="67">
        <v>1564147</v>
      </c>
      <c r="BH56" s="62">
        <v>2150500</v>
      </c>
      <c r="BI56" s="62">
        <v>326500</v>
      </c>
      <c r="BJ56" s="47">
        <f t="shared" si="112"/>
        <v>17726991</v>
      </c>
      <c r="BK56" s="69">
        <f t="shared" si="90"/>
        <v>681.81818181818187</v>
      </c>
      <c r="BL56" s="70">
        <f t="shared" si="91"/>
        <v>16633.121212121212</v>
      </c>
      <c r="BM56" s="70">
        <f t="shared" si="92"/>
        <v>143743.86363636365</v>
      </c>
      <c r="BN56" s="70">
        <f t="shared" si="93"/>
        <v>9176.19696969697</v>
      </c>
      <c r="BO56" s="70">
        <f t="shared" si="94"/>
        <v>21763.39393939394</v>
      </c>
      <c r="BP56" s="70">
        <f t="shared" si="100"/>
        <v>15362.878787878788</v>
      </c>
      <c r="BQ56" s="70">
        <f t="shared" si="113"/>
        <v>23699.196969696968</v>
      </c>
      <c r="BR56" s="70">
        <f t="shared" si="83"/>
        <v>32583.333333333332</v>
      </c>
      <c r="BS56" s="70">
        <f t="shared" si="84"/>
        <v>4946.969696969697</v>
      </c>
      <c r="BT56" s="71">
        <f t="shared" si="85"/>
        <v>268590.77272727271</v>
      </c>
      <c r="BU56" s="65">
        <f t="shared" si="95"/>
        <v>1.0131940379159725</v>
      </c>
      <c r="BV56" s="48">
        <f t="shared" si="96"/>
        <v>24.717116224613861</v>
      </c>
      <c r="BW56" s="48">
        <f t="shared" si="97"/>
        <v>213.60595758094294</v>
      </c>
      <c r="BX56" s="48">
        <f t="shared" si="98"/>
        <v>13.635993155311388</v>
      </c>
      <c r="BY56" s="48">
        <f t="shared" si="99"/>
        <v>32.340793443508801</v>
      </c>
      <c r="BZ56" s="48">
        <f t="shared" si="101"/>
        <v>22.829513216553337</v>
      </c>
      <c r="CA56" s="48">
        <f t="shared" si="114"/>
        <v>35.217431440536771</v>
      </c>
      <c r="CB56" s="48">
        <f t="shared" si="87"/>
        <v>48.41941730085108</v>
      </c>
      <c r="CC56" s="48">
        <f t="shared" si="88"/>
        <v>7.3512856306570002</v>
      </c>
      <c r="CD56" s="47">
        <f t="shared" si="89"/>
        <v>399.13070203089114</v>
      </c>
      <c r="CE56" s="66">
        <v>808752</v>
      </c>
      <c r="CF56" s="62">
        <v>15840</v>
      </c>
      <c r="CG56" s="74">
        <v>-61844</v>
      </c>
      <c r="CH56" s="75">
        <f t="shared" si="115"/>
        <v>762748</v>
      </c>
      <c r="CI56" s="62">
        <f>27320+0+2640</f>
        <v>29960</v>
      </c>
      <c r="CJ56" s="62">
        <v>40869</v>
      </c>
      <c r="CK56" s="62">
        <v>124953</v>
      </c>
      <c r="CL56" s="62">
        <f>44000+0</f>
        <v>44000</v>
      </c>
      <c r="CM56" s="62">
        <f>13500+45500</f>
        <v>59000</v>
      </c>
      <c r="CN56" s="62">
        <v>26650</v>
      </c>
      <c r="CO56" s="62">
        <v>66000</v>
      </c>
      <c r="CP56" s="75">
        <f t="shared" si="3"/>
        <v>391432</v>
      </c>
      <c r="CQ56" s="62">
        <v>16500</v>
      </c>
      <c r="CR56" s="75">
        <f t="shared" si="4"/>
        <v>407932</v>
      </c>
      <c r="CS56" s="75">
        <f t="shared" si="116"/>
        <v>371316</v>
      </c>
      <c r="CT56" s="62">
        <f>2500+1200+7500+4250+(210434+41000)</f>
        <v>266884</v>
      </c>
      <c r="CU56" s="47">
        <f t="shared" si="117"/>
        <v>104432</v>
      </c>
      <c r="CV56" s="76">
        <f t="shared" si="118"/>
        <v>0.48681346919297069</v>
      </c>
      <c r="CW56" s="75">
        <f t="shared" si="119"/>
        <v>6180.787878787879</v>
      </c>
      <c r="CX56" s="77">
        <f t="shared" si="120"/>
        <v>0.53481883924966045</v>
      </c>
      <c r="CY56" s="75">
        <f t="shared" si="121"/>
        <v>1582.3030303030303</v>
      </c>
      <c r="CZ56" s="77">
        <f t="shared" si="122"/>
        <v>0.13691546880490019</v>
      </c>
      <c r="DA56" s="77">
        <f t="shared" si="123"/>
        <v>0.34989800038807051</v>
      </c>
      <c r="DB56" s="47">
        <f t="shared" si="124"/>
        <v>150000</v>
      </c>
      <c r="DC56" s="69">
        <f t="shared" si="125"/>
        <v>12253.818181818182</v>
      </c>
      <c r="DD56" s="70">
        <f t="shared" si="126"/>
        <v>240</v>
      </c>
      <c r="DE56" s="70">
        <f t="shared" si="127"/>
        <v>-937.030303030303</v>
      </c>
      <c r="DF56" s="70">
        <f t="shared" si="128"/>
        <v>11556.787878787878</v>
      </c>
      <c r="DG56" s="70">
        <f t="shared" si="129"/>
        <v>453.93939393939394</v>
      </c>
      <c r="DH56" s="70">
        <f t="shared" si="130"/>
        <v>619.22727272727275</v>
      </c>
      <c r="DI56" s="70">
        <f t="shared" si="131"/>
        <v>1893.2272727272727</v>
      </c>
      <c r="DJ56" s="70">
        <f t="shared" si="132"/>
        <v>666.66666666666663</v>
      </c>
      <c r="DK56" s="70">
        <f t="shared" si="133"/>
        <v>893.93939393939399</v>
      </c>
      <c r="DL56" s="70">
        <f t="shared" si="134"/>
        <v>403.78787878787881</v>
      </c>
      <c r="DM56" s="70">
        <f t="shared" si="135"/>
        <v>1000</v>
      </c>
      <c r="DN56" s="70">
        <f t="shared" si="136"/>
        <v>5930.787878787879</v>
      </c>
      <c r="DO56" s="70">
        <f t="shared" si="137"/>
        <v>250</v>
      </c>
      <c r="DP56" s="70">
        <f t="shared" si="138"/>
        <v>6180.787878787879</v>
      </c>
      <c r="DQ56" s="70">
        <f t="shared" si="139"/>
        <v>5626</v>
      </c>
      <c r="DR56" s="70">
        <f t="shared" si="140"/>
        <v>4043.6969696969695</v>
      </c>
      <c r="DS56" s="71">
        <f t="shared" si="141"/>
        <v>1582.3030303030303</v>
      </c>
      <c r="DT56" s="106">
        <f t="shared" si="142"/>
        <v>1.0603134980360487</v>
      </c>
      <c r="DU56" s="92">
        <f t="shared" si="143"/>
        <v>2.0767016104925873E-2</v>
      </c>
      <c r="DV56" s="92" t="str">
        <f t="shared" si="144"/>
        <v/>
      </c>
      <c r="DW56" s="92">
        <f t="shared" si="145"/>
        <v>1</v>
      </c>
      <c r="DX56" s="92">
        <f t="shared" si="146"/>
        <v>3.9279027935832017E-2</v>
      </c>
      <c r="DY56" s="92">
        <f t="shared" si="147"/>
        <v>5.3581261438902496E-2</v>
      </c>
      <c r="DZ56" s="92">
        <f t="shared" si="148"/>
        <v>0.16381950526255068</v>
      </c>
      <c r="EA56" s="92">
        <f t="shared" si="149"/>
        <v>5.7686155847016314E-2</v>
      </c>
      <c r="EB56" s="92">
        <f t="shared" si="150"/>
        <v>7.7351890794862779E-2</v>
      </c>
      <c r="EC56" s="92">
        <f t="shared" si="151"/>
        <v>3.4939455757340566E-2</v>
      </c>
      <c r="ED56" s="92">
        <f t="shared" si="152"/>
        <v>8.6529233770524475E-2</v>
      </c>
      <c r="EE56" s="92">
        <f t="shared" si="153"/>
        <v>0.51318653080702936</v>
      </c>
      <c r="EF56" s="92">
        <f t="shared" si="154"/>
        <v>2.1632308442631119E-2</v>
      </c>
      <c r="EG56" s="92">
        <f t="shared" si="155"/>
        <v>0.53481883924966045</v>
      </c>
      <c r="EH56" s="92">
        <f t="shared" si="156"/>
        <v>0.48681346919297069</v>
      </c>
      <c r="EI56" s="92">
        <f t="shared" si="157"/>
        <v>0.34989800038807051</v>
      </c>
      <c r="EJ56" s="122">
        <f t="shared" si="158"/>
        <v>0.13691546880490019</v>
      </c>
    </row>
    <row r="57" spans="2:140" ht="12" hidden="1" customHeight="1" outlineLevel="1">
      <c r="B57" s="121">
        <v>44896</v>
      </c>
      <c r="C57" s="117">
        <v>22460</v>
      </c>
      <c r="D57" s="50" t="s">
        <v>443</v>
      </c>
      <c r="E57" s="50" t="s">
        <v>201</v>
      </c>
      <c r="F57" s="50" t="s">
        <v>444</v>
      </c>
      <c r="G57" s="50" t="s">
        <v>203</v>
      </c>
      <c r="H57" s="50" t="s">
        <v>445</v>
      </c>
      <c r="I57" s="51" t="s">
        <v>156</v>
      </c>
      <c r="J57" s="52" t="s">
        <v>446</v>
      </c>
      <c r="K57" s="50" t="s">
        <v>192</v>
      </c>
      <c r="L57" s="49">
        <v>3</v>
      </c>
      <c r="M57" s="50" t="s">
        <v>159</v>
      </c>
      <c r="N57" s="50" t="s">
        <v>160</v>
      </c>
      <c r="O57" s="50" t="s">
        <v>160</v>
      </c>
      <c r="P57" s="50" t="s">
        <v>161</v>
      </c>
      <c r="Q57" s="53">
        <v>0.04</v>
      </c>
      <c r="R57" s="49">
        <v>280</v>
      </c>
      <c r="S57" s="49">
        <v>0</v>
      </c>
      <c r="T57" s="54">
        <f t="shared" si="0"/>
        <v>280</v>
      </c>
      <c r="U57" s="55">
        <v>297200</v>
      </c>
      <c r="V57" s="49">
        <v>20.86</v>
      </c>
      <c r="W57" s="56">
        <f t="shared" si="102"/>
        <v>13.422818791946309</v>
      </c>
      <c r="X57" s="49">
        <v>2003</v>
      </c>
      <c r="Y57" s="57" t="s">
        <v>162</v>
      </c>
      <c r="Z57" s="58">
        <v>51433671</v>
      </c>
      <c r="AA57" s="114">
        <f>(((33760000*0.0459)/(Z57))+((17673671*0.03)/(Z57)))</f>
        <v>4.0436431807482687E-2</v>
      </c>
      <c r="AB57" s="59">
        <v>16</v>
      </c>
      <c r="AC57" s="60">
        <v>40</v>
      </c>
      <c r="AD57" s="61">
        <v>4.5900000000000003E-2</v>
      </c>
      <c r="AE57" s="62">
        <v>33760000</v>
      </c>
      <c r="AF57" s="63">
        <v>1.1499999999999999</v>
      </c>
      <c r="AG57" s="59"/>
      <c r="AH57" s="60"/>
      <c r="AI57" s="61"/>
      <c r="AJ57" s="64"/>
      <c r="AK57" s="65">
        <f t="shared" si="103"/>
        <v>33760000</v>
      </c>
      <c r="AL57" s="62">
        <v>2155303</v>
      </c>
      <c r="AM57" s="49" t="s">
        <v>163</v>
      </c>
      <c r="AN57" s="67">
        <v>0.93</v>
      </c>
      <c r="AO57" s="62">
        <v>21957813</v>
      </c>
      <c r="AP57" s="62">
        <v>0</v>
      </c>
      <c r="AQ57" s="68">
        <v>7026336</v>
      </c>
      <c r="AR57" s="69">
        <f t="shared" si="104"/>
        <v>120571.42857142857</v>
      </c>
      <c r="AS57" s="70" t="str">
        <f>IFERROR(IF(#REF!&gt;0,#REF!/T57,""),"")</f>
        <v/>
      </c>
      <c r="AT57" s="70">
        <f t="shared" si="105"/>
        <v>78420.760714285716</v>
      </c>
      <c r="AU57" s="70">
        <f t="shared" si="106"/>
        <v>7697.5107142857141</v>
      </c>
      <c r="AV57" s="71">
        <f t="shared" si="107"/>
        <v>25094.057142857142</v>
      </c>
      <c r="AW57" s="115">
        <f t="shared" si="108"/>
        <v>28094.564285714285</v>
      </c>
      <c r="AX57" s="116">
        <f t="shared" si="109"/>
        <v>26.468633916554509</v>
      </c>
      <c r="AY57" s="72">
        <f t="shared" si="110"/>
        <v>34649.635714285716</v>
      </c>
      <c r="AZ57" s="73">
        <f t="shared" si="111"/>
        <v>32.644340511440106</v>
      </c>
      <c r="BA57" s="66">
        <v>42400000</v>
      </c>
      <c r="BB57" s="62">
        <v>1072632</v>
      </c>
      <c r="BC57" s="62">
        <v>6793846</v>
      </c>
      <c r="BD57" s="62">
        <v>786648</v>
      </c>
      <c r="BE57" s="62">
        <v>1048772</v>
      </c>
      <c r="BF57" s="62">
        <v>1206925</v>
      </c>
      <c r="BG57" s="67">
        <v>3096044</v>
      </c>
      <c r="BH57" s="62">
        <v>7700632</v>
      </c>
      <c r="BI57" s="62">
        <v>793953</v>
      </c>
      <c r="BJ57" s="47">
        <f t="shared" si="112"/>
        <v>64899452</v>
      </c>
      <c r="BK57" s="69">
        <f t="shared" si="90"/>
        <v>151428.57142857142</v>
      </c>
      <c r="BL57" s="70">
        <f t="shared" si="91"/>
        <v>3830.8285714285716</v>
      </c>
      <c r="BM57" s="70">
        <f t="shared" si="92"/>
        <v>24263.735714285714</v>
      </c>
      <c r="BN57" s="70">
        <f t="shared" si="93"/>
        <v>2809.457142857143</v>
      </c>
      <c r="BO57" s="70">
        <f t="shared" si="94"/>
        <v>3745.6142857142859</v>
      </c>
      <c r="BP57" s="70">
        <f t="shared" si="100"/>
        <v>4310.4464285714284</v>
      </c>
      <c r="BQ57" s="70">
        <f t="shared" si="113"/>
        <v>11057.3</v>
      </c>
      <c r="BR57" s="70">
        <f t="shared" si="83"/>
        <v>27502.257142857143</v>
      </c>
      <c r="BS57" s="70">
        <f t="shared" si="84"/>
        <v>2835.5464285714284</v>
      </c>
      <c r="BT57" s="71">
        <f t="shared" si="85"/>
        <v>231783.75714285715</v>
      </c>
      <c r="BU57" s="65">
        <f t="shared" si="95"/>
        <v>142.66487213997308</v>
      </c>
      <c r="BV57" s="48">
        <f t="shared" si="96"/>
        <v>3.6091251682368775</v>
      </c>
      <c r="BW57" s="48">
        <f t="shared" si="97"/>
        <v>22.85950874831763</v>
      </c>
      <c r="BX57" s="48">
        <f t="shared" si="98"/>
        <v>2.6468640646029611</v>
      </c>
      <c r="BY57" s="48">
        <f t="shared" si="99"/>
        <v>3.5288425302826378</v>
      </c>
      <c r="BZ57" s="48">
        <f t="shared" si="101"/>
        <v>4.0609858681022883</v>
      </c>
      <c r="CA57" s="48">
        <f t="shared" si="114"/>
        <v>10.417375504710632</v>
      </c>
      <c r="CB57" s="48">
        <f t="shared" si="87"/>
        <v>25.910605652759084</v>
      </c>
      <c r="CC57" s="48">
        <f t="shared" si="88"/>
        <v>2.6714434724091523</v>
      </c>
      <c r="CD57" s="47">
        <f t="shared" si="89"/>
        <v>218.36962314939436</v>
      </c>
      <c r="CE57" s="66">
        <v>3631968</v>
      </c>
      <c r="CF57" s="62">
        <v>30240</v>
      </c>
      <c r="CG57" s="74">
        <v>-279958</v>
      </c>
      <c r="CH57" s="75">
        <f t="shared" si="115"/>
        <v>3382250</v>
      </c>
      <c r="CI57" s="62">
        <f>95480+0+11200</f>
        <v>106680</v>
      </c>
      <c r="CJ57" s="62">
        <v>103584</v>
      </c>
      <c r="CK57" s="62">
        <v>350000</v>
      </c>
      <c r="CL57" s="62">
        <f>178000+0</f>
        <v>178000</v>
      </c>
      <c r="CM57" s="62">
        <f>118561+174510</f>
        <v>293071</v>
      </c>
      <c r="CN57" s="62">
        <v>154974</v>
      </c>
      <c r="CO57" s="62">
        <v>0</v>
      </c>
      <c r="CP57" s="75">
        <f t="shared" si="3"/>
        <v>1186309</v>
      </c>
      <c r="CQ57" s="62">
        <v>84000</v>
      </c>
      <c r="CR57" s="75">
        <f t="shared" si="4"/>
        <v>1270309</v>
      </c>
      <c r="CS57" s="75">
        <f t="shared" si="116"/>
        <v>2195941</v>
      </c>
      <c r="CT57" s="62">
        <f>57000+1844772</f>
        <v>1901772</v>
      </c>
      <c r="CU57" s="47">
        <f t="shared" si="117"/>
        <v>294169</v>
      </c>
      <c r="CV57" s="76">
        <f t="shared" si="118"/>
        <v>0.64925449035405425</v>
      </c>
      <c r="CW57" s="75">
        <f t="shared" si="119"/>
        <v>4536.8178571428571</v>
      </c>
      <c r="CX57" s="77">
        <f t="shared" si="120"/>
        <v>0.37558104811885579</v>
      </c>
      <c r="CY57" s="75">
        <f t="shared" si="121"/>
        <v>1050.6035714285715</v>
      </c>
      <c r="CZ57" s="77">
        <f t="shared" si="122"/>
        <v>8.697435139330327E-2</v>
      </c>
      <c r="DA57" s="77">
        <f t="shared" si="123"/>
        <v>0.56228013896075102</v>
      </c>
      <c r="DB57" s="47">
        <f t="shared" si="124"/>
        <v>120571.42857142857</v>
      </c>
      <c r="DC57" s="69">
        <f t="shared" si="125"/>
        <v>12971.314285714287</v>
      </c>
      <c r="DD57" s="70">
        <f t="shared" si="126"/>
        <v>108</v>
      </c>
      <c r="DE57" s="70">
        <f t="shared" si="127"/>
        <v>-999.85</v>
      </c>
      <c r="DF57" s="70">
        <f t="shared" si="128"/>
        <v>12079.464285714286</v>
      </c>
      <c r="DG57" s="70">
        <f t="shared" si="129"/>
        <v>381</v>
      </c>
      <c r="DH57" s="70">
        <f t="shared" si="130"/>
        <v>369.94285714285712</v>
      </c>
      <c r="DI57" s="70">
        <f t="shared" si="131"/>
        <v>1250</v>
      </c>
      <c r="DJ57" s="70">
        <f t="shared" si="132"/>
        <v>635.71428571428567</v>
      </c>
      <c r="DK57" s="70">
        <f t="shared" si="133"/>
        <v>1046.6821428571429</v>
      </c>
      <c r="DL57" s="70">
        <f t="shared" si="134"/>
        <v>553.4785714285714</v>
      </c>
      <c r="DM57" s="70" t="str">
        <f t="shared" si="135"/>
        <v/>
      </c>
      <c r="DN57" s="70">
        <f t="shared" si="136"/>
        <v>4236.8178571428571</v>
      </c>
      <c r="DO57" s="70">
        <f t="shared" si="137"/>
        <v>300</v>
      </c>
      <c r="DP57" s="70">
        <f t="shared" si="138"/>
        <v>4536.8178571428571</v>
      </c>
      <c r="DQ57" s="70">
        <f t="shared" si="139"/>
        <v>7842.6464285714283</v>
      </c>
      <c r="DR57" s="70">
        <f t="shared" si="140"/>
        <v>6792.0428571428574</v>
      </c>
      <c r="DS57" s="71">
        <f t="shared" si="141"/>
        <v>1050.6035714285715</v>
      </c>
      <c r="DT57" s="106">
        <f t="shared" si="142"/>
        <v>1.0738319166235495</v>
      </c>
      <c r="DU57" s="92">
        <f t="shared" si="143"/>
        <v>8.9407938502476161E-3</v>
      </c>
      <c r="DV57" s="92" t="str">
        <f t="shared" si="144"/>
        <v/>
      </c>
      <c r="DW57" s="92">
        <f t="shared" si="145"/>
        <v>1</v>
      </c>
      <c r="DX57" s="92">
        <f t="shared" si="146"/>
        <v>3.154113386059576E-2</v>
      </c>
      <c r="DY57" s="92">
        <f t="shared" si="147"/>
        <v>3.0625766871165645E-2</v>
      </c>
      <c r="DZ57" s="92">
        <f t="shared" si="148"/>
        <v>0.10348141030379185</v>
      </c>
      <c r="EA57" s="92">
        <f t="shared" si="149"/>
        <v>5.2627688668785574E-2</v>
      </c>
      <c r="EB57" s="92">
        <f t="shared" si="150"/>
        <v>8.6649715426121668E-2</v>
      </c>
      <c r="EC57" s="92">
        <f t="shared" si="151"/>
        <v>4.5819794515485256E-2</v>
      </c>
      <c r="ED57" s="92" t="str">
        <f t="shared" si="152"/>
        <v/>
      </c>
      <c r="EE57" s="92">
        <f t="shared" si="153"/>
        <v>0.35074550964594575</v>
      </c>
      <c r="EF57" s="92">
        <f t="shared" si="154"/>
        <v>2.4835538472910045E-2</v>
      </c>
      <c r="EG57" s="92">
        <f t="shared" si="155"/>
        <v>0.37558104811885579</v>
      </c>
      <c r="EH57" s="92">
        <f t="shared" si="156"/>
        <v>0.64925449035405425</v>
      </c>
      <c r="EI57" s="92">
        <f t="shared" si="157"/>
        <v>0.56228013896075102</v>
      </c>
      <c r="EJ57" s="122">
        <f t="shared" si="158"/>
        <v>8.697435139330327E-2</v>
      </c>
    </row>
    <row r="58" spans="2:140" ht="12" hidden="1" customHeight="1" outlineLevel="1">
      <c r="B58" s="121">
        <v>44897</v>
      </c>
      <c r="C58" s="117">
        <v>22471</v>
      </c>
      <c r="D58" s="50" t="s">
        <v>447</v>
      </c>
      <c r="E58" s="50" t="s">
        <v>171</v>
      </c>
      <c r="F58" s="50" t="s">
        <v>368</v>
      </c>
      <c r="G58" s="50" t="s">
        <v>154</v>
      </c>
      <c r="H58" s="50" t="s">
        <v>448</v>
      </c>
      <c r="I58" s="51" t="s">
        <v>226</v>
      </c>
      <c r="J58" s="52" t="s">
        <v>360</v>
      </c>
      <c r="K58" s="50" t="s">
        <v>294</v>
      </c>
      <c r="L58" s="49">
        <v>7</v>
      </c>
      <c r="M58" s="50" t="s">
        <v>159</v>
      </c>
      <c r="N58" s="50" t="s">
        <v>160</v>
      </c>
      <c r="O58" s="50" t="s">
        <v>160</v>
      </c>
      <c r="P58" s="50" t="s">
        <v>177</v>
      </c>
      <c r="Q58" s="53">
        <v>0.04</v>
      </c>
      <c r="R58" s="49">
        <v>334</v>
      </c>
      <c r="S58" s="49">
        <v>0</v>
      </c>
      <c r="T58" s="54">
        <f t="shared" si="0"/>
        <v>334</v>
      </c>
      <c r="U58" s="55">
        <v>344640</v>
      </c>
      <c r="V58" s="49">
        <v>9.7200000000000006</v>
      </c>
      <c r="W58" s="56">
        <f t="shared" si="102"/>
        <v>34.362139917695472</v>
      </c>
      <c r="X58" s="49" t="s">
        <v>163</v>
      </c>
      <c r="Y58" s="57" t="s">
        <v>162</v>
      </c>
      <c r="Z58" s="58">
        <v>76175000</v>
      </c>
      <c r="AA58" s="114">
        <v>0.04</v>
      </c>
      <c r="AB58" s="59">
        <v>18</v>
      </c>
      <c r="AC58" s="60">
        <v>40</v>
      </c>
      <c r="AD58" s="61">
        <v>4.9000000000000002E-2</v>
      </c>
      <c r="AE58" s="62">
        <v>50000000</v>
      </c>
      <c r="AF58" s="63">
        <v>1.39</v>
      </c>
      <c r="AG58" s="59">
        <v>18</v>
      </c>
      <c r="AH58" s="60">
        <v>40</v>
      </c>
      <c r="AI58" s="61">
        <v>5.3999999999999999E-2</v>
      </c>
      <c r="AJ58" s="64">
        <v>6350000</v>
      </c>
      <c r="AK58" s="65">
        <f t="shared" si="103"/>
        <v>56350000</v>
      </c>
      <c r="AL58" s="62">
        <v>100</v>
      </c>
      <c r="AM58" s="49" t="s">
        <v>163</v>
      </c>
      <c r="AN58" s="67">
        <v>0.9</v>
      </c>
      <c r="AO58" s="62">
        <v>26951884</v>
      </c>
      <c r="AP58" s="62">
        <v>0</v>
      </c>
      <c r="AQ58" s="68">
        <v>8153329</v>
      </c>
      <c r="AR58" s="69">
        <f t="shared" si="104"/>
        <v>168712.5748502994</v>
      </c>
      <c r="AS58" s="70" t="str">
        <f>IFERROR(IF(#REF!&gt;0,#REF!/T58,""),"")</f>
        <v/>
      </c>
      <c r="AT58" s="70">
        <f t="shared" si="105"/>
        <v>80694.263473053899</v>
      </c>
      <c r="AU58" s="70">
        <f t="shared" si="106"/>
        <v>0.29940119760479039</v>
      </c>
      <c r="AV58" s="71">
        <f t="shared" si="107"/>
        <v>24411.164670658683</v>
      </c>
      <c r="AW58" s="115">
        <f t="shared" si="108"/>
        <v>146863.14670658682</v>
      </c>
      <c r="AX58" s="116">
        <f t="shared" si="109"/>
        <v>142.32907091457753</v>
      </c>
      <c r="AY58" s="72">
        <f t="shared" si="110"/>
        <v>174713.24850299399</v>
      </c>
      <c r="AZ58" s="73">
        <f t="shared" si="111"/>
        <v>169.31936223305479</v>
      </c>
      <c r="BA58" s="66">
        <v>7466442</v>
      </c>
      <c r="BB58" s="62">
        <v>6056900</v>
      </c>
      <c r="BC58" s="62">
        <v>42995391</v>
      </c>
      <c r="BD58" s="62">
        <v>2462614</v>
      </c>
      <c r="BE58" s="62">
        <v>6839320</v>
      </c>
      <c r="BF58" s="62">
        <v>3912415</v>
      </c>
      <c r="BG58" s="67">
        <v>9792945</v>
      </c>
      <c r="BH58" s="62">
        <v>9766000</v>
      </c>
      <c r="BI58" s="62">
        <v>2163286</v>
      </c>
      <c r="BJ58" s="47">
        <f t="shared" si="112"/>
        <v>91455313</v>
      </c>
      <c r="BK58" s="69">
        <f t="shared" si="90"/>
        <v>22354.616766467065</v>
      </c>
      <c r="BL58" s="70">
        <f t="shared" si="91"/>
        <v>18134.43113772455</v>
      </c>
      <c r="BM58" s="70">
        <f t="shared" si="92"/>
        <v>128728.71556886227</v>
      </c>
      <c r="BN58" s="70">
        <f t="shared" si="93"/>
        <v>7373.0958083832338</v>
      </c>
      <c r="BO58" s="70">
        <f t="shared" si="94"/>
        <v>20477.005988023953</v>
      </c>
      <c r="BP58" s="70">
        <f t="shared" si="100"/>
        <v>11713.81736526946</v>
      </c>
      <c r="BQ58" s="70">
        <f t="shared" si="113"/>
        <v>29320.194610778442</v>
      </c>
      <c r="BR58" s="70">
        <f t="shared" si="83"/>
        <v>29239.520958083831</v>
      </c>
      <c r="BS58" s="70">
        <f t="shared" si="84"/>
        <v>6476.9041916167662</v>
      </c>
      <c r="BT58" s="71">
        <f t="shared" si="85"/>
        <v>273818.30239520955</v>
      </c>
      <c r="BU58" s="65">
        <f t="shared" si="95"/>
        <v>21.664467270194987</v>
      </c>
      <c r="BV58" s="48">
        <f t="shared" si="96"/>
        <v>17.574570566388115</v>
      </c>
      <c r="BW58" s="48">
        <f t="shared" si="97"/>
        <v>124.75450034818941</v>
      </c>
      <c r="BX58" s="48">
        <f t="shared" si="98"/>
        <v>7.1454677344475392</v>
      </c>
      <c r="BY58" s="48">
        <f t="shared" si="99"/>
        <v>19.844823584029712</v>
      </c>
      <c r="BZ58" s="48">
        <f t="shared" si="101"/>
        <v>11.35217908542247</v>
      </c>
      <c r="CA58" s="48">
        <f t="shared" si="114"/>
        <v>28.414998259052926</v>
      </c>
      <c r="CB58" s="48">
        <f t="shared" si="87"/>
        <v>28.336815227483751</v>
      </c>
      <c r="CC58" s="48">
        <f t="shared" si="88"/>
        <v>6.2769440575673165</v>
      </c>
      <c r="CD58" s="47">
        <f t="shared" si="89"/>
        <v>265.36476613277625</v>
      </c>
      <c r="CE58" s="66">
        <v>6098832</v>
      </c>
      <c r="CF58" s="62">
        <v>80160</v>
      </c>
      <c r="CG58" s="74">
        <v>-463424</v>
      </c>
      <c r="CH58" s="75">
        <f t="shared" si="115"/>
        <v>5715568</v>
      </c>
      <c r="CI58" s="62">
        <f>167000+40080+13360</f>
        <v>220440</v>
      </c>
      <c r="CJ58" s="62">
        <v>218994</v>
      </c>
      <c r="CK58" s="62">
        <v>467600</v>
      </c>
      <c r="CL58" s="62">
        <f>317300+0</f>
        <v>317300</v>
      </c>
      <c r="CM58" s="62">
        <f>51102+182698</f>
        <v>233800</v>
      </c>
      <c r="CN58" s="62">
        <v>183700</v>
      </c>
      <c r="CO58" s="62">
        <v>18122</v>
      </c>
      <c r="CP58" s="75">
        <f t="shared" si="3"/>
        <v>1659956</v>
      </c>
      <c r="CQ58" s="62">
        <v>83500</v>
      </c>
      <c r="CR58" s="75">
        <f t="shared" si="4"/>
        <v>1743456</v>
      </c>
      <c r="CS58" s="75">
        <f t="shared" si="116"/>
        <v>4055612</v>
      </c>
      <c r="CT58" s="62">
        <f>3500+(2853554+387846)</f>
        <v>3244900</v>
      </c>
      <c r="CU58" s="47">
        <f t="shared" si="117"/>
        <v>810712</v>
      </c>
      <c r="CV58" s="76">
        <f t="shared" si="118"/>
        <v>0.70957287184755746</v>
      </c>
      <c r="CW58" s="75">
        <f t="shared" si="119"/>
        <v>5219.9281437125746</v>
      </c>
      <c r="CX58" s="77">
        <f t="shared" si="120"/>
        <v>0.30503634984309519</v>
      </c>
      <c r="CY58" s="75">
        <f t="shared" si="121"/>
        <v>2427.2814371257487</v>
      </c>
      <c r="CZ58" s="77">
        <f t="shared" si="122"/>
        <v>0.14184277048230376</v>
      </c>
      <c r="DA58" s="77">
        <f t="shared" si="123"/>
        <v>0.56773010136525359</v>
      </c>
      <c r="DB58" s="47">
        <f t="shared" si="124"/>
        <v>168712.5748502994</v>
      </c>
      <c r="DC58" s="69">
        <f t="shared" si="125"/>
        <v>18259.976047904191</v>
      </c>
      <c r="DD58" s="70">
        <f t="shared" si="126"/>
        <v>240</v>
      </c>
      <c r="DE58" s="70">
        <f t="shared" si="127"/>
        <v>-1387.4970059880241</v>
      </c>
      <c r="DF58" s="70">
        <f t="shared" si="128"/>
        <v>17112.479041916169</v>
      </c>
      <c r="DG58" s="70">
        <f t="shared" si="129"/>
        <v>660</v>
      </c>
      <c r="DH58" s="70">
        <f t="shared" si="130"/>
        <v>655.67065868263478</v>
      </c>
      <c r="DI58" s="70">
        <f t="shared" si="131"/>
        <v>1400</v>
      </c>
      <c r="DJ58" s="70">
        <f t="shared" si="132"/>
        <v>950</v>
      </c>
      <c r="DK58" s="70">
        <f t="shared" si="133"/>
        <v>700</v>
      </c>
      <c r="DL58" s="70">
        <f t="shared" si="134"/>
        <v>550</v>
      </c>
      <c r="DM58" s="70">
        <f t="shared" si="135"/>
        <v>54.257485029940121</v>
      </c>
      <c r="DN58" s="70">
        <f t="shared" si="136"/>
        <v>4969.9281437125746</v>
      </c>
      <c r="DO58" s="70">
        <f t="shared" si="137"/>
        <v>250</v>
      </c>
      <c r="DP58" s="70">
        <f t="shared" si="138"/>
        <v>5219.9281437125746</v>
      </c>
      <c r="DQ58" s="70">
        <f t="shared" si="139"/>
        <v>12142.550898203594</v>
      </c>
      <c r="DR58" s="70">
        <f t="shared" si="140"/>
        <v>9715.2694610778435</v>
      </c>
      <c r="DS58" s="71">
        <f t="shared" si="141"/>
        <v>2427.2814371257487</v>
      </c>
      <c r="DT58" s="106">
        <f t="shared" si="142"/>
        <v>1.0670561525993567</v>
      </c>
      <c r="DU58" s="92">
        <f t="shared" si="143"/>
        <v>1.4024852823026512E-2</v>
      </c>
      <c r="DV58" s="92" t="str">
        <f t="shared" si="144"/>
        <v/>
      </c>
      <c r="DW58" s="92">
        <f t="shared" si="145"/>
        <v>1</v>
      </c>
      <c r="DX58" s="92">
        <f t="shared" si="146"/>
        <v>3.8568345263322909E-2</v>
      </c>
      <c r="DY58" s="92">
        <f t="shared" si="147"/>
        <v>3.8315352035003344E-2</v>
      </c>
      <c r="DZ58" s="92">
        <f t="shared" si="148"/>
        <v>8.1811641467654656E-2</v>
      </c>
      <c r="EA58" s="92">
        <f t="shared" si="149"/>
        <v>5.5515042424479945E-2</v>
      </c>
      <c r="EB58" s="92">
        <f t="shared" si="150"/>
        <v>4.0905820733827328E-2</v>
      </c>
      <c r="EC58" s="92">
        <f t="shared" si="151"/>
        <v>3.2140287719435758E-2</v>
      </c>
      <c r="ED58" s="92">
        <f t="shared" si="152"/>
        <v>3.1706385087186435E-3</v>
      </c>
      <c r="EE58" s="92">
        <f t="shared" si="153"/>
        <v>0.29042712815244259</v>
      </c>
      <c r="EF58" s="92">
        <f t="shared" si="154"/>
        <v>1.4609221690652617E-2</v>
      </c>
      <c r="EG58" s="92">
        <f t="shared" si="155"/>
        <v>0.30503634984309519</v>
      </c>
      <c r="EH58" s="92">
        <f t="shared" si="156"/>
        <v>0.70957287184755746</v>
      </c>
      <c r="EI58" s="92">
        <f t="shared" si="157"/>
        <v>0.56773010136525359</v>
      </c>
      <c r="EJ58" s="122">
        <f t="shared" si="158"/>
        <v>0.14184277048230376</v>
      </c>
    </row>
    <row r="59" spans="2:140" ht="12" hidden="1" customHeight="1" outlineLevel="1">
      <c r="B59" s="121">
        <v>44897</v>
      </c>
      <c r="C59" s="117" t="s">
        <v>449</v>
      </c>
      <c r="D59" s="50" t="s">
        <v>450</v>
      </c>
      <c r="E59" s="50" t="s">
        <v>451</v>
      </c>
      <c r="F59" s="50" t="s">
        <v>452</v>
      </c>
      <c r="G59" s="50" t="s">
        <v>154</v>
      </c>
      <c r="H59" s="50" t="s">
        <v>453</v>
      </c>
      <c r="I59" s="51" t="s">
        <v>454</v>
      </c>
      <c r="J59" s="52" t="s">
        <v>455</v>
      </c>
      <c r="K59" s="50" t="s">
        <v>456</v>
      </c>
      <c r="L59" s="49">
        <v>9</v>
      </c>
      <c r="M59" s="50" t="s">
        <v>283</v>
      </c>
      <c r="N59" s="50" t="s">
        <v>185</v>
      </c>
      <c r="O59" s="50" t="s">
        <v>160</v>
      </c>
      <c r="P59" s="50" t="s">
        <v>177</v>
      </c>
      <c r="Q59" s="53">
        <v>0.09</v>
      </c>
      <c r="R59" s="49">
        <f>35+5+3</f>
        <v>43</v>
      </c>
      <c r="S59" s="49">
        <v>17</v>
      </c>
      <c r="T59" s="54">
        <f t="shared" si="0"/>
        <v>60</v>
      </c>
      <c r="U59" s="55">
        <v>41400</v>
      </c>
      <c r="V59" s="49">
        <v>4.76</v>
      </c>
      <c r="W59" s="56">
        <f t="shared" si="102"/>
        <v>12.605042016806724</v>
      </c>
      <c r="X59" s="49" t="s">
        <v>163</v>
      </c>
      <c r="Y59" s="57" t="s">
        <v>162</v>
      </c>
      <c r="Z59" s="58">
        <v>3100250</v>
      </c>
      <c r="AA59" s="114">
        <v>0.04</v>
      </c>
      <c r="AB59" s="59">
        <v>40</v>
      </c>
      <c r="AC59" s="60">
        <v>40</v>
      </c>
      <c r="AD59" s="61">
        <v>0.04</v>
      </c>
      <c r="AE59" s="62">
        <v>3100000</v>
      </c>
      <c r="AF59" s="63">
        <v>1.25</v>
      </c>
      <c r="AG59" s="59"/>
      <c r="AH59" s="60"/>
      <c r="AI59" s="61"/>
      <c r="AJ59" s="64"/>
      <c r="AK59" s="65">
        <f t="shared" si="103"/>
        <v>3100000</v>
      </c>
      <c r="AL59" s="62">
        <v>250</v>
      </c>
      <c r="AM59" s="49" t="s">
        <v>163</v>
      </c>
      <c r="AN59" s="67">
        <v>0.92</v>
      </c>
      <c r="AO59" s="62">
        <v>11915890</v>
      </c>
      <c r="AP59" s="62">
        <v>0</v>
      </c>
      <c r="AQ59" s="68">
        <v>516289</v>
      </c>
      <c r="AR59" s="69">
        <f t="shared" si="104"/>
        <v>51666.666666666664</v>
      </c>
      <c r="AS59" s="70" t="str">
        <f>IFERROR(IF(#REF!&gt;0,#REF!/T59,""),"")</f>
        <v/>
      </c>
      <c r="AT59" s="70">
        <f t="shared" si="105"/>
        <v>198598.16666666666</v>
      </c>
      <c r="AU59" s="70">
        <f t="shared" si="106"/>
        <v>4.166666666666667</v>
      </c>
      <c r="AV59" s="71">
        <f t="shared" si="107"/>
        <v>8604.8166666666675</v>
      </c>
      <c r="AW59" s="115">
        <f t="shared" si="108"/>
        <v>107976.85</v>
      </c>
      <c r="AX59" s="116">
        <f t="shared" si="109"/>
        <v>156.4881884057971</v>
      </c>
      <c r="AY59" s="72">
        <f t="shared" si="110"/>
        <v>131710.16666666666</v>
      </c>
      <c r="AZ59" s="73">
        <f t="shared" si="111"/>
        <v>190.88429951690821</v>
      </c>
      <c r="BA59" s="66">
        <v>518400</v>
      </c>
      <c r="BB59" s="62">
        <v>2445700</v>
      </c>
      <c r="BC59" s="62">
        <v>4032911</v>
      </c>
      <c r="BD59" s="62">
        <v>453503</v>
      </c>
      <c r="BE59" s="62">
        <v>970496</v>
      </c>
      <c r="BF59" s="62">
        <v>990549</v>
      </c>
      <c r="BG59" s="67">
        <v>810610</v>
      </c>
      <c r="BH59" s="62">
        <v>1434253</v>
      </c>
      <c r="BI59" s="62">
        <v>214200</v>
      </c>
      <c r="BJ59" s="47">
        <f t="shared" si="112"/>
        <v>11870622</v>
      </c>
      <c r="BK59" s="69">
        <f t="shared" si="90"/>
        <v>8640</v>
      </c>
      <c r="BL59" s="70">
        <f t="shared" si="91"/>
        <v>40761.666666666664</v>
      </c>
      <c r="BM59" s="70">
        <f t="shared" si="92"/>
        <v>67215.183333333334</v>
      </c>
      <c r="BN59" s="70">
        <f t="shared" si="93"/>
        <v>7558.3833333333332</v>
      </c>
      <c r="BO59" s="70">
        <f t="shared" si="94"/>
        <v>16174.933333333332</v>
      </c>
      <c r="BP59" s="70">
        <f t="shared" si="100"/>
        <v>16509.150000000001</v>
      </c>
      <c r="BQ59" s="70">
        <f t="shared" si="113"/>
        <v>13510.166666666666</v>
      </c>
      <c r="BR59" s="70">
        <f t="shared" si="83"/>
        <v>23904.216666666667</v>
      </c>
      <c r="BS59" s="70">
        <f t="shared" si="84"/>
        <v>3570</v>
      </c>
      <c r="BT59" s="71">
        <f t="shared" si="85"/>
        <v>197843.7</v>
      </c>
      <c r="BU59" s="65">
        <f t="shared" si="95"/>
        <v>12.521739130434783</v>
      </c>
      <c r="BV59" s="48">
        <f t="shared" si="96"/>
        <v>59.074879227053138</v>
      </c>
      <c r="BW59" s="48">
        <f t="shared" si="97"/>
        <v>97.413309178743958</v>
      </c>
      <c r="BX59" s="48">
        <f t="shared" si="98"/>
        <v>10.954178743961352</v>
      </c>
      <c r="BY59" s="48">
        <f t="shared" si="99"/>
        <v>23.441932367149757</v>
      </c>
      <c r="BZ59" s="48">
        <f t="shared" si="101"/>
        <v>23.926304347826086</v>
      </c>
      <c r="CA59" s="48">
        <f t="shared" si="114"/>
        <v>19.579951690821257</v>
      </c>
      <c r="CB59" s="48">
        <f t="shared" si="87"/>
        <v>34.643792270531399</v>
      </c>
      <c r="CC59" s="48">
        <f t="shared" si="88"/>
        <v>5.1739130434782608</v>
      </c>
      <c r="CD59" s="47">
        <f t="shared" si="89"/>
        <v>286.73</v>
      </c>
      <c r="CE59" s="66">
        <v>484755</v>
      </c>
      <c r="CF59" s="62">
        <v>14400</v>
      </c>
      <c r="CG59" s="74">
        <v>-37437</v>
      </c>
      <c r="CH59" s="75">
        <f t="shared" si="115"/>
        <v>461718</v>
      </c>
      <c r="CI59" s="62">
        <f>24300+0+1720</f>
        <v>26020</v>
      </c>
      <c r="CJ59" s="62">
        <v>23086</v>
      </c>
      <c r="CK59" s="62">
        <v>66000</v>
      </c>
      <c r="CL59" s="62">
        <f>36000+0</f>
        <v>36000</v>
      </c>
      <c r="CM59" s="62">
        <f>15000+33000</f>
        <v>48000</v>
      </c>
      <c r="CN59" s="62">
        <v>17388</v>
      </c>
      <c r="CO59" s="62">
        <v>33683</v>
      </c>
      <c r="CP59" s="75">
        <f t="shared" si="3"/>
        <v>250177</v>
      </c>
      <c r="CQ59" s="62">
        <v>15000</v>
      </c>
      <c r="CR59" s="75">
        <f t="shared" si="4"/>
        <v>265177</v>
      </c>
      <c r="CS59" s="75">
        <f t="shared" si="116"/>
        <v>211541</v>
      </c>
      <c r="CT59" s="62">
        <f>16323</f>
        <v>16323</v>
      </c>
      <c r="CU59" s="47">
        <f t="shared" si="117"/>
        <v>195218</v>
      </c>
      <c r="CV59" s="76">
        <f t="shared" si="118"/>
        <v>0.45816060885648818</v>
      </c>
      <c r="CW59" s="75">
        <f t="shared" si="119"/>
        <v>4419.6166666666668</v>
      </c>
      <c r="CX59" s="77">
        <f t="shared" si="120"/>
        <v>0.574326753559532</v>
      </c>
      <c r="CY59" s="75">
        <f t="shared" si="121"/>
        <v>3253.6333333333332</v>
      </c>
      <c r="CZ59" s="77">
        <f t="shared" si="122"/>
        <v>0.42280786107537499</v>
      </c>
      <c r="DA59" s="77">
        <f t="shared" si="123"/>
        <v>3.535274778111315E-2</v>
      </c>
      <c r="DB59" s="47">
        <f t="shared" si="124"/>
        <v>51666.666666666664</v>
      </c>
      <c r="DC59" s="69">
        <f t="shared" si="125"/>
        <v>8079.25</v>
      </c>
      <c r="DD59" s="70">
        <f t="shared" si="126"/>
        <v>240</v>
      </c>
      <c r="DE59" s="70">
        <f t="shared" si="127"/>
        <v>-623.95000000000005</v>
      </c>
      <c r="DF59" s="70">
        <f t="shared" si="128"/>
        <v>7695.3</v>
      </c>
      <c r="DG59" s="70">
        <f t="shared" si="129"/>
        <v>433.66666666666669</v>
      </c>
      <c r="DH59" s="70">
        <f t="shared" si="130"/>
        <v>384.76666666666665</v>
      </c>
      <c r="DI59" s="70">
        <f t="shared" si="131"/>
        <v>1100</v>
      </c>
      <c r="DJ59" s="70">
        <f t="shared" si="132"/>
        <v>600</v>
      </c>
      <c r="DK59" s="70">
        <f t="shared" si="133"/>
        <v>800</v>
      </c>
      <c r="DL59" s="70">
        <f t="shared" si="134"/>
        <v>289.8</v>
      </c>
      <c r="DM59" s="70">
        <f t="shared" si="135"/>
        <v>561.38333333333333</v>
      </c>
      <c r="DN59" s="70">
        <f t="shared" si="136"/>
        <v>4169.6166666666668</v>
      </c>
      <c r="DO59" s="70">
        <f t="shared" si="137"/>
        <v>250</v>
      </c>
      <c r="DP59" s="70">
        <f t="shared" si="138"/>
        <v>4419.6166666666668</v>
      </c>
      <c r="DQ59" s="70">
        <f t="shared" si="139"/>
        <v>3525.6833333333334</v>
      </c>
      <c r="DR59" s="70">
        <f t="shared" si="140"/>
        <v>272.05</v>
      </c>
      <c r="DS59" s="71">
        <f t="shared" si="141"/>
        <v>3253.6333333333332</v>
      </c>
      <c r="DT59" s="106">
        <f t="shared" si="142"/>
        <v>1.0498940911985237</v>
      </c>
      <c r="DU59" s="92">
        <f t="shared" si="143"/>
        <v>3.1187867919379362E-2</v>
      </c>
      <c r="DV59" s="92" t="str">
        <f t="shared" si="144"/>
        <v/>
      </c>
      <c r="DW59" s="92">
        <f t="shared" si="145"/>
        <v>1</v>
      </c>
      <c r="DX59" s="92">
        <f t="shared" si="146"/>
        <v>5.6354744670989651E-2</v>
      </c>
      <c r="DY59" s="92">
        <f t="shared" si="147"/>
        <v>5.0000216582416109E-2</v>
      </c>
      <c r="DZ59" s="92">
        <f t="shared" si="148"/>
        <v>0.14294439463048875</v>
      </c>
      <c r="EA59" s="92">
        <f t="shared" si="149"/>
        <v>7.796966979844841E-2</v>
      </c>
      <c r="EB59" s="92">
        <f t="shared" si="150"/>
        <v>0.10395955973126454</v>
      </c>
      <c r="EC59" s="92">
        <f t="shared" si="151"/>
        <v>3.7659350512650576E-2</v>
      </c>
      <c r="ED59" s="92">
        <f t="shared" si="152"/>
        <v>7.2951455217253824E-2</v>
      </c>
      <c r="EE59" s="92">
        <f t="shared" si="153"/>
        <v>0.54183939114351187</v>
      </c>
      <c r="EF59" s="92">
        <f t="shared" si="154"/>
        <v>3.2487362416020168E-2</v>
      </c>
      <c r="EG59" s="92">
        <f t="shared" si="155"/>
        <v>0.574326753559532</v>
      </c>
      <c r="EH59" s="92">
        <f t="shared" si="156"/>
        <v>0.45816060885648818</v>
      </c>
      <c r="EI59" s="92">
        <f t="shared" si="157"/>
        <v>3.535274778111315E-2</v>
      </c>
      <c r="EJ59" s="122">
        <f t="shared" si="158"/>
        <v>0.42280786107537499</v>
      </c>
    </row>
    <row r="60" spans="2:140" ht="12" hidden="1" customHeight="1" outlineLevel="1">
      <c r="B60" s="121">
        <v>44903</v>
      </c>
      <c r="C60" s="117">
        <v>22479</v>
      </c>
      <c r="D60" s="50" t="s">
        <v>457</v>
      </c>
      <c r="E60" s="50" t="s">
        <v>458</v>
      </c>
      <c r="F60" s="50" t="s">
        <v>459</v>
      </c>
      <c r="G60" s="50" t="s">
        <v>154</v>
      </c>
      <c r="H60" s="50" t="s">
        <v>460</v>
      </c>
      <c r="I60" s="51" t="s">
        <v>328</v>
      </c>
      <c r="J60" s="52" t="s">
        <v>461</v>
      </c>
      <c r="K60" s="50" t="s">
        <v>462</v>
      </c>
      <c r="L60" s="49">
        <v>3</v>
      </c>
      <c r="M60" s="50" t="s">
        <v>159</v>
      </c>
      <c r="N60" s="50" t="s">
        <v>244</v>
      </c>
      <c r="O60" s="50" t="s">
        <v>160</v>
      </c>
      <c r="P60" s="50" t="s">
        <v>177</v>
      </c>
      <c r="Q60" s="53">
        <v>0.04</v>
      </c>
      <c r="R60" s="49">
        <v>200</v>
      </c>
      <c r="S60" s="49">
        <v>0</v>
      </c>
      <c r="T60" s="54">
        <f t="shared" si="0"/>
        <v>200</v>
      </c>
      <c r="U60" s="55">
        <v>168145</v>
      </c>
      <c r="V60" s="49">
        <v>15.89</v>
      </c>
      <c r="W60" s="56">
        <f t="shared" si="102"/>
        <v>12.586532410320956</v>
      </c>
      <c r="X60" s="49" t="s">
        <v>163</v>
      </c>
      <c r="Y60" s="57" t="s">
        <v>162</v>
      </c>
      <c r="Z60" s="58">
        <v>46641302</v>
      </c>
      <c r="AA60" s="114">
        <v>5.2499999999999998E-2</v>
      </c>
      <c r="AB60" s="59">
        <v>18</v>
      </c>
      <c r="AC60" s="60">
        <v>45</v>
      </c>
      <c r="AD60" s="61">
        <v>4.65E-2</v>
      </c>
      <c r="AE60" s="62">
        <v>26330000</v>
      </c>
      <c r="AF60" s="63">
        <v>1.1499999999999999</v>
      </c>
      <c r="AG60" s="59"/>
      <c r="AH60" s="60"/>
      <c r="AI60" s="61"/>
      <c r="AJ60" s="64"/>
      <c r="AK60" s="65">
        <f t="shared" si="103"/>
        <v>26330000</v>
      </c>
      <c r="AL60" s="62">
        <v>0</v>
      </c>
      <c r="AM60" s="49" t="s">
        <v>163</v>
      </c>
      <c r="AN60" s="67">
        <v>0.92</v>
      </c>
      <c r="AO60" s="62">
        <v>22574184</v>
      </c>
      <c r="AP60" s="62">
        <v>0</v>
      </c>
      <c r="AQ60" s="68">
        <v>5199617</v>
      </c>
      <c r="AR60" s="69">
        <f t="shared" si="104"/>
        <v>131650</v>
      </c>
      <c r="AS60" s="70" t="str">
        <f>IFERROR(IF(#REF!&gt;0,#REF!/T60,""),"")</f>
        <v/>
      </c>
      <c r="AT60" s="70">
        <f t="shared" si="105"/>
        <v>112870.92</v>
      </c>
      <c r="AU60" s="70" t="str">
        <f t="shared" si="106"/>
        <v/>
      </c>
      <c r="AV60" s="71">
        <f t="shared" si="107"/>
        <v>25998.084999999999</v>
      </c>
      <c r="AW60" s="115">
        <f t="shared" si="108"/>
        <v>144482.91</v>
      </c>
      <c r="AX60" s="116">
        <f t="shared" si="109"/>
        <v>171.85513693538314</v>
      </c>
      <c r="AY60" s="72">
        <f t="shared" si="110"/>
        <v>174246.065</v>
      </c>
      <c r="AZ60" s="73">
        <f t="shared" si="111"/>
        <v>207.25690921526061</v>
      </c>
      <c r="BA60" s="66">
        <v>3250000</v>
      </c>
      <c r="BB60" s="62">
        <v>3307570</v>
      </c>
      <c r="BC60" s="62">
        <v>25589012</v>
      </c>
      <c r="BD60" s="62">
        <v>1900000</v>
      </c>
      <c r="BE60" s="62">
        <v>4052631</v>
      </c>
      <c r="BF60" s="62">
        <v>3149500</v>
      </c>
      <c r="BG60" s="67">
        <v>5471916</v>
      </c>
      <c r="BH60" s="62">
        <v>6130800</v>
      </c>
      <c r="BI60" s="62">
        <v>1252372</v>
      </c>
      <c r="BJ60" s="47">
        <f t="shared" si="112"/>
        <v>54103801</v>
      </c>
      <c r="BK60" s="69">
        <f t="shared" si="90"/>
        <v>16250</v>
      </c>
      <c r="BL60" s="70">
        <f t="shared" si="91"/>
        <v>16537.849999999999</v>
      </c>
      <c r="BM60" s="70">
        <f t="shared" si="92"/>
        <v>127945.06</v>
      </c>
      <c r="BN60" s="70">
        <f t="shared" si="93"/>
        <v>9500</v>
      </c>
      <c r="BO60" s="70">
        <f t="shared" si="94"/>
        <v>20263.154999999999</v>
      </c>
      <c r="BP60" s="70">
        <f t="shared" si="100"/>
        <v>15747.5</v>
      </c>
      <c r="BQ60" s="70">
        <f t="shared" si="113"/>
        <v>27359.58</v>
      </c>
      <c r="BR60" s="70">
        <f t="shared" si="83"/>
        <v>30654</v>
      </c>
      <c r="BS60" s="70">
        <f t="shared" si="84"/>
        <v>6261.86</v>
      </c>
      <c r="BT60" s="71">
        <f t="shared" si="85"/>
        <v>270519.005</v>
      </c>
      <c r="BU60" s="65">
        <f t="shared" si="95"/>
        <v>19.328555710844807</v>
      </c>
      <c r="BV60" s="48">
        <f t="shared" si="96"/>
        <v>19.670938773082757</v>
      </c>
      <c r="BW60" s="48">
        <f t="shared" si="97"/>
        <v>152.18419816230039</v>
      </c>
      <c r="BX60" s="48">
        <f t="shared" si="98"/>
        <v>11.299771030955425</v>
      </c>
      <c r="BY60" s="48">
        <f t="shared" si="99"/>
        <v>24.102001248922061</v>
      </c>
      <c r="BZ60" s="48">
        <f t="shared" si="101"/>
        <v>18.730857295786375</v>
      </c>
      <c r="CA60" s="48">
        <f t="shared" si="114"/>
        <v>32.542841000327101</v>
      </c>
      <c r="CB60" s="48">
        <f t="shared" si="87"/>
        <v>36.461387492937646</v>
      </c>
      <c r="CC60" s="48">
        <f t="shared" si="88"/>
        <v>7.448166760831425</v>
      </c>
      <c r="CD60" s="47">
        <f t="shared" si="89"/>
        <v>321.76871747598801</v>
      </c>
      <c r="CE60" s="66">
        <v>2799120</v>
      </c>
      <c r="CF60" s="62">
        <v>36000</v>
      </c>
      <c r="CG60" s="74">
        <v>-212634</v>
      </c>
      <c r="CH60" s="75">
        <f t="shared" si="115"/>
        <v>2622486</v>
      </c>
      <c r="CI60" s="62">
        <f>59200+28800+8000</f>
        <v>96000</v>
      </c>
      <c r="CJ60" s="62">
        <v>78561</v>
      </c>
      <c r="CK60" s="62">
        <v>256000</v>
      </c>
      <c r="CL60" s="62">
        <f>119782+0</f>
        <v>119782</v>
      </c>
      <c r="CM60" s="62">
        <f>60000+80000</f>
        <v>140000</v>
      </c>
      <c r="CN60" s="62">
        <v>65000</v>
      </c>
      <c r="CO60" s="62">
        <v>179393</v>
      </c>
      <c r="CP60" s="75">
        <f t="shared" si="3"/>
        <v>934736</v>
      </c>
      <c r="CQ60" s="62">
        <v>50000</v>
      </c>
      <c r="CR60" s="75">
        <f t="shared" si="4"/>
        <v>984736</v>
      </c>
      <c r="CS60" s="75">
        <f t="shared" si="116"/>
        <v>1687750</v>
      </c>
      <c r="CT60" s="62">
        <v>1423790</v>
      </c>
      <c r="CU60" s="47">
        <f t="shared" si="117"/>
        <v>263960</v>
      </c>
      <c r="CV60" s="76">
        <f t="shared" si="118"/>
        <v>0.64356873592461505</v>
      </c>
      <c r="CW60" s="75">
        <f t="shared" si="119"/>
        <v>4923.68</v>
      </c>
      <c r="CX60" s="77">
        <f t="shared" si="120"/>
        <v>0.37549714278741619</v>
      </c>
      <c r="CY60" s="75">
        <f t="shared" si="121"/>
        <v>1319.8</v>
      </c>
      <c r="CZ60" s="77">
        <f t="shared" si="122"/>
        <v>0.1006525868965554</v>
      </c>
      <c r="DA60" s="77">
        <f t="shared" si="123"/>
        <v>0.54291614902805962</v>
      </c>
      <c r="DB60" s="47">
        <f t="shared" si="124"/>
        <v>131650</v>
      </c>
      <c r="DC60" s="69">
        <f t="shared" si="125"/>
        <v>13995.6</v>
      </c>
      <c r="DD60" s="70">
        <f t="shared" si="126"/>
        <v>180</v>
      </c>
      <c r="DE60" s="70">
        <f t="shared" si="127"/>
        <v>-1063.17</v>
      </c>
      <c r="DF60" s="70">
        <f t="shared" si="128"/>
        <v>13112.43</v>
      </c>
      <c r="DG60" s="70">
        <f t="shared" si="129"/>
        <v>480</v>
      </c>
      <c r="DH60" s="70">
        <f t="shared" si="130"/>
        <v>392.80500000000001</v>
      </c>
      <c r="DI60" s="70">
        <f t="shared" si="131"/>
        <v>1280</v>
      </c>
      <c r="DJ60" s="70">
        <f t="shared" si="132"/>
        <v>598.91</v>
      </c>
      <c r="DK60" s="70">
        <f t="shared" si="133"/>
        <v>700</v>
      </c>
      <c r="DL60" s="70">
        <f t="shared" si="134"/>
        <v>325</v>
      </c>
      <c r="DM60" s="70">
        <f t="shared" si="135"/>
        <v>896.96500000000003</v>
      </c>
      <c r="DN60" s="70">
        <f t="shared" si="136"/>
        <v>4673.68</v>
      </c>
      <c r="DO60" s="70">
        <f t="shared" si="137"/>
        <v>250</v>
      </c>
      <c r="DP60" s="70">
        <f t="shared" si="138"/>
        <v>4923.68</v>
      </c>
      <c r="DQ60" s="70">
        <f t="shared" si="139"/>
        <v>8438.75</v>
      </c>
      <c r="DR60" s="70">
        <f t="shared" si="140"/>
        <v>7118.95</v>
      </c>
      <c r="DS60" s="71">
        <f t="shared" si="141"/>
        <v>1319.8</v>
      </c>
      <c r="DT60" s="106">
        <f t="shared" si="142"/>
        <v>1.0673536484084185</v>
      </c>
      <c r="DU60" s="92">
        <f t="shared" si="143"/>
        <v>1.3727432672662505E-2</v>
      </c>
      <c r="DV60" s="92" t="str">
        <f t="shared" si="144"/>
        <v/>
      </c>
      <c r="DW60" s="92">
        <f t="shared" si="145"/>
        <v>1</v>
      </c>
      <c r="DX60" s="92">
        <f t="shared" si="146"/>
        <v>3.6606487127100011E-2</v>
      </c>
      <c r="DY60" s="92">
        <f t="shared" si="147"/>
        <v>2.995668994991775E-2</v>
      </c>
      <c r="DZ60" s="92">
        <f t="shared" si="148"/>
        <v>9.7617299005600025E-2</v>
      </c>
      <c r="EA60" s="92">
        <f t="shared" si="149"/>
        <v>4.567498167769056E-2</v>
      </c>
      <c r="EB60" s="92">
        <f t="shared" si="150"/>
        <v>5.3384460393687515E-2</v>
      </c>
      <c r="EC60" s="92">
        <f t="shared" si="151"/>
        <v>2.4785642325640633E-2</v>
      </c>
      <c r="ED60" s="92">
        <f t="shared" si="152"/>
        <v>6.8405703595748463E-2</v>
      </c>
      <c r="EE60" s="92">
        <f t="shared" si="153"/>
        <v>0.35643126407538495</v>
      </c>
      <c r="EF60" s="92">
        <f t="shared" si="154"/>
        <v>1.9065878712031255E-2</v>
      </c>
      <c r="EG60" s="92">
        <f t="shared" si="155"/>
        <v>0.37549714278741619</v>
      </c>
      <c r="EH60" s="92">
        <f t="shared" si="156"/>
        <v>0.64356873592461505</v>
      </c>
      <c r="EI60" s="92">
        <f t="shared" si="157"/>
        <v>0.54291614902805962</v>
      </c>
      <c r="EJ60" s="122">
        <f t="shared" si="158"/>
        <v>0.1006525868965554</v>
      </c>
    </row>
    <row r="61" spans="2:140" ht="12" hidden="1" customHeight="1" outlineLevel="1">
      <c r="B61" s="121">
        <v>44914</v>
      </c>
      <c r="C61" s="117">
        <v>22478</v>
      </c>
      <c r="D61" s="50" t="s">
        <v>463</v>
      </c>
      <c r="E61" s="50" t="s">
        <v>458</v>
      </c>
      <c r="F61" s="50" t="s">
        <v>459</v>
      </c>
      <c r="G61" s="50" t="s">
        <v>154</v>
      </c>
      <c r="H61" s="50" t="s">
        <v>460</v>
      </c>
      <c r="I61" s="51" t="s">
        <v>328</v>
      </c>
      <c r="J61" s="52" t="s">
        <v>360</v>
      </c>
      <c r="K61" s="50" t="s">
        <v>294</v>
      </c>
      <c r="L61" s="49">
        <v>7</v>
      </c>
      <c r="M61" s="50" t="s">
        <v>159</v>
      </c>
      <c r="N61" s="50" t="s">
        <v>160</v>
      </c>
      <c r="O61" s="50" t="s">
        <v>160</v>
      </c>
      <c r="P61" s="50" t="s">
        <v>177</v>
      </c>
      <c r="Q61" s="53">
        <v>0.04</v>
      </c>
      <c r="R61" s="49">
        <v>224</v>
      </c>
      <c r="S61" s="49">
        <v>0</v>
      </c>
      <c r="T61" s="54">
        <f t="shared" si="0"/>
        <v>224</v>
      </c>
      <c r="U61" s="55">
        <v>226041</v>
      </c>
      <c r="V61" s="49">
        <v>11.04</v>
      </c>
      <c r="W61" s="56">
        <f t="shared" si="102"/>
        <v>20.289855072463769</v>
      </c>
      <c r="X61" s="49" t="s">
        <v>163</v>
      </c>
      <c r="Y61" s="57" t="s">
        <v>162</v>
      </c>
      <c r="Z61" s="58">
        <v>56065370</v>
      </c>
      <c r="AA61" s="114">
        <v>5.2499999999999998E-2</v>
      </c>
      <c r="AB61" s="59">
        <v>18</v>
      </c>
      <c r="AC61" s="60">
        <v>45</v>
      </c>
      <c r="AD61" s="61">
        <v>4.7E-2</v>
      </c>
      <c r="AE61" s="62">
        <v>35000000</v>
      </c>
      <c r="AF61" s="63">
        <v>1.29</v>
      </c>
      <c r="AG61" s="59">
        <v>18</v>
      </c>
      <c r="AH61" s="60">
        <v>45</v>
      </c>
      <c r="AI61" s="61">
        <v>5.2499999999999998E-2</v>
      </c>
      <c r="AJ61" s="64">
        <v>3840000</v>
      </c>
      <c r="AK61" s="65">
        <f t="shared" si="103"/>
        <v>38840000</v>
      </c>
      <c r="AL61" s="62">
        <v>0</v>
      </c>
      <c r="AM61" s="49" t="s">
        <v>163</v>
      </c>
      <c r="AN61" s="67">
        <v>0.91</v>
      </c>
      <c r="AO61" s="62">
        <v>21058046</v>
      </c>
      <c r="AP61" s="62">
        <v>0</v>
      </c>
      <c r="AQ61" s="68">
        <v>5227321</v>
      </c>
      <c r="AR61" s="69">
        <f t="shared" si="104"/>
        <v>173392.85714285713</v>
      </c>
      <c r="AS61" s="70" t="str">
        <f>IFERROR(IF(#REF!&gt;0,#REF!/T61,""),"")</f>
        <v/>
      </c>
      <c r="AT61" s="70">
        <f t="shared" si="105"/>
        <v>94009.133928571435</v>
      </c>
      <c r="AU61" s="70" t="str">
        <f t="shared" si="106"/>
        <v/>
      </c>
      <c r="AV61" s="71">
        <f t="shared" si="107"/>
        <v>23336.254464285714</v>
      </c>
      <c r="AW61" s="115">
        <f t="shared" si="108"/>
        <v>157894.64285714287</v>
      </c>
      <c r="AX61" s="116">
        <f t="shared" si="109"/>
        <v>156.46895917112383</v>
      </c>
      <c r="AY61" s="72">
        <f t="shared" si="110"/>
        <v>190115.97321428571</v>
      </c>
      <c r="AZ61" s="73">
        <f t="shared" si="111"/>
        <v>188.39935232988708</v>
      </c>
      <c r="BA61" s="66">
        <v>2122000</v>
      </c>
      <c r="BB61" s="62">
        <v>4924701</v>
      </c>
      <c r="BC61" s="62">
        <v>30443699</v>
      </c>
      <c r="BD61" s="62">
        <v>2266000</v>
      </c>
      <c r="BE61" s="62">
        <v>4951578</v>
      </c>
      <c r="BF61" s="62">
        <v>4305200</v>
      </c>
      <c r="BG61" s="67">
        <v>6899152</v>
      </c>
      <c r="BH61" s="62">
        <v>7505400</v>
      </c>
      <c r="BI61" s="62">
        <v>1707637</v>
      </c>
      <c r="BJ61" s="47">
        <f t="shared" si="112"/>
        <v>65125367</v>
      </c>
      <c r="BK61" s="69">
        <f t="shared" si="90"/>
        <v>9473.2142857142862</v>
      </c>
      <c r="BL61" s="70">
        <f t="shared" si="91"/>
        <v>21985.272321428572</v>
      </c>
      <c r="BM61" s="70">
        <f t="shared" si="92"/>
        <v>135909.37053571429</v>
      </c>
      <c r="BN61" s="70">
        <f t="shared" si="93"/>
        <v>10116.071428571429</v>
      </c>
      <c r="BO61" s="70">
        <f t="shared" si="94"/>
        <v>22105.258928571428</v>
      </c>
      <c r="BP61" s="70">
        <f t="shared" si="100"/>
        <v>19219.642857142859</v>
      </c>
      <c r="BQ61" s="70">
        <f t="shared" si="113"/>
        <v>30799.785714285714</v>
      </c>
      <c r="BR61" s="70">
        <f t="shared" ref="BR61:BR93" si="159">IFERROR(IF(BH61&gt;0,BH61/$T61,""),"")</f>
        <v>33506.25</v>
      </c>
      <c r="BS61" s="70">
        <f t="shared" ref="BS61:BS93" si="160">IFERROR(IF(BI61&gt;0,BI61/$T61,""),"")</f>
        <v>7623.3794642857147</v>
      </c>
      <c r="BT61" s="71">
        <f t="shared" ref="BT61:BT93" si="161">IFERROR(IF(BJ61&gt;0,BJ61/$T61,""),"")</f>
        <v>290738.24553571426</v>
      </c>
      <c r="BU61" s="65">
        <f t="shared" si="95"/>
        <v>9.3876774567445729</v>
      </c>
      <c r="BV61" s="48">
        <f t="shared" si="96"/>
        <v>21.786759924084567</v>
      </c>
      <c r="BW61" s="48">
        <f t="shared" si="97"/>
        <v>134.68219924703925</v>
      </c>
      <c r="BX61" s="48">
        <f t="shared" si="98"/>
        <v>10.024730026853536</v>
      </c>
      <c r="BY61" s="48">
        <f t="shared" si="99"/>
        <v>21.905663131909698</v>
      </c>
      <c r="BZ61" s="48">
        <f t="shared" si="101"/>
        <v>19.046102255785456</v>
      </c>
      <c r="CA61" s="48">
        <f t="shared" si="114"/>
        <v>30.521684119252701</v>
      </c>
      <c r="CB61" s="48">
        <f t="shared" ref="CB61:CB93" si="162">IFERROR(IF(BH61&gt;0,BH61/$U61,""),"")</f>
        <v>33.203710831220882</v>
      </c>
      <c r="CC61" s="48">
        <f t="shared" ref="CC61:CC93" si="163">IFERROR(IF(BI61&gt;0,BI61/$U61,""),"")</f>
        <v>7.5545454143274888</v>
      </c>
      <c r="CD61" s="47">
        <f t="shared" ref="CD61:CD93" si="164">IFERROR(IF(BJ61&gt;0,BJ61/$U61,""),"")</f>
        <v>288.11307240721817</v>
      </c>
      <c r="CE61" s="66">
        <v>3673920</v>
      </c>
      <c r="CF61" s="62">
        <v>40320</v>
      </c>
      <c r="CG61" s="74">
        <v>-278568</v>
      </c>
      <c r="CH61" s="75">
        <f t="shared" si="115"/>
        <v>3435672</v>
      </c>
      <c r="CI61" s="62">
        <f>67000+32000+8960</f>
        <v>107960</v>
      </c>
      <c r="CJ61" s="62">
        <v>103070</v>
      </c>
      <c r="CK61" s="62">
        <v>325000</v>
      </c>
      <c r="CL61" s="62">
        <f>151240+0</f>
        <v>151240</v>
      </c>
      <c r="CM61" s="62">
        <f>80000+80000</f>
        <v>160000</v>
      </c>
      <c r="CN61" s="62">
        <v>74000</v>
      </c>
      <c r="CO61" s="62">
        <v>0</v>
      </c>
      <c r="CP61" s="75">
        <f t="shared" si="3"/>
        <v>921270</v>
      </c>
      <c r="CQ61" s="62">
        <v>56000</v>
      </c>
      <c r="CR61" s="75">
        <f t="shared" si="4"/>
        <v>977270</v>
      </c>
      <c r="CS61" s="75">
        <f t="shared" si="116"/>
        <v>2514402</v>
      </c>
      <c r="CT61" s="62">
        <f>5000+(1906727+222681)</f>
        <v>2134408</v>
      </c>
      <c r="CU61" s="47">
        <f t="shared" si="117"/>
        <v>379994</v>
      </c>
      <c r="CV61" s="76">
        <f t="shared" si="118"/>
        <v>0.73185158536670558</v>
      </c>
      <c r="CW61" s="75">
        <f t="shared" si="119"/>
        <v>4362.8125</v>
      </c>
      <c r="CX61" s="77">
        <f t="shared" si="120"/>
        <v>0.28444799154284811</v>
      </c>
      <c r="CY61" s="75">
        <f t="shared" si="121"/>
        <v>1696.4017857142858</v>
      </c>
      <c r="CZ61" s="77">
        <f t="shared" si="122"/>
        <v>0.11060252550301658</v>
      </c>
      <c r="DA61" s="77">
        <f t="shared" si="123"/>
        <v>0.62124905986368895</v>
      </c>
      <c r="DB61" s="47">
        <f t="shared" si="124"/>
        <v>173392.85714285713</v>
      </c>
      <c r="DC61" s="69">
        <f t="shared" si="125"/>
        <v>16401.428571428572</v>
      </c>
      <c r="DD61" s="70">
        <f t="shared" si="126"/>
        <v>180</v>
      </c>
      <c r="DE61" s="70">
        <f t="shared" si="127"/>
        <v>-1243.6071428571429</v>
      </c>
      <c r="DF61" s="70">
        <f t="shared" si="128"/>
        <v>15337.821428571429</v>
      </c>
      <c r="DG61" s="70">
        <f t="shared" si="129"/>
        <v>481.96428571428572</v>
      </c>
      <c r="DH61" s="70">
        <f t="shared" si="130"/>
        <v>460.13392857142856</v>
      </c>
      <c r="DI61" s="70">
        <f t="shared" si="131"/>
        <v>1450.8928571428571</v>
      </c>
      <c r="DJ61" s="70">
        <f t="shared" si="132"/>
        <v>675.17857142857144</v>
      </c>
      <c r="DK61" s="70">
        <f t="shared" si="133"/>
        <v>714.28571428571433</v>
      </c>
      <c r="DL61" s="70">
        <f t="shared" si="134"/>
        <v>330.35714285714283</v>
      </c>
      <c r="DM61" s="70" t="str">
        <f t="shared" si="135"/>
        <v/>
      </c>
      <c r="DN61" s="70">
        <f t="shared" si="136"/>
        <v>4112.8125</v>
      </c>
      <c r="DO61" s="70">
        <f t="shared" si="137"/>
        <v>250</v>
      </c>
      <c r="DP61" s="70">
        <f t="shared" si="138"/>
        <v>4362.8125</v>
      </c>
      <c r="DQ61" s="70">
        <f t="shared" si="139"/>
        <v>11225.008928571429</v>
      </c>
      <c r="DR61" s="70">
        <f t="shared" si="140"/>
        <v>9528.6071428571431</v>
      </c>
      <c r="DS61" s="71">
        <f t="shared" si="141"/>
        <v>1696.4017857142858</v>
      </c>
      <c r="DT61" s="106">
        <f t="shared" si="142"/>
        <v>1.0693453857062025</v>
      </c>
      <c r="DU61" s="92">
        <f t="shared" si="143"/>
        <v>1.1735695374878626E-2</v>
      </c>
      <c r="DV61" s="92" t="str">
        <f t="shared" si="144"/>
        <v/>
      </c>
      <c r="DW61" s="92">
        <f t="shared" si="145"/>
        <v>1</v>
      </c>
      <c r="DX61" s="92">
        <f t="shared" si="146"/>
        <v>3.1423255770632354E-2</v>
      </c>
      <c r="DY61" s="92">
        <f t="shared" si="147"/>
        <v>2.9999953429780259E-2</v>
      </c>
      <c r="DZ61" s="92">
        <f t="shared" si="148"/>
        <v>9.4595758850088141E-2</v>
      </c>
      <c r="EA61" s="92">
        <f t="shared" si="149"/>
        <v>4.4020500210730243E-2</v>
      </c>
      <c r="EB61" s="92">
        <f t="shared" si="150"/>
        <v>4.6570219741581848E-2</v>
      </c>
      <c r="EC61" s="92">
        <f t="shared" si="151"/>
        <v>2.1538726630481606E-2</v>
      </c>
      <c r="ED61" s="92" t="str">
        <f t="shared" si="152"/>
        <v/>
      </c>
      <c r="EE61" s="92">
        <f t="shared" si="153"/>
        <v>0.26814841463329447</v>
      </c>
      <c r="EF61" s="92">
        <f t="shared" si="154"/>
        <v>1.6299576909553647E-2</v>
      </c>
      <c r="EG61" s="92">
        <f t="shared" si="155"/>
        <v>0.28444799154284811</v>
      </c>
      <c r="EH61" s="92">
        <f t="shared" si="156"/>
        <v>0.73185158536670558</v>
      </c>
      <c r="EI61" s="92">
        <f t="shared" si="157"/>
        <v>0.62124905986368895</v>
      </c>
      <c r="EJ61" s="122">
        <f t="shared" si="158"/>
        <v>0.11060252550301658</v>
      </c>
    </row>
    <row r="62" spans="2:140" ht="12" hidden="1" customHeight="1" outlineLevel="1">
      <c r="B62" s="121">
        <v>44915</v>
      </c>
      <c r="C62" s="117" t="s">
        <v>464</v>
      </c>
      <c r="D62" s="50" t="s">
        <v>465</v>
      </c>
      <c r="E62" s="50" t="s">
        <v>466</v>
      </c>
      <c r="F62" s="50" t="s">
        <v>466</v>
      </c>
      <c r="G62" s="50" t="s">
        <v>291</v>
      </c>
      <c r="H62" s="50" t="s">
        <v>467</v>
      </c>
      <c r="I62" s="51" t="s">
        <v>468</v>
      </c>
      <c r="J62" s="52" t="s">
        <v>360</v>
      </c>
      <c r="K62" s="50" t="s">
        <v>294</v>
      </c>
      <c r="L62" s="49">
        <v>7</v>
      </c>
      <c r="M62" s="50" t="s">
        <v>159</v>
      </c>
      <c r="N62" s="50" t="s">
        <v>361</v>
      </c>
      <c r="O62" s="50" t="s">
        <v>160</v>
      </c>
      <c r="P62" s="50" t="s">
        <v>177</v>
      </c>
      <c r="Q62" s="53" t="s">
        <v>469</v>
      </c>
      <c r="R62" s="49">
        <v>0</v>
      </c>
      <c r="S62" s="49">
        <v>61</v>
      </c>
      <c r="T62" s="54">
        <f t="shared" si="0"/>
        <v>61</v>
      </c>
      <c r="U62" s="55">
        <v>24863</v>
      </c>
      <c r="V62" s="49">
        <v>1.03</v>
      </c>
      <c r="W62" s="56">
        <f t="shared" si="102"/>
        <v>59.223300970873787</v>
      </c>
      <c r="X62" s="49" t="s">
        <v>163</v>
      </c>
      <c r="Y62" s="57" t="s">
        <v>162</v>
      </c>
      <c r="Z62" s="58">
        <v>9233735</v>
      </c>
      <c r="AA62" s="114">
        <v>0</v>
      </c>
      <c r="AB62" s="59">
        <v>40</v>
      </c>
      <c r="AC62" s="60">
        <v>0</v>
      </c>
      <c r="AD62" s="61">
        <v>0</v>
      </c>
      <c r="AE62" s="62">
        <v>9233735</v>
      </c>
      <c r="AF62" s="63" t="s">
        <v>163</v>
      </c>
      <c r="AG62" s="59"/>
      <c r="AH62" s="60"/>
      <c r="AI62" s="61"/>
      <c r="AJ62" s="64"/>
      <c r="AK62" s="65">
        <f t="shared" si="103"/>
        <v>9233735</v>
      </c>
      <c r="AL62" s="62">
        <v>9233735</v>
      </c>
      <c r="AM62" s="49" t="s">
        <v>163</v>
      </c>
      <c r="AN62" s="67" t="s">
        <v>163</v>
      </c>
      <c r="AO62" s="62">
        <v>10489083</v>
      </c>
      <c r="AP62" s="62">
        <v>0</v>
      </c>
      <c r="AQ62" s="68">
        <v>148501</v>
      </c>
      <c r="AR62" s="69">
        <f t="shared" si="104"/>
        <v>151372.70491803277</v>
      </c>
      <c r="AS62" s="70" t="str">
        <f>IFERROR(IF(#REF!&gt;0,#REF!/T62,""),"")</f>
        <v/>
      </c>
      <c r="AT62" s="70">
        <f t="shared" si="105"/>
        <v>171952.18032786885</v>
      </c>
      <c r="AU62" s="70">
        <f t="shared" si="106"/>
        <v>151372.70491803277</v>
      </c>
      <c r="AV62" s="71">
        <f t="shared" si="107"/>
        <v>2434.4426229508199</v>
      </c>
      <c r="AW62" s="115">
        <f t="shared" si="108"/>
        <v>79184.786885245907</v>
      </c>
      <c r="AX62" s="116">
        <f t="shared" si="109"/>
        <v>194.2755097936693</v>
      </c>
      <c r="AY62" s="72">
        <f t="shared" si="110"/>
        <v>95573.491803278695</v>
      </c>
      <c r="AZ62" s="73">
        <f t="shared" si="111"/>
        <v>234.48429393074045</v>
      </c>
      <c r="BA62" s="66">
        <v>2905592</v>
      </c>
      <c r="BB62" s="62">
        <v>426746</v>
      </c>
      <c r="BC62" s="62">
        <v>4403526</v>
      </c>
      <c r="BD62" s="62">
        <v>276514</v>
      </c>
      <c r="BE62" s="62">
        <v>723197</v>
      </c>
      <c r="BF62" s="62">
        <v>1134839</v>
      </c>
      <c r="BG62" s="67">
        <v>83558</v>
      </c>
      <c r="BH62" s="62">
        <v>387525</v>
      </c>
      <c r="BI62" s="62">
        <v>47587</v>
      </c>
      <c r="BJ62" s="47">
        <f t="shared" si="112"/>
        <v>10389084</v>
      </c>
      <c r="BK62" s="69">
        <f t="shared" ref="BK62:BK94" si="165">IFERROR(IF(BA62&gt;0,BA62/$T62,""),"")</f>
        <v>47632.655737704918</v>
      </c>
      <c r="BL62" s="70">
        <f t="shared" ref="BL62:BL94" si="166">IFERROR(IF(BB62&gt;0,BB62/$T62,""),"")</f>
        <v>6995.8360655737706</v>
      </c>
      <c r="BM62" s="70">
        <f t="shared" ref="BM62:BM94" si="167">IFERROR(IF(BC62&gt;0,BC62/$T62,""),"")</f>
        <v>72188.950819672129</v>
      </c>
      <c r="BN62" s="70">
        <f t="shared" ref="BN62:BN94" si="168">IFERROR(IF(BD62&gt;0,BD62/$T62,""),"")</f>
        <v>4533.0163934426228</v>
      </c>
      <c r="BO62" s="70">
        <f t="shared" ref="BO62:BO94" si="169">IFERROR(IF(BE62&gt;0,BE62/$T62,""),"")</f>
        <v>11855.688524590163</v>
      </c>
      <c r="BP62" s="70">
        <f t="shared" si="100"/>
        <v>18603.918032786885</v>
      </c>
      <c r="BQ62" s="70">
        <f t="shared" si="113"/>
        <v>1369.8032786885246</v>
      </c>
      <c r="BR62" s="70">
        <f t="shared" si="159"/>
        <v>6352.8688524590161</v>
      </c>
      <c r="BS62" s="70">
        <f t="shared" si="160"/>
        <v>780.11475409836066</v>
      </c>
      <c r="BT62" s="71">
        <f t="shared" si="161"/>
        <v>170312.8524590164</v>
      </c>
      <c r="BU62" s="65">
        <f t="shared" ref="BU62:BU94" si="170">IFERROR(IF(BA62&gt;0,BA62/$U62,""),"")</f>
        <v>116.86409524192575</v>
      </c>
      <c r="BV62" s="48">
        <f t="shared" ref="BV62:BV94" si="171">IFERROR(IF(BB62&gt;0,BB62/$U62,""),"")</f>
        <v>17.163898161927364</v>
      </c>
      <c r="BW62" s="48">
        <f t="shared" ref="BW62:BW94" si="172">IFERROR(IF(BC62&gt;0,BC62/$U62,""),"")</f>
        <v>177.11161163174194</v>
      </c>
      <c r="BX62" s="48">
        <f t="shared" ref="BX62:BX94" si="173">IFERROR(IF(BD62&gt;0,BD62/$U62,""),"")</f>
        <v>11.12150585206934</v>
      </c>
      <c r="BY62" s="48">
        <f t="shared" ref="BY62:BY94" si="174">IFERROR(IF(BE62&gt;0,BE62/$U62,""),"")</f>
        <v>29.087278285001808</v>
      </c>
      <c r="BZ62" s="48">
        <f t="shared" si="101"/>
        <v>45.64368740699031</v>
      </c>
      <c r="CA62" s="48">
        <f t="shared" si="114"/>
        <v>3.3607368378715359</v>
      </c>
      <c r="CB62" s="48">
        <f t="shared" si="162"/>
        <v>15.586413546233359</v>
      </c>
      <c r="CC62" s="48">
        <f t="shared" si="163"/>
        <v>1.913968547641073</v>
      </c>
      <c r="CD62" s="47">
        <f t="shared" si="164"/>
        <v>417.85319551140248</v>
      </c>
      <c r="CE62" s="66">
        <v>141404</v>
      </c>
      <c r="CF62" s="62">
        <v>9456</v>
      </c>
      <c r="CG62" s="74">
        <v>-7543</v>
      </c>
      <c r="CH62" s="75">
        <f t="shared" si="115"/>
        <v>143317</v>
      </c>
      <c r="CI62" s="62">
        <f>35585+0+714</f>
        <v>36299</v>
      </c>
      <c r="CJ62" s="62">
        <v>15355</v>
      </c>
      <c r="CK62" s="62">
        <v>85112</v>
      </c>
      <c r="CL62" s="62">
        <f>52195</f>
        <v>52195</v>
      </c>
      <c r="CM62" s="62">
        <f>31880+26570</f>
        <v>58450</v>
      </c>
      <c r="CN62" s="62">
        <v>32380</v>
      </c>
      <c r="CO62" s="62">
        <v>0</v>
      </c>
      <c r="CP62" s="75">
        <f t="shared" si="3"/>
        <v>279791</v>
      </c>
      <c r="CQ62" s="62">
        <v>15250</v>
      </c>
      <c r="CR62" s="75">
        <f t="shared" si="4"/>
        <v>295041</v>
      </c>
      <c r="CS62" s="75" t="str">
        <f t="shared" si="116"/>
        <v/>
      </c>
      <c r="CT62" s="62">
        <v>0</v>
      </c>
      <c r="CU62" s="47" t="str">
        <f t="shared" si="117"/>
        <v/>
      </c>
      <c r="CV62" s="76" t="str">
        <f t="shared" si="118"/>
        <v/>
      </c>
      <c r="CW62" s="75">
        <f t="shared" si="119"/>
        <v>4836.7377049180332</v>
      </c>
      <c r="CX62" s="77">
        <f t="shared" si="120"/>
        <v>2.0586601729034237</v>
      </c>
      <c r="CY62" s="75" t="str">
        <f t="shared" si="121"/>
        <v/>
      </c>
      <c r="CZ62" s="77" t="str">
        <f t="shared" si="122"/>
        <v/>
      </c>
      <c r="DA62" s="77" t="str">
        <f t="shared" si="123"/>
        <v/>
      </c>
      <c r="DB62" s="47">
        <f t="shared" si="124"/>
        <v>151372.70491803277</v>
      </c>
      <c r="DC62" s="69">
        <f t="shared" si="125"/>
        <v>2318.0983606557379</v>
      </c>
      <c r="DD62" s="70">
        <f t="shared" si="126"/>
        <v>155.01639344262296</v>
      </c>
      <c r="DE62" s="70">
        <f t="shared" si="127"/>
        <v>-123.65573770491804</v>
      </c>
      <c r="DF62" s="70">
        <f t="shared" si="128"/>
        <v>2349.4590163934427</v>
      </c>
      <c r="DG62" s="70">
        <f t="shared" si="129"/>
        <v>595.06557377049182</v>
      </c>
      <c r="DH62" s="70">
        <f t="shared" si="130"/>
        <v>251.72131147540983</v>
      </c>
      <c r="DI62" s="70">
        <f t="shared" si="131"/>
        <v>1395.2786885245901</v>
      </c>
      <c r="DJ62" s="70">
        <f t="shared" si="132"/>
        <v>855.65573770491801</v>
      </c>
      <c r="DK62" s="70">
        <f t="shared" si="133"/>
        <v>958.19672131147536</v>
      </c>
      <c r="DL62" s="70">
        <f t="shared" si="134"/>
        <v>530.81967213114751</v>
      </c>
      <c r="DM62" s="70" t="str">
        <f t="shared" si="135"/>
        <v/>
      </c>
      <c r="DN62" s="70">
        <f t="shared" si="136"/>
        <v>4586.7377049180332</v>
      </c>
      <c r="DO62" s="70">
        <f t="shared" si="137"/>
        <v>250</v>
      </c>
      <c r="DP62" s="70">
        <f t="shared" si="138"/>
        <v>4836.7377049180332</v>
      </c>
      <c r="DQ62" s="70" t="str">
        <f t="shared" si="139"/>
        <v/>
      </c>
      <c r="DR62" s="70" t="str">
        <f t="shared" si="140"/>
        <v/>
      </c>
      <c r="DS62" s="71" t="str">
        <f t="shared" si="141"/>
        <v/>
      </c>
      <c r="DT62" s="106">
        <f t="shared" si="142"/>
        <v>0.98665196731720595</v>
      </c>
      <c r="DU62" s="92">
        <f t="shared" si="143"/>
        <v>6.5979611630162513E-2</v>
      </c>
      <c r="DV62" s="92" t="str">
        <f t="shared" si="144"/>
        <v/>
      </c>
      <c r="DW62" s="92">
        <f t="shared" si="145"/>
        <v>1</v>
      </c>
      <c r="DX62" s="92">
        <f t="shared" si="146"/>
        <v>0.25327769908664011</v>
      </c>
      <c r="DY62" s="92">
        <f t="shared" si="147"/>
        <v>0.10714011596670318</v>
      </c>
      <c r="DZ62" s="92">
        <f t="shared" si="148"/>
        <v>0.5938723249858705</v>
      </c>
      <c r="EA62" s="92">
        <f t="shared" si="149"/>
        <v>0.36419266381517895</v>
      </c>
      <c r="EB62" s="92">
        <f t="shared" si="150"/>
        <v>0.40783717214287207</v>
      </c>
      <c r="EC62" s="92">
        <f t="shared" si="151"/>
        <v>0.22593272256605984</v>
      </c>
      <c r="ED62" s="92" t="str">
        <f t="shared" si="152"/>
        <v/>
      </c>
      <c r="EE62" s="92">
        <f t="shared" si="153"/>
        <v>1.9522526985633246</v>
      </c>
      <c r="EF62" s="92">
        <f t="shared" si="154"/>
        <v>0.10640747434009921</v>
      </c>
      <c r="EG62" s="92">
        <f t="shared" si="155"/>
        <v>2.0586601729034237</v>
      </c>
      <c r="EH62" s="92" t="str">
        <f t="shared" si="156"/>
        <v/>
      </c>
      <c r="EI62" s="92" t="str">
        <f t="shared" si="157"/>
        <v/>
      </c>
      <c r="EJ62" s="122" t="str">
        <f t="shared" si="158"/>
        <v/>
      </c>
    </row>
    <row r="63" spans="2:140" ht="12" hidden="1" customHeight="1" outlineLevel="1">
      <c r="B63" s="121">
        <v>44915</v>
      </c>
      <c r="C63" s="117">
        <v>22617</v>
      </c>
      <c r="D63" s="50" t="s">
        <v>470</v>
      </c>
      <c r="E63" s="50" t="s">
        <v>470</v>
      </c>
      <c r="F63" s="50" t="s">
        <v>235</v>
      </c>
      <c r="G63" s="50" t="s">
        <v>471</v>
      </c>
      <c r="H63" s="50" t="s">
        <v>182</v>
      </c>
      <c r="I63" s="51" t="s">
        <v>472</v>
      </c>
      <c r="J63" s="52" t="s">
        <v>191</v>
      </c>
      <c r="K63" s="50" t="s">
        <v>192</v>
      </c>
      <c r="L63" s="49">
        <v>3</v>
      </c>
      <c r="M63" s="50" t="s">
        <v>159</v>
      </c>
      <c r="N63" s="50" t="s">
        <v>160</v>
      </c>
      <c r="O63" s="50" t="s">
        <v>160</v>
      </c>
      <c r="P63" s="50" t="s">
        <v>177</v>
      </c>
      <c r="Q63" s="53">
        <v>0.04</v>
      </c>
      <c r="R63" s="49">
        <v>240</v>
      </c>
      <c r="S63" s="49">
        <v>0</v>
      </c>
      <c r="T63" s="54">
        <f t="shared" si="0"/>
        <v>240</v>
      </c>
      <c r="U63" s="55">
        <v>214837</v>
      </c>
      <c r="V63" s="49">
        <v>9.85</v>
      </c>
      <c r="W63" s="56">
        <f t="shared" si="102"/>
        <v>24.36548223350254</v>
      </c>
      <c r="X63" s="49" t="s">
        <v>163</v>
      </c>
      <c r="Y63" s="57" t="s">
        <v>162</v>
      </c>
      <c r="Z63" s="58">
        <v>30709800</v>
      </c>
      <c r="AA63" s="114">
        <v>4.4999999999999998E-2</v>
      </c>
      <c r="AB63" s="59">
        <v>40</v>
      </c>
      <c r="AC63" s="60">
        <v>40</v>
      </c>
      <c r="AD63" s="61">
        <v>4.4999999999999998E-2</v>
      </c>
      <c r="AE63" s="62">
        <v>30709800</v>
      </c>
      <c r="AF63" s="63">
        <v>1.1499999999999999</v>
      </c>
      <c r="AG63" s="59"/>
      <c r="AH63" s="60"/>
      <c r="AI63" s="61"/>
      <c r="AJ63" s="64"/>
      <c r="AK63" s="65">
        <f t="shared" si="103"/>
        <v>30709800</v>
      </c>
      <c r="AL63" s="62">
        <v>0</v>
      </c>
      <c r="AM63" s="49" t="s">
        <v>163</v>
      </c>
      <c r="AN63" s="67">
        <v>0.88</v>
      </c>
      <c r="AO63" s="62">
        <v>27184672</v>
      </c>
      <c r="AP63" s="62">
        <v>0</v>
      </c>
      <c r="AQ63" s="68">
        <v>4313573</v>
      </c>
      <c r="AR63" s="69">
        <f t="shared" si="104"/>
        <v>127957.5</v>
      </c>
      <c r="AS63" s="70" t="str">
        <f>IFERROR(IF(#REF!&gt;0,#REF!/T63,""),"")</f>
        <v/>
      </c>
      <c r="AT63" s="70">
        <f t="shared" si="105"/>
        <v>113269.46666666666</v>
      </c>
      <c r="AU63" s="70" t="str">
        <f t="shared" si="106"/>
        <v/>
      </c>
      <c r="AV63" s="71">
        <f t="shared" si="107"/>
        <v>17973.220833333333</v>
      </c>
      <c r="AW63" s="115">
        <f t="shared" si="108"/>
        <v>140076.20833333334</v>
      </c>
      <c r="AX63" s="116">
        <f t="shared" si="109"/>
        <v>156.48277531337712</v>
      </c>
      <c r="AY63" s="72">
        <f t="shared" si="110"/>
        <v>164940.08333333334</v>
      </c>
      <c r="AZ63" s="73">
        <f t="shared" si="111"/>
        <v>184.25885671462549</v>
      </c>
      <c r="BA63" s="66">
        <v>2369000</v>
      </c>
      <c r="BB63" s="62">
        <v>5381600</v>
      </c>
      <c r="BC63" s="62">
        <v>28236690</v>
      </c>
      <c r="BD63" s="62">
        <v>1281770</v>
      </c>
      <c r="BE63" s="62">
        <v>4685560</v>
      </c>
      <c r="BF63" s="62">
        <v>2173203</v>
      </c>
      <c r="BG63" s="67">
        <v>5506051</v>
      </c>
      <c r="BH63" s="62">
        <v>5565036</v>
      </c>
      <c r="BI63" s="62">
        <v>2695562</v>
      </c>
      <c r="BJ63" s="47">
        <f t="shared" si="112"/>
        <v>57894472</v>
      </c>
      <c r="BK63" s="69">
        <f t="shared" si="165"/>
        <v>9870.8333333333339</v>
      </c>
      <c r="BL63" s="70">
        <f t="shared" si="166"/>
        <v>22423.333333333332</v>
      </c>
      <c r="BM63" s="70">
        <f t="shared" si="167"/>
        <v>117652.875</v>
      </c>
      <c r="BN63" s="70">
        <f t="shared" si="168"/>
        <v>5340.708333333333</v>
      </c>
      <c r="BO63" s="70">
        <f t="shared" si="169"/>
        <v>19523.166666666668</v>
      </c>
      <c r="BP63" s="70">
        <f t="shared" si="100"/>
        <v>9055.0125000000007</v>
      </c>
      <c r="BQ63" s="70">
        <f t="shared" si="113"/>
        <v>22941.879166666666</v>
      </c>
      <c r="BR63" s="70">
        <f t="shared" si="159"/>
        <v>23187.65</v>
      </c>
      <c r="BS63" s="70">
        <f t="shared" si="160"/>
        <v>11231.508333333333</v>
      </c>
      <c r="BT63" s="71">
        <f t="shared" si="161"/>
        <v>241226.96666666667</v>
      </c>
      <c r="BU63" s="65">
        <f t="shared" si="170"/>
        <v>11.026964628997799</v>
      </c>
      <c r="BV63" s="48">
        <f t="shared" si="171"/>
        <v>25.049688833860088</v>
      </c>
      <c r="BW63" s="48">
        <f t="shared" si="172"/>
        <v>131.43308647951702</v>
      </c>
      <c r="BX63" s="48">
        <f t="shared" si="173"/>
        <v>5.9662441758170148</v>
      </c>
      <c r="BY63" s="48">
        <f t="shared" si="174"/>
        <v>21.809837225431373</v>
      </c>
      <c r="BZ63" s="48">
        <f t="shared" si="101"/>
        <v>10.115589958899072</v>
      </c>
      <c r="CA63" s="48">
        <f t="shared" si="114"/>
        <v>25.628969870180647</v>
      </c>
      <c r="CB63" s="48">
        <f t="shared" si="162"/>
        <v>25.903526859898435</v>
      </c>
      <c r="CC63" s="48">
        <f t="shared" si="163"/>
        <v>12.547010058788755</v>
      </c>
      <c r="CD63" s="47">
        <f t="shared" si="164"/>
        <v>269.48091809139021</v>
      </c>
      <c r="CE63" s="66">
        <v>3163464</v>
      </c>
      <c r="CF63" s="62">
        <v>86400</v>
      </c>
      <c r="CG63" s="74">
        <v>-243740</v>
      </c>
      <c r="CH63" s="75">
        <f t="shared" si="115"/>
        <v>3006124</v>
      </c>
      <c r="CI63" s="62">
        <f>89049+0+9600</f>
        <v>98649</v>
      </c>
      <c r="CJ63" s="62">
        <v>120245</v>
      </c>
      <c r="CK63" s="62">
        <v>306040</v>
      </c>
      <c r="CL63" s="62">
        <f>127013</f>
        <v>127013</v>
      </c>
      <c r="CM63" s="62">
        <f>30461+167519</f>
        <v>197980</v>
      </c>
      <c r="CN63" s="62">
        <v>96000</v>
      </c>
      <c r="CO63" s="62">
        <v>0</v>
      </c>
      <c r="CP63" s="75">
        <f t="shared" si="3"/>
        <v>945927</v>
      </c>
      <c r="CQ63" s="62">
        <v>60000</v>
      </c>
      <c r="CR63" s="75">
        <f t="shared" si="4"/>
        <v>1005927</v>
      </c>
      <c r="CS63" s="75">
        <f t="shared" si="116"/>
        <v>2060197</v>
      </c>
      <c r="CT63" s="62">
        <f>6000+1733492</f>
        <v>1739492</v>
      </c>
      <c r="CU63" s="47">
        <f t="shared" si="117"/>
        <v>320705</v>
      </c>
      <c r="CV63" s="76">
        <f t="shared" si="118"/>
        <v>0.68533333954287978</v>
      </c>
      <c r="CW63" s="75">
        <f t="shared" si="119"/>
        <v>4191.3625000000002</v>
      </c>
      <c r="CX63" s="77">
        <f t="shared" si="120"/>
        <v>0.33462591696150923</v>
      </c>
      <c r="CY63" s="75">
        <f t="shared" si="121"/>
        <v>1336.2708333333333</v>
      </c>
      <c r="CZ63" s="77">
        <f t="shared" si="122"/>
        <v>0.10668388928733478</v>
      </c>
      <c r="DA63" s="77">
        <f t="shared" si="123"/>
        <v>0.57864945025554504</v>
      </c>
      <c r="DB63" s="47">
        <f t="shared" si="124"/>
        <v>127957.5</v>
      </c>
      <c r="DC63" s="69">
        <f t="shared" si="125"/>
        <v>13181.1</v>
      </c>
      <c r="DD63" s="70">
        <f t="shared" si="126"/>
        <v>360</v>
      </c>
      <c r="DE63" s="70">
        <f t="shared" si="127"/>
        <v>-1015.5833333333334</v>
      </c>
      <c r="DF63" s="70">
        <f t="shared" si="128"/>
        <v>12525.516666666666</v>
      </c>
      <c r="DG63" s="70">
        <f t="shared" si="129"/>
        <v>411.03750000000002</v>
      </c>
      <c r="DH63" s="70">
        <f t="shared" si="130"/>
        <v>501.02083333333331</v>
      </c>
      <c r="DI63" s="70">
        <f t="shared" si="131"/>
        <v>1275.1666666666667</v>
      </c>
      <c r="DJ63" s="70">
        <f t="shared" si="132"/>
        <v>529.2208333333333</v>
      </c>
      <c r="DK63" s="70">
        <f t="shared" si="133"/>
        <v>824.91666666666663</v>
      </c>
      <c r="DL63" s="70">
        <f t="shared" si="134"/>
        <v>400</v>
      </c>
      <c r="DM63" s="70" t="str">
        <f t="shared" si="135"/>
        <v/>
      </c>
      <c r="DN63" s="70">
        <f t="shared" si="136"/>
        <v>3941.3625000000002</v>
      </c>
      <c r="DO63" s="70">
        <f t="shared" si="137"/>
        <v>250</v>
      </c>
      <c r="DP63" s="70">
        <f t="shared" si="138"/>
        <v>4191.3625000000002</v>
      </c>
      <c r="DQ63" s="70">
        <f t="shared" si="139"/>
        <v>8584.1541666666672</v>
      </c>
      <c r="DR63" s="70">
        <f t="shared" si="140"/>
        <v>7247.8833333333332</v>
      </c>
      <c r="DS63" s="71">
        <f t="shared" si="141"/>
        <v>1336.2708333333333</v>
      </c>
      <c r="DT63" s="106">
        <f t="shared" si="142"/>
        <v>1.0523398236400094</v>
      </c>
      <c r="DU63" s="92">
        <f t="shared" si="143"/>
        <v>2.8741329366320217E-2</v>
      </c>
      <c r="DV63" s="92" t="str">
        <f t="shared" si="144"/>
        <v/>
      </c>
      <c r="DW63" s="92">
        <f t="shared" si="145"/>
        <v>1</v>
      </c>
      <c r="DX63" s="92">
        <f t="shared" si="146"/>
        <v>3.2816011581691243E-2</v>
      </c>
      <c r="DY63" s="92">
        <f t="shared" si="147"/>
        <v>4.0000013306171006E-2</v>
      </c>
      <c r="DZ63" s="92">
        <f t="shared" si="148"/>
        <v>0.10180551434338703</v>
      </c>
      <c r="EA63" s="92">
        <f t="shared" si="149"/>
        <v>4.2251417439866087E-2</v>
      </c>
      <c r="EB63" s="92">
        <f t="shared" si="150"/>
        <v>6.5858893378982375E-2</v>
      </c>
      <c r="EC63" s="92">
        <f t="shared" si="151"/>
        <v>3.1934810407022465E-2</v>
      </c>
      <c r="ED63" s="92" t="str">
        <f t="shared" si="152"/>
        <v/>
      </c>
      <c r="EE63" s="92">
        <f t="shared" si="153"/>
        <v>0.31466666045712022</v>
      </c>
      <c r="EF63" s="92">
        <f t="shared" si="154"/>
        <v>1.9959256504389039E-2</v>
      </c>
      <c r="EG63" s="92">
        <f t="shared" si="155"/>
        <v>0.33462591696150923</v>
      </c>
      <c r="EH63" s="92">
        <f t="shared" si="156"/>
        <v>0.68533333954287978</v>
      </c>
      <c r="EI63" s="92">
        <f t="shared" si="157"/>
        <v>0.57864945025554504</v>
      </c>
      <c r="EJ63" s="122">
        <f t="shared" si="158"/>
        <v>0.10668388928733478</v>
      </c>
    </row>
    <row r="64" spans="2:140" ht="12" hidden="1" customHeight="1" outlineLevel="1">
      <c r="B64" s="121">
        <v>44916</v>
      </c>
      <c r="C64" s="117">
        <v>22474</v>
      </c>
      <c r="D64" s="50" t="s">
        <v>473</v>
      </c>
      <c r="E64" s="50" t="s">
        <v>474</v>
      </c>
      <c r="F64" s="50" t="s">
        <v>475</v>
      </c>
      <c r="G64" s="50" t="s">
        <v>154</v>
      </c>
      <c r="H64" s="50" t="s">
        <v>305</v>
      </c>
      <c r="I64" s="50" t="s">
        <v>476</v>
      </c>
      <c r="J64" s="52" t="s">
        <v>175</v>
      </c>
      <c r="K64" s="50" t="s">
        <v>176</v>
      </c>
      <c r="L64" s="49">
        <v>6</v>
      </c>
      <c r="M64" s="50" t="s">
        <v>159</v>
      </c>
      <c r="N64" s="50" t="s">
        <v>160</v>
      </c>
      <c r="O64" s="50" t="s">
        <v>160</v>
      </c>
      <c r="P64" s="50" t="s">
        <v>161</v>
      </c>
      <c r="Q64" s="53">
        <v>0.04</v>
      </c>
      <c r="R64" s="49">
        <v>324</v>
      </c>
      <c r="S64" s="49">
        <v>0</v>
      </c>
      <c r="T64" s="54">
        <f t="shared" si="0"/>
        <v>324</v>
      </c>
      <c r="U64" s="55">
        <v>263004</v>
      </c>
      <c r="V64" s="49">
        <v>14.92</v>
      </c>
      <c r="W64" s="56">
        <f t="shared" si="102"/>
        <v>21.715817694369974</v>
      </c>
      <c r="X64" s="49">
        <v>1972</v>
      </c>
      <c r="Y64" s="57" t="s">
        <v>162</v>
      </c>
      <c r="Z64" s="58">
        <v>44196000</v>
      </c>
      <c r="AA64" s="114">
        <v>4.9500000000000002E-2</v>
      </c>
      <c r="AB64" s="59">
        <v>16</v>
      </c>
      <c r="AC64" s="60">
        <v>40</v>
      </c>
      <c r="AD64" s="61">
        <v>4.9500000000000002E-2</v>
      </c>
      <c r="AE64" s="62">
        <v>44196000</v>
      </c>
      <c r="AF64" s="63">
        <v>1.1599999999999999</v>
      </c>
      <c r="AG64" s="59"/>
      <c r="AH64" s="60"/>
      <c r="AI64" s="61"/>
      <c r="AJ64" s="64"/>
      <c r="AK64" s="65">
        <f t="shared" si="103"/>
        <v>44196000</v>
      </c>
      <c r="AL64" s="62">
        <v>1020273</v>
      </c>
      <c r="AM64" s="49" t="s">
        <v>163</v>
      </c>
      <c r="AN64" s="67">
        <v>0.87</v>
      </c>
      <c r="AO64" s="62">
        <v>27095000</v>
      </c>
      <c r="AP64" s="62">
        <v>0</v>
      </c>
      <c r="AQ64" s="68">
        <v>4886578</v>
      </c>
      <c r="AR64" s="69">
        <f t="shared" si="104"/>
        <v>136407.40740740742</v>
      </c>
      <c r="AS64" s="70" t="str">
        <f>IFERROR(IF(#REF!&gt;0,#REF!/T64,""),"")</f>
        <v/>
      </c>
      <c r="AT64" s="70">
        <f t="shared" si="105"/>
        <v>83626.543209876545</v>
      </c>
      <c r="AU64" s="70">
        <f t="shared" si="106"/>
        <v>3148.9907407407409</v>
      </c>
      <c r="AV64" s="71">
        <f t="shared" si="107"/>
        <v>15082.030864197532</v>
      </c>
      <c r="AW64" s="115">
        <f t="shared" si="108"/>
        <v>59919.441358024691</v>
      </c>
      <c r="AX64" s="116">
        <f t="shared" si="109"/>
        <v>73.815983787318828</v>
      </c>
      <c r="AY64" s="72">
        <f t="shared" si="110"/>
        <v>75138.978395061727</v>
      </c>
      <c r="AZ64" s="73">
        <f t="shared" si="111"/>
        <v>92.565242353728465</v>
      </c>
      <c r="BA64" s="66">
        <v>33150000</v>
      </c>
      <c r="BB64" s="62">
        <v>1870025</v>
      </c>
      <c r="BC64" s="62">
        <v>17543874</v>
      </c>
      <c r="BD64" s="62">
        <v>1941390</v>
      </c>
      <c r="BE64" s="62">
        <v>2989740</v>
      </c>
      <c r="BF64" s="62">
        <v>2920007</v>
      </c>
      <c r="BG64" s="67">
        <v>5690149</v>
      </c>
      <c r="BH64" s="62">
        <v>8849821</v>
      </c>
      <c r="BI64" s="62">
        <v>2242845</v>
      </c>
      <c r="BJ64" s="47">
        <f t="shared" si="112"/>
        <v>77197851</v>
      </c>
      <c r="BK64" s="69">
        <f t="shared" si="165"/>
        <v>102314.81481481482</v>
      </c>
      <c r="BL64" s="70">
        <f t="shared" si="166"/>
        <v>5771.6820987654319</v>
      </c>
      <c r="BM64" s="70">
        <f t="shared" si="167"/>
        <v>54147.759259259263</v>
      </c>
      <c r="BN64" s="70">
        <f t="shared" si="168"/>
        <v>5991.9444444444443</v>
      </c>
      <c r="BO64" s="70">
        <f t="shared" si="169"/>
        <v>9227.5925925925931</v>
      </c>
      <c r="BP64" s="70">
        <f t="shared" ref="BP64:BP96" si="175">IFERROR(IF(BF64&gt;0,BF64/$T64,""),"")</f>
        <v>9012.367283950618</v>
      </c>
      <c r="BQ64" s="70">
        <f t="shared" si="113"/>
        <v>17562.188271604937</v>
      </c>
      <c r="BR64" s="70">
        <f t="shared" si="159"/>
        <v>27314.262345679013</v>
      </c>
      <c r="BS64" s="70">
        <f t="shared" si="160"/>
        <v>6922.3611111111113</v>
      </c>
      <c r="BT64" s="71">
        <f t="shared" si="161"/>
        <v>238264.97222222222</v>
      </c>
      <c r="BU64" s="65">
        <f t="shared" si="170"/>
        <v>126.04371036181959</v>
      </c>
      <c r="BV64" s="48">
        <f t="shared" si="171"/>
        <v>7.1102530759988438</v>
      </c>
      <c r="BW64" s="48">
        <f t="shared" si="172"/>
        <v>66.705730711319987</v>
      </c>
      <c r="BX64" s="48">
        <f t="shared" si="173"/>
        <v>7.3815987589542367</v>
      </c>
      <c r="BY64" s="48">
        <f t="shared" si="174"/>
        <v>11.3676598074554</v>
      </c>
      <c r="BZ64" s="48">
        <f t="shared" ref="BZ64:BZ96" si="176">IFERROR(IF(BF64&gt;0,BF64/$U64,""),"")</f>
        <v>11.10251935331782</v>
      </c>
      <c r="CA64" s="48">
        <f t="shared" si="114"/>
        <v>21.635218475764628</v>
      </c>
      <c r="CB64" s="48">
        <f t="shared" si="162"/>
        <v>33.648997733874772</v>
      </c>
      <c r="CC64" s="48">
        <f t="shared" si="163"/>
        <v>8.5277980563033253</v>
      </c>
      <c r="CD64" s="47">
        <f t="shared" si="164"/>
        <v>293.52348633480858</v>
      </c>
      <c r="CE64" s="66">
        <v>5120784</v>
      </c>
      <c r="CF64" s="62">
        <v>116640</v>
      </c>
      <c r="CG64" s="74">
        <v>-392807</v>
      </c>
      <c r="CH64" s="75">
        <f t="shared" si="115"/>
        <v>4844617</v>
      </c>
      <c r="CI64" s="62">
        <f>76699+12960</f>
        <v>89659</v>
      </c>
      <c r="CJ64" s="62">
        <v>198155</v>
      </c>
      <c r="CK64" s="62">
        <v>541065</v>
      </c>
      <c r="CL64" s="62">
        <f>138015+200000</f>
        <v>338015</v>
      </c>
      <c r="CM64" s="62">
        <f>76355+279837</f>
        <v>356192</v>
      </c>
      <c r="CN64" s="62">
        <f>243000</f>
        <v>243000</v>
      </c>
      <c r="CO64" s="62">
        <v>0</v>
      </c>
      <c r="CP64" s="75">
        <f t="shared" si="3"/>
        <v>1766086</v>
      </c>
      <c r="CQ64" s="62">
        <v>97200</v>
      </c>
      <c r="CR64" s="75">
        <f t="shared" si="4"/>
        <v>1863286</v>
      </c>
      <c r="CS64" s="75">
        <f t="shared" si="116"/>
        <v>3078531</v>
      </c>
      <c r="CT64" s="62">
        <v>2539801</v>
      </c>
      <c r="CU64" s="47">
        <f t="shared" si="117"/>
        <v>538730</v>
      </c>
      <c r="CV64" s="76">
        <f t="shared" si="118"/>
        <v>0.63545394816556189</v>
      </c>
      <c r="CW64" s="75">
        <f t="shared" si="119"/>
        <v>5750.8827160493829</v>
      </c>
      <c r="CX64" s="77">
        <f t="shared" si="120"/>
        <v>0.38460955737058267</v>
      </c>
      <c r="CY64" s="75">
        <f t="shared" si="121"/>
        <v>1662.7469135802469</v>
      </c>
      <c r="CZ64" s="77">
        <f t="shared" si="122"/>
        <v>0.11120177301941515</v>
      </c>
      <c r="DA64" s="77">
        <f t="shared" si="123"/>
        <v>0.52425217514614675</v>
      </c>
      <c r="DB64" s="47">
        <f t="shared" si="124"/>
        <v>136407.40740740742</v>
      </c>
      <c r="DC64" s="69">
        <f t="shared" si="125"/>
        <v>15804.888888888889</v>
      </c>
      <c r="DD64" s="70">
        <f t="shared" si="126"/>
        <v>360</v>
      </c>
      <c r="DE64" s="70">
        <f t="shared" si="127"/>
        <v>-1212.3672839506173</v>
      </c>
      <c r="DF64" s="70">
        <f t="shared" si="128"/>
        <v>14952.521604938273</v>
      </c>
      <c r="DG64" s="70">
        <f t="shared" si="129"/>
        <v>276.72530864197529</v>
      </c>
      <c r="DH64" s="70">
        <f t="shared" si="130"/>
        <v>611.58950617283949</v>
      </c>
      <c r="DI64" s="70">
        <f t="shared" si="131"/>
        <v>1669.9537037037037</v>
      </c>
      <c r="DJ64" s="70">
        <f t="shared" si="132"/>
        <v>1043.2561728395062</v>
      </c>
      <c r="DK64" s="70">
        <f t="shared" si="133"/>
        <v>1099.358024691358</v>
      </c>
      <c r="DL64" s="70">
        <f t="shared" si="134"/>
        <v>750</v>
      </c>
      <c r="DM64" s="70" t="str">
        <f t="shared" si="135"/>
        <v/>
      </c>
      <c r="DN64" s="70">
        <f t="shared" si="136"/>
        <v>5450.8827160493829</v>
      </c>
      <c r="DO64" s="70">
        <f t="shared" si="137"/>
        <v>300</v>
      </c>
      <c r="DP64" s="70">
        <f t="shared" si="138"/>
        <v>5750.8827160493829</v>
      </c>
      <c r="DQ64" s="70">
        <f t="shared" si="139"/>
        <v>9501.6388888888887</v>
      </c>
      <c r="DR64" s="70">
        <f t="shared" si="140"/>
        <v>7838.891975308642</v>
      </c>
      <c r="DS64" s="71">
        <f t="shared" si="141"/>
        <v>1662.7469135802469</v>
      </c>
      <c r="DT64" s="106">
        <f t="shared" si="142"/>
        <v>1.0570049190679056</v>
      </c>
      <c r="DU64" s="92">
        <f t="shared" si="143"/>
        <v>2.4076206643373458E-2</v>
      </c>
      <c r="DV64" s="92" t="str">
        <f t="shared" si="144"/>
        <v/>
      </c>
      <c r="DW64" s="92">
        <f t="shared" si="145"/>
        <v>1</v>
      </c>
      <c r="DX64" s="92">
        <f t="shared" si="146"/>
        <v>1.8506932539765271E-2</v>
      </c>
      <c r="DY64" s="92">
        <f t="shared" si="147"/>
        <v>4.0902098143155589E-2</v>
      </c>
      <c r="DZ64" s="92">
        <f t="shared" si="148"/>
        <v>0.11168375126454785</v>
      </c>
      <c r="EA64" s="92">
        <f t="shared" si="149"/>
        <v>6.9771253331274694E-2</v>
      </c>
      <c r="EB64" s="92">
        <f t="shared" si="150"/>
        <v>7.3523252715333332E-2</v>
      </c>
      <c r="EC64" s="92">
        <f t="shared" si="151"/>
        <v>5.0158763840361373E-2</v>
      </c>
      <c r="ED64" s="92" t="str">
        <f t="shared" si="152"/>
        <v/>
      </c>
      <c r="EE64" s="92">
        <f t="shared" si="153"/>
        <v>0.36454605183443811</v>
      </c>
      <c r="EF64" s="92">
        <f t="shared" si="154"/>
        <v>2.0063505536144551E-2</v>
      </c>
      <c r="EG64" s="92">
        <f t="shared" si="155"/>
        <v>0.38460955737058267</v>
      </c>
      <c r="EH64" s="92">
        <f t="shared" si="156"/>
        <v>0.63545394816556189</v>
      </c>
      <c r="EI64" s="92">
        <f t="shared" si="157"/>
        <v>0.52425217514614675</v>
      </c>
      <c r="EJ64" s="122">
        <f t="shared" si="158"/>
        <v>0.11120177301941515</v>
      </c>
    </row>
    <row r="65" spans="2:140" ht="12" hidden="1" customHeight="1" outlineLevel="1">
      <c r="B65" s="121">
        <v>44925</v>
      </c>
      <c r="C65" s="117">
        <v>22487</v>
      </c>
      <c r="D65" s="50" t="s">
        <v>477</v>
      </c>
      <c r="E65" s="50" t="s">
        <v>478</v>
      </c>
      <c r="F65" s="50" t="s">
        <v>479</v>
      </c>
      <c r="G65" s="50" t="s">
        <v>162</v>
      </c>
      <c r="H65" s="50" t="s">
        <v>480</v>
      </c>
      <c r="I65" s="50" t="s">
        <v>386</v>
      </c>
      <c r="J65" s="52" t="s">
        <v>481</v>
      </c>
      <c r="K65" s="50" t="s">
        <v>481</v>
      </c>
      <c r="L65" s="49">
        <v>13</v>
      </c>
      <c r="M65" s="50" t="s">
        <v>159</v>
      </c>
      <c r="N65" s="50" t="s">
        <v>160</v>
      </c>
      <c r="O65" s="50" t="s">
        <v>160</v>
      </c>
      <c r="P65" s="50" t="s">
        <v>161</v>
      </c>
      <c r="Q65" s="53">
        <v>0.04</v>
      </c>
      <c r="R65" s="49">
        <v>286</v>
      </c>
      <c r="S65" s="49">
        <v>0</v>
      </c>
      <c r="T65" s="54">
        <f t="shared" si="0"/>
        <v>286</v>
      </c>
      <c r="U65" s="55">
        <v>294284</v>
      </c>
      <c r="V65" s="49">
        <v>21.68</v>
      </c>
      <c r="W65" s="56">
        <f t="shared" ref="W65:W97" si="177">IFERROR(IF(T65&gt;0,T65/V65,""),"")</f>
        <v>13.191881918819188</v>
      </c>
      <c r="X65" s="49">
        <v>1973</v>
      </c>
      <c r="Y65" s="57" t="s">
        <v>249</v>
      </c>
      <c r="Z65" s="58">
        <v>58345000</v>
      </c>
      <c r="AA65" s="114">
        <v>0.06</v>
      </c>
      <c r="AB65" s="59">
        <v>15</v>
      </c>
      <c r="AC65" s="60">
        <v>40</v>
      </c>
      <c r="AD65" s="61">
        <v>6.1499999999999999E-2</v>
      </c>
      <c r="AE65" s="62">
        <v>38945000</v>
      </c>
      <c r="AF65" s="63">
        <v>1.1499999999999999</v>
      </c>
      <c r="AG65" s="59"/>
      <c r="AH65" s="60"/>
      <c r="AI65" s="61"/>
      <c r="AJ65" s="64"/>
      <c r="AK65" s="65">
        <f t="shared" ref="AK65:AK97" si="178">IFERROR(IF(AE65&gt;0,AJ65+AE65,""),"")</f>
        <v>38945000</v>
      </c>
      <c r="AL65" s="62">
        <v>10500000</v>
      </c>
      <c r="AM65" s="49" t="s">
        <v>163</v>
      </c>
      <c r="AN65" s="67">
        <v>0.9</v>
      </c>
      <c r="AO65" s="62">
        <v>34841989</v>
      </c>
      <c r="AP65" s="62">
        <v>0</v>
      </c>
      <c r="AQ65" s="68">
        <v>1658446</v>
      </c>
      <c r="AR65" s="69">
        <f t="shared" ref="AR65:AR97" si="179">IFERROR(IF(AK65&gt;0,AK65/T65,""),"")</f>
        <v>136171.32867132867</v>
      </c>
      <c r="AS65" s="70" t="str">
        <f>IFERROR(IF(#REF!&gt;0,#REF!/T65,""),"")</f>
        <v/>
      </c>
      <c r="AT65" s="70">
        <f t="shared" ref="AT65:AT97" si="180">IFERROR(IF(AO65&gt;0,AO65/T65,""),"")</f>
        <v>121825.13636363637</v>
      </c>
      <c r="AU65" s="70">
        <f t="shared" ref="AU65:AU97" si="181">IFERROR(IF(AL65&gt;0,AL65/T65,""),"")</f>
        <v>36713.28671328671</v>
      </c>
      <c r="AV65" s="71">
        <f t="shared" ref="AV65:AV97" si="182">IFERROR(IF(AQ65&gt;0,AQ65/T65,""),"")</f>
        <v>5798.7622377622374</v>
      </c>
      <c r="AW65" s="115">
        <f t="shared" ref="AW65:AW97" si="183">IFERROR(IF(SUM(BB65:BC65)&gt;0,SUM(BB65:BC65)/T65,""),"")</f>
        <v>139939.36713286713</v>
      </c>
      <c r="AX65" s="116">
        <f t="shared" ref="AX65:AX97" si="184">IFERROR(IF(SUM(BB65:BC65)&gt;0,SUM(BB65:BC65)/U65,""),"")</f>
        <v>136.00011893273165</v>
      </c>
      <c r="AY65" s="72">
        <f t="shared" ref="AY65:AY97" si="185">IFERROR(IF(SUM(BL65:BO65)&gt;0,SUM(BL65:BO65),""),"")</f>
        <v>175483.96503496505</v>
      </c>
      <c r="AZ65" s="73">
        <f t="shared" ref="AZ65:AZ97" si="186">IFERROR(IF(SUM(BV65:BY65)&gt;0,SUM(BV65:BY65),""),"")</f>
        <v>170.54414782998737</v>
      </c>
      <c r="BA65" s="66">
        <v>10500000</v>
      </c>
      <c r="BB65" s="62">
        <v>3928194</v>
      </c>
      <c r="BC65" s="62">
        <v>36094465</v>
      </c>
      <c r="BD65" s="62">
        <v>4002266</v>
      </c>
      <c r="BE65" s="62">
        <v>6163489</v>
      </c>
      <c r="BF65" s="62">
        <v>3681595</v>
      </c>
      <c r="BG65" s="67">
        <v>9399650</v>
      </c>
      <c r="BH65" s="62">
        <v>9916159</v>
      </c>
      <c r="BI65" s="62">
        <v>2259617</v>
      </c>
      <c r="BJ65" s="47">
        <f t="shared" ref="BJ65:BJ97" si="187">IFERROR(IF(SUM(BA65:BI65)&gt;0,SUM(BA65:BI65),""),"")</f>
        <v>85945435</v>
      </c>
      <c r="BK65" s="69">
        <f t="shared" si="165"/>
        <v>36713.28671328671</v>
      </c>
      <c r="BL65" s="70">
        <f t="shared" si="166"/>
        <v>13734.944055944055</v>
      </c>
      <c r="BM65" s="70">
        <f t="shared" si="167"/>
        <v>126204.42307692308</v>
      </c>
      <c r="BN65" s="70">
        <f t="shared" si="168"/>
        <v>13993.937062937062</v>
      </c>
      <c r="BO65" s="70">
        <f t="shared" si="169"/>
        <v>21550.660839160839</v>
      </c>
      <c r="BP65" s="70">
        <f t="shared" si="175"/>
        <v>12872.70979020979</v>
      </c>
      <c r="BQ65" s="70">
        <f t="shared" ref="BQ65:BQ97" si="188">IFERROR(IF(BG65&gt;0,BG65/$T65,""),"")</f>
        <v>32865.909090909088</v>
      </c>
      <c r="BR65" s="70">
        <f t="shared" si="159"/>
        <v>34671.884615384617</v>
      </c>
      <c r="BS65" s="70">
        <f t="shared" si="160"/>
        <v>7900.7587412587409</v>
      </c>
      <c r="BT65" s="71">
        <f t="shared" si="161"/>
        <v>300508.513986014</v>
      </c>
      <c r="BU65" s="65">
        <f t="shared" si="170"/>
        <v>35.67981949409414</v>
      </c>
      <c r="BV65" s="48">
        <f t="shared" si="171"/>
        <v>13.348309795979395</v>
      </c>
      <c r="BW65" s="48">
        <f t="shared" si="172"/>
        <v>122.65180913675225</v>
      </c>
      <c r="BX65" s="48">
        <f t="shared" si="173"/>
        <v>13.600012233080969</v>
      </c>
      <c r="BY65" s="48">
        <f t="shared" si="174"/>
        <v>20.944016664174743</v>
      </c>
      <c r="BZ65" s="48">
        <f t="shared" si="176"/>
        <v>12.510347147653288</v>
      </c>
      <c r="CA65" s="48">
        <f t="shared" ref="CA65:CA97" si="189">IFERROR(IF(BG65&gt;0,BG65/$U65,""),"")</f>
        <v>31.940744315015426</v>
      </c>
      <c r="CB65" s="48">
        <f t="shared" si="162"/>
        <v>33.695882209022578</v>
      </c>
      <c r="CC65" s="48">
        <f t="shared" si="163"/>
        <v>7.6783549224558589</v>
      </c>
      <c r="CD65" s="47">
        <f t="shared" si="164"/>
        <v>292.04929591822867</v>
      </c>
      <c r="CE65" s="66">
        <v>4515684</v>
      </c>
      <c r="CF65" s="62">
        <v>17160</v>
      </c>
      <c r="CG65" s="74">
        <v>-226642</v>
      </c>
      <c r="CH65" s="75">
        <f t="shared" ref="CH65:CH97" si="190">IFERROR(IF(SUM(CE65:CG65)&gt;0,SUM(CE65:CG65),""),"")</f>
        <v>4306202</v>
      </c>
      <c r="CI65" s="62">
        <f>65060+34320+11440</f>
        <v>110820</v>
      </c>
      <c r="CJ65" s="62">
        <v>215325</v>
      </c>
      <c r="CK65" s="62">
        <v>268740</v>
      </c>
      <c r="CL65" s="62">
        <f>229500+17160</f>
        <v>246660</v>
      </c>
      <c r="CM65" s="62">
        <f>29500+164000</f>
        <v>193500</v>
      </c>
      <c r="CN65" s="62">
        <v>142142</v>
      </c>
      <c r="CO65" s="62">
        <v>0</v>
      </c>
      <c r="CP65" s="75">
        <f t="shared" si="3"/>
        <v>1177187</v>
      </c>
      <c r="CQ65" s="62">
        <v>100100</v>
      </c>
      <c r="CR65" s="75">
        <f t="shared" si="4"/>
        <v>1277287</v>
      </c>
      <c r="CS65" s="75">
        <f t="shared" ref="CS65:CS97" si="191">IFERROR(IF(CH65-CR65&gt;0,CH65-CP65,""),"")</f>
        <v>3129015</v>
      </c>
      <c r="CT65" s="62">
        <f>6000+2620402</f>
        <v>2626402</v>
      </c>
      <c r="CU65" s="47">
        <f t="shared" ref="CU65:CU97" si="192">IFERROR(IF(CS65-CT65&gt;0,CS65-CT65,""),"")</f>
        <v>502613</v>
      </c>
      <c r="CV65" s="76">
        <f t="shared" ref="CV65:CV97" si="193">IFERROR(IF(CU65&gt;0,CS65/CH65,""),"")</f>
        <v>0.7266298701268542</v>
      </c>
      <c r="CW65" s="75">
        <f t="shared" ref="CW65:CW97" si="194">IFERROR(IF(CU65&gt;0,CR65/T65,""),"")</f>
        <v>4466.0384615384619</v>
      </c>
      <c r="CX65" s="77">
        <f t="shared" ref="CX65:CX97" si="195">IFERROR(IF(CU65&gt;0,CR65/CH65,""),"")</f>
        <v>0.29661567200052391</v>
      </c>
      <c r="CY65" s="75">
        <f t="shared" ref="CY65:CY97" si="196">IFERROR(IF(CU65&gt;0,CU65/T65,""),"")</f>
        <v>1757.3881118881118</v>
      </c>
      <c r="CZ65" s="77">
        <f t="shared" ref="CZ65:CZ97" si="197">IFERROR(IF(CU65&gt;0,CU65/CH65,""),"")</f>
        <v>0.11671839825442466</v>
      </c>
      <c r="DA65" s="77">
        <f t="shared" ref="DA65:DA97" si="198">IFERROR(IF(CT65&gt;0,CT65/CH65,""),"")</f>
        <v>0.60991147187242956</v>
      </c>
      <c r="DB65" s="47">
        <f t="shared" ref="DB65:DB97" si="199">IFERROR(IF(AR65&gt;0,AR65,""),"")</f>
        <v>136171.32867132867</v>
      </c>
      <c r="DC65" s="69">
        <f t="shared" ref="DC65:DC97" si="200">IFERROR(IF(ABS(CE65)&gt;0,CE65/$T65,""),"")</f>
        <v>15789.104895104894</v>
      </c>
      <c r="DD65" s="70">
        <f t="shared" ref="DD65:DD97" si="201">IFERROR(IF(ABS(CF65)&gt;0,CF65/$T65,""),"")</f>
        <v>60</v>
      </c>
      <c r="DE65" s="70">
        <f t="shared" ref="DE65:DE97" si="202">IFERROR(IF(ABS(CG65)&gt;0,CG65/$T65,""),"")</f>
        <v>-792.4545454545455</v>
      </c>
      <c r="DF65" s="70">
        <f t="shared" ref="DF65:DF97" si="203">IFERROR(IF(ABS(CH65)&gt;0,CH65/$T65,""),"")</f>
        <v>15056.65034965035</v>
      </c>
      <c r="DG65" s="70">
        <f t="shared" ref="DG65:DG97" si="204">IFERROR(IF(ABS(CI65)&gt;0,CI65/$T65,""),"")</f>
        <v>387.48251748251749</v>
      </c>
      <c r="DH65" s="70">
        <f t="shared" ref="DH65:DH97" si="205">IFERROR(IF(ABS(CJ65)&gt;0,CJ65/$T65,""),"")</f>
        <v>752.88461538461536</v>
      </c>
      <c r="DI65" s="70">
        <f t="shared" ref="DI65:DI97" si="206">IFERROR(IF(ABS(CK65)&gt;0,CK65/$T65,""),"")</f>
        <v>939.65034965034965</v>
      </c>
      <c r="DJ65" s="70">
        <f t="shared" ref="DJ65:DJ97" si="207">IFERROR(IF(ABS(CL65)&gt;0,CL65/$T65,""),"")</f>
        <v>862.44755244755243</v>
      </c>
      <c r="DK65" s="70">
        <f t="shared" ref="DK65:DK97" si="208">IFERROR(IF(ABS(CM65)&gt;0,CM65/$T65,""),"")</f>
        <v>676.57342657342656</v>
      </c>
      <c r="DL65" s="70">
        <f t="shared" ref="DL65:DL97" si="209">IFERROR(IF(ABS(CN65)&gt;0,CN65/$T65,""),"")</f>
        <v>497</v>
      </c>
      <c r="DM65" s="70" t="str">
        <f t="shared" ref="DM65:DM97" si="210">IFERROR(IF(ABS(CO65)&gt;0,CO65/$T65,""),"")</f>
        <v/>
      </c>
      <c r="DN65" s="70">
        <f t="shared" ref="DN65:DN97" si="211">IFERROR(IF(ABS(CP65)&gt;0,CP65/$T65,""),"")</f>
        <v>4116.0384615384619</v>
      </c>
      <c r="DO65" s="70">
        <f t="shared" ref="DO65:DO97" si="212">IFERROR(IF(ABS(CQ65)&gt;0,CQ65/$T65,""),"")</f>
        <v>350</v>
      </c>
      <c r="DP65" s="70">
        <f t="shared" ref="DP65:DP97" si="213">IFERROR(IF(ABS(CR65)&gt;0,CR65/$T65,""),"")</f>
        <v>4466.0384615384619</v>
      </c>
      <c r="DQ65" s="70">
        <f t="shared" ref="DQ65:DQ97" si="214">IFERROR(IF(ABS(CS65)&gt;0,CS65/$T65,""),"")</f>
        <v>10940.611888111887</v>
      </c>
      <c r="DR65" s="70">
        <f t="shared" ref="DR65:DR97" si="215">IFERROR(IF(ABS(CT65)&gt;0,CT65/$T65,""),"")</f>
        <v>9183.2237762237764</v>
      </c>
      <c r="DS65" s="71">
        <f t="shared" ref="DS65:DS97" si="216">IFERROR(IF(ABS(CU65)&gt;0,CU65/$T65,""),"")</f>
        <v>1757.3881118881118</v>
      </c>
      <c r="DT65" s="106">
        <f t="shared" ref="DT65:DT97" si="217">IFERROR(IF(ABS(CE65&gt;0),CE65/$CH65,""),"")</f>
        <v>1.048646579979295</v>
      </c>
      <c r="DU65" s="92">
        <f t="shared" ref="DU65:DU97" si="218">IFERROR(IF(ABS(CF65&gt;0),CF65/$CH65,""),"")</f>
        <v>3.9849500789791098E-3</v>
      </c>
      <c r="DV65" s="92" t="str">
        <f t="shared" ref="DV65:DV97" si="219">IFERROR(IF(ABS(CG65&gt;0),CG65/$CH65,""),"")</f>
        <v/>
      </c>
      <c r="DW65" s="92">
        <f t="shared" ref="DW65:DW97" si="220">IFERROR(IF(ABS(CH65&gt;0),CH65/$CH65,""),"")</f>
        <v>1</v>
      </c>
      <c r="DX65" s="92">
        <f t="shared" ref="DX65:DX97" si="221">IFERROR(IF(ABS(CI65&gt;0),CI65/$CH65,""),"")</f>
        <v>2.5734974810749704E-2</v>
      </c>
      <c r="DY65" s="92">
        <f t="shared" ref="DY65:DY97" si="222">IFERROR(IF(ABS(CJ65&gt;0),CJ65/$CH65,""),"")</f>
        <v>5.0003460125651329E-2</v>
      </c>
      <c r="DZ65" s="92">
        <f t="shared" ref="DZ65:DZ97" si="223">IFERROR(IF(ABS(CK65&gt;0),CK65/$CH65,""),"")</f>
        <v>6.2407662250865151E-2</v>
      </c>
      <c r="EA65" s="92">
        <f t="shared" ref="EA65:EA97" si="224">IFERROR(IF(ABS(CL65&gt;0),CL65/$CH65,""),"")</f>
        <v>5.7280174037353568E-2</v>
      </c>
      <c r="EB65" s="92">
        <f t="shared" ref="EB65:EB97" si="225">IFERROR(IF(ABS(CM65&gt;0),CM65/$CH65,""),"")</f>
        <v>4.4935188827649054E-2</v>
      </c>
      <c r="EC65" s="92">
        <f t="shared" ref="EC65:EC97" si="226">IFERROR(IF(ABS(CN65&gt;0),CN65/$CH65,""),"")</f>
        <v>3.3008669820876961E-2</v>
      </c>
      <c r="ED65" s="92" t="str">
        <f t="shared" ref="ED65:ED97" si="227">IFERROR(IF(ABS(CO65&gt;0),CO65/$CH65,""),"")</f>
        <v/>
      </c>
      <c r="EE65" s="92">
        <f t="shared" ref="EE65:EE97" si="228">IFERROR(IF(ABS(CP65&gt;0),CP65/$CH65,""),"")</f>
        <v>0.27337012987314574</v>
      </c>
      <c r="EF65" s="92">
        <f t="shared" ref="EF65:EF97" si="229">IFERROR(IF(ABS(CQ65&gt;0),CQ65/$CH65,""),"")</f>
        <v>2.324554212737814E-2</v>
      </c>
      <c r="EG65" s="92">
        <f t="shared" ref="EG65:EG97" si="230">IFERROR(IF(ABS(CR65&gt;0),CR65/$CH65,""),"")</f>
        <v>0.29661567200052391</v>
      </c>
      <c r="EH65" s="92">
        <f t="shared" ref="EH65:EH97" si="231">IFERROR(IF(ABS(CS65&gt;0),CS65/$CH65,""),"")</f>
        <v>0.7266298701268542</v>
      </c>
      <c r="EI65" s="92">
        <f t="shared" ref="EI65:EI97" si="232">IFERROR(IF(ABS(CT65&gt;0),CT65/$CH65,""),"")</f>
        <v>0.60991147187242956</v>
      </c>
      <c r="EJ65" s="122">
        <f t="shared" ref="EJ65:EJ97" si="233">IFERROR(IF(ABS(CU65&gt;0),CU65/$CH65,""),"")</f>
        <v>0.11671839825442466</v>
      </c>
    </row>
    <row r="66" spans="2:140" ht="12" customHeight="1" collapsed="1">
      <c r="B66" s="211">
        <v>2023</v>
      </c>
      <c r="C66" s="117"/>
      <c r="D66" s="50"/>
      <c r="E66" s="50"/>
      <c r="F66" s="50"/>
      <c r="G66" s="50"/>
      <c r="H66" s="50"/>
      <c r="I66" s="50"/>
      <c r="J66" s="52"/>
      <c r="K66" s="50"/>
      <c r="L66" s="49"/>
      <c r="M66" s="50"/>
      <c r="N66" s="50"/>
      <c r="O66" s="50"/>
      <c r="P66" s="50"/>
      <c r="Q66" s="53"/>
      <c r="R66" s="49"/>
      <c r="S66" s="49"/>
      <c r="T66" s="54" t="str">
        <f t="shared" si="0"/>
        <v/>
      </c>
      <c r="U66" s="55"/>
      <c r="V66" s="49"/>
      <c r="W66" s="56" t="str">
        <f>IFERROR(IF(T66&gt;0,T66/V66,""),"")</f>
        <v/>
      </c>
      <c r="X66" s="49"/>
      <c r="Y66" s="57"/>
      <c r="Z66" s="58"/>
      <c r="AA66" s="114"/>
      <c r="AB66" s="59"/>
      <c r="AC66" s="60"/>
      <c r="AD66" s="61"/>
      <c r="AE66" s="62"/>
      <c r="AF66" s="63"/>
      <c r="AG66" s="59"/>
      <c r="AH66" s="60"/>
      <c r="AI66" s="61"/>
      <c r="AJ66" s="64"/>
      <c r="AK66" s="65" t="str">
        <f>IFERROR(IF(AE66&gt;0,AJ66+AE66,""),"")</f>
        <v/>
      </c>
      <c r="AL66" s="66"/>
      <c r="AM66" s="49"/>
      <c r="AN66" s="67"/>
      <c r="AO66" s="62"/>
      <c r="AP66" s="62"/>
      <c r="AQ66" s="68"/>
      <c r="AR66" s="69" t="str">
        <f>IFERROR(IF(AK66&gt;0,AK66/T66,""),"")</f>
        <v/>
      </c>
      <c r="AS66" s="70" t="str">
        <f>IFERROR(IF(AL66&gt;0,AL66/T66,""),"")</f>
        <v/>
      </c>
      <c r="AT66" s="70" t="str">
        <f>IFERROR(IF(AO66&gt;0,AO66/T66,""),"")</f>
        <v/>
      </c>
      <c r="AU66" s="70" t="str">
        <f>IFERROR(IF(AP66&gt;0,AP66/T66,""),"")</f>
        <v/>
      </c>
      <c r="AV66" s="71" t="str">
        <f>IFERROR(IF(AQ66&gt;0,AQ66/T66,""),"")</f>
        <v/>
      </c>
      <c r="AW66" s="115" t="str">
        <f>IFERROR(IF(SUM(BB66:BC66)&gt;0,SUM(BB66:BC66)/T66,""),"")</f>
        <v/>
      </c>
      <c r="AX66" s="116" t="str">
        <f>IFERROR(IF(SUM(BB66:BC66)&gt;0,SUM(BB66:BC66)/U66,""),"")</f>
        <v/>
      </c>
      <c r="AY66" s="72" t="str">
        <f>IFERROR(IF(SUM(BL66:BO66)&gt;0,SUM(BL66:BO66),""),"")</f>
        <v/>
      </c>
      <c r="AZ66" s="73" t="str">
        <f>IFERROR(IF(SUM(BV66:BY66)&gt;0,SUM(BV66:BY66),""),"")</f>
        <v/>
      </c>
      <c r="BA66" s="66"/>
      <c r="BB66" s="62"/>
      <c r="BC66" s="62"/>
      <c r="BD66" s="62"/>
      <c r="BE66" s="62"/>
      <c r="BF66" s="62"/>
      <c r="BG66" s="62"/>
      <c r="BH66" s="62"/>
      <c r="BI66" s="62"/>
      <c r="BJ66" s="47" t="str">
        <f>IFERROR(IF(SUM(BA66:BI66)&gt;0,SUM(BA66:BI66),""),"")</f>
        <v/>
      </c>
      <c r="BK66" s="69" t="str">
        <f t="shared" ref="BK66:BT66" si="234">IFERROR(IF(BA66&gt;0,BA66/$T66,""),"")</f>
        <v/>
      </c>
      <c r="BL66" s="70" t="str">
        <f t="shared" si="234"/>
        <v/>
      </c>
      <c r="BM66" s="70" t="str">
        <f t="shared" si="234"/>
        <v/>
      </c>
      <c r="BN66" s="70" t="str">
        <f t="shared" si="234"/>
        <v/>
      </c>
      <c r="BO66" s="70" t="str">
        <f t="shared" si="234"/>
        <v/>
      </c>
      <c r="BP66" s="70" t="str">
        <f t="shared" si="234"/>
        <v/>
      </c>
      <c r="BQ66" s="70" t="str">
        <f t="shared" si="234"/>
        <v/>
      </c>
      <c r="BR66" s="70" t="str">
        <f t="shared" si="234"/>
        <v/>
      </c>
      <c r="BS66" s="70" t="str">
        <f t="shared" si="234"/>
        <v/>
      </c>
      <c r="BT66" s="71" t="str">
        <f t="shared" si="234"/>
        <v/>
      </c>
      <c r="BU66" s="65" t="str">
        <f t="shared" ref="BU66:CD66" si="235">IFERROR(IF(BA66&gt;0,BA66/$U66,""),"")</f>
        <v/>
      </c>
      <c r="BV66" s="48" t="str">
        <f t="shared" si="235"/>
        <v/>
      </c>
      <c r="BW66" s="48" t="str">
        <f t="shared" si="235"/>
        <v/>
      </c>
      <c r="BX66" s="48" t="str">
        <f t="shared" si="235"/>
        <v/>
      </c>
      <c r="BY66" s="48" t="str">
        <f t="shared" si="235"/>
        <v/>
      </c>
      <c r="BZ66" s="48" t="str">
        <f t="shared" si="235"/>
        <v/>
      </c>
      <c r="CA66" s="48" t="str">
        <f t="shared" si="235"/>
        <v/>
      </c>
      <c r="CB66" s="48" t="str">
        <f t="shared" si="235"/>
        <v/>
      </c>
      <c r="CC66" s="48" t="str">
        <f t="shared" si="235"/>
        <v/>
      </c>
      <c r="CD66" s="47" t="str">
        <f t="shared" si="235"/>
        <v/>
      </c>
      <c r="CE66" s="66"/>
      <c r="CF66" s="62"/>
      <c r="CG66" s="74"/>
      <c r="CH66" s="75" t="str">
        <f>IFERROR(IF(SUM(CE66:CG66)&gt;0,SUM(CE66:CG66),""),"")</f>
        <v/>
      </c>
      <c r="CI66" s="62"/>
      <c r="CJ66" s="62"/>
      <c r="CK66" s="62"/>
      <c r="CL66" s="62"/>
      <c r="CM66" s="62"/>
      <c r="CN66" s="62"/>
      <c r="CO66" s="62"/>
      <c r="CP66" s="75" t="str">
        <f t="shared" si="3"/>
        <v/>
      </c>
      <c r="CQ66" s="62"/>
      <c r="CR66" s="75" t="str">
        <f t="shared" si="4"/>
        <v/>
      </c>
      <c r="CS66" s="75" t="str">
        <f>IFERROR(IF(CH66-CR66&gt;0,CH66-CP66,""),"")</f>
        <v/>
      </c>
      <c r="CT66" s="62"/>
      <c r="CU66" s="47" t="str">
        <f>IFERROR(IF(CS66-CT66&gt;0,CS66-CT66,""),"")</f>
        <v/>
      </c>
      <c r="CV66" s="76" t="str">
        <f>IFERROR(IF(CU66&gt;0,CS66/CH66,""),"")</f>
        <v/>
      </c>
      <c r="CW66" s="75" t="str">
        <f>IFERROR(IF(CU66&gt;0,CR66/T66,""),"")</f>
        <v/>
      </c>
      <c r="CX66" s="77" t="str">
        <f>IFERROR(IF(CU66&gt;0,CR66/CH66,""),"")</f>
        <v/>
      </c>
      <c r="CY66" s="75" t="str">
        <f>IFERROR(IF(CU66&gt;0,CU66/T66,""),"")</f>
        <v/>
      </c>
      <c r="CZ66" s="77" t="str">
        <f>IFERROR(IF(CU66&gt;0,CU66/CH66,""),"")</f>
        <v/>
      </c>
      <c r="DA66" s="77" t="str">
        <f>IFERROR(IF(CT66&gt;0,CT66/CH66,""),"")</f>
        <v/>
      </c>
      <c r="DB66" s="47" t="str">
        <f>IFERROR(IF(AR66&gt;0,AR66,""),"")</f>
        <v/>
      </c>
      <c r="DC66" s="69" t="str">
        <f t="shared" ref="DC66:DS66" si="236">IFERROR(IF(ABS(CE66)&gt;0,CE66/$T66,""),"")</f>
        <v/>
      </c>
      <c r="DD66" s="70" t="str">
        <f t="shared" si="236"/>
        <v/>
      </c>
      <c r="DE66" s="70" t="str">
        <f t="shared" si="236"/>
        <v/>
      </c>
      <c r="DF66" s="70" t="str">
        <f t="shared" si="236"/>
        <v/>
      </c>
      <c r="DG66" s="70" t="str">
        <f t="shared" si="236"/>
        <v/>
      </c>
      <c r="DH66" s="70" t="str">
        <f t="shared" si="236"/>
        <v/>
      </c>
      <c r="DI66" s="70" t="str">
        <f t="shared" si="236"/>
        <v/>
      </c>
      <c r="DJ66" s="70" t="str">
        <f t="shared" si="236"/>
        <v/>
      </c>
      <c r="DK66" s="70" t="str">
        <f t="shared" si="236"/>
        <v/>
      </c>
      <c r="DL66" s="70" t="str">
        <f t="shared" si="236"/>
        <v/>
      </c>
      <c r="DM66" s="70" t="str">
        <f t="shared" si="236"/>
        <v/>
      </c>
      <c r="DN66" s="70" t="str">
        <f t="shared" si="236"/>
        <v/>
      </c>
      <c r="DO66" s="70" t="str">
        <f t="shared" si="236"/>
        <v/>
      </c>
      <c r="DP66" s="70" t="str">
        <f t="shared" si="236"/>
        <v/>
      </c>
      <c r="DQ66" s="70" t="str">
        <f t="shared" si="236"/>
        <v/>
      </c>
      <c r="DR66" s="70" t="str">
        <f t="shared" si="236"/>
        <v/>
      </c>
      <c r="DS66" s="71" t="str">
        <f t="shared" si="236"/>
        <v/>
      </c>
      <c r="DT66" s="106" t="str">
        <f t="shared" ref="DT66:EJ66" si="237">IFERROR(IF(ABS(CE66&gt;0),CE66/$CH66,""),"")</f>
        <v/>
      </c>
      <c r="DU66" s="92" t="str">
        <f t="shared" si="237"/>
        <v/>
      </c>
      <c r="DV66" s="92" t="str">
        <f t="shared" si="237"/>
        <v/>
      </c>
      <c r="DW66" s="92" t="str">
        <f t="shared" si="237"/>
        <v/>
      </c>
      <c r="DX66" s="92" t="str">
        <f t="shared" si="237"/>
        <v/>
      </c>
      <c r="DY66" s="92" t="str">
        <f t="shared" si="237"/>
        <v/>
      </c>
      <c r="DZ66" s="92" t="str">
        <f t="shared" si="237"/>
        <v/>
      </c>
      <c r="EA66" s="92" t="str">
        <f t="shared" si="237"/>
        <v/>
      </c>
      <c r="EB66" s="92" t="str">
        <f t="shared" si="237"/>
        <v/>
      </c>
      <c r="EC66" s="92" t="str">
        <f t="shared" si="237"/>
        <v/>
      </c>
      <c r="ED66" s="92" t="str">
        <f t="shared" si="237"/>
        <v/>
      </c>
      <c r="EE66" s="92" t="str">
        <f t="shared" si="237"/>
        <v/>
      </c>
      <c r="EF66" s="92" t="str">
        <f t="shared" si="237"/>
        <v/>
      </c>
      <c r="EG66" s="92" t="str">
        <f t="shared" si="237"/>
        <v/>
      </c>
      <c r="EH66" s="92" t="str">
        <f t="shared" si="237"/>
        <v/>
      </c>
      <c r="EI66" s="92" t="str">
        <f t="shared" si="237"/>
        <v/>
      </c>
      <c r="EJ66" s="122" t="str">
        <f t="shared" si="237"/>
        <v/>
      </c>
    </row>
    <row r="67" spans="2:140" ht="12" hidden="1" customHeight="1" outlineLevel="1">
      <c r="B67" s="121">
        <v>44930</v>
      </c>
      <c r="C67" s="117" t="s">
        <v>482</v>
      </c>
      <c r="D67" s="50" t="s">
        <v>483</v>
      </c>
      <c r="E67" s="50" t="s">
        <v>171</v>
      </c>
      <c r="F67" s="50" t="s">
        <v>484</v>
      </c>
      <c r="G67" s="50" t="s">
        <v>154</v>
      </c>
      <c r="H67" s="50" t="s">
        <v>310</v>
      </c>
      <c r="I67" s="50" t="s">
        <v>226</v>
      </c>
      <c r="J67" s="52" t="s">
        <v>183</v>
      </c>
      <c r="K67" s="50" t="s">
        <v>184</v>
      </c>
      <c r="L67" s="49">
        <v>9</v>
      </c>
      <c r="M67" s="50" t="s">
        <v>159</v>
      </c>
      <c r="N67" s="50" t="s">
        <v>160</v>
      </c>
      <c r="O67" s="50" t="s">
        <v>318</v>
      </c>
      <c r="P67" s="50" t="s">
        <v>177</v>
      </c>
      <c r="Q67" s="53">
        <v>0.09</v>
      </c>
      <c r="R67" s="49">
        <v>60</v>
      </c>
      <c r="S67" s="49">
        <v>0</v>
      </c>
      <c r="T67" s="54">
        <f t="shared" ref="T67:T130" si="238">IFERROR(IF(SUM(R67:S67)&gt;0,SUM(R67:S67),""),"")</f>
        <v>60</v>
      </c>
      <c r="U67" s="55">
        <v>55362</v>
      </c>
      <c r="V67" s="49">
        <v>17.77</v>
      </c>
      <c r="W67" s="56">
        <f t="shared" si="177"/>
        <v>3.3764772087788408</v>
      </c>
      <c r="X67" s="49" t="s">
        <v>163</v>
      </c>
      <c r="Y67" s="57" t="s">
        <v>162</v>
      </c>
      <c r="Z67" s="58">
        <v>3750000</v>
      </c>
      <c r="AA67" s="114">
        <v>4.2500000000000003E-2</v>
      </c>
      <c r="AB67" s="59">
        <v>15</v>
      </c>
      <c r="AC67" s="60">
        <v>35</v>
      </c>
      <c r="AD67" s="61">
        <v>4.2500000000000003E-2</v>
      </c>
      <c r="AE67" s="62">
        <v>3750000</v>
      </c>
      <c r="AF67" s="63">
        <v>1.1599999999999999</v>
      </c>
      <c r="AG67" s="59"/>
      <c r="AH67" s="60"/>
      <c r="AI67" s="61"/>
      <c r="AJ67" s="64"/>
      <c r="AK67" s="65">
        <f t="shared" si="178"/>
        <v>3750000</v>
      </c>
      <c r="AL67" s="62">
        <v>500</v>
      </c>
      <c r="AM67" s="49" t="s">
        <v>163</v>
      </c>
      <c r="AN67" s="67">
        <v>0.93</v>
      </c>
      <c r="AO67" s="62">
        <v>18298557</v>
      </c>
      <c r="AP67" s="62">
        <v>0</v>
      </c>
      <c r="AQ67" s="68">
        <v>599472</v>
      </c>
      <c r="AR67" s="69">
        <f t="shared" si="179"/>
        <v>62500</v>
      </c>
      <c r="AS67" s="70" t="str">
        <f>IFERROR(IF(#REF!&gt;0,#REF!/T67,""),"")</f>
        <v/>
      </c>
      <c r="AT67" s="70">
        <f t="shared" si="180"/>
        <v>304975.95</v>
      </c>
      <c r="AU67" s="70">
        <f t="shared" si="181"/>
        <v>8.3333333333333339</v>
      </c>
      <c r="AV67" s="71">
        <f t="shared" si="182"/>
        <v>9991.2000000000007</v>
      </c>
      <c r="AW67" s="115">
        <f t="shared" si="183"/>
        <v>117583.43333333333</v>
      </c>
      <c r="AX67" s="116">
        <f t="shared" si="184"/>
        <v>127.43408836385969</v>
      </c>
      <c r="AY67" s="72">
        <f t="shared" si="185"/>
        <v>140284.28333333333</v>
      </c>
      <c r="AZ67" s="73">
        <f t="shared" si="186"/>
        <v>152.03672193923632</v>
      </c>
      <c r="BA67" s="66">
        <v>4000000</v>
      </c>
      <c r="BB67" s="62">
        <v>1965900</v>
      </c>
      <c r="BC67" s="62">
        <v>5089106</v>
      </c>
      <c r="BD67" s="62">
        <v>402750</v>
      </c>
      <c r="BE67" s="62">
        <v>959301</v>
      </c>
      <c r="BF67" s="62">
        <v>2547500</v>
      </c>
      <c r="BG67" s="67">
        <v>1301424</v>
      </c>
      <c r="BH67" s="62">
        <v>1716000</v>
      </c>
      <c r="BI67" s="62">
        <v>316596</v>
      </c>
      <c r="BJ67" s="47">
        <f t="shared" si="187"/>
        <v>18298577</v>
      </c>
      <c r="BK67" s="69">
        <f t="shared" si="165"/>
        <v>66666.666666666672</v>
      </c>
      <c r="BL67" s="70">
        <f t="shared" si="166"/>
        <v>32765</v>
      </c>
      <c r="BM67" s="70">
        <f t="shared" si="167"/>
        <v>84818.433333333334</v>
      </c>
      <c r="BN67" s="70">
        <f t="shared" si="168"/>
        <v>6712.5</v>
      </c>
      <c r="BO67" s="70">
        <f t="shared" si="169"/>
        <v>15988.35</v>
      </c>
      <c r="BP67" s="70">
        <f t="shared" si="175"/>
        <v>42458.333333333336</v>
      </c>
      <c r="BQ67" s="70">
        <f t="shared" si="188"/>
        <v>21690.400000000001</v>
      </c>
      <c r="BR67" s="70">
        <f t="shared" si="159"/>
        <v>28600</v>
      </c>
      <c r="BS67" s="70">
        <f t="shared" si="160"/>
        <v>5276.6</v>
      </c>
      <c r="BT67" s="71">
        <f t="shared" si="161"/>
        <v>304976.28333333333</v>
      </c>
      <c r="BU67" s="65">
        <f t="shared" si="170"/>
        <v>72.251725009934617</v>
      </c>
      <c r="BV67" s="48">
        <f t="shared" si="171"/>
        <v>35.509916549257611</v>
      </c>
      <c r="BW67" s="48">
        <f t="shared" si="172"/>
        <v>91.924171814602076</v>
      </c>
      <c r="BX67" s="48">
        <f t="shared" si="173"/>
        <v>7.2748455619377914</v>
      </c>
      <c r="BY67" s="48">
        <f t="shared" si="174"/>
        <v>17.32778801343882</v>
      </c>
      <c r="BZ67" s="48">
        <f t="shared" si="176"/>
        <v>46.015317365702103</v>
      </c>
      <c r="CA67" s="48">
        <f t="shared" si="189"/>
        <v>23.507532242332285</v>
      </c>
      <c r="CB67" s="48">
        <f t="shared" si="162"/>
        <v>30.99599002926195</v>
      </c>
      <c r="CC67" s="48">
        <f t="shared" si="163"/>
        <v>5.7186517828113148</v>
      </c>
      <c r="CD67" s="47">
        <f t="shared" si="164"/>
        <v>330.52593836927855</v>
      </c>
      <c r="CE67" s="66">
        <v>558864</v>
      </c>
      <c r="CF67" s="62">
        <v>14400</v>
      </c>
      <c r="CG67" s="74">
        <v>-42995</v>
      </c>
      <c r="CH67" s="75">
        <f t="shared" si="190"/>
        <v>530269</v>
      </c>
      <c r="CI67" s="62">
        <f>25500+15000+2400</f>
        <v>42900</v>
      </c>
      <c r="CJ67" s="62">
        <v>41940</v>
      </c>
      <c r="CK67" s="62">
        <v>102000</v>
      </c>
      <c r="CL67" s="62">
        <f>45000</f>
        <v>45000</v>
      </c>
      <c r="CM67" s="62">
        <f>9360+16140</f>
        <v>25500</v>
      </c>
      <c r="CN67" s="62">
        <v>19800</v>
      </c>
      <c r="CO67" s="62">
        <v>0</v>
      </c>
      <c r="CP67" s="75">
        <f t="shared" ref="CP67:CP130" si="239">IFERROR(IF(SUM(CI67:CO67)&gt;0,SUM(CI67:CO67),""),"")</f>
        <v>277140</v>
      </c>
      <c r="CQ67" s="62">
        <v>15000</v>
      </c>
      <c r="CR67" s="75">
        <f t="shared" ref="CR67:CR130" si="240">IFERROR(IF(SUM(CP67:CQ67)&gt;0,SUM(CP67:CQ67),""),"")</f>
        <v>292140</v>
      </c>
      <c r="CS67" s="75">
        <f t="shared" si="191"/>
        <v>253129</v>
      </c>
      <c r="CT67" s="62">
        <f>206052</f>
        <v>206052</v>
      </c>
      <c r="CU67" s="47">
        <f t="shared" si="192"/>
        <v>47077</v>
      </c>
      <c r="CV67" s="76">
        <f t="shared" si="193"/>
        <v>0.47735960427632013</v>
      </c>
      <c r="CW67" s="75">
        <f t="shared" si="194"/>
        <v>4869</v>
      </c>
      <c r="CX67" s="77">
        <f t="shared" si="195"/>
        <v>0.55092792526057532</v>
      </c>
      <c r="CY67" s="75">
        <f t="shared" si="196"/>
        <v>784.61666666666667</v>
      </c>
      <c r="CZ67" s="77">
        <f t="shared" si="197"/>
        <v>8.8779468533895067E-2</v>
      </c>
      <c r="DA67" s="77">
        <f t="shared" si="198"/>
        <v>0.38858013574242506</v>
      </c>
      <c r="DB67" s="47">
        <f t="shared" si="199"/>
        <v>62500</v>
      </c>
      <c r="DC67" s="69">
        <f t="shared" si="200"/>
        <v>9314.4</v>
      </c>
      <c r="DD67" s="70">
        <f t="shared" si="201"/>
        <v>240</v>
      </c>
      <c r="DE67" s="70">
        <f t="shared" si="202"/>
        <v>-716.58333333333337</v>
      </c>
      <c r="DF67" s="70">
        <f t="shared" si="203"/>
        <v>8837.8166666666675</v>
      </c>
      <c r="DG67" s="70">
        <f t="shared" si="204"/>
        <v>715</v>
      </c>
      <c r="DH67" s="70">
        <f t="shared" si="205"/>
        <v>699</v>
      </c>
      <c r="DI67" s="70">
        <f t="shared" si="206"/>
        <v>1700</v>
      </c>
      <c r="DJ67" s="70">
        <f t="shared" si="207"/>
        <v>750</v>
      </c>
      <c r="DK67" s="70">
        <f t="shared" si="208"/>
        <v>425</v>
      </c>
      <c r="DL67" s="70">
        <f t="shared" si="209"/>
        <v>330</v>
      </c>
      <c r="DM67" s="70" t="str">
        <f t="shared" si="210"/>
        <v/>
      </c>
      <c r="DN67" s="70">
        <f t="shared" si="211"/>
        <v>4619</v>
      </c>
      <c r="DO67" s="70">
        <f t="shared" si="212"/>
        <v>250</v>
      </c>
      <c r="DP67" s="70">
        <f t="shared" si="213"/>
        <v>4869</v>
      </c>
      <c r="DQ67" s="70">
        <f t="shared" si="214"/>
        <v>4218.8166666666666</v>
      </c>
      <c r="DR67" s="70">
        <f t="shared" si="215"/>
        <v>3434.2</v>
      </c>
      <c r="DS67" s="71">
        <f t="shared" si="216"/>
        <v>784.61666666666667</v>
      </c>
      <c r="DT67" s="106">
        <f t="shared" si="217"/>
        <v>1.0539254604738351</v>
      </c>
      <c r="DU67" s="92">
        <f t="shared" si="218"/>
        <v>2.7156028355419609E-2</v>
      </c>
      <c r="DV67" s="92" t="str">
        <f t="shared" si="219"/>
        <v/>
      </c>
      <c r="DW67" s="92">
        <f t="shared" si="220"/>
        <v>1</v>
      </c>
      <c r="DX67" s="92">
        <f t="shared" si="221"/>
        <v>8.0902334475520921E-2</v>
      </c>
      <c r="DY67" s="92">
        <f t="shared" si="222"/>
        <v>7.9091932585159605E-2</v>
      </c>
      <c r="DZ67" s="92">
        <f t="shared" si="223"/>
        <v>0.19235520085088889</v>
      </c>
      <c r="EA67" s="92">
        <f t="shared" si="224"/>
        <v>8.4862588610686268E-2</v>
      </c>
      <c r="EB67" s="92">
        <f t="shared" si="225"/>
        <v>4.8088800212722223E-2</v>
      </c>
      <c r="EC67" s="92">
        <f t="shared" si="226"/>
        <v>3.7339538988701959E-2</v>
      </c>
      <c r="ED67" s="92" t="str">
        <f t="shared" si="227"/>
        <v/>
      </c>
      <c r="EE67" s="92">
        <f t="shared" si="228"/>
        <v>0.52264039572367982</v>
      </c>
      <c r="EF67" s="92">
        <f t="shared" si="229"/>
        <v>2.8287529536895426E-2</v>
      </c>
      <c r="EG67" s="92">
        <f t="shared" si="230"/>
        <v>0.55092792526057532</v>
      </c>
      <c r="EH67" s="92">
        <f t="shared" si="231"/>
        <v>0.47735960427632013</v>
      </c>
      <c r="EI67" s="92">
        <f t="shared" si="232"/>
        <v>0.38858013574242506</v>
      </c>
      <c r="EJ67" s="122">
        <f t="shared" si="233"/>
        <v>8.8779468533895067E-2</v>
      </c>
    </row>
    <row r="68" spans="2:140" ht="12" hidden="1" customHeight="1" outlineLevel="1">
      <c r="B68" s="121">
        <v>44946</v>
      </c>
      <c r="C68" s="117">
        <v>22480</v>
      </c>
      <c r="D68" s="50" t="s">
        <v>485</v>
      </c>
      <c r="E68" s="50" t="s">
        <v>486</v>
      </c>
      <c r="F68" s="50" t="s">
        <v>486</v>
      </c>
      <c r="G68" s="50" t="s">
        <v>486</v>
      </c>
      <c r="H68" s="50" t="s">
        <v>487</v>
      </c>
      <c r="I68" s="50" t="s">
        <v>486</v>
      </c>
      <c r="J68" s="52" t="s">
        <v>488</v>
      </c>
      <c r="K68" s="50" t="s">
        <v>462</v>
      </c>
      <c r="L68" s="49">
        <v>3</v>
      </c>
      <c r="M68" s="50" t="s">
        <v>159</v>
      </c>
      <c r="N68" s="50" t="s">
        <v>160</v>
      </c>
      <c r="O68" s="50" t="s">
        <v>160</v>
      </c>
      <c r="P68" s="50" t="s">
        <v>177</v>
      </c>
      <c r="Q68" s="53">
        <v>0.04</v>
      </c>
      <c r="R68" s="49">
        <v>240</v>
      </c>
      <c r="S68" s="49">
        <v>0</v>
      </c>
      <c r="T68" s="54">
        <f t="shared" si="238"/>
        <v>240</v>
      </c>
      <c r="U68" s="55">
        <v>229344</v>
      </c>
      <c r="V68" s="49">
        <v>12.29</v>
      </c>
      <c r="W68" s="56">
        <f t="shared" si="177"/>
        <v>19.528071602929213</v>
      </c>
      <c r="X68" s="49" t="s">
        <v>163</v>
      </c>
      <c r="Y68" s="57" t="s">
        <v>162</v>
      </c>
      <c r="Z68" s="58">
        <v>34126950</v>
      </c>
      <c r="AA68" s="114">
        <v>2.9499999999999998E-2</v>
      </c>
      <c r="AB68" s="59">
        <v>40</v>
      </c>
      <c r="AC68" s="60">
        <v>40</v>
      </c>
      <c r="AD68" s="61">
        <v>2.9499999999999998E-2</v>
      </c>
      <c r="AE68" s="62">
        <v>34126950</v>
      </c>
      <c r="AF68" s="63">
        <v>1.1599999999999999</v>
      </c>
      <c r="AG68" s="59"/>
      <c r="AH68" s="60"/>
      <c r="AI68" s="61"/>
      <c r="AJ68" s="64"/>
      <c r="AK68" s="65">
        <f t="shared" si="178"/>
        <v>34126950</v>
      </c>
      <c r="AL68" s="62">
        <v>0</v>
      </c>
      <c r="AM68" s="49" t="s">
        <v>163</v>
      </c>
      <c r="AN68" s="67">
        <v>0.92</v>
      </c>
      <c r="AO68" s="62">
        <v>27221389</v>
      </c>
      <c r="AP68" s="62">
        <v>0</v>
      </c>
      <c r="AQ68" s="68">
        <v>5893485</v>
      </c>
      <c r="AR68" s="69">
        <f t="shared" si="179"/>
        <v>142195.625</v>
      </c>
      <c r="AS68" s="70" t="str">
        <f>IFERROR(IF(#REF!&gt;0,#REF!/T68,""),"")</f>
        <v/>
      </c>
      <c r="AT68" s="70">
        <f t="shared" si="180"/>
        <v>113422.45416666666</v>
      </c>
      <c r="AU68" s="70" t="str">
        <f t="shared" si="181"/>
        <v/>
      </c>
      <c r="AV68" s="71">
        <f t="shared" si="182"/>
        <v>24556.1875</v>
      </c>
      <c r="AW68" s="115">
        <f t="shared" si="183"/>
        <v>143847.91666666666</v>
      </c>
      <c r="AX68" s="116">
        <f t="shared" si="184"/>
        <v>150.53151597600112</v>
      </c>
      <c r="AY68" s="72">
        <f t="shared" si="185"/>
        <v>172150.30833333332</v>
      </c>
      <c r="AZ68" s="73">
        <f t="shared" si="186"/>
        <v>180.14892039905121</v>
      </c>
      <c r="BA68" s="66">
        <v>6421920</v>
      </c>
      <c r="BB68" s="62">
        <f>150100+7200400</f>
        <v>7350500</v>
      </c>
      <c r="BC68" s="62">
        <f>760000+26413000</f>
        <v>27173000</v>
      </c>
      <c r="BD68" s="62">
        <v>1718670</v>
      </c>
      <c r="BE68" s="62">
        <v>5073904</v>
      </c>
      <c r="BF68" s="62">
        <v>4002560</v>
      </c>
      <c r="BG68" s="67">
        <v>7316863</v>
      </c>
      <c r="BH68" s="62">
        <v>7384407</v>
      </c>
      <c r="BI68" s="62">
        <v>800000</v>
      </c>
      <c r="BJ68" s="47">
        <f t="shared" si="187"/>
        <v>67241824</v>
      </c>
      <c r="BK68" s="69">
        <f t="shared" si="165"/>
        <v>26758</v>
      </c>
      <c r="BL68" s="70">
        <f t="shared" si="166"/>
        <v>30627.083333333332</v>
      </c>
      <c r="BM68" s="70">
        <f t="shared" si="167"/>
        <v>113220.83333333333</v>
      </c>
      <c r="BN68" s="70">
        <f t="shared" si="168"/>
        <v>7161.125</v>
      </c>
      <c r="BO68" s="70">
        <f t="shared" si="169"/>
        <v>21141.266666666666</v>
      </c>
      <c r="BP68" s="70">
        <f t="shared" si="175"/>
        <v>16677.333333333332</v>
      </c>
      <c r="BQ68" s="70">
        <f t="shared" si="188"/>
        <v>30486.929166666665</v>
      </c>
      <c r="BR68" s="70">
        <f t="shared" si="159"/>
        <v>30768.362499999999</v>
      </c>
      <c r="BS68" s="70">
        <f t="shared" si="160"/>
        <v>3333.3333333333335</v>
      </c>
      <c r="BT68" s="71">
        <f t="shared" si="161"/>
        <v>280174.26666666666</v>
      </c>
      <c r="BU68" s="65">
        <f t="shared" si="170"/>
        <v>28.001255755546254</v>
      </c>
      <c r="BV68" s="48">
        <f t="shared" si="171"/>
        <v>32.050108134505372</v>
      </c>
      <c r="BW68" s="48">
        <f t="shared" si="172"/>
        <v>118.48140784149574</v>
      </c>
      <c r="BX68" s="48">
        <f t="shared" si="173"/>
        <v>7.4938520301381333</v>
      </c>
      <c r="BY68" s="48">
        <f t="shared" si="174"/>
        <v>22.123552392911957</v>
      </c>
      <c r="BZ68" s="48">
        <f t="shared" si="176"/>
        <v>17.452211525045346</v>
      </c>
      <c r="CA68" s="48">
        <f t="shared" si="189"/>
        <v>31.903441991070181</v>
      </c>
      <c r="CB68" s="48">
        <f t="shared" si="162"/>
        <v>32.197951548765175</v>
      </c>
      <c r="CC68" s="48">
        <f t="shared" si="163"/>
        <v>3.4882098507046182</v>
      </c>
      <c r="CD68" s="47">
        <f t="shared" si="164"/>
        <v>293.19199107018278</v>
      </c>
      <c r="CE68" s="66">
        <v>3327552</v>
      </c>
      <c r="CF68" s="62">
        <v>86400</v>
      </c>
      <c r="CG68" s="74">
        <v>-256046</v>
      </c>
      <c r="CH68" s="75">
        <f t="shared" si="190"/>
        <v>3157906</v>
      </c>
      <c r="CI68" s="62">
        <f>95472+9600</f>
        <v>105072</v>
      </c>
      <c r="CJ68" s="62">
        <v>94737</v>
      </c>
      <c r="CK68" s="62">
        <v>338152</v>
      </c>
      <c r="CL68" s="62">
        <v>147492</v>
      </c>
      <c r="CM68" s="62">
        <f>38880+139536</f>
        <v>178416</v>
      </c>
      <c r="CN68" s="62">
        <v>63876</v>
      </c>
      <c r="CO68" s="62">
        <v>334889</v>
      </c>
      <c r="CP68" s="75">
        <f t="shared" si="239"/>
        <v>1262634</v>
      </c>
      <c r="CQ68" s="62">
        <v>72000</v>
      </c>
      <c r="CR68" s="75">
        <f t="shared" si="240"/>
        <v>1334634</v>
      </c>
      <c r="CS68" s="75">
        <f t="shared" si="191"/>
        <v>1895272</v>
      </c>
      <c r="CT68" s="62">
        <f>1500+1573698</f>
        <v>1575198</v>
      </c>
      <c r="CU68" s="47">
        <f t="shared" si="192"/>
        <v>320074</v>
      </c>
      <c r="CV68" s="76">
        <f t="shared" si="193"/>
        <v>0.60016732606987033</v>
      </c>
      <c r="CW68" s="75">
        <f t="shared" si="194"/>
        <v>5560.9750000000004</v>
      </c>
      <c r="CX68" s="77">
        <f t="shared" si="195"/>
        <v>0.42263259261041969</v>
      </c>
      <c r="CY68" s="75">
        <f t="shared" si="196"/>
        <v>1333.6416666666667</v>
      </c>
      <c r="CZ68" s="77">
        <f t="shared" si="197"/>
        <v>0.10135640516215493</v>
      </c>
      <c r="DA68" s="77">
        <f t="shared" si="198"/>
        <v>0.49881092090771545</v>
      </c>
      <c r="DB68" s="47">
        <f t="shared" si="199"/>
        <v>142195.625</v>
      </c>
      <c r="DC68" s="69">
        <f t="shared" si="200"/>
        <v>13864.8</v>
      </c>
      <c r="DD68" s="70">
        <f t="shared" si="201"/>
        <v>360</v>
      </c>
      <c r="DE68" s="70">
        <f t="shared" si="202"/>
        <v>-1066.8583333333333</v>
      </c>
      <c r="DF68" s="70">
        <f t="shared" si="203"/>
        <v>13157.941666666668</v>
      </c>
      <c r="DG68" s="70">
        <f t="shared" si="204"/>
        <v>437.8</v>
      </c>
      <c r="DH68" s="70">
        <f t="shared" si="205"/>
        <v>394.73750000000001</v>
      </c>
      <c r="DI68" s="70">
        <f t="shared" si="206"/>
        <v>1408.9666666666667</v>
      </c>
      <c r="DJ68" s="70">
        <f t="shared" si="207"/>
        <v>614.54999999999995</v>
      </c>
      <c r="DK68" s="70">
        <f t="shared" si="208"/>
        <v>743.4</v>
      </c>
      <c r="DL68" s="70">
        <f t="shared" si="209"/>
        <v>266.14999999999998</v>
      </c>
      <c r="DM68" s="70">
        <f t="shared" si="210"/>
        <v>1395.3708333333334</v>
      </c>
      <c r="DN68" s="70">
        <f t="shared" si="211"/>
        <v>5260.9750000000004</v>
      </c>
      <c r="DO68" s="70">
        <f t="shared" si="212"/>
        <v>300</v>
      </c>
      <c r="DP68" s="70">
        <f t="shared" si="213"/>
        <v>5560.9750000000004</v>
      </c>
      <c r="DQ68" s="70">
        <f t="shared" si="214"/>
        <v>7896.9666666666662</v>
      </c>
      <c r="DR68" s="70">
        <f t="shared" si="215"/>
        <v>6563.3249999999998</v>
      </c>
      <c r="DS68" s="71">
        <f t="shared" si="216"/>
        <v>1333.6416666666667</v>
      </c>
      <c r="DT68" s="106">
        <f t="shared" si="217"/>
        <v>1.0537210417282845</v>
      </c>
      <c r="DU68" s="92">
        <f t="shared" si="218"/>
        <v>2.7359902416348048E-2</v>
      </c>
      <c r="DV68" s="92" t="str">
        <f t="shared" si="219"/>
        <v/>
      </c>
      <c r="DW68" s="92">
        <f t="shared" si="220"/>
        <v>1</v>
      </c>
      <c r="DX68" s="92">
        <f t="shared" si="221"/>
        <v>3.3272681327436597E-2</v>
      </c>
      <c r="DY68" s="92">
        <f t="shared" si="222"/>
        <v>2.99999430002033E-2</v>
      </c>
      <c r="DZ68" s="92">
        <f t="shared" si="223"/>
        <v>0.10708108474413108</v>
      </c>
      <c r="EA68" s="92">
        <f t="shared" si="224"/>
        <v>4.6705633416574147E-2</v>
      </c>
      <c r="EB68" s="92">
        <f t="shared" si="225"/>
        <v>5.6498198489758719E-2</v>
      </c>
      <c r="EC68" s="92">
        <f t="shared" si="226"/>
        <v>2.022732785586398E-2</v>
      </c>
      <c r="ED68" s="92">
        <f t="shared" si="227"/>
        <v>0.10604780509616182</v>
      </c>
      <c r="EE68" s="92">
        <f t="shared" si="228"/>
        <v>0.39983267393012967</v>
      </c>
      <c r="EF68" s="92">
        <f t="shared" si="229"/>
        <v>2.2799918680290042E-2</v>
      </c>
      <c r="EG68" s="92">
        <f t="shared" si="230"/>
        <v>0.42263259261041969</v>
      </c>
      <c r="EH68" s="92">
        <f t="shared" si="231"/>
        <v>0.60016732606987033</v>
      </c>
      <c r="EI68" s="92">
        <f t="shared" si="232"/>
        <v>0.49881092090771545</v>
      </c>
      <c r="EJ68" s="122">
        <f t="shared" si="233"/>
        <v>0.10135640516215493</v>
      </c>
    </row>
    <row r="69" spans="2:140" ht="12" hidden="1" customHeight="1" outlineLevel="1">
      <c r="B69" s="121">
        <v>44946</v>
      </c>
      <c r="C69" s="117">
        <v>22483</v>
      </c>
      <c r="D69" s="50" t="s">
        <v>489</v>
      </c>
      <c r="E69" s="50" t="s">
        <v>490</v>
      </c>
      <c r="F69" s="50" t="s">
        <v>491</v>
      </c>
      <c r="G69" s="50" t="s">
        <v>154</v>
      </c>
      <c r="H69" s="50" t="s">
        <v>286</v>
      </c>
      <c r="I69" s="50" t="s">
        <v>419</v>
      </c>
      <c r="J69" s="52" t="s">
        <v>360</v>
      </c>
      <c r="K69" s="50" t="s">
        <v>294</v>
      </c>
      <c r="L69" s="49">
        <v>7</v>
      </c>
      <c r="M69" s="50" t="s">
        <v>159</v>
      </c>
      <c r="N69" s="50" t="s">
        <v>160</v>
      </c>
      <c r="O69" s="50" t="s">
        <v>160</v>
      </c>
      <c r="P69" s="50" t="s">
        <v>177</v>
      </c>
      <c r="Q69" s="53">
        <v>0.04</v>
      </c>
      <c r="R69" s="49">
        <v>198</v>
      </c>
      <c r="S69" s="49">
        <v>0</v>
      </c>
      <c r="T69" s="54">
        <f t="shared" si="238"/>
        <v>198</v>
      </c>
      <c r="U69" s="55">
        <v>162614</v>
      </c>
      <c r="V69" s="49">
        <v>6.64</v>
      </c>
      <c r="W69" s="56">
        <f t="shared" si="177"/>
        <v>29.819277108433738</v>
      </c>
      <c r="X69" s="49" t="s">
        <v>163</v>
      </c>
      <c r="Y69" s="57" t="s">
        <v>162</v>
      </c>
      <c r="Z69" s="58">
        <v>25801307</v>
      </c>
      <c r="AA69" s="114">
        <v>5.5E-2</v>
      </c>
      <c r="AB69" s="59">
        <v>19</v>
      </c>
      <c r="AC69" s="60">
        <v>40</v>
      </c>
      <c r="AD69" s="61">
        <v>5.5E-2</v>
      </c>
      <c r="AE69" s="62">
        <v>25801307</v>
      </c>
      <c r="AF69" s="63">
        <v>1.26</v>
      </c>
      <c r="AG69" s="59"/>
      <c r="AH69" s="60"/>
      <c r="AI69" s="61"/>
      <c r="AJ69" s="64"/>
      <c r="AK69" s="65">
        <f t="shared" si="178"/>
        <v>25801307</v>
      </c>
      <c r="AL69" s="62">
        <v>4500000</v>
      </c>
      <c r="AM69" s="49" t="s">
        <v>163</v>
      </c>
      <c r="AN69" s="67">
        <v>0.93</v>
      </c>
      <c r="AO69" s="62">
        <v>25124684</v>
      </c>
      <c r="AP69" s="62">
        <v>0</v>
      </c>
      <c r="AQ69" s="68">
        <v>149343</v>
      </c>
      <c r="AR69" s="69">
        <f t="shared" si="179"/>
        <v>130309.63131313131</v>
      </c>
      <c r="AS69" s="70" t="str">
        <f>IFERROR(IF(#REF!&gt;0,#REF!/T69,""),"")</f>
        <v/>
      </c>
      <c r="AT69" s="70">
        <f t="shared" si="180"/>
        <v>126892.34343434343</v>
      </c>
      <c r="AU69" s="70">
        <f t="shared" si="181"/>
        <v>22727.272727272728</v>
      </c>
      <c r="AV69" s="71">
        <f t="shared" si="182"/>
        <v>754.25757575757575</v>
      </c>
      <c r="AW69" s="115">
        <f t="shared" si="183"/>
        <v>161051.30303030304</v>
      </c>
      <c r="AX69" s="116">
        <f t="shared" si="184"/>
        <v>196.09724869937398</v>
      </c>
      <c r="AY69" s="72">
        <f t="shared" si="185"/>
        <v>193471.19696969696</v>
      </c>
      <c r="AZ69" s="73">
        <f t="shared" si="186"/>
        <v>235.57194952464118</v>
      </c>
      <c r="BA69" s="66">
        <v>15000</v>
      </c>
      <c r="BB69" s="62">
        <v>3147268</v>
      </c>
      <c r="BC69" s="62">
        <v>28740890</v>
      </c>
      <c r="BD69" s="62">
        <v>1741625</v>
      </c>
      <c r="BE69" s="62">
        <v>4677514</v>
      </c>
      <c r="BF69" s="62">
        <v>3195456</v>
      </c>
      <c r="BG69" s="67">
        <v>5728263</v>
      </c>
      <c r="BH69" s="62">
        <v>6775000</v>
      </c>
      <c r="BI69" s="62">
        <v>1553317</v>
      </c>
      <c r="BJ69" s="47">
        <f t="shared" si="187"/>
        <v>55574333</v>
      </c>
      <c r="BK69" s="69">
        <f t="shared" si="165"/>
        <v>75.757575757575751</v>
      </c>
      <c r="BL69" s="70">
        <f t="shared" si="166"/>
        <v>15895.292929292929</v>
      </c>
      <c r="BM69" s="70">
        <f t="shared" si="167"/>
        <v>145156.01010101009</v>
      </c>
      <c r="BN69" s="70">
        <f t="shared" si="168"/>
        <v>8796.0858585858587</v>
      </c>
      <c r="BO69" s="70">
        <f t="shared" si="169"/>
        <v>23623.808080808081</v>
      </c>
      <c r="BP69" s="70">
        <f t="shared" si="175"/>
        <v>16138.666666666666</v>
      </c>
      <c r="BQ69" s="70">
        <f t="shared" si="188"/>
        <v>28930.621212121212</v>
      </c>
      <c r="BR69" s="70">
        <f t="shared" si="159"/>
        <v>34217.171717171717</v>
      </c>
      <c r="BS69" s="70">
        <f t="shared" si="160"/>
        <v>7845.0353535353534</v>
      </c>
      <c r="BT69" s="71">
        <f t="shared" si="161"/>
        <v>280678.44949494948</v>
      </c>
      <c r="BU69" s="65">
        <f t="shared" si="170"/>
        <v>9.2242980309198475E-2</v>
      </c>
      <c r="BV69" s="48">
        <f t="shared" si="171"/>
        <v>19.354225343451365</v>
      </c>
      <c r="BW69" s="48">
        <f t="shared" si="172"/>
        <v>176.74302335592262</v>
      </c>
      <c r="BX69" s="48">
        <f t="shared" si="173"/>
        <v>10.710178705400519</v>
      </c>
      <c r="BY69" s="48">
        <f t="shared" si="174"/>
        <v>28.76452211986668</v>
      </c>
      <c r="BZ69" s="48">
        <f t="shared" si="176"/>
        <v>19.650558992460674</v>
      </c>
      <c r="CA69" s="48">
        <f t="shared" si="189"/>
        <v>35.226136740994008</v>
      </c>
      <c r="CB69" s="48">
        <f t="shared" si="162"/>
        <v>41.663079439654645</v>
      </c>
      <c r="CC69" s="48">
        <f t="shared" si="163"/>
        <v>9.5521726296628824</v>
      </c>
      <c r="CD69" s="47">
        <f t="shared" si="164"/>
        <v>341.7561403077226</v>
      </c>
      <c r="CE69" s="66">
        <v>3242736</v>
      </c>
      <c r="CF69" s="62">
        <v>28512</v>
      </c>
      <c r="CG69" s="74">
        <v>-245344</v>
      </c>
      <c r="CH69" s="75">
        <f t="shared" si="190"/>
        <v>3025904</v>
      </c>
      <c r="CI69" s="62">
        <f>91582+7920</f>
        <v>99502</v>
      </c>
      <c r="CJ69" s="62">
        <f>151295</f>
        <v>151295</v>
      </c>
      <c r="CK69" s="62">
        <v>273938</v>
      </c>
      <c r="CL69" s="62">
        <f>127442+9500</f>
        <v>136942</v>
      </c>
      <c r="CM69" s="62">
        <f>15000+135000</f>
        <v>150000</v>
      </c>
      <c r="CN69" s="62">
        <v>130000</v>
      </c>
      <c r="CO69" s="62">
        <v>0</v>
      </c>
      <c r="CP69" s="75">
        <f t="shared" si="239"/>
        <v>941677</v>
      </c>
      <c r="CQ69" s="62">
        <v>59400</v>
      </c>
      <c r="CR69" s="75">
        <f t="shared" si="240"/>
        <v>1001077</v>
      </c>
      <c r="CS69" s="75">
        <f t="shared" si="191"/>
        <v>2084227</v>
      </c>
      <c r="CT69" s="62">
        <f>1596906+7326+5400</f>
        <v>1609632</v>
      </c>
      <c r="CU69" s="47">
        <f t="shared" si="192"/>
        <v>474595</v>
      </c>
      <c r="CV69" s="76">
        <f t="shared" si="193"/>
        <v>0.68879481966380951</v>
      </c>
      <c r="CW69" s="75">
        <f t="shared" si="194"/>
        <v>5055.9444444444443</v>
      </c>
      <c r="CX69" s="77">
        <f t="shared" si="195"/>
        <v>0.330835677536366</v>
      </c>
      <c r="CY69" s="75">
        <f t="shared" si="196"/>
        <v>2396.9444444444443</v>
      </c>
      <c r="CZ69" s="77">
        <f t="shared" si="197"/>
        <v>0.15684403735214336</v>
      </c>
      <c r="DA69" s="77">
        <f t="shared" si="198"/>
        <v>0.53195078231166615</v>
      </c>
      <c r="DB69" s="47">
        <f t="shared" si="199"/>
        <v>130309.63131313131</v>
      </c>
      <c r="DC69" s="69">
        <f t="shared" si="200"/>
        <v>16377.454545454546</v>
      </c>
      <c r="DD69" s="70">
        <f t="shared" si="201"/>
        <v>144</v>
      </c>
      <c r="DE69" s="70">
        <f t="shared" si="202"/>
        <v>-1239.1111111111111</v>
      </c>
      <c r="DF69" s="70">
        <f t="shared" si="203"/>
        <v>15282.343434343435</v>
      </c>
      <c r="DG69" s="70">
        <f t="shared" si="204"/>
        <v>502.53535353535352</v>
      </c>
      <c r="DH69" s="70">
        <f t="shared" si="205"/>
        <v>764.11616161616166</v>
      </c>
      <c r="DI69" s="70">
        <f t="shared" si="206"/>
        <v>1383.5252525252524</v>
      </c>
      <c r="DJ69" s="70">
        <f t="shared" si="207"/>
        <v>691.62626262626259</v>
      </c>
      <c r="DK69" s="70">
        <f t="shared" si="208"/>
        <v>757.57575757575762</v>
      </c>
      <c r="DL69" s="70">
        <f t="shared" si="209"/>
        <v>656.56565656565658</v>
      </c>
      <c r="DM69" s="70" t="str">
        <f t="shared" si="210"/>
        <v/>
      </c>
      <c r="DN69" s="70">
        <f t="shared" si="211"/>
        <v>4755.9444444444443</v>
      </c>
      <c r="DO69" s="70">
        <f t="shared" si="212"/>
        <v>300</v>
      </c>
      <c r="DP69" s="70">
        <f t="shared" si="213"/>
        <v>5055.9444444444443</v>
      </c>
      <c r="DQ69" s="70">
        <f t="shared" si="214"/>
        <v>10526.398989898989</v>
      </c>
      <c r="DR69" s="70">
        <f t="shared" si="215"/>
        <v>8129.454545454545</v>
      </c>
      <c r="DS69" s="71">
        <f t="shared" si="216"/>
        <v>2396.9444444444443</v>
      </c>
      <c r="DT69" s="106">
        <f t="shared" si="217"/>
        <v>1.0716585853351595</v>
      </c>
      <c r="DU69" s="92">
        <f t="shared" si="218"/>
        <v>9.4226386560842638E-3</v>
      </c>
      <c r="DV69" s="92" t="str">
        <f t="shared" si="219"/>
        <v/>
      </c>
      <c r="DW69" s="92">
        <f t="shared" si="220"/>
        <v>1</v>
      </c>
      <c r="DX69" s="92">
        <f t="shared" si="221"/>
        <v>3.2883396168549961E-2</v>
      </c>
      <c r="DY69" s="92">
        <f t="shared" si="222"/>
        <v>4.9999933904049831E-2</v>
      </c>
      <c r="DZ69" s="92">
        <f t="shared" si="223"/>
        <v>9.053096198689714E-2</v>
      </c>
      <c r="EA69" s="92">
        <f t="shared" si="224"/>
        <v>4.5256558040175761E-2</v>
      </c>
      <c r="EB69" s="92">
        <f t="shared" si="225"/>
        <v>4.9571962626705934E-2</v>
      </c>
      <c r="EC69" s="92">
        <f t="shared" si="226"/>
        <v>4.2962367609811813E-2</v>
      </c>
      <c r="ED69" s="92" t="str">
        <f t="shared" si="227"/>
        <v/>
      </c>
      <c r="EE69" s="92">
        <f t="shared" si="228"/>
        <v>0.31120518033619043</v>
      </c>
      <c r="EF69" s="92">
        <f t="shared" si="229"/>
        <v>1.963049720017555E-2</v>
      </c>
      <c r="EG69" s="92">
        <f t="shared" si="230"/>
        <v>0.330835677536366</v>
      </c>
      <c r="EH69" s="92">
        <f t="shared" si="231"/>
        <v>0.68879481966380951</v>
      </c>
      <c r="EI69" s="92">
        <f t="shared" si="232"/>
        <v>0.53195078231166615</v>
      </c>
      <c r="EJ69" s="122">
        <f t="shared" si="233"/>
        <v>0.15684403735214336</v>
      </c>
    </row>
    <row r="70" spans="2:140" ht="12" hidden="1" customHeight="1" outlineLevel="1">
      <c r="B70" s="121">
        <v>44950</v>
      </c>
      <c r="C70" s="117">
        <v>22476</v>
      </c>
      <c r="D70" s="50" t="s">
        <v>492</v>
      </c>
      <c r="E70" s="50" t="s">
        <v>201</v>
      </c>
      <c r="F70" s="50" t="s">
        <v>262</v>
      </c>
      <c r="G70" s="50" t="s">
        <v>203</v>
      </c>
      <c r="H70" s="50" t="s">
        <v>493</v>
      </c>
      <c r="I70" s="50" t="s">
        <v>156</v>
      </c>
      <c r="J70" s="52" t="s">
        <v>446</v>
      </c>
      <c r="K70" s="50" t="s">
        <v>192</v>
      </c>
      <c r="L70" s="49">
        <v>3</v>
      </c>
      <c r="M70" s="50" t="s">
        <v>159</v>
      </c>
      <c r="N70" s="50" t="s">
        <v>160</v>
      </c>
      <c r="O70" s="50" t="s">
        <v>160</v>
      </c>
      <c r="P70" s="50" t="s">
        <v>177</v>
      </c>
      <c r="Q70" s="53">
        <v>0.04</v>
      </c>
      <c r="R70" s="49">
        <v>192</v>
      </c>
      <c r="S70" s="49">
        <v>0</v>
      </c>
      <c r="T70" s="54">
        <f t="shared" si="238"/>
        <v>192</v>
      </c>
      <c r="U70" s="55">
        <v>220896</v>
      </c>
      <c r="V70" s="49">
        <v>9.91</v>
      </c>
      <c r="W70" s="56">
        <f t="shared" si="177"/>
        <v>19.374369323915236</v>
      </c>
      <c r="X70" s="49" t="s">
        <v>163</v>
      </c>
      <c r="Y70" s="57" t="s">
        <v>162</v>
      </c>
      <c r="Z70" s="58">
        <v>44575917</v>
      </c>
      <c r="AA70" s="114">
        <f>(((30000000*0.0425)/(30000000+14575917))+((14575917*0.046)/(30000000+14575917)))</f>
        <v>4.3644467975835474E-2</v>
      </c>
      <c r="AB70" s="59">
        <v>15</v>
      </c>
      <c r="AC70" s="60">
        <v>40</v>
      </c>
      <c r="AD70" s="61">
        <v>4.8500000000000001E-2</v>
      </c>
      <c r="AE70" s="62">
        <v>24830000</v>
      </c>
      <c r="AF70" s="63">
        <v>1.1499999999999999</v>
      </c>
      <c r="AG70" s="59"/>
      <c r="AH70" s="60"/>
      <c r="AI70" s="61"/>
      <c r="AJ70" s="64"/>
      <c r="AK70" s="65">
        <f t="shared" si="178"/>
        <v>24830000</v>
      </c>
      <c r="AL70" s="62">
        <v>1083891</v>
      </c>
      <c r="AM70" s="49" t="s">
        <v>163</v>
      </c>
      <c r="AN70" s="67">
        <v>0.98</v>
      </c>
      <c r="AO70" s="62">
        <v>25067862</v>
      </c>
      <c r="AP70" s="62">
        <v>0</v>
      </c>
      <c r="AQ70" s="68">
        <v>5496967</v>
      </c>
      <c r="AR70" s="69">
        <f t="shared" si="179"/>
        <v>129322.91666666667</v>
      </c>
      <c r="AS70" s="70" t="str">
        <f>IFERROR(IF(#REF!&gt;0,#REF!/T70,""),"")</f>
        <v/>
      </c>
      <c r="AT70" s="70">
        <f t="shared" si="180"/>
        <v>130561.78125</v>
      </c>
      <c r="AU70" s="70">
        <f t="shared" si="181"/>
        <v>5645.265625</v>
      </c>
      <c r="AV70" s="71">
        <f t="shared" si="182"/>
        <v>28630.036458333332</v>
      </c>
      <c r="AW70" s="115">
        <f t="shared" si="183"/>
        <v>160149.125</v>
      </c>
      <c r="AX70" s="116">
        <f t="shared" si="184"/>
        <v>139.19958713602782</v>
      </c>
      <c r="AY70" s="72">
        <f t="shared" si="185"/>
        <v>191860.41666666666</v>
      </c>
      <c r="AZ70" s="73">
        <f t="shared" si="186"/>
        <v>166.76263943213098</v>
      </c>
      <c r="BA70" s="66">
        <v>3358666</v>
      </c>
      <c r="BB70" s="62">
        <f>162464+3235736</f>
        <v>3398200</v>
      </c>
      <c r="BC70" s="62">
        <f>601000+26749432</f>
        <v>27350432</v>
      </c>
      <c r="BD70" s="62">
        <v>1797200</v>
      </c>
      <c r="BE70" s="62">
        <v>4291368</v>
      </c>
      <c r="BF70" s="62">
        <v>4351760</v>
      </c>
      <c r="BG70" s="67">
        <v>4827178</v>
      </c>
      <c r="BH70" s="62">
        <v>6417534</v>
      </c>
      <c r="BI70" s="62">
        <v>686582</v>
      </c>
      <c r="BJ70" s="47">
        <f t="shared" si="187"/>
        <v>56478920</v>
      </c>
      <c r="BK70" s="69">
        <f t="shared" si="165"/>
        <v>17493.052083333332</v>
      </c>
      <c r="BL70" s="70">
        <f t="shared" si="166"/>
        <v>17698.958333333332</v>
      </c>
      <c r="BM70" s="70">
        <f t="shared" si="167"/>
        <v>142450.16666666666</v>
      </c>
      <c r="BN70" s="70">
        <f t="shared" si="168"/>
        <v>9360.4166666666661</v>
      </c>
      <c r="BO70" s="70">
        <f t="shared" si="169"/>
        <v>22350.875</v>
      </c>
      <c r="BP70" s="70">
        <f t="shared" si="175"/>
        <v>22665.416666666668</v>
      </c>
      <c r="BQ70" s="70">
        <f t="shared" si="188"/>
        <v>25141.552083333332</v>
      </c>
      <c r="BR70" s="70">
        <f t="shared" si="159"/>
        <v>33424.65625</v>
      </c>
      <c r="BS70" s="70">
        <f t="shared" si="160"/>
        <v>3575.9479166666665</v>
      </c>
      <c r="BT70" s="71">
        <f t="shared" si="161"/>
        <v>294161.04166666669</v>
      </c>
      <c r="BU70" s="65">
        <f t="shared" si="170"/>
        <v>15.204738881645662</v>
      </c>
      <c r="BV70" s="48">
        <f t="shared" si="171"/>
        <v>15.383709981167609</v>
      </c>
      <c r="BW70" s="48">
        <f t="shared" si="172"/>
        <v>123.8158771548602</v>
      </c>
      <c r="BX70" s="48">
        <f t="shared" si="173"/>
        <v>8.1359553817180927</v>
      </c>
      <c r="BY70" s="48">
        <f t="shared" si="174"/>
        <v>19.42709691438505</v>
      </c>
      <c r="BZ70" s="48">
        <f t="shared" si="176"/>
        <v>19.70049253947559</v>
      </c>
      <c r="CA70" s="48">
        <f t="shared" si="189"/>
        <v>21.852718021150224</v>
      </c>
      <c r="CB70" s="48">
        <f t="shared" si="162"/>
        <v>29.052287049109083</v>
      </c>
      <c r="CC70" s="48">
        <f t="shared" si="163"/>
        <v>3.1081685499058382</v>
      </c>
      <c r="CD70" s="47">
        <f t="shared" si="164"/>
        <v>255.68104447341736</v>
      </c>
      <c r="CE70" s="66">
        <v>2796624</v>
      </c>
      <c r="CF70" s="62">
        <f>8688+58440+1992</f>
        <v>69120</v>
      </c>
      <c r="CG70" s="74">
        <v>-214931</v>
      </c>
      <c r="CH70" s="75">
        <f t="shared" si="190"/>
        <v>2650813</v>
      </c>
      <c r="CI70" s="62">
        <f>32980+24000+7680</f>
        <v>64660</v>
      </c>
      <c r="CJ70" s="62">
        <v>66270</v>
      </c>
      <c r="CK70" s="62">
        <v>235200</v>
      </c>
      <c r="CL70" s="62">
        <f>113280+0</f>
        <v>113280</v>
      </c>
      <c r="CM70" s="62">
        <f>44615+70585</f>
        <v>115200</v>
      </c>
      <c r="CN70" s="62">
        <v>76800</v>
      </c>
      <c r="CO70" s="62">
        <v>278400</v>
      </c>
      <c r="CP70" s="75">
        <f t="shared" si="239"/>
        <v>949810</v>
      </c>
      <c r="CQ70" s="62">
        <v>48000</v>
      </c>
      <c r="CR70" s="75">
        <f t="shared" si="240"/>
        <v>997810</v>
      </c>
      <c r="CS70" s="75">
        <f t="shared" si="191"/>
        <v>1701003</v>
      </c>
      <c r="CT70" s="62">
        <f>3500+30538+1407279</f>
        <v>1441317</v>
      </c>
      <c r="CU70" s="47">
        <f t="shared" si="192"/>
        <v>259686</v>
      </c>
      <c r="CV70" s="76">
        <f t="shared" si="193"/>
        <v>0.64169105855448871</v>
      </c>
      <c r="CW70" s="75">
        <f t="shared" si="194"/>
        <v>5196.927083333333</v>
      </c>
      <c r="CX70" s="77">
        <f t="shared" si="195"/>
        <v>0.37641659370163039</v>
      </c>
      <c r="CY70" s="75">
        <f t="shared" si="196"/>
        <v>1352.53125</v>
      </c>
      <c r="CZ70" s="77">
        <f t="shared" si="197"/>
        <v>9.7964662162136673E-2</v>
      </c>
      <c r="DA70" s="77">
        <f t="shared" si="198"/>
        <v>0.5437263963923521</v>
      </c>
      <c r="DB70" s="47">
        <f t="shared" si="199"/>
        <v>129322.91666666667</v>
      </c>
      <c r="DC70" s="69">
        <f t="shared" si="200"/>
        <v>14565.75</v>
      </c>
      <c r="DD70" s="70">
        <f t="shared" si="201"/>
        <v>360</v>
      </c>
      <c r="DE70" s="70">
        <f t="shared" si="202"/>
        <v>-1119.4322916666667</v>
      </c>
      <c r="DF70" s="70">
        <f t="shared" si="203"/>
        <v>13806.317708333334</v>
      </c>
      <c r="DG70" s="70">
        <f t="shared" si="204"/>
        <v>336.77083333333331</v>
      </c>
      <c r="DH70" s="70">
        <f t="shared" si="205"/>
        <v>345.15625</v>
      </c>
      <c r="DI70" s="70">
        <f t="shared" si="206"/>
        <v>1225</v>
      </c>
      <c r="DJ70" s="70">
        <f t="shared" si="207"/>
        <v>590</v>
      </c>
      <c r="DK70" s="70">
        <f t="shared" si="208"/>
        <v>600</v>
      </c>
      <c r="DL70" s="70">
        <f t="shared" si="209"/>
        <v>400</v>
      </c>
      <c r="DM70" s="70">
        <f t="shared" si="210"/>
        <v>1450</v>
      </c>
      <c r="DN70" s="70">
        <f t="shared" si="211"/>
        <v>4946.927083333333</v>
      </c>
      <c r="DO70" s="70">
        <f t="shared" si="212"/>
        <v>250</v>
      </c>
      <c r="DP70" s="70">
        <f t="shared" si="213"/>
        <v>5196.927083333333</v>
      </c>
      <c r="DQ70" s="70">
        <f t="shared" si="214"/>
        <v>8859.390625</v>
      </c>
      <c r="DR70" s="70">
        <f t="shared" si="215"/>
        <v>7506.859375</v>
      </c>
      <c r="DS70" s="71">
        <f t="shared" si="216"/>
        <v>1352.53125</v>
      </c>
      <c r="DT70" s="106">
        <f t="shared" si="217"/>
        <v>1.0550061433982707</v>
      </c>
      <c r="DU70" s="92">
        <f t="shared" si="218"/>
        <v>2.6075019248811591E-2</v>
      </c>
      <c r="DV70" s="92" t="str">
        <f t="shared" si="219"/>
        <v/>
      </c>
      <c r="DW70" s="92">
        <f t="shared" si="220"/>
        <v>1</v>
      </c>
      <c r="DX70" s="92">
        <f t="shared" si="221"/>
        <v>2.4392516560013851E-2</v>
      </c>
      <c r="DY70" s="92">
        <f t="shared" si="222"/>
        <v>2.4999877396104517E-2</v>
      </c>
      <c r="DZ70" s="92">
        <f t="shared" si="223"/>
        <v>8.8727496054983881E-2</v>
      </c>
      <c r="EA70" s="92">
        <f t="shared" si="224"/>
        <v>4.2734059324441222E-2</v>
      </c>
      <c r="EB70" s="92">
        <f t="shared" si="225"/>
        <v>4.3458365414685986E-2</v>
      </c>
      <c r="EC70" s="92">
        <f t="shared" si="226"/>
        <v>2.8972243609790657E-2</v>
      </c>
      <c r="ED70" s="92">
        <f t="shared" si="227"/>
        <v>0.10502438308549113</v>
      </c>
      <c r="EE70" s="92">
        <f t="shared" si="228"/>
        <v>0.35830894144551123</v>
      </c>
      <c r="EF70" s="92">
        <f t="shared" si="229"/>
        <v>1.8107652256119159E-2</v>
      </c>
      <c r="EG70" s="92">
        <f t="shared" si="230"/>
        <v>0.37641659370163039</v>
      </c>
      <c r="EH70" s="92">
        <f t="shared" si="231"/>
        <v>0.64169105855448871</v>
      </c>
      <c r="EI70" s="92">
        <f t="shared" si="232"/>
        <v>0.5437263963923521</v>
      </c>
      <c r="EJ70" s="122">
        <f t="shared" si="233"/>
        <v>9.7964662162136673E-2</v>
      </c>
    </row>
    <row r="71" spans="2:140" ht="12" hidden="1" customHeight="1" outlineLevel="1">
      <c r="B71" s="121">
        <v>44956</v>
      </c>
      <c r="C71" s="117">
        <v>22485</v>
      </c>
      <c r="D71" s="50" t="s">
        <v>494</v>
      </c>
      <c r="E71" s="50" t="s">
        <v>495</v>
      </c>
      <c r="F71" s="50" t="s">
        <v>496</v>
      </c>
      <c r="G71" s="50" t="s">
        <v>497</v>
      </c>
      <c r="H71" s="50" t="s">
        <v>498</v>
      </c>
      <c r="I71" s="50" t="s">
        <v>499</v>
      </c>
      <c r="J71" s="52" t="s">
        <v>481</v>
      </c>
      <c r="K71" s="50" t="s">
        <v>481</v>
      </c>
      <c r="L71" s="49">
        <v>13</v>
      </c>
      <c r="M71" s="50" t="s">
        <v>159</v>
      </c>
      <c r="N71" s="50" t="s">
        <v>160</v>
      </c>
      <c r="O71" s="50" t="s">
        <v>160</v>
      </c>
      <c r="P71" s="50" t="s">
        <v>161</v>
      </c>
      <c r="Q71" s="53">
        <v>0.04</v>
      </c>
      <c r="R71" s="49">
        <v>200</v>
      </c>
      <c r="S71" s="49">
        <v>0</v>
      </c>
      <c r="T71" s="54">
        <f t="shared" si="238"/>
        <v>200</v>
      </c>
      <c r="U71" s="55">
        <v>159974</v>
      </c>
      <c r="V71" s="49">
        <v>11.86</v>
      </c>
      <c r="W71" s="56">
        <f t="shared" si="177"/>
        <v>16.863406408094434</v>
      </c>
      <c r="X71" s="49">
        <v>1970</v>
      </c>
      <c r="Y71" s="57" t="s">
        <v>162</v>
      </c>
      <c r="Z71" s="58">
        <v>29050000</v>
      </c>
      <c r="AA71" s="114">
        <v>4.7500000000000001E-2</v>
      </c>
      <c r="AB71" s="59">
        <v>40</v>
      </c>
      <c r="AC71" s="60">
        <v>40</v>
      </c>
      <c r="AD71" s="61">
        <v>4.7500000000000001E-2</v>
      </c>
      <c r="AE71" s="62">
        <v>24050000</v>
      </c>
      <c r="AF71" s="63">
        <v>1.1499999999999999</v>
      </c>
      <c r="AG71" s="59"/>
      <c r="AH71" s="60"/>
      <c r="AI71" s="61"/>
      <c r="AJ71" s="64"/>
      <c r="AK71" s="65">
        <f t="shared" si="178"/>
        <v>24050000</v>
      </c>
      <c r="AL71" s="62">
        <v>602658</v>
      </c>
      <c r="AM71" s="49" t="s">
        <v>163</v>
      </c>
      <c r="AN71" s="67">
        <v>0.91</v>
      </c>
      <c r="AO71" s="62">
        <v>11111287</v>
      </c>
      <c r="AP71" s="62">
        <v>0</v>
      </c>
      <c r="AQ71" s="68">
        <v>2295059</v>
      </c>
      <c r="AR71" s="69">
        <f t="shared" si="179"/>
        <v>120250</v>
      </c>
      <c r="AS71" s="70" t="str">
        <f>IFERROR(IF(#REF!&gt;0,#REF!/T71,""),"")</f>
        <v/>
      </c>
      <c r="AT71" s="70">
        <f t="shared" si="180"/>
        <v>55556.434999999998</v>
      </c>
      <c r="AU71" s="70">
        <f t="shared" si="181"/>
        <v>3013.29</v>
      </c>
      <c r="AV71" s="71">
        <f t="shared" si="182"/>
        <v>11475.295</v>
      </c>
      <c r="AW71" s="115">
        <f t="shared" si="183"/>
        <v>63844.97</v>
      </c>
      <c r="AX71" s="116">
        <f t="shared" si="184"/>
        <v>79.819183117256557</v>
      </c>
      <c r="AY71" s="72">
        <f t="shared" si="185"/>
        <v>80570.87</v>
      </c>
      <c r="AZ71" s="73">
        <f t="shared" si="186"/>
        <v>100.72995611786916</v>
      </c>
      <c r="BA71" s="66">
        <f>2400000+10150000+41030</f>
        <v>12591030</v>
      </c>
      <c r="BB71" s="62">
        <v>1611301</v>
      </c>
      <c r="BC71" s="62">
        <f>236656+10921037</f>
        <v>11157693</v>
      </c>
      <c r="BD71" s="62">
        <v>1542198</v>
      </c>
      <c r="BE71" s="62">
        <v>1802982</v>
      </c>
      <c r="BF71" s="62">
        <v>1476875</v>
      </c>
      <c r="BG71" s="67">
        <v>3255159</v>
      </c>
      <c r="BH71" s="62">
        <v>4038654</v>
      </c>
      <c r="BI71" s="62">
        <v>850000</v>
      </c>
      <c r="BJ71" s="47">
        <f t="shared" si="187"/>
        <v>38325892</v>
      </c>
      <c r="BK71" s="69">
        <f t="shared" si="165"/>
        <v>62955.15</v>
      </c>
      <c r="BL71" s="70">
        <f t="shared" si="166"/>
        <v>8056.5050000000001</v>
      </c>
      <c r="BM71" s="70">
        <f t="shared" si="167"/>
        <v>55788.464999999997</v>
      </c>
      <c r="BN71" s="70">
        <f t="shared" si="168"/>
        <v>7710.99</v>
      </c>
      <c r="BO71" s="70">
        <f t="shared" si="169"/>
        <v>9014.91</v>
      </c>
      <c r="BP71" s="70">
        <f t="shared" si="175"/>
        <v>7384.375</v>
      </c>
      <c r="BQ71" s="70">
        <f t="shared" si="188"/>
        <v>16275.795</v>
      </c>
      <c r="BR71" s="70">
        <f t="shared" si="159"/>
        <v>20193.27</v>
      </c>
      <c r="BS71" s="70">
        <f t="shared" si="160"/>
        <v>4250</v>
      </c>
      <c r="BT71" s="71">
        <f t="shared" si="161"/>
        <v>191629.46</v>
      </c>
      <c r="BU71" s="65">
        <f t="shared" si="170"/>
        <v>78.706727343193265</v>
      </c>
      <c r="BV71" s="48">
        <f t="shared" si="171"/>
        <v>10.072267993548952</v>
      </c>
      <c r="BW71" s="48">
        <f t="shared" si="172"/>
        <v>69.746915123707609</v>
      </c>
      <c r="BX71" s="48">
        <f t="shared" si="173"/>
        <v>9.6403040494080283</v>
      </c>
      <c r="BY71" s="48">
        <f t="shared" si="174"/>
        <v>11.27046895120457</v>
      </c>
      <c r="BZ71" s="48">
        <f t="shared" si="176"/>
        <v>9.2319689449535556</v>
      </c>
      <c r="CA71" s="48">
        <f t="shared" si="189"/>
        <v>20.348050308175079</v>
      </c>
      <c r="CB71" s="48">
        <f t="shared" si="162"/>
        <v>25.245689924612751</v>
      </c>
      <c r="CC71" s="48">
        <f t="shared" si="163"/>
        <v>5.3133634215560033</v>
      </c>
      <c r="CD71" s="47">
        <f t="shared" si="164"/>
        <v>239.57575606035982</v>
      </c>
      <c r="CE71" s="66">
        <v>2889600</v>
      </c>
      <c r="CF71" s="62">
        <v>12000</v>
      </c>
      <c r="CG71" s="74">
        <v>-145080</v>
      </c>
      <c r="CH71" s="75">
        <f t="shared" si="190"/>
        <v>2756520</v>
      </c>
      <c r="CI71" s="62">
        <f>89158+8000</f>
        <v>97158</v>
      </c>
      <c r="CJ71" s="62">
        <v>110261</v>
      </c>
      <c r="CK71" s="62">
        <v>358253</v>
      </c>
      <c r="CL71" s="62">
        <f>159500+79372</f>
        <v>238872</v>
      </c>
      <c r="CM71" s="62">
        <f>96905+98009</f>
        <v>194914</v>
      </c>
      <c r="CN71" s="62">
        <v>82060</v>
      </c>
      <c r="CO71" s="62">
        <v>0</v>
      </c>
      <c r="CP71" s="75">
        <f t="shared" si="239"/>
        <v>1081518</v>
      </c>
      <c r="CQ71" s="62">
        <v>60000</v>
      </c>
      <c r="CR71" s="75">
        <f t="shared" si="240"/>
        <v>1141518</v>
      </c>
      <c r="CS71" s="75">
        <f t="shared" si="191"/>
        <v>1675002</v>
      </c>
      <c r="CT71" s="62">
        <v>1404302</v>
      </c>
      <c r="CU71" s="47">
        <f t="shared" si="192"/>
        <v>270700</v>
      </c>
      <c r="CV71" s="76">
        <f t="shared" si="193"/>
        <v>0.60765095119933832</v>
      </c>
      <c r="CW71" s="75">
        <f t="shared" si="194"/>
        <v>5707.59</v>
      </c>
      <c r="CX71" s="77">
        <f t="shared" si="195"/>
        <v>0.41411562404771235</v>
      </c>
      <c r="CY71" s="75">
        <f t="shared" si="196"/>
        <v>1353.5</v>
      </c>
      <c r="CZ71" s="77">
        <f t="shared" si="197"/>
        <v>9.8203531989610085E-2</v>
      </c>
      <c r="DA71" s="77">
        <f t="shared" si="198"/>
        <v>0.50944741920972825</v>
      </c>
      <c r="DB71" s="47">
        <f t="shared" si="199"/>
        <v>120250</v>
      </c>
      <c r="DC71" s="69">
        <f t="shared" si="200"/>
        <v>14448</v>
      </c>
      <c r="DD71" s="70">
        <f t="shared" si="201"/>
        <v>60</v>
      </c>
      <c r="DE71" s="70">
        <f t="shared" si="202"/>
        <v>-725.4</v>
      </c>
      <c r="DF71" s="70">
        <f t="shared" si="203"/>
        <v>13782.6</v>
      </c>
      <c r="DG71" s="70">
        <f t="shared" si="204"/>
        <v>485.79</v>
      </c>
      <c r="DH71" s="70">
        <f t="shared" si="205"/>
        <v>551.30499999999995</v>
      </c>
      <c r="DI71" s="70">
        <f t="shared" si="206"/>
        <v>1791.2650000000001</v>
      </c>
      <c r="DJ71" s="70">
        <f t="shared" si="207"/>
        <v>1194.3599999999999</v>
      </c>
      <c r="DK71" s="70">
        <f t="shared" si="208"/>
        <v>974.57</v>
      </c>
      <c r="DL71" s="70">
        <f t="shared" si="209"/>
        <v>410.3</v>
      </c>
      <c r="DM71" s="70" t="str">
        <f t="shared" si="210"/>
        <v/>
      </c>
      <c r="DN71" s="70">
        <f t="shared" si="211"/>
        <v>5407.59</v>
      </c>
      <c r="DO71" s="70">
        <f t="shared" si="212"/>
        <v>300</v>
      </c>
      <c r="DP71" s="70">
        <f t="shared" si="213"/>
        <v>5707.59</v>
      </c>
      <c r="DQ71" s="70">
        <f t="shared" si="214"/>
        <v>8375.01</v>
      </c>
      <c r="DR71" s="70">
        <f t="shared" si="215"/>
        <v>7021.51</v>
      </c>
      <c r="DS71" s="71">
        <f t="shared" si="216"/>
        <v>1353.5</v>
      </c>
      <c r="DT71" s="106">
        <f t="shared" si="217"/>
        <v>1.0482782638979582</v>
      </c>
      <c r="DU71" s="92">
        <f t="shared" si="218"/>
        <v>4.3533150494101261E-3</v>
      </c>
      <c r="DV71" s="92" t="str">
        <f t="shared" si="219"/>
        <v/>
      </c>
      <c r="DW71" s="92">
        <f t="shared" si="220"/>
        <v>1</v>
      </c>
      <c r="DX71" s="92">
        <f t="shared" si="221"/>
        <v>3.5246615297549085E-2</v>
      </c>
      <c r="DY71" s="92">
        <f t="shared" si="222"/>
        <v>4.0000072555250822E-2</v>
      </c>
      <c r="DZ71" s="92">
        <f t="shared" si="223"/>
        <v>0.1299656813663605</v>
      </c>
      <c r="EA71" s="92">
        <f t="shared" si="224"/>
        <v>8.6657089373557969E-2</v>
      </c>
      <c r="EB71" s="92">
        <f t="shared" si="225"/>
        <v>7.0710170795060437E-2</v>
      </c>
      <c r="EC71" s="92">
        <f t="shared" si="226"/>
        <v>2.976941941288291E-2</v>
      </c>
      <c r="ED71" s="92" t="str">
        <f t="shared" si="227"/>
        <v/>
      </c>
      <c r="EE71" s="92">
        <f t="shared" si="228"/>
        <v>0.39234904880066168</v>
      </c>
      <c r="EF71" s="92">
        <f t="shared" si="229"/>
        <v>2.176657524705063E-2</v>
      </c>
      <c r="EG71" s="92">
        <f t="shared" si="230"/>
        <v>0.41411562404771235</v>
      </c>
      <c r="EH71" s="92">
        <f t="shared" si="231"/>
        <v>0.60765095119933832</v>
      </c>
      <c r="EI71" s="92">
        <f t="shared" si="232"/>
        <v>0.50944741920972825</v>
      </c>
      <c r="EJ71" s="122">
        <f t="shared" si="233"/>
        <v>9.8203531989610085E-2</v>
      </c>
    </row>
    <row r="72" spans="2:140" ht="12" hidden="1" customHeight="1" outlineLevel="1">
      <c r="B72" s="121">
        <v>44957</v>
      </c>
      <c r="C72" s="117">
        <v>22604</v>
      </c>
      <c r="D72" s="50" t="s">
        <v>500</v>
      </c>
      <c r="E72" s="50" t="s">
        <v>187</v>
      </c>
      <c r="F72" s="50" t="s">
        <v>188</v>
      </c>
      <c r="G72" s="50" t="s">
        <v>501</v>
      </c>
      <c r="H72" s="50" t="s">
        <v>502</v>
      </c>
      <c r="I72" s="50" t="s">
        <v>190</v>
      </c>
      <c r="J72" s="52" t="s">
        <v>503</v>
      </c>
      <c r="K72" s="50" t="s">
        <v>481</v>
      </c>
      <c r="L72" s="49">
        <v>13</v>
      </c>
      <c r="M72" s="50" t="s">
        <v>159</v>
      </c>
      <c r="N72" s="50" t="s">
        <v>160</v>
      </c>
      <c r="O72" s="50" t="s">
        <v>160</v>
      </c>
      <c r="P72" s="50" t="s">
        <v>161</v>
      </c>
      <c r="Q72" s="53">
        <v>0.04</v>
      </c>
      <c r="R72" s="49">
        <v>52</v>
      </c>
      <c r="S72" s="49">
        <v>0</v>
      </c>
      <c r="T72" s="54">
        <f t="shared" si="238"/>
        <v>52</v>
      </c>
      <c r="U72" s="55">
        <v>48916</v>
      </c>
      <c r="V72" s="49">
        <v>7.86</v>
      </c>
      <c r="W72" s="56">
        <f t="shared" si="177"/>
        <v>6.6157760814249365</v>
      </c>
      <c r="X72" s="49">
        <v>1981</v>
      </c>
      <c r="Y72" s="57" t="s">
        <v>162</v>
      </c>
      <c r="Z72" s="58">
        <v>7610000</v>
      </c>
      <c r="AA72" s="114">
        <v>3.1E-2</v>
      </c>
      <c r="AB72" s="59">
        <v>40</v>
      </c>
      <c r="AC72" s="60">
        <v>40</v>
      </c>
      <c r="AD72" s="61">
        <v>3.1E-2</v>
      </c>
      <c r="AE72" s="62">
        <v>7610000</v>
      </c>
      <c r="AF72" s="63">
        <v>1.1499999999999999</v>
      </c>
      <c r="AG72" s="59"/>
      <c r="AH72" s="60"/>
      <c r="AI72" s="61"/>
      <c r="AJ72" s="64"/>
      <c r="AK72" s="65">
        <f t="shared" si="178"/>
        <v>7610000</v>
      </c>
      <c r="AL72" s="62">
        <v>394805</v>
      </c>
      <c r="AM72" s="49" t="s">
        <v>163</v>
      </c>
      <c r="AN72" s="67">
        <v>0.85</v>
      </c>
      <c r="AO72" s="62">
        <v>5207079</v>
      </c>
      <c r="AP72" s="62">
        <v>0</v>
      </c>
      <c r="AQ72" s="68">
        <v>1277440</v>
      </c>
      <c r="AR72" s="69">
        <f t="shared" si="179"/>
        <v>146346.15384615384</v>
      </c>
      <c r="AS72" s="70" t="str">
        <f>IFERROR(IF(#REF!&gt;0,#REF!/T72,""),"")</f>
        <v/>
      </c>
      <c r="AT72" s="70">
        <f t="shared" si="180"/>
        <v>100136.13461538461</v>
      </c>
      <c r="AU72" s="70">
        <f t="shared" si="181"/>
        <v>7592.4038461538457</v>
      </c>
      <c r="AV72" s="71">
        <f t="shared" si="182"/>
        <v>24566.153846153848</v>
      </c>
      <c r="AW72" s="115">
        <f t="shared" si="183"/>
        <v>83340.076923076922</v>
      </c>
      <c r="AX72" s="116">
        <f t="shared" si="184"/>
        <v>88.594406738081602</v>
      </c>
      <c r="AY72" s="72">
        <f t="shared" si="185"/>
        <v>103822.46153846153</v>
      </c>
      <c r="AZ72" s="73">
        <f t="shared" si="186"/>
        <v>110.36814130345897</v>
      </c>
      <c r="BA72" s="66">
        <v>4025000</v>
      </c>
      <c r="BB72" s="62">
        <v>735844</v>
      </c>
      <c r="BC72" s="62">
        <v>3597840</v>
      </c>
      <c r="BD72" s="62">
        <v>433368</v>
      </c>
      <c r="BE72" s="62">
        <v>631716</v>
      </c>
      <c r="BF72" s="62">
        <v>756655</v>
      </c>
      <c r="BG72" s="67">
        <v>1186594</v>
      </c>
      <c r="BH72" s="62">
        <v>1492916</v>
      </c>
      <c r="BI72" s="62">
        <v>337177</v>
      </c>
      <c r="BJ72" s="47">
        <f t="shared" si="187"/>
        <v>13197110</v>
      </c>
      <c r="BK72" s="69">
        <f t="shared" si="165"/>
        <v>77403.846153846156</v>
      </c>
      <c r="BL72" s="70">
        <f t="shared" si="166"/>
        <v>14150.846153846154</v>
      </c>
      <c r="BM72" s="70">
        <f t="shared" si="167"/>
        <v>69189.230769230766</v>
      </c>
      <c r="BN72" s="70">
        <f t="shared" si="168"/>
        <v>8334</v>
      </c>
      <c r="BO72" s="70">
        <f t="shared" si="169"/>
        <v>12148.384615384615</v>
      </c>
      <c r="BP72" s="70">
        <f t="shared" si="175"/>
        <v>14551.057692307691</v>
      </c>
      <c r="BQ72" s="70">
        <f t="shared" si="188"/>
        <v>22819.115384615383</v>
      </c>
      <c r="BR72" s="70">
        <f t="shared" si="159"/>
        <v>28709.923076923078</v>
      </c>
      <c r="BS72" s="70">
        <f t="shared" si="160"/>
        <v>6484.1730769230771</v>
      </c>
      <c r="BT72" s="71">
        <f t="shared" si="161"/>
        <v>253790.57692307694</v>
      </c>
      <c r="BU72" s="65">
        <f t="shared" si="170"/>
        <v>82.283915283342878</v>
      </c>
      <c r="BV72" s="48">
        <f t="shared" si="171"/>
        <v>15.043012511243765</v>
      </c>
      <c r="BW72" s="48">
        <f t="shared" si="172"/>
        <v>73.551394226837843</v>
      </c>
      <c r="BX72" s="48">
        <f t="shared" si="173"/>
        <v>8.8594324965246543</v>
      </c>
      <c r="BY72" s="48">
        <f t="shared" si="174"/>
        <v>12.914302068852727</v>
      </c>
      <c r="BZ72" s="48">
        <f t="shared" si="176"/>
        <v>15.468456128873989</v>
      </c>
      <c r="CA72" s="48">
        <f t="shared" si="189"/>
        <v>24.257788862539865</v>
      </c>
      <c r="CB72" s="48">
        <f t="shared" si="162"/>
        <v>30.519993458173193</v>
      </c>
      <c r="CC72" s="48">
        <f t="shared" si="163"/>
        <v>6.892979802109739</v>
      </c>
      <c r="CD72" s="47">
        <f t="shared" si="164"/>
        <v>269.79127483849862</v>
      </c>
      <c r="CE72" s="66">
        <v>760536</v>
      </c>
      <c r="CF72" s="62">
        <v>18720</v>
      </c>
      <c r="CG72" s="74">
        <v>-58444</v>
      </c>
      <c r="CH72" s="75">
        <f t="shared" si="190"/>
        <v>720812</v>
      </c>
      <c r="CI72" s="62">
        <f>24430+0+2080+0+1300+1000</f>
        <v>28810</v>
      </c>
      <c r="CJ72" s="62">
        <v>27000</v>
      </c>
      <c r="CK72" s="62">
        <v>90700</v>
      </c>
      <c r="CL72" s="62">
        <v>28950</v>
      </c>
      <c r="CM72" s="62">
        <f>5300+14800</f>
        <v>20100</v>
      </c>
      <c r="CN72" s="62">
        <v>40000</v>
      </c>
      <c r="CO72" s="62">
        <v>63000</v>
      </c>
      <c r="CP72" s="75">
        <f t="shared" si="239"/>
        <v>298560</v>
      </c>
      <c r="CQ72" s="62">
        <v>18200</v>
      </c>
      <c r="CR72" s="75">
        <f t="shared" si="240"/>
        <v>316760</v>
      </c>
      <c r="CS72" s="75">
        <f t="shared" si="191"/>
        <v>422252</v>
      </c>
      <c r="CT72" s="62">
        <v>351221</v>
      </c>
      <c r="CU72" s="47">
        <f t="shared" si="192"/>
        <v>71031</v>
      </c>
      <c r="CV72" s="76">
        <f t="shared" si="193"/>
        <v>0.58580045837194716</v>
      </c>
      <c r="CW72" s="75">
        <f t="shared" si="194"/>
        <v>6091.5384615384619</v>
      </c>
      <c r="CX72" s="77">
        <f t="shared" si="195"/>
        <v>0.43944884380393223</v>
      </c>
      <c r="CY72" s="75">
        <f t="shared" si="196"/>
        <v>1365.9807692307693</v>
      </c>
      <c r="CZ72" s="77">
        <f t="shared" si="197"/>
        <v>9.8543032024994037E-2</v>
      </c>
      <c r="DA72" s="77">
        <f t="shared" si="198"/>
        <v>0.48725742634695318</v>
      </c>
      <c r="DB72" s="47">
        <f t="shared" si="199"/>
        <v>146346.15384615384</v>
      </c>
      <c r="DC72" s="69">
        <f t="shared" si="200"/>
        <v>14625.692307692309</v>
      </c>
      <c r="DD72" s="70">
        <f t="shared" si="201"/>
        <v>360</v>
      </c>
      <c r="DE72" s="70">
        <f t="shared" si="202"/>
        <v>-1123.9230769230769</v>
      </c>
      <c r="DF72" s="70">
        <f t="shared" si="203"/>
        <v>13861.76923076923</v>
      </c>
      <c r="DG72" s="70">
        <f t="shared" si="204"/>
        <v>554.03846153846155</v>
      </c>
      <c r="DH72" s="70">
        <f t="shared" si="205"/>
        <v>519.23076923076928</v>
      </c>
      <c r="DI72" s="70">
        <f t="shared" si="206"/>
        <v>1744.2307692307693</v>
      </c>
      <c r="DJ72" s="70">
        <f t="shared" si="207"/>
        <v>556.73076923076928</v>
      </c>
      <c r="DK72" s="70">
        <f t="shared" si="208"/>
        <v>386.53846153846155</v>
      </c>
      <c r="DL72" s="70">
        <f t="shared" si="209"/>
        <v>769.23076923076928</v>
      </c>
      <c r="DM72" s="70">
        <f t="shared" si="210"/>
        <v>1211.5384615384614</v>
      </c>
      <c r="DN72" s="70">
        <f t="shared" si="211"/>
        <v>5741.5384615384619</v>
      </c>
      <c r="DO72" s="70">
        <f t="shared" si="212"/>
        <v>350</v>
      </c>
      <c r="DP72" s="70">
        <f t="shared" si="213"/>
        <v>6091.5384615384619</v>
      </c>
      <c r="DQ72" s="70">
        <f t="shared" si="214"/>
        <v>8120.2307692307695</v>
      </c>
      <c r="DR72" s="70">
        <f t="shared" si="215"/>
        <v>6754.25</v>
      </c>
      <c r="DS72" s="71">
        <f t="shared" si="216"/>
        <v>1365.9807692307693</v>
      </c>
      <c r="DT72" s="106">
        <f t="shared" si="217"/>
        <v>1.0551100703095952</v>
      </c>
      <c r="DU72" s="92">
        <f t="shared" si="218"/>
        <v>2.597071080947598E-2</v>
      </c>
      <c r="DV72" s="92" t="str">
        <f t="shared" si="219"/>
        <v/>
      </c>
      <c r="DW72" s="92">
        <f t="shared" si="220"/>
        <v>1</v>
      </c>
      <c r="DX72" s="92">
        <f t="shared" si="221"/>
        <v>3.9968812949839901E-2</v>
      </c>
      <c r="DY72" s="92">
        <f t="shared" si="222"/>
        <v>3.7457755975205738E-2</v>
      </c>
      <c r="DZ72" s="92">
        <f t="shared" si="223"/>
        <v>0.12583031359078373</v>
      </c>
      <c r="EA72" s="92">
        <f t="shared" si="224"/>
        <v>4.0163038351192823E-2</v>
      </c>
      <c r="EB72" s="92">
        <f t="shared" si="225"/>
        <v>2.7885218337097607E-2</v>
      </c>
      <c r="EC72" s="92">
        <f t="shared" si="226"/>
        <v>5.5492971815119613E-2</v>
      </c>
      <c r="ED72" s="92">
        <f t="shared" si="227"/>
        <v>8.7401430608813391E-2</v>
      </c>
      <c r="EE72" s="92">
        <f t="shared" si="228"/>
        <v>0.41419954162805278</v>
      </c>
      <c r="EF72" s="92">
        <f t="shared" si="229"/>
        <v>2.5249302175879423E-2</v>
      </c>
      <c r="EG72" s="92">
        <f t="shared" si="230"/>
        <v>0.43944884380393223</v>
      </c>
      <c r="EH72" s="92">
        <f t="shared" si="231"/>
        <v>0.58580045837194716</v>
      </c>
      <c r="EI72" s="92">
        <f t="shared" si="232"/>
        <v>0.48725742634695318</v>
      </c>
      <c r="EJ72" s="122">
        <f t="shared" si="233"/>
        <v>9.8543032024994037E-2</v>
      </c>
    </row>
    <row r="73" spans="2:140" ht="12" hidden="1" customHeight="1" outlineLevel="1">
      <c r="B73" s="121">
        <v>44957</v>
      </c>
      <c r="C73" s="117">
        <v>21600</v>
      </c>
      <c r="D73" s="50" t="s">
        <v>504</v>
      </c>
      <c r="E73" s="50" t="s">
        <v>505</v>
      </c>
      <c r="F73" s="50" t="s">
        <v>188</v>
      </c>
      <c r="G73" s="50" t="s">
        <v>162</v>
      </c>
      <c r="H73" s="50" t="s">
        <v>506</v>
      </c>
      <c r="I73" s="50" t="s">
        <v>190</v>
      </c>
      <c r="J73" s="52" t="s">
        <v>481</v>
      </c>
      <c r="K73" s="50" t="s">
        <v>481</v>
      </c>
      <c r="L73" s="49">
        <v>13</v>
      </c>
      <c r="M73" s="50" t="s">
        <v>159</v>
      </c>
      <c r="N73" s="50" t="s">
        <v>160</v>
      </c>
      <c r="O73" s="50" t="s">
        <v>160</v>
      </c>
      <c r="P73" s="50" t="s">
        <v>161</v>
      </c>
      <c r="Q73" s="53">
        <v>0.04</v>
      </c>
      <c r="R73" s="49">
        <v>101</v>
      </c>
      <c r="S73" s="49">
        <v>0</v>
      </c>
      <c r="T73" s="54">
        <f t="shared" si="238"/>
        <v>101</v>
      </c>
      <c r="U73" s="55">
        <v>82366</v>
      </c>
      <c r="V73" s="49">
        <v>9.9</v>
      </c>
      <c r="W73" s="56">
        <f t="shared" si="177"/>
        <v>10.202020202020202</v>
      </c>
      <c r="X73" s="49">
        <v>1997</v>
      </c>
      <c r="Y73" s="57" t="s">
        <v>162</v>
      </c>
      <c r="Z73" s="58">
        <v>10929000</v>
      </c>
      <c r="AA73" s="114">
        <v>3.2500000000000001E-2</v>
      </c>
      <c r="AB73" s="59">
        <v>40</v>
      </c>
      <c r="AC73" s="60">
        <v>40</v>
      </c>
      <c r="AD73" s="61">
        <v>3.2500000000000001E-2</v>
      </c>
      <c r="AE73" s="62">
        <v>10929000</v>
      </c>
      <c r="AF73" s="63">
        <v>1.17</v>
      </c>
      <c r="AG73" s="59"/>
      <c r="AH73" s="60"/>
      <c r="AI73" s="61"/>
      <c r="AJ73" s="64"/>
      <c r="AK73" s="65">
        <f t="shared" si="178"/>
        <v>10929000</v>
      </c>
      <c r="AL73" s="62">
        <v>1048372</v>
      </c>
      <c r="AM73" s="49" t="s">
        <v>163</v>
      </c>
      <c r="AN73" s="67">
        <v>0.8</v>
      </c>
      <c r="AO73" s="62">
        <v>7381712</v>
      </c>
      <c r="AP73" s="62">
        <v>0</v>
      </c>
      <c r="AQ73" s="68">
        <v>1295374</v>
      </c>
      <c r="AR73" s="69">
        <f t="shared" si="179"/>
        <v>108207.92079207921</v>
      </c>
      <c r="AS73" s="70" t="str">
        <f>IFERROR(IF(#REF!&gt;0,#REF!/T73,""),"")</f>
        <v/>
      </c>
      <c r="AT73" s="70">
        <f t="shared" si="180"/>
        <v>73086.257425742573</v>
      </c>
      <c r="AU73" s="70">
        <f t="shared" si="181"/>
        <v>10379.920792079209</v>
      </c>
      <c r="AV73" s="71">
        <f t="shared" si="182"/>
        <v>12825.485148514852</v>
      </c>
      <c r="AW73" s="115">
        <f t="shared" si="183"/>
        <v>59249.079207920789</v>
      </c>
      <c r="AX73" s="116">
        <f t="shared" si="184"/>
        <v>72.653242842920619</v>
      </c>
      <c r="AY73" s="72">
        <f t="shared" si="185"/>
        <v>73468.851485148509</v>
      </c>
      <c r="AZ73" s="73">
        <f t="shared" si="186"/>
        <v>90.090012869387863</v>
      </c>
      <c r="BA73" s="66">
        <v>6100000</v>
      </c>
      <c r="BB73" s="62">
        <v>1229629</v>
      </c>
      <c r="BC73" s="62">
        <v>4754528</v>
      </c>
      <c r="BD73" s="62">
        <v>598416</v>
      </c>
      <c r="BE73" s="62">
        <v>837781</v>
      </c>
      <c r="BF73" s="62">
        <v>1239095</v>
      </c>
      <c r="BG73" s="67">
        <v>1450268</v>
      </c>
      <c r="BH73" s="62">
        <v>2071034</v>
      </c>
      <c r="BI73" s="62">
        <v>554147</v>
      </c>
      <c r="BJ73" s="47">
        <f t="shared" si="187"/>
        <v>18834898</v>
      </c>
      <c r="BK73" s="69">
        <f t="shared" si="165"/>
        <v>60396.039603960395</v>
      </c>
      <c r="BL73" s="70">
        <f t="shared" si="166"/>
        <v>12174.544554455446</v>
      </c>
      <c r="BM73" s="70">
        <f t="shared" si="167"/>
        <v>47074.534653465344</v>
      </c>
      <c r="BN73" s="70">
        <f t="shared" si="168"/>
        <v>5924.9108910891091</v>
      </c>
      <c r="BO73" s="70">
        <f t="shared" si="169"/>
        <v>8294.8613861386148</v>
      </c>
      <c r="BP73" s="70">
        <f t="shared" si="175"/>
        <v>12268.267326732674</v>
      </c>
      <c r="BQ73" s="70">
        <f t="shared" si="188"/>
        <v>14359.089108910892</v>
      </c>
      <c r="BR73" s="70">
        <f t="shared" si="159"/>
        <v>20505.287128712873</v>
      </c>
      <c r="BS73" s="70">
        <f t="shared" si="160"/>
        <v>5486.6039603960398</v>
      </c>
      <c r="BT73" s="71">
        <f t="shared" si="161"/>
        <v>186484.13861386137</v>
      </c>
      <c r="BU73" s="65">
        <f t="shared" si="170"/>
        <v>74.05968482140689</v>
      </c>
      <c r="BV73" s="48">
        <f t="shared" si="171"/>
        <v>14.928841997911761</v>
      </c>
      <c r="BW73" s="48">
        <f t="shared" si="172"/>
        <v>57.724400845008866</v>
      </c>
      <c r="BX73" s="48">
        <f t="shared" si="173"/>
        <v>7.2653279265716435</v>
      </c>
      <c r="BY73" s="48">
        <f t="shared" si="174"/>
        <v>10.171442099895588</v>
      </c>
      <c r="BZ73" s="48">
        <f t="shared" si="176"/>
        <v>15.043768059636257</v>
      </c>
      <c r="CA73" s="48">
        <f t="shared" si="189"/>
        <v>17.607605079765921</v>
      </c>
      <c r="CB73" s="48">
        <f t="shared" si="162"/>
        <v>25.144282835150428</v>
      </c>
      <c r="CC73" s="48">
        <f t="shared" si="163"/>
        <v>6.7278610106111749</v>
      </c>
      <c r="CD73" s="47">
        <f t="shared" si="164"/>
        <v>228.67321467595852</v>
      </c>
      <c r="CE73" s="66">
        <v>1273200</v>
      </c>
      <c r="CF73" s="62">
        <v>10000</v>
      </c>
      <c r="CG73" s="74">
        <v>-96240</v>
      </c>
      <c r="CH73" s="75">
        <f t="shared" si="190"/>
        <v>1186960</v>
      </c>
      <c r="CI73" s="62">
        <f>38900+5000+4040+2525</f>
        <v>50465</v>
      </c>
      <c r="CJ73" s="62">
        <v>47478</v>
      </c>
      <c r="CK73" s="62">
        <v>179000</v>
      </c>
      <c r="CL73" s="62">
        <v>68500</v>
      </c>
      <c r="CM73" s="62">
        <f>7100+64500</f>
        <v>71600</v>
      </c>
      <c r="CN73" s="62">
        <v>45000</v>
      </c>
      <c r="CO73" s="62">
        <v>82500</v>
      </c>
      <c r="CP73" s="75">
        <f t="shared" si="239"/>
        <v>544543</v>
      </c>
      <c r="CQ73" s="62">
        <v>35350</v>
      </c>
      <c r="CR73" s="75">
        <f t="shared" si="240"/>
        <v>579893</v>
      </c>
      <c r="CS73" s="75">
        <f t="shared" si="191"/>
        <v>642417</v>
      </c>
      <c r="CT73" s="62">
        <f>4000+515903</f>
        <v>519903</v>
      </c>
      <c r="CU73" s="47">
        <f t="shared" si="192"/>
        <v>122514</v>
      </c>
      <c r="CV73" s="76">
        <f t="shared" si="193"/>
        <v>0.54122885354182115</v>
      </c>
      <c r="CW73" s="75">
        <f t="shared" si="194"/>
        <v>5741.5148514851489</v>
      </c>
      <c r="CX73" s="77">
        <f t="shared" si="195"/>
        <v>0.48855311046707556</v>
      </c>
      <c r="CY73" s="75">
        <f t="shared" si="196"/>
        <v>1213.0099009900989</v>
      </c>
      <c r="CZ73" s="77">
        <f t="shared" si="197"/>
        <v>0.10321662061063558</v>
      </c>
      <c r="DA73" s="77">
        <f t="shared" si="198"/>
        <v>0.43801223293118557</v>
      </c>
      <c r="DB73" s="47">
        <f t="shared" si="199"/>
        <v>108207.92079207921</v>
      </c>
      <c r="DC73" s="69">
        <f t="shared" si="200"/>
        <v>12605.940594059406</v>
      </c>
      <c r="DD73" s="70">
        <f t="shared" si="201"/>
        <v>99.009900990099013</v>
      </c>
      <c r="DE73" s="70">
        <f t="shared" si="202"/>
        <v>-952.87128712871288</v>
      </c>
      <c r="DF73" s="70">
        <f t="shared" si="203"/>
        <v>11752.079207920791</v>
      </c>
      <c r="DG73" s="70">
        <f t="shared" si="204"/>
        <v>499.65346534653463</v>
      </c>
      <c r="DH73" s="70">
        <f t="shared" si="205"/>
        <v>470.0792079207921</v>
      </c>
      <c r="DI73" s="70">
        <f t="shared" si="206"/>
        <v>1772.2772277227723</v>
      </c>
      <c r="DJ73" s="70">
        <f t="shared" si="207"/>
        <v>678.21782178217825</v>
      </c>
      <c r="DK73" s="70">
        <f t="shared" si="208"/>
        <v>708.91089108910887</v>
      </c>
      <c r="DL73" s="70">
        <f t="shared" si="209"/>
        <v>445.54455445544556</v>
      </c>
      <c r="DM73" s="70">
        <f t="shared" si="210"/>
        <v>816.83168316831689</v>
      </c>
      <c r="DN73" s="70">
        <f t="shared" si="211"/>
        <v>5391.5148514851489</v>
      </c>
      <c r="DO73" s="70">
        <f t="shared" si="212"/>
        <v>350</v>
      </c>
      <c r="DP73" s="70">
        <f t="shared" si="213"/>
        <v>5741.5148514851489</v>
      </c>
      <c r="DQ73" s="70">
        <f t="shared" si="214"/>
        <v>6360.5643564356433</v>
      </c>
      <c r="DR73" s="70">
        <f t="shared" si="215"/>
        <v>5147.5544554455446</v>
      </c>
      <c r="DS73" s="71">
        <f t="shared" si="216"/>
        <v>1213.0099009900989</v>
      </c>
      <c r="DT73" s="106">
        <f t="shared" si="217"/>
        <v>1.0726561973444766</v>
      </c>
      <c r="DU73" s="92">
        <f t="shared" si="218"/>
        <v>8.4248837366044348E-3</v>
      </c>
      <c r="DV73" s="92" t="str">
        <f t="shared" si="219"/>
        <v/>
      </c>
      <c r="DW73" s="92">
        <f t="shared" si="220"/>
        <v>1</v>
      </c>
      <c r="DX73" s="92">
        <f t="shared" si="221"/>
        <v>4.251617577677428E-2</v>
      </c>
      <c r="DY73" s="92">
        <f t="shared" si="222"/>
        <v>3.9999663004650535E-2</v>
      </c>
      <c r="DZ73" s="92">
        <f t="shared" si="223"/>
        <v>0.15080541888521939</v>
      </c>
      <c r="EA73" s="92">
        <f t="shared" si="224"/>
        <v>5.7710453595740376E-2</v>
      </c>
      <c r="EB73" s="92">
        <f t="shared" si="225"/>
        <v>6.0322167554087751E-2</v>
      </c>
      <c r="EC73" s="92">
        <f t="shared" si="226"/>
        <v>3.7911976814719958E-2</v>
      </c>
      <c r="ED73" s="92">
        <f t="shared" si="227"/>
        <v>6.9505290826986588E-2</v>
      </c>
      <c r="EE73" s="92">
        <f t="shared" si="228"/>
        <v>0.4587711464581789</v>
      </c>
      <c r="EF73" s="92">
        <f t="shared" si="229"/>
        <v>2.9781964008896676E-2</v>
      </c>
      <c r="EG73" s="92">
        <f t="shared" si="230"/>
        <v>0.48855311046707556</v>
      </c>
      <c r="EH73" s="92">
        <f t="shared" si="231"/>
        <v>0.54122885354182115</v>
      </c>
      <c r="EI73" s="92">
        <f t="shared" si="232"/>
        <v>0.43801223293118557</v>
      </c>
      <c r="EJ73" s="122">
        <f t="shared" si="233"/>
        <v>0.10321662061063558</v>
      </c>
    </row>
    <row r="74" spans="2:140" ht="12" hidden="1" customHeight="1" outlineLevel="1">
      <c r="B74" s="121">
        <v>44960</v>
      </c>
      <c r="C74" s="117">
        <v>22486</v>
      </c>
      <c r="D74" s="50" t="s">
        <v>507</v>
      </c>
      <c r="E74" s="50" t="s">
        <v>508</v>
      </c>
      <c r="F74" s="50" t="s">
        <v>508</v>
      </c>
      <c r="G74" s="50" t="s">
        <v>154</v>
      </c>
      <c r="H74" s="50" t="s">
        <v>509</v>
      </c>
      <c r="I74" s="50" t="s">
        <v>396</v>
      </c>
      <c r="J74" s="52" t="s">
        <v>347</v>
      </c>
      <c r="K74" s="50" t="s">
        <v>347</v>
      </c>
      <c r="L74" s="49">
        <v>1</v>
      </c>
      <c r="M74" s="50" t="s">
        <v>159</v>
      </c>
      <c r="N74" s="50" t="s">
        <v>160</v>
      </c>
      <c r="O74" s="50" t="s">
        <v>160</v>
      </c>
      <c r="P74" s="50" t="s">
        <v>161</v>
      </c>
      <c r="Q74" s="53">
        <v>0.04</v>
      </c>
      <c r="R74" s="49">
        <v>144</v>
      </c>
      <c r="S74" s="49">
        <v>0</v>
      </c>
      <c r="T74" s="54">
        <f t="shared" si="238"/>
        <v>144</v>
      </c>
      <c r="U74" s="55">
        <v>187072</v>
      </c>
      <c r="V74" s="49">
        <v>13.65</v>
      </c>
      <c r="W74" s="56">
        <f t="shared" si="177"/>
        <v>10.549450549450549</v>
      </c>
      <c r="X74" s="49">
        <v>2001</v>
      </c>
      <c r="Y74" s="57" t="s">
        <v>162</v>
      </c>
      <c r="Z74" s="58">
        <v>23000000</v>
      </c>
      <c r="AA74" s="114">
        <v>4.5999999999999999E-2</v>
      </c>
      <c r="AB74" s="59">
        <v>40</v>
      </c>
      <c r="AC74" s="60">
        <v>40</v>
      </c>
      <c r="AD74" s="61">
        <v>4.5999999999999999E-2</v>
      </c>
      <c r="AE74" s="62">
        <v>15850000</v>
      </c>
      <c r="AF74" s="63">
        <v>1.1499999999999999</v>
      </c>
      <c r="AG74" s="59"/>
      <c r="AH74" s="60"/>
      <c r="AI74" s="61"/>
      <c r="AJ74" s="64"/>
      <c r="AK74" s="65">
        <f t="shared" si="178"/>
        <v>15850000</v>
      </c>
      <c r="AL74" s="62">
        <v>100</v>
      </c>
      <c r="AM74" s="49" t="s">
        <v>163</v>
      </c>
      <c r="AN74" s="67">
        <v>0.87</v>
      </c>
      <c r="AO74" s="62">
        <v>8825686</v>
      </c>
      <c r="AP74" s="62">
        <v>0</v>
      </c>
      <c r="AQ74" s="68">
        <v>1245090</v>
      </c>
      <c r="AR74" s="69">
        <f t="shared" si="179"/>
        <v>110069.44444444444</v>
      </c>
      <c r="AS74" s="70" t="str">
        <f>IFERROR(IF(#REF!&gt;0,#REF!/T74,""),"")</f>
        <v/>
      </c>
      <c r="AT74" s="70">
        <f t="shared" si="180"/>
        <v>61289.486111111109</v>
      </c>
      <c r="AU74" s="70">
        <f t="shared" si="181"/>
        <v>0.69444444444444442</v>
      </c>
      <c r="AV74" s="71">
        <f t="shared" si="182"/>
        <v>8646.4583333333339</v>
      </c>
      <c r="AW74" s="115">
        <f t="shared" si="183"/>
        <v>21929.826388888891</v>
      </c>
      <c r="AX74" s="116">
        <f t="shared" si="184"/>
        <v>16.880639539856311</v>
      </c>
      <c r="AY74" s="72">
        <f t="shared" si="185"/>
        <v>27500</v>
      </c>
      <c r="AZ74" s="73">
        <f t="shared" si="186"/>
        <v>21.168320218953131</v>
      </c>
      <c r="BA74" s="66">
        <v>13850000</v>
      </c>
      <c r="BB74" s="62">
        <v>468000</v>
      </c>
      <c r="BC74" s="62">
        <v>2689895</v>
      </c>
      <c r="BD74" s="62">
        <v>315790</v>
      </c>
      <c r="BE74" s="62">
        <v>486315</v>
      </c>
      <c r="BF74" s="62">
        <v>1395000</v>
      </c>
      <c r="BG74" s="67">
        <v>3240476</v>
      </c>
      <c r="BH74" s="62">
        <v>2977800</v>
      </c>
      <c r="BI74" s="62">
        <v>497600</v>
      </c>
      <c r="BJ74" s="47">
        <f t="shared" si="187"/>
        <v>25920876</v>
      </c>
      <c r="BK74" s="69">
        <f t="shared" si="165"/>
        <v>96180.555555555562</v>
      </c>
      <c r="BL74" s="70">
        <f t="shared" si="166"/>
        <v>3250</v>
      </c>
      <c r="BM74" s="70">
        <f t="shared" si="167"/>
        <v>18679.826388888891</v>
      </c>
      <c r="BN74" s="70">
        <f t="shared" si="168"/>
        <v>2192.9861111111113</v>
      </c>
      <c r="BO74" s="70">
        <f t="shared" si="169"/>
        <v>3377.1875</v>
      </c>
      <c r="BP74" s="70">
        <f t="shared" si="175"/>
        <v>9687.5</v>
      </c>
      <c r="BQ74" s="70">
        <f t="shared" si="188"/>
        <v>22503.305555555555</v>
      </c>
      <c r="BR74" s="70">
        <f t="shared" si="159"/>
        <v>20679.166666666668</v>
      </c>
      <c r="BS74" s="70">
        <f t="shared" si="160"/>
        <v>3455.5555555555557</v>
      </c>
      <c r="BT74" s="71">
        <f t="shared" si="161"/>
        <v>180006.08333333334</v>
      </c>
      <c r="BU74" s="65">
        <f t="shared" si="170"/>
        <v>74.035665412247695</v>
      </c>
      <c r="BV74" s="48">
        <f t="shared" si="171"/>
        <v>2.5017105713308245</v>
      </c>
      <c r="BW74" s="48">
        <f t="shared" si="172"/>
        <v>14.378928968525488</v>
      </c>
      <c r="BX74" s="48">
        <f t="shared" si="173"/>
        <v>1.6880666267533355</v>
      </c>
      <c r="BY74" s="48">
        <f t="shared" si="174"/>
        <v>2.5996140523434828</v>
      </c>
      <c r="BZ74" s="48">
        <f t="shared" si="176"/>
        <v>7.4570218953130345</v>
      </c>
      <c r="CA74" s="48">
        <f t="shared" si="189"/>
        <v>17.322079199452617</v>
      </c>
      <c r="CB74" s="48">
        <f t="shared" si="162"/>
        <v>15.917935340403695</v>
      </c>
      <c r="CC74" s="48">
        <f t="shared" si="163"/>
        <v>2.6599384194320903</v>
      </c>
      <c r="CD74" s="47">
        <f t="shared" si="164"/>
        <v>138.56096048580227</v>
      </c>
      <c r="CE74" s="66">
        <v>1717776</v>
      </c>
      <c r="CF74" s="62">
        <v>51840</v>
      </c>
      <c r="CG74" s="74">
        <v>-132721</v>
      </c>
      <c r="CH74" s="75">
        <f t="shared" si="190"/>
        <v>1636895</v>
      </c>
      <c r="CI74" s="62">
        <f>58240+5760</f>
        <v>64000</v>
      </c>
      <c r="CJ74" s="62">
        <v>65476</v>
      </c>
      <c r="CK74" s="62">
        <v>158400</v>
      </c>
      <c r="CL74" s="62">
        <v>57600</v>
      </c>
      <c r="CM74" s="62">
        <f>15600+42000</f>
        <v>57600</v>
      </c>
      <c r="CN74" s="62">
        <f>54000</f>
        <v>54000</v>
      </c>
      <c r="CO74" s="62">
        <v>72000</v>
      </c>
      <c r="CP74" s="75">
        <f t="shared" si="239"/>
        <v>529076</v>
      </c>
      <c r="CQ74" s="62">
        <v>43200</v>
      </c>
      <c r="CR74" s="75">
        <f t="shared" si="240"/>
        <v>572276</v>
      </c>
      <c r="CS74" s="75">
        <f t="shared" si="191"/>
        <v>1107819</v>
      </c>
      <c r="CT74" s="62">
        <f>931541-8733</f>
        <v>922808</v>
      </c>
      <c r="CU74" s="47">
        <f t="shared" si="192"/>
        <v>185011</v>
      </c>
      <c r="CV74" s="76">
        <f t="shared" si="193"/>
        <v>0.67678073425601515</v>
      </c>
      <c r="CW74" s="75">
        <f t="shared" si="194"/>
        <v>3974.1388888888887</v>
      </c>
      <c r="CX74" s="77">
        <f t="shared" si="195"/>
        <v>0.34961069586014987</v>
      </c>
      <c r="CY74" s="75">
        <f t="shared" si="196"/>
        <v>1284.7986111111111</v>
      </c>
      <c r="CZ74" s="77">
        <f t="shared" si="197"/>
        <v>0.11302557586161605</v>
      </c>
      <c r="DA74" s="77">
        <f t="shared" si="198"/>
        <v>0.56375515839439916</v>
      </c>
      <c r="DB74" s="47">
        <f t="shared" si="199"/>
        <v>110069.44444444444</v>
      </c>
      <c r="DC74" s="69">
        <f t="shared" si="200"/>
        <v>11929</v>
      </c>
      <c r="DD74" s="70">
        <f t="shared" si="201"/>
        <v>360</v>
      </c>
      <c r="DE74" s="70">
        <f t="shared" si="202"/>
        <v>-921.67361111111109</v>
      </c>
      <c r="DF74" s="70">
        <f t="shared" si="203"/>
        <v>11367.326388888889</v>
      </c>
      <c r="DG74" s="70">
        <f t="shared" si="204"/>
        <v>444.44444444444446</v>
      </c>
      <c r="DH74" s="70">
        <f t="shared" si="205"/>
        <v>454.69444444444446</v>
      </c>
      <c r="DI74" s="70">
        <f t="shared" si="206"/>
        <v>1100</v>
      </c>
      <c r="DJ74" s="70">
        <f t="shared" si="207"/>
        <v>400</v>
      </c>
      <c r="DK74" s="70">
        <f t="shared" si="208"/>
        <v>400</v>
      </c>
      <c r="DL74" s="70">
        <f t="shared" si="209"/>
        <v>375</v>
      </c>
      <c r="DM74" s="70">
        <f t="shared" si="210"/>
        <v>500</v>
      </c>
      <c r="DN74" s="70">
        <f t="shared" si="211"/>
        <v>3674.1388888888887</v>
      </c>
      <c r="DO74" s="70">
        <f t="shared" si="212"/>
        <v>300</v>
      </c>
      <c r="DP74" s="70">
        <f t="shared" si="213"/>
        <v>3974.1388888888887</v>
      </c>
      <c r="DQ74" s="70">
        <f t="shared" si="214"/>
        <v>7693.1875</v>
      </c>
      <c r="DR74" s="70">
        <f t="shared" si="215"/>
        <v>6408.3888888888887</v>
      </c>
      <c r="DS74" s="71">
        <f t="shared" si="216"/>
        <v>1284.7986111111111</v>
      </c>
      <c r="DT74" s="106">
        <f t="shared" si="217"/>
        <v>1.0494112328524432</v>
      </c>
      <c r="DU74" s="92">
        <f t="shared" si="218"/>
        <v>3.166971613939807E-2</v>
      </c>
      <c r="DV74" s="92" t="str">
        <f t="shared" si="219"/>
        <v/>
      </c>
      <c r="DW74" s="92">
        <f t="shared" si="220"/>
        <v>1</v>
      </c>
      <c r="DX74" s="92">
        <f t="shared" si="221"/>
        <v>3.9098414986911197E-2</v>
      </c>
      <c r="DY74" s="92">
        <f t="shared" si="222"/>
        <v>4.0000122182546831E-2</v>
      </c>
      <c r="DZ74" s="92">
        <f t="shared" si="223"/>
        <v>9.676857709260521E-2</v>
      </c>
      <c r="EA74" s="92">
        <f t="shared" si="224"/>
        <v>3.5188573488220076E-2</v>
      </c>
      <c r="EB74" s="92">
        <f t="shared" si="225"/>
        <v>3.5188573488220076E-2</v>
      </c>
      <c r="EC74" s="92">
        <f t="shared" si="226"/>
        <v>3.2989287645206318E-2</v>
      </c>
      <c r="ED74" s="92">
        <f t="shared" si="227"/>
        <v>4.3985716860275095E-2</v>
      </c>
      <c r="EE74" s="92">
        <f t="shared" si="228"/>
        <v>0.3232192657439848</v>
      </c>
      <c r="EF74" s="92">
        <f t="shared" si="229"/>
        <v>2.6391430116165057E-2</v>
      </c>
      <c r="EG74" s="92">
        <f t="shared" si="230"/>
        <v>0.34961069586014987</v>
      </c>
      <c r="EH74" s="92">
        <f t="shared" si="231"/>
        <v>0.67678073425601515</v>
      </c>
      <c r="EI74" s="92">
        <f t="shared" si="232"/>
        <v>0.56375515839439916</v>
      </c>
      <c r="EJ74" s="122">
        <f t="shared" si="233"/>
        <v>0.11302557586161605</v>
      </c>
    </row>
    <row r="75" spans="2:140" ht="12" hidden="1" customHeight="1" outlineLevel="1">
      <c r="B75" s="121">
        <v>44967</v>
      </c>
      <c r="C75" s="117">
        <v>22482</v>
      </c>
      <c r="D75" s="50" t="s">
        <v>510</v>
      </c>
      <c r="E75" s="50" t="s">
        <v>511</v>
      </c>
      <c r="F75" s="50" t="s">
        <v>511</v>
      </c>
      <c r="G75" s="50" t="s">
        <v>291</v>
      </c>
      <c r="H75" s="50" t="s">
        <v>512</v>
      </c>
      <c r="I75" s="50" t="s">
        <v>201</v>
      </c>
      <c r="J75" s="52" t="s">
        <v>216</v>
      </c>
      <c r="K75" s="50" t="s">
        <v>176</v>
      </c>
      <c r="L75" s="49">
        <v>6</v>
      </c>
      <c r="M75" s="50" t="s">
        <v>159</v>
      </c>
      <c r="N75" s="50" t="s">
        <v>244</v>
      </c>
      <c r="O75" s="50" t="s">
        <v>160</v>
      </c>
      <c r="P75" s="50" t="s">
        <v>161</v>
      </c>
      <c r="Q75" s="53">
        <v>0.04</v>
      </c>
      <c r="R75" s="49">
        <v>248</v>
      </c>
      <c r="S75" s="49">
        <v>0</v>
      </c>
      <c r="T75" s="54">
        <f t="shared" si="238"/>
        <v>248</v>
      </c>
      <c r="U75" s="55">
        <v>221448</v>
      </c>
      <c r="V75" s="49">
        <v>15.18</v>
      </c>
      <c r="W75" s="56">
        <f t="shared" si="177"/>
        <v>16.337285902503293</v>
      </c>
      <c r="X75" s="49">
        <v>2005</v>
      </c>
      <c r="Y75" s="57" t="s">
        <v>162</v>
      </c>
      <c r="Z75" s="58">
        <v>27390000</v>
      </c>
      <c r="AA75" s="114">
        <v>4.9399999999999999E-2</v>
      </c>
      <c r="AB75" s="59">
        <v>15</v>
      </c>
      <c r="AC75" s="60">
        <v>35</v>
      </c>
      <c r="AD75" s="61">
        <v>4.9399999999999999E-2</v>
      </c>
      <c r="AE75" s="62">
        <v>27390000</v>
      </c>
      <c r="AF75" s="63">
        <v>1.1499999999999999</v>
      </c>
      <c r="AG75" s="59"/>
      <c r="AH75" s="60"/>
      <c r="AI75" s="61"/>
      <c r="AJ75" s="64"/>
      <c r="AK75" s="65">
        <f t="shared" si="178"/>
        <v>27390000</v>
      </c>
      <c r="AL75" s="62">
        <v>2179783</v>
      </c>
      <c r="AM75" s="49" t="s">
        <v>163</v>
      </c>
      <c r="AN75" s="67">
        <v>0.9</v>
      </c>
      <c r="AO75" s="62">
        <v>21250611</v>
      </c>
      <c r="AP75" s="62">
        <v>0</v>
      </c>
      <c r="AQ75" s="68">
        <v>5882532</v>
      </c>
      <c r="AR75" s="69">
        <f t="shared" si="179"/>
        <v>110443.54838709677</v>
      </c>
      <c r="AS75" s="70" t="str">
        <f>IFERROR(IF(#REF!&gt;0,#REF!/T75,""),"")</f>
        <v/>
      </c>
      <c r="AT75" s="70">
        <f t="shared" si="180"/>
        <v>85687.947580645166</v>
      </c>
      <c r="AU75" s="70">
        <f t="shared" si="181"/>
        <v>8789.447580645161</v>
      </c>
      <c r="AV75" s="71">
        <f t="shared" si="182"/>
        <v>23719.887096774193</v>
      </c>
      <c r="AW75" s="115">
        <f t="shared" si="183"/>
        <v>33143.149193548386</v>
      </c>
      <c r="AX75" s="116">
        <f t="shared" si="184"/>
        <v>37.117070373180162</v>
      </c>
      <c r="AY75" s="72">
        <f t="shared" si="185"/>
        <v>41561.508064516129</v>
      </c>
      <c r="AZ75" s="73">
        <f t="shared" si="186"/>
        <v>46.544805100971786</v>
      </c>
      <c r="BA75" s="66">
        <v>26400000</v>
      </c>
      <c r="BB75" s="62">
        <v>1504600</v>
      </c>
      <c r="BC75" s="62">
        <v>6714901</v>
      </c>
      <c r="BD75" s="62">
        <v>821950</v>
      </c>
      <c r="BE75" s="62">
        <v>1265803</v>
      </c>
      <c r="BF75" s="62">
        <v>2453925</v>
      </c>
      <c r="BG75" s="67">
        <v>5151935</v>
      </c>
      <c r="BH75" s="62">
        <v>5882532</v>
      </c>
      <c r="BI75" s="62">
        <v>1131028</v>
      </c>
      <c r="BJ75" s="47">
        <f t="shared" si="187"/>
        <v>51326674</v>
      </c>
      <c r="BK75" s="69">
        <f t="shared" si="165"/>
        <v>106451.6129032258</v>
      </c>
      <c r="BL75" s="70">
        <f t="shared" si="166"/>
        <v>6066.9354838709678</v>
      </c>
      <c r="BM75" s="70">
        <f t="shared" si="167"/>
        <v>27076.21370967742</v>
      </c>
      <c r="BN75" s="70">
        <f t="shared" si="168"/>
        <v>3314.3145161290322</v>
      </c>
      <c r="BO75" s="70">
        <f t="shared" si="169"/>
        <v>5104.0443548387093</v>
      </c>
      <c r="BP75" s="70">
        <f t="shared" si="175"/>
        <v>9894.8588709677424</v>
      </c>
      <c r="BQ75" s="70">
        <f t="shared" si="188"/>
        <v>20773.931451612902</v>
      </c>
      <c r="BR75" s="70">
        <f t="shared" si="159"/>
        <v>23719.887096774193</v>
      </c>
      <c r="BS75" s="70">
        <f t="shared" si="160"/>
        <v>4560.5967741935483</v>
      </c>
      <c r="BT75" s="71">
        <f t="shared" si="161"/>
        <v>206962.39516129033</v>
      </c>
      <c r="BU75" s="65">
        <f t="shared" si="170"/>
        <v>119.2153462663921</v>
      </c>
      <c r="BV75" s="48">
        <f t="shared" si="171"/>
        <v>6.7943715906217257</v>
      </c>
      <c r="BW75" s="48">
        <f t="shared" si="172"/>
        <v>30.322698782558433</v>
      </c>
      <c r="BX75" s="48">
        <f t="shared" si="173"/>
        <v>3.7117065857447344</v>
      </c>
      <c r="BY75" s="48">
        <f t="shared" si="174"/>
        <v>5.7160281420468912</v>
      </c>
      <c r="BZ75" s="48">
        <f t="shared" si="176"/>
        <v>11.081269643437738</v>
      </c>
      <c r="CA75" s="48">
        <f t="shared" si="189"/>
        <v>23.264761930566092</v>
      </c>
      <c r="CB75" s="48">
        <f t="shared" si="162"/>
        <v>26.563942776633791</v>
      </c>
      <c r="CC75" s="48">
        <f t="shared" si="163"/>
        <v>5.1074202521585201</v>
      </c>
      <c r="CD75" s="47">
        <f t="shared" si="164"/>
        <v>231.77754597016005</v>
      </c>
      <c r="CE75" s="66">
        <v>2945184</v>
      </c>
      <c r="CF75" s="62">
        <f>25800+25800+37680</f>
        <v>89280</v>
      </c>
      <c r="CG75" s="74">
        <v>-227585</v>
      </c>
      <c r="CH75" s="75">
        <f t="shared" si="190"/>
        <v>2806879</v>
      </c>
      <c r="CI75" s="62">
        <f>142380+9920</f>
        <v>152300</v>
      </c>
      <c r="CJ75" s="62">
        <v>92203</v>
      </c>
      <c r="CK75" s="62">
        <v>159897</v>
      </c>
      <c r="CL75" s="62">
        <f>77500</f>
        <v>77500</v>
      </c>
      <c r="CM75" s="62">
        <f>65286+102114</f>
        <v>167400</v>
      </c>
      <c r="CN75" s="62">
        <v>183024</v>
      </c>
      <c r="CO75" s="62">
        <v>0</v>
      </c>
      <c r="CP75" s="75">
        <f t="shared" si="239"/>
        <v>832324</v>
      </c>
      <c r="CQ75" s="62">
        <v>74400</v>
      </c>
      <c r="CR75" s="75">
        <f t="shared" si="240"/>
        <v>906724</v>
      </c>
      <c r="CS75" s="75">
        <f t="shared" si="191"/>
        <v>1974555</v>
      </c>
      <c r="CT75" s="62">
        <v>1646251</v>
      </c>
      <c r="CU75" s="47">
        <f t="shared" si="192"/>
        <v>328304</v>
      </c>
      <c r="CV75" s="76">
        <f t="shared" si="193"/>
        <v>0.70346993938819591</v>
      </c>
      <c r="CW75" s="75">
        <f t="shared" si="194"/>
        <v>3656.1451612903224</v>
      </c>
      <c r="CX75" s="77">
        <f t="shared" si="195"/>
        <v>0.32303636886378073</v>
      </c>
      <c r="CY75" s="75">
        <f t="shared" si="196"/>
        <v>1323.8064516129032</v>
      </c>
      <c r="CZ75" s="77">
        <f t="shared" si="197"/>
        <v>0.11696407290802346</v>
      </c>
      <c r="DA75" s="77">
        <f t="shared" si="198"/>
        <v>0.58650586648017244</v>
      </c>
      <c r="DB75" s="47">
        <f t="shared" si="199"/>
        <v>110443.54838709677</v>
      </c>
      <c r="DC75" s="69">
        <f t="shared" si="200"/>
        <v>11875.741935483871</v>
      </c>
      <c r="DD75" s="70">
        <f t="shared" si="201"/>
        <v>360</v>
      </c>
      <c r="DE75" s="70">
        <f t="shared" si="202"/>
        <v>-917.68145161290317</v>
      </c>
      <c r="DF75" s="70">
        <f t="shared" si="203"/>
        <v>11318.060483870968</v>
      </c>
      <c r="DG75" s="70">
        <f t="shared" si="204"/>
        <v>614.11290322580646</v>
      </c>
      <c r="DH75" s="70">
        <f t="shared" si="205"/>
        <v>371.78629032258067</v>
      </c>
      <c r="DI75" s="70">
        <f t="shared" si="206"/>
        <v>644.74596774193549</v>
      </c>
      <c r="DJ75" s="70">
        <f t="shared" si="207"/>
        <v>312.5</v>
      </c>
      <c r="DK75" s="70">
        <f t="shared" si="208"/>
        <v>675</v>
      </c>
      <c r="DL75" s="70">
        <f t="shared" si="209"/>
        <v>738</v>
      </c>
      <c r="DM75" s="70" t="str">
        <f t="shared" si="210"/>
        <v/>
      </c>
      <c r="DN75" s="70">
        <f t="shared" si="211"/>
        <v>3356.1451612903224</v>
      </c>
      <c r="DO75" s="70">
        <f t="shared" si="212"/>
        <v>300</v>
      </c>
      <c r="DP75" s="70">
        <f t="shared" si="213"/>
        <v>3656.1451612903224</v>
      </c>
      <c r="DQ75" s="70">
        <f t="shared" si="214"/>
        <v>7961.9153225806449</v>
      </c>
      <c r="DR75" s="70">
        <f t="shared" si="215"/>
        <v>6638.1088709677415</v>
      </c>
      <c r="DS75" s="71">
        <f t="shared" si="216"/>
        <v>1323.8064516129032</v>
      </c>
      <c r="DT75" s="106">
        <f t="shared" si="217"/>
        <v>1.0492735882095381</v>
      </c>
      <c r="DU75" s="92">
        <f t="shared" si="218"/>
        <v>3.1807569902371997E-2</v>
      </c>
      <c r="DV75" s="92" t="str">
        <f t="shared" si="219"/>
        <v/>
      </c>
      <c r="DW75" s="92">
        <f t="shared" si="220"/>
        <v>1</v>
      </c>
      <c r="DX75" s="92">
        <f t="shared" si="221"/>
        <v>5.425955304806513E-2</v>
      </c>
      <c r="DY75" s="92">
        <f t="shared" si="222"/>
        <v>3.284894005049737E-2</v>
      </c>
      <c r="DZ75" s="92">
        <f t="shared" si="223"/>
        <v>5.6966117883955808E-2</v>
      </c>
      <c r="EA75" s="92">
        <f t="shared" si="224"/>
        <v>2.761073776247569E-2</v>
      </c>
      <c r="EB75" s="92">
        <f t="shared" si="225"/>
        <v>5.9639193566947489E-2</v>
      </c>
      <c r="EC75" s="92">
        <f t="shared" si="226"/>
        <v>6.5205518299862583E-2</v>
      </c>
      <c r="ED75" s="92" t="str">
        <f t="shared" si="227"/>
        <v/>
      </c>
      <c r="EE75" s="92">
        <f t="shared" si="228"/>
        <v>0.29653006061180409</v>
      </c>
      <c r="EF75" s="92">
        <f t="shared" si="229"/>
        <v>2.6506308251976661E-2</v>
      </c>
      <c r="EG75" s="92">
        <f t="shared" si="230"/>
        <v>0.32303636886378073</v>
      </c>
      <c r="EH75" s="92">
        <f t="shared" si="231"/>
        <v>0.70346993938819591</v>
      </c>
      <c r="EI75" s="92">
        <f t="shared" si="232"/>
        <v>0.58650586648017244</v>
      </c>
      <c r="EJ75" s="122">
        <f t="shared" si="233"/>
        <v>0.11696407290802346</v>
      </c>
    </row>
    <row r="76" spans="2:140" ht="12" hidden="1" customHeight="1" outlineLevel="1">
      <c r="B76" s="121">
        <v>44971</v>
      </c>
      <c r="C76" s="117" t="s">
        <v>513</v>
      </c>
      <c r="D76" s="50" t="s">
        <v>514</v>
      </c>
      <c r="E76" s="50" t="s">
        <v>515</v>
      </c>
      <c r="F76" s="50" t="s">
        <v>516</v>
      </c>
      <c r="G76" s="50" t="s">
        <v>154</v>
      </c>
      <c r="H76" s="50" t="s">
        <v>310</v>
      </c>
      <c r="I76" s="50" t="s">
        <v>517</v>
      </c>
      <c r="J76" s="52" t="s">
        <v>518</v>
      </c>
      <c r="K76" s="50" t="s">
        <v>519</v>
      </c>
      <c r="L76" s="49">
        <v>11</v>
      </c>
      <c r="M76" s="50" t="s">
        <v>159</v>
      </c>
      <c r="N76" s="50" t="s">
        <v>160</v>
      </c>
      <c r="O76" s="50" t="s">
        <v>160</v>
      </c>
      <c r="P76" s="50" t="s">
        <v>177</v>
      </c>
      <c r="Q76" s="53">
        <v>0.09</v>
      </c>
      <c r="R76" s="49">
        <f>102-6</f>
        <v>96</v>
      </c>
      <c r="S76" s="49">
        <v>6</v>
      </c>
      <c r="T76" s="54">
        <f t="shared" si="238"/>
        <v>102</v>
      </c>
      <c r="U76" s="55">
        <v>80238</v>
      </c>
      <c r="V76" s="49">
        <v>7.39</v>
      </c>
      <c r="W76" s="56">
        <f t="shared" si="177"/>
        <v>13.802435723951286</v>
      </c>
      <c r="X76" s="49" t="s">
        <v>163</v>
      </c>
      <c r="Y76" s="57" t="s">
        <v>162</v>
      </c>
      <c r="Z76" s="58">
        <v>3640500</v>
      </c>
      <c r="AA76" s="114">
        <f>(((3640000*0.0475)/(Z76))+((500*0)/(Z76)))</f>
        <v>4.7493476170855649E-2</v>
      </c>
      <c r="AB76" s="59">
        <v>18</v>
      </c>
      <c r="AC76" s="60">
        <v>35</v>
      </c>
      <c r="AD76" s="61">
        <v>4.7500000000000001E-2</v>
      </c>
      <c r="AE76" s="62">
        <v>3640000</v>
      </c>
      <c r="AF76" s="63">
        <v>1.24</v>
      </c>
      <c r="AG76" s="59"/>
      <c r="AH76" s="60"/>
      <c r="AI76" s="61"/>
      <c r="AJ76" s="64"/>
      <c r="AK76" s="65">
        <f t="shared" si="178"/>
        <v>3640000</v>
      </c>
      <c r="AL76" s="62">
        <v>500</v>
      </c>
      <c r="AM76" s="49" t="s">
        <v>163</v>
      </c>
      <c r="AN76" s="67">
        <v>0.9</v>
      </c>
      <c r="AO76" s="62">
        <v>13778237</v>
      </c>
      <c r="AP76" s="62">
        <v>0</v>
      </c>
      <c r="AQ76" s="68">
        <v>279587</v>
      </c>
      <c r="AR76" s="69">
        <f t="shared" si="179"/>
        <v>35686.274509803923</v>
      </c>
      <c r="AS76" s="70" t="str">
        <f>IFERROR(IF(#REF!&gt;0,#REF!/T76,""),"")</f>
        <v/>
      </c>
      <c r="AT76" s="70">
        <f t="shared" si="180"/>
        <v>135080.75490196078</v>
      </c>
      <c r="AU76" s="70">
        <f t="shared" si="181"/>
        <v>4.9019607843137258</v>
      </c>
      <c r="AV76" s="71">
        <f t="shared" si="182"/>
        <v>2741.0490196078431</v>
      </c>
      <c r="AW76" s="115">
        <f t="shared" si="183"/>
        <v>86301.666666666672</v>
      </c>
      <c r="AX76" s="116">
        <f t="shared" si="184"/>
        <v>109.708242977143</v>
      </c>
      <c r="AY76" s="72">
        <f t="shared" si="185"/>
        <v>104046.24509803922</v>
      </c>
      <c r="AZ76" s="73">
        <f t="shared" si="186"/>
        <v>132.26547271866198</v>
      </c>
      <c r="BA76" s="66">
        <v>2740360</v>
      </c>
      <c r="BB76" s="62">
        <v>1978800</v>
      </c>
      <c r="BC76" s="62">
        <v>6823970</v>
      </c>
      <c r="BD76" s="62">
        <v>577559</v>
      </c>
      <c r="BE76" s="62">
        <v>1232388</v>
      </c>
      <c r="BF76" s="62">
        <v>1077437</v>
      </c>
      <c r="BG76" s="62">
        <v>778667</v>
      </c>
      <c r="BH76" s="62">
        <v>1827644</v>
      </c>
      <c r="BI76" s="62">
        <v>381912</v>
      </c>
      <c r="BJ76" s="47">
        <f t="shared" si="187"/>
        <v>17418737</v>
      </c>
      <c r="BK76" s="69">
        <f t="shared" si="165"/>
        <v>26866.274509803923</v>
      </c>
      <c r="BL76" s="70">
        <f t="shared" si="166"/>
        <v>19400</v>
      </c>
      <c r="BM76" s="70">
        <f t="shared" si="167"/>
        <v>66901.666666666672</v>
      </c>
      <c r="BN76" s="70">
        <f t="shared" si="168"/>
        <v>5662.3431372549021</v>
      </c>
      <c r="BO76" s="70">
        <f t="shared" si="169"/>
        <v>12082.235294117647</v>
      </c>
      <c r="BP76" s="70">
        <f t="shared" si="175"/>
        <v>10563.107843137255</v>
      </c>
      <c r="BQ76" s="70">
        <f t="shared" si="188"/>
        <v>7633.9901960784309</v>
      </c>
      <c r="BR76" s="70">
        <f t="shared" si="159"/>
        <v>17918.078431372549</v>
      </c>
      <c r="BS76" s="70">
        <f t="shared" si="160"/>
        <v>3744.2352941176468</v>
      </c>
      <c r="BT76" s="71">
        <f t="shared" si="161"/>
        <v>170771.93137254901</v>
      </c>
      <c r="BU76" s="65">
        <f t="shared" si="170"/>
        <v>34.152895136967523</v>
      </c>
      <c r="BV76" s="48">
        <f t="shared" si="171"/>
        <v>24.661631645853586</v>
      </c>
      <c r="BW76" s="48">
        <f t="shared" si="172"/>
        <v>85.046611331289412</v>
      </c>
      <c r="BX76" s="48">
        <f t="shared" si="173"/>
        <v>7.1980732321344005</v>
      </c>
      <c r="BY76" s="48">
        <f t="shared" si="174"/>
        <v>15.359156509384581</v>
      </c>
      <c r="BZ76" s="48">
        <f t="shared" si="176"/>
        <v>13.428014157880305</v>
      </c>
      <c r="CA76" s="48">
        <f t="shared" si="189"/>
        <v>9.704466711533188</v>
      </c>
      <c r="CB76" s="48">
        <f t="shared" si="162"/>
        <v>22.777786086392982</v>
      </c>
      <c r="CC76" s="48">
        <f t="shared" si="163"/>
        <v>4.7597397741718384</v>
      </c>
      <c r="CD76" s="47">
        <f t="shared" si="164"/>
        <v>217.08837458560782</v>
      </c>
      <c r="CE76" s="66">
        <v>760620</v>
      </c>
      <c r="CF76" s="62">
        <v>14688</v>
      </c>
      <c r="CG76" s="74">
        <v>-58148</v>
      </c>
      <c r="CH76" s="75">
        <f t="shared" si="190"/>
        <v>717160</v>
      </c>
      <c r="CI76" s="62">
        <f>46970+6000+2640</f>
        <v>55610</v>
      </c>
      <c r="CJ76" s="62">
        <v>28686</v>
      </c>
      <c r="CK76" s="62">
        <v>114750</v>
      </c>
      <c r="CL76" s="62">
        <v>49616</v>
      </c>
      <c r="CM76" s="62">
        <f>17034+40698</f>
        <v>57732</v>
      </c>
      <c r="CN76" s="62">
        <v>44156</v>
      </c>
      <c r="CO76" s="62">
        <v>74428</v>
      </c>
      <c r="CP76" s="75">
        <f t="shared" si="239"/>
        <v>424978</v>
      </c>
      <c r="CQ76" s="62">
        <v>25500</v>
      </c>
      <c r="CR76" s="75">
        <f t="shared" si="240"/>
        <v>450478</v>
      </c>
      <c r="CS76" s="75">
        <f t="shared" si="191"/>
        <v>292182</v>
      </c>
      <c r="CT76" s="62">
        <v>213345</v>
      </c>
      <c r="CU76" s="47">
        <f t="shared" si="192"/>
        <v>78837</v>
      </c>
      <c r="CV76" s="76">
        <f t="shared" si="193"/>
        <v>0.40741536058898992</v>
      </c>
      <c r="CW76" s="75">
        <f t="shared" si="194"/>
        <v>4416.4509803921565</v>
      </c>
      <c r="CX76" s="77">
        <f t="shared" si="195"/>
        <v>0.62814155836912267</v>
      </c>
      <c r="CY76" s="75">
        <f t="shared" si="196"/>
        <v>772.91176470588232</v>
      </c>
      <c r="CZ76" s="77">
        <f t="shared" si="197"/>
        <v>0.10992944391767527</v>
      </c>
      <c r="DA76" s="77">
        <f t="shared" si="198"/>
        <v>0.29748591667131463</v>
      </c>
      <c r="DB76" s="47">
        <f t="shared" si="199"/>
        <v>35686.274509803923</v>
      </c>
      <c r="DC76" s="69">
        <f t="shared" si="200"/>
        <v>7457.0588235294117</v>
      </c>
      <c r="DD76" s="70">
        <f t="shared" si="201"/>
        <v>144</v>
      </c>
      <c r="DE76" s="70">
        <f t="shared" si="202"/>
        <v>-570.07843137254906</v>
      </c>
      <c r="DF76" s="70">
        <f t="shared" si="203"/>
        <v>7030.9803921568628</v>
      </c>
      <c r="DG76" s="70">
        <f t="shared" si="204"/>
        <v>545.1960784313726</v>
      </c>
      <c r="DH76" s="70">
        <f t="shared" si="205"/>
        <v>281.23529411764707</v>
      </c>
      <c r="DI76" s="70">
        <f t="shared" si="206"/>
        <v>1125</v>
      </c>
      <c r="DJ76" s="70">
        <f t="shared" si="207"/>
        <v>486.43137254901961</v>
      </c>
      <c r="DK76" s="70">
        <f t="shared" si="208"/>
        <v>566</v>
      </c>
      <c r="DL76" s="70">
        <f t="shared" si="209"/>
        <v>432.9019607843137</v>
      </c>
      <c r="DM76" s="70">
        <f t="shared" si="210"/>
        <v>729.68627450980387</v>
      </c>
      <c r="DN76" s="70">
        <f t="shared" si="211"/>
        <v>4166.4509803921565</v>
      </c>
      <c r="DO76" s="70">
        <f t="shared" si="212"/>
        <v>250</v>
      </c>
      <c r="DP76" s="70">
        <f t="shared" si="213"/>
        <v>4416.4509803921565</v>
      </c>
      <c r="DQ76" s="70">
        <f t="shared" si="214"/>
        <v>2864.5294117647059</v>
      </c>
      <c r="DR76" s="70">
        <f t="shared" si="215"/>
        <v>2091.6176470588234</v>
      </c>
      <c r="DS76" s="71">
        <f t="shared" si="216"/>
        <v>772.91176470588232</v>
      </c>
      <c r="DT76" s="106">
        <f t="shared" si="217"/>
        <v>1.0606001450164537</v>
      </c>
      <c r="DU76" s="92">
        <f t="shared" si="218"/>
        <v>2.0480785319872831E-2</v>
      </c>
      <c r="DV76" s="92" t="str">
        <f t="shared" si="219"/>
        <v/>
      </c>
      <c r="DW76" s="92">
        <f t="shared" si="220"/>
        <v>1</v>
      </c>
      <c r="DX76" s="92">
        <f t="shared" si="221"/>
        <v>7.754197110826036E-2</v>
      </c>
      <c r="DY76" s="92">
        <f t="shared" si="222"/>
        <v>3.9999442244408503E-2</v>
      </c>
      <c r="DZ76" s="92">
        <f t="shared" si="223"/>
        <v>0.16000613531150651</v>
      </c>
      <c r="EA76" s="92">
        <f t="shared" si="224"/>
        <v>6.9184003569635791E-2</v>
      </c>
      <c r="EB76" s="92">
        <f t="shared" si="225"/>
        <v>8.0500864521166823E-2</v>
      </c>
      <c r="EC76" s="92">
        <f t="shared" si="226"/>
        <v>6.1570639745663451E-2</v>
      </c>
      <c r="ED76" s="92">
        <f t="shared" si="227"/>
        <v>0.10378158291036868</v>
      </c>
      <c r="EE76" s="92">
        <f t="shared" si="228"/>
        <v>0.59258463941101014</v>
      </c>
      <c r="EF76" s="92">
        <f t="shared" si="229"/>
        <v>3.5556918958112554E-2</v>
      </c>
      <c r="EG76" s="92">
        <f t="shared" si="230"/>
        <v>0.62814155836912267</v>
      </c>
      <c r="EH76" s="92">
        <f t="shared" si="231"/>
        <v>0.40741536058898992</v>
      </c>
      <c r="EI76" s="92">
        <f t="shared" si="232"/>
        <v>0.29748591667131463</v>
      </c>
      <c r="EJ76" s="122">
        <f t="shared" si="233"/>
        <v>0.10992944391767527</v>
      </c>
    </row>
    <row r="77" spans="2:140" ht="12" hidden="1" customHeight="1" outlineLevel="1">
      <c r="B77" s="121">
        <v>44974</v>
      </c>
      <c r="C77" s="117" t="s">
        <v>520</v>
      </c>
      <c r="D77" s="50" t="s">
        <v>521</v>
      </c>
      <c r="E77" s="50" t="s">
        <v>522</v>
      </c>
      <c r="F77" s="50" t="s">
        <v>523</v>
      </c>
      <c r="G77" s="50" t="s">
        <v>154</v>
      </c>
      <c r="H77" s="50" t="s">
        <v>433</v>
      </c>
      <c r="I77" s="50" t="s">
        <v>321</v>
      </c>
      <c r="J77" s="52" t="s">
        <v>524</v>
      </c>
      <c r="K77" s="50" t="s">
        <v>524</v>
      </c>
      <c r="L77" s="49">
        <v>3</v>
      </c>
      <c r="M77" s="50" t="s">
        <v>283</v>
      </c>
      <c r="N77" s="50" t="s">
        <v>160</v>
      </c>
      <c r="O77" s="50" t="s">
        <v>160</v>
      </c>
      <c r="P77" s="50" t="s">
        <v>177</v>
      </c>
      <c r="Q77" s="53">
        <v>0.09</v>
      </c>
      <c r="R77" s="49">
        <f>72-18</f>
        <v>54</v>
      </c>
      <c r="S77" s="49">
        <v>18</v>
      </c>
      <c r="T77" s="54">
        <f t="shared" si="238"/>
        <v>72</v>
      </c>
      <c r="U77" s="55">
        <v>82536</v>
      </c>
      <c r="V77" s="49">
        <v>9.0079999999999991</v>
      </c>
      <c r="W77" s="56">
        <f t="shared" si="177"/>
        <v>7.9928952042628785</v>
      </c>
      <c r="X77" s="49" t="s">
        <v>163</v>
      </c>
      <c r="Y77" s="57" t="s">
        <v>162</v>
      </c>
      <c r="Z77" s="58">
        <v>7158250</v>
      </c>
      <c r="AA77" s="114">
        <v>4.9299999999999997E-2</v>
      </c>
      <c r="AB77" s="59">
        <v>16</v>
      </c>
      <c r="AC77" s="60">
        <v>40</v>
      </c>
      <c r="AD77" s="61">
        <v>4.9299999999999997E-2</v>
      </c>
      <c r="AE77" s="62">
        <v>7158000</v>
      </c>
      <c r="AF77" s="63">
        <v>1.1000000000000001</v>
      </c>
      <c r="AG77" s="59"/>
      <c r="AH77" s="60"/>
      <c r="AI77" s="61"/>
      <c r="AJ77" s="64"/>
      <c r="AK77" s="65">
        <f t="shared" si="178"/>
        <v>7158000</v>
      </c>
      <c r="AL77" s="62">
        <v>250</v>
      </c>
      <c r="AM77" s="49" t="s">
        <v>163</v>
      </c>
      <c r="AN77" s="67">
        <v>0.91</v>
      </c>
      <c r="AO77" s="62">
        <v>8693506</v>
      </c>
      <c r="AP77" s="62">
        <v>0</v>
      </c>
      <c r="AQ77" s="68">
        <v>683506</v>
      </c>
      <c r="AR77" s="69">
        <f t="shared" si="179"/>
        <v>99416.666666666672</v>
      </c>
      <c r="AS77" s="70" t="str">
        <f>IFERROR(IF(#REF!&gt;0,#REF!/T77,""),"")</f>
        <v/>
      </c>
      <c r="AT77" s="70">
        <f t="shared" si="180"/>
        <v>120743.13888888889</v>
      </c>
      <c r="AU77" s="70">
        <f t="shared" si="181"/>
        <v>3.4722222222222223</v>
      </c>
      <c r="AV77" s="71">
        <f t="shared" si="182"/>
        <v>9493.1388888888887</v>
      </c>
      <c r="AW77" s="115">
        <f t="shared" si="183"/>
        <v>131192.01388888888</v>
      </c>
      <c r="AX77" s="116">
        <f t="shared" si="184"/>
        <v>114.44490888824271</v>
      </c>
      <c r="AY77" s="72">
        <f t="shared" si="185"/>
        <v>157035.06944444444</v>
      </c>
      <c r="AZ77" s="73">
        <f t="shared" si="186"/>
        <v>136.98901085586897</v>
      </c>
      <c r="BA77" s="66">
        <v>985000</v>
      </c>
      <c r="BB77" s="62">
        <v>1383789</v>
      </c>
      <c r="BC77" s="62">
        <v>8062036</v>
      </c>
      <c r="BD77" s="62">
        <v>538400</v>
      </c>
      <c r="BE77" s="62">
        <v>1322300</v>
      </c>
      <c r="BF77" s="62">
        <v>739241</v>
      </c>
      <c r="BG77" s="62">
        <v>590432</v>
      </c>
      <c r="BH77" s="62">
        <v>1800000</v>
      </c>
      <c r="BI77" s="62">
        <v>430558</v>
      </c>
      <c r="BJ77" s="47">
        <f t="shared" si="187"/>
        <v>15851756</v>
      </c>
      <c r="BK77" s="69">
        <f t="shared" si="165"/>
        <v>13680.555555555555</v>
      </c>
      <c r="BL77" s="70">
        <f t="shared" si="166"/>
        <v>19219.291666666668</v>
      </c>
      <c r="BM77" s="70">
        <f t="shared" si="167"/>
        <v>111972.72222222222</v>
      </c>
      <c r="BN77" s="70">
        <f t="shared" si="168"/>
        <v>7477.7777777777774</v>
      </c>
      <c r="BO77" s="70">
        <f t="shared" si="169"/>
        <v>18365.277777777777</v>
      </c>
      <c r="BP77" s="70">
        <f t="shared" si="175"/>
        <v>10267.236111111111</v>
      </c>
      <c r="BQ77" s="70">
        <f t="shared" si="188"/>
        <v>8200.4444444444453</v>
      </c>
      <c r="BR77" s="70">
        <f t="shared" si="159"/>
        <v>25000</v>
      </c>
      <c r="BS77" s="70">
        <f t="shared" si="160"/>
        <v>5979.9722222222226</v>
      </c>
      <c r="BT77" s="71">
        <f t="shared" si="161"/>
        <v>220163.27777777778</v>
      </c>
      <c r="BU77" s="65">
        <f t="shared" si="170"/>
        <v>11.934186294465446</v>
      </c>
      <c r="BV77" s="48">
        <f t="shared" si="171"/>
        <v>16.765883977900554</v>
      </c>
      <c r="BW77" s="48">
        <f t="shared" si="172"/>
        <v>97.67902491034215</v>
      </c>
      <c r="BX77" s="48">
        <f t="shared" si="173"/>
        <v>6.5232141126296401</v>
      </c>
      <c r="BY77" s="48">
        <f t="shared" si="174"/>
        <v>16.020887854996609</v>
      </c>
      <c r="BZ77" s="48">
        <f t="shared" si="176"/>
        <v>8.9565886401085582</v>
      </c>
      <c r="CA77" s="48">
        <f t="shared" si="189"/>
        <v>7.1536299311815448</v>
      </c>
      <c r="CB77" s="48">
        <f t="shared" si="162"/>
        <v>21.808665309683047</v>
      </c>
      <c r="CC77" s="48">
        <f t="shared" si="163"/>
        <v>5.216608510225841</v>
      </c>
      <c r="CD77" s="47">
        <f t="shared" si="164"/>
        <v>192.0586895415334</v>
      </c>
      <c r="CE77" s="66">
        <v>942432</v>
      </c>
      <c r="CF77" s="62">
        <v>8640</v>
      </c>
      <c r="CG77" s="74">
        <v>-71330</v>
      </c>
      <c r="CH77" s="75">
        <f t="shared" si="190"/>
        <v>879742</v>
      </c>
      <c r="CI77" s="62">
        <f>22517+12880</f>
        <v>35397</v>
      </c>
      <c r="CJ77" s="62">
        <v>43987</v>
      </c>
      <c r="CK77" s="62">
        <v>109200</v>
      </c>
      <c r="CL77" s="62">
        <v>34900</v>
      </c>
      <c r="CM77" s="62">
        <f>10800+67200</f>
        <v>78000</v>
      </c>
      <c r="CN77" s="62">
        <v>47822</v>
      </c>
      <c r="CO77" s="62">
        <v>57600</v>
      </c>
      <c r="CP77" s="75">
        <f t="shared" si="239"/>
        <v>406906</v>
      </c>
      <c r="CQ77" s="62">
        <v>18000</v>
      </c>
      <c r="CR77" s="75">
        <f t="shared" si="240"/>
        <v>424906</v>
      </c>
      <c r="CS77" s="75">
        <f t="shared" si="191"/>
        <v>472836</v>
      </c>
      <c r="CT77" s="62">
        <v>410213</v>
      </c>
      <c r="CU77" s="47">
        <f t="shared" si="192"/>
        <v>62623</v>
      </c>
      <c r="CV77" s="76">
        <f t="shared" si="193"/>
        <v>0.53747121315112845</v>
      </c>
      <c r="CW77" s="75">
        <f t="shared" si="194"/>
        <v>5901.4722222222226</v>
      </c>
      <c r="CX77" s="77">
        <f t="shared" si="195"/>
        <v>0.48298933096294139</v>
      </c>
      <c r="CY77" s="75">
        <f t="shared" si="196"/>
        <v>869.76388888888891</v>
      </c>
      <c r="CZ77" s="77">
        <f t="shared" si="197"/>
        <v>7.118336966974409E-2</v>
      </c>
      <c r="DA77" s="77">
        <f t="shared" si="198"/>
        <v>0.4662878434813843</v>
      </c>
      <c r="DB77" s="47">
        <f t="shared" si="199"/>
        <v>99416.666666666672</v>
      </c>
      <c r="DC77" s="69">
        <f t="shared" si="200"/>
        <v>13089.333333333334</v>
      </c>
      <c r="DD77" s="70">
        <f t="shared" si="201"/>
        <v>120</v>
      </c>
      <c r="DE77" s="70">
        <f t="shared" si="202"/>
        <v>-990.69444444444446</v>
      </c>
      <c r="DF77" s="70">
        <f t="shared" si="203"/>
        <v>12218.638888888889</v>
      </c>
      <c r="DG77" s="70">
        <f t="shared" si="204"/>
        <v>491.625</v>
      </c>
      <c r="DH77" s="70">
        <f t="shared" si="205"/>
        <v>610.93055555555554</v>
      </c>
      <c r="DI77" s="70">
        <f t="shared" si="206"/>
        <v>1516.6666666666667</v>
      </c>
      <c r="DJ77" s="70">
        <f t="shared" si="207"/>
        <v>484.72222222222223</v>
      </c>
      <c r="DK77" s="70">
        <f t="shared" si="208"/>
        <v>1083.3333333333333</v>
      </c>
      <c r="DL77" s="70">
        <f t="shared" si="209"/>
        <v>664.19444444444446</v>
      </c>
      <c r="DM77" s="70">
        <f t="shared" si="210"/>
        <v>800</v>
      </c>
      <c r="DN77" s="70">
        <f t="shared" si="211"/>
        <v>5651.4722222222226</v>
      </c>
      <c r="DO77" s="70">
        <f t="shared" si="212"/>
        <v>250</v>
      </c>
      <c r="DP77" s="70">
        <f t="shared" si="213"/>
        <v>5901.4722222222226</v>
      </c>
      <c r="DQ77" s="70">
        <f t="shared" si="214"/>
        <v>6567.166666666667</v>
      </c>
      <c r="DR77" s="70">
        <f t="shared" si="215"/>
        <v>5697.4027777777774</v>
      </c>
      <c r="DS77" s="71">
        <f t="shared" si="216"/>
        <v>869.76388888888891</v>
      </c>
      <c r="DT77" s="106">
        <f t="shared" si="217"/>
        <v>1.0712595283617243</v>
      </c>
      <c r="DU77" s="92">
        <f t="shared" si="218"/>
        <v>9.8210611747535075E-3</v>
      </c>
      <c r="DV77" s="92" t="str">
        <f t="shared" si="219"/>
        <v/>
      </c>
      <c r="DW77" s="92">
        <f t="shared" si="220"/>
        <v>1</v>
      </c>
      <c r="DX77" s="92">
        <f t="shared" si="221"/>
        <v>4.0235660000318273E-2</v>
      </c>
      <c r="DY77" s="92">
        <f t="shared" si="222"/>
        <v>4.9999886330310481E-2</v>
      </c>
      <c r="DZ77" s="92">
        <f t="shared" si="223"/>
        <v>0.12412730095869016</v>
      </c>
      <c r="EA77" s="92">
        <f t="shared" si="224"/>
        <v>3.9670721643390902E-2</v>
      </c>
      <c r="EB77" s="92">
        <f t="shared" si="225"/>
        <v>8.8662357827635832E-2</v>
      </c>
      <c r="EC77" s="92">
        <f t="shared" si="226"/>
        <v>5.4359118923502571E-2</v>
      </c>
      <c r="ED77" s="92">
        <f t="shared" si="227"/>
        <v>6.5473741165023386E-2</v>
      </c>
      <c r="EE77" s="92">
        <f t="shared" si="228"/>
        <v>0.46252878684887161</v>
      </c>
      <c r="EF77" s="92">
        <f t="shared" si="229"/>
        <v>2.0460544114069806E-2</v>
      </c>
      <c r="EG77" s="92">
        <f t="shared" si="230"/>
        <v>0.48298933096294139</v>
      </c>
      <c r="EH77" s="92">
        <f t="shared" si="231"/>
        <v>0.53747121315112845</v>
      </c>
      <c r="EI77" s="92">
        <f t="shared" si="232"/>
        <v>0.4662878434813843</v>
      </c>
      <c r="EJ77" s="122">
        <f t="shared" si="233"/>
        <v>7.118336966974409E-2</v>
      </c>
    </row>
    <row r="78" spans="2:140" ht="12" hidden="1" customHeight="1" outlineLevel="1">
      <c r="B78" s="121">
        <v>44974</v>
      </c>
      <c r="C78" s="117" t="s">
        <v>525</v>
      </c>
      <c r="D78" s="50" t="s">
        <v>526</v>
      </c>
      <c r="E78" s="50" t="s">
        <v>522</v>
      </c>
      <c r="F78" s="50" t="s">
        <v>523</v>
      </c>
      <c r="G78" s="50" t="s">
        <v>154</v>
      </c>
      <c r="H78" s="50" t="s">
        <v>527</v>
      </c>
      <c r="I78" s="50" t="s">
        <v>321</v>
      </c>
      <c r="J78" s="52" t="s">
        <v>528</v>
      </c>
      <c r="K78" s="50" t="s">
        <v>529</v>
      </c>
      <c r="L78" s="49">
        <v>7</v>
      </c>
      <c r="M78" s="50" t="s">
        <v>283</v>
      </c>
      <c r="N78" s="50" t="s">
        <v>160</v>
      </c>
      <c r="O78" s="50" t="s">
        <v>160</v>
      </c>
      <c r="P78" s="50" t="s">
        <v>177</v>
      </c>
      <c r="Q78" s="53">
        <v>0.09</v>
      </c>
      <c r="R78" s="49">
        <f>60-12</f>
        <v>48</v>
      </c>
      <c r="S78" s="49">
        <v>12</v>
      </c>
      <c r="T78" s="54">
        <f t="shared" si="238"/>
        <v>60</v>
      </c>
      <c r="U78" s="55">
        <v>69540</v>
      </c>
      <c r="V78" s="49">
        <v>7.02</v>
      </c>
      <c r="W78" s="56">
        <f t="shared" si="177"/>
        <v>8.5470085470085468</v>
      </c>
      <c r="X78" s="49" t="s">
        <v>163</v>
      </c>
      <c r="Y78" s="57" t="s">
        <v>162</v>
      </c>
      <c r="Z78" s="58">
        <v>6708250</v>
      </c>
      <c r="AA78" s="114">
        <v>4.9500000000000002E-2</v>
      </c>
      <c r="AB78" s="59">
        <v>17</v>
      </c>
      <c r="AC78" s="60">
        <v>35</v>
      </c>
      <c r="AD78" s="61">
        <v>4.9500000000000002E-2</v>
      </c>
      <c r="AE78" s="62">
        <v>6708000</v>
      </c>
      <c r="AF78" s="63">
        <v>1.0900000000000001</v>
      </c>
      <c r="AG78" s="59"/>
      <c r="AH78" s="60"/>
      <c r="AI78" s="61"/>
      <c r="AJ78" s="64"/>
      <c r="AK78" s="65">
        <f t="shared" si="178"/>
        <v>6708000</v>
      </c>
      <c r="AL78" s="62">
        <v>250</v>
      </c>
      <c r="AM78" s="49" t="s">
        <v>163</v>
      </c>
      <c r="AN78" s="67">
        <v>0.89</v>
      </c>
      <c r="AO78" s="62">
        <v>8772935</v>
      </c>
      <c r="AP78" s="62">
        <v>0</v>
      </c>
      <c r="AQ78" s="68">
        <v>1073935</v>
      </c>
      <c r="AR78" s="69">
        <f t="shared" si="179"/>
        <v>111800</v>
      </c>
      <c r="AS78" s="70" t="str">
        <f>IFERROR(IF(#REF!&gt;0,#REF!/T78,""),"")</f>
        <v/>
      </c>
      <c r="AT78" s="70">
        <f t="shared" si="180"/>
        <v>146215.58333333334</v>
      </c>
      <c r="AU78" s="70">
        <f t="shared" si="181"/>
        <v>4.166666666666667</v>
      </c>
      <c r="AV78" s="71">
        <f t="shared" si="182"/>
        <v>17898.916666666668</v>
      </c>
      <c r="AW78" s="115">
        <f t="shared" si="183"/>
        <v>144900</v>
      </c>
      <c r="AX78" s="116">
        <f t="shared" si="184"/>
        <v>125.02157031924072</v>
      </c>
      <c r="AY78" s="72">
        <f t="shared" si="185"/>
        <v>173441.66666666669</v>
      </c>
      <c r="AZ78" s="73">
        <f t="shared" si="186"/>
        <v>149.64768478573481</v>
      </c>
      <c r="BA78" s="66">
        <v>1226449</v>
      </c>
      <c r="BB78" s="62">
        <v>2005920</v>
      </c>
      <c r="BC78" s="62">
        <v>6688080</v>
      </c>
      <c r="BD78" s="62">
        <v>495500</v>
      </c>
      <c r="BE78" s="62">
        <v>1217000</v>
      </c>
      <c r="BF78" s="62">
        <v>839598</v>
      </c>
      <c r="BG78" s="62">
        <v>893450</v>
      </c>
      <c r="BH78" s="62">
        <v>1715000</v>
      </c>
      <c r="BI78" s="62">
        <v>400188</v>
      </c>
      <c r="BJ78" s="47">
        <f t="shared" si="187"/>
        <v>15481185</v>
      </c>
      <c r="BK78" s="69">
        <f t="shared" si="165"/>
        <v>20440.816666666666</v>
      </c>
      <c r="BL78" s="70">
        <f t="shared" si="166"/>
        <v>33432</v>
      </c>
      <c r="BM78" s="70">
        <f t="shared" si="167"/>
        <v>111468</v>
      </c>
      <c r="BN78" s="70">
        <f t="shared" si="168"/>
        <v>8258.3333333333339</v>
      </c>
      <c r="BO78" s="70">
        <f t="shared" si="169"/>
        <v>20283.333333333332</v>
      </c>
      <c r="BP78" s="70">
        <f t="shared" si="175"/>
        <v>13993.3</v>
      </c>
      <c r="BQ78" s="70">
        <f t="shared" si="188"/>
        <v>14890.833333333334</v>
      </c>
      <c r="BR78" s="70">
        <f t="shared" si="159"/>
        <v>28583.333333333332</v>
      </c>
      <c r="BS78" s="70">
        <f t="shared" si="160"/>
        <v>6669.8</v>
      </c>
      <c r="BT78" s="71">
        <f t="shared" si="161"/>
        <v>258019.75</v>
      </c>
      <c r="BU78" s="65">
        <f t="shared" si="170"/>
        <v>17.636597641645096</v>
      </c>
      <c r="BV78" s="48">
        <f t="shared" si="171"/>
        <v>28.84555651423641</v>
      </c>
      <c r="BW78" s="48">
        <f t="shared" si="172"/>
        <v>96.176013805004317</v>
      </c>
      <c r="BX78" s="48">
        <f t="shared" si="173"/>
        <v>7.1253954558527468</v>
      </c>
      <c r="BY78" s="48">
        <f t="shared" si="174"/>
        <v>17.500719010641358</v>
      </c>
      <c r="BZ78" s="48">
        <f t="shared" si="176"/>
        <v>12.073597929249352</v>
      </c>
      <c r="CA78" s="48">
        <f t="shared" si="189"/>
        <v>12.848001150417026</v>
      </c>
      <c r="CB78" s="48">
        <f t="shared" si="162"/>
        <v>24.662064998561977</v>
      </c>
      <c r="CC78" s="48">
        <f t="shared" si="163"/>
        <v>5.754788610871441</v>
      </c>
      <c r="CD78" s="47">
        <f t="shared" si="164"/>
        <v>222.62273511647973</v>
      </c>
      <c r="CE78" s="66">
        <v>905976</v>
      </c>
      <c r="CF78" s="62">
        <v>7200</v>
      </c>
      <c r="CG78" s="74">
        <v>-68488</v>
      </c>
      <c r="CH78" s="75">
        <f t="shared" si="190"/>
        <v>844688</v>
      </c>
      <c r="CI78" s="62">
        <f>21197+10000+1920</f>
        <v>33117</v>
      </c>
      <c r="CJ78" s="62">
        <v>42234</v>
      </c>
      <c r="CK78" s="62">
        <v>101400</v>
      </c>
      <c r="CL78" s="62">
        <v>39000</v>
      </c>
      <c r="CM78" s="62">
        <f>15000+69500</f>
        <v>84500</v>
      </c>
      <c r="CN78" s="62">
        <v>44202</v>
      </c>
      <c r="CO78" s="62">
        <v>48000</v>
      </c>
      <c r="CP78" s="75">
        <f t="shared" si="239"/>
        <v>392453</v>
      </c>
      <c r="CQ78" s="62">
        <v>15000</v>
      </c>
      <c r="CR78" s="75">
        <f t="shared" si="240"/>
        <v>407453</v>
      </c>
      <c r="CS78" s="75">
        <f t="shared" si="191"/>
        <v>452235</v>
      </c>
      <c r="CT78" s="62">
        <v>403690</v>
      </c>
      <c r="CU78" s="47">
        <f t="shared" si="192"/>
        <v>48545</v>
      </c>
      <c r="CV78" s="76">
        <f t="shared" si="193"/>
        <v>0.53538703047752545</v>
      </c>
      <c r="CW78" s="75">
        <f t="shared" si="194"/>
        <v>6790.8833333333332</v>
      </c>
      <c r="CX78" s="77">
        <f t="shared" si="195"/>
        <v>0.48237100562574586</v>
      </c>
      <c r="CY78" s="75">
        <f t="shared" si="196"/>
        <v>809.08333333333337</v>
      </c>
      <c r="CZ78" s="77">
        <f t="shared" si="197"/>
        <v>5.7470924175553578E-2</v>
      </c>
      <c r="DA78" s="77">
        <f t="shared" si="198"/>
        <v>0.47791610630197184</v>
      </c>
      <c r="DB78" s="47">
        <f t="shared" si="199"/>
        <v>111800</v>
      </c>
      <c r="DC78" s="69">
        <f t="shared" si="200"/>
        <v>15099.6</v>
      </c>
      <c r="DD78" s="70">
        <f t="shared" si="201"/>
        <v>120</v>
      </c>
      <c r="DE78" s="70">
        <f t="shared" si="202"/>
        <v>-1141.4666666666667</v>
      </c>
      <c r="DF78" s="70">
        <f t="shared" si="203"/>
        <v>14078.133333333333</v>
      </c>
      <c r="DG78" s="70">
        <f t="shared" si="204"/>
        <v>551.95000000000005</v>
      </c>
      <c r="DH78" s="70">
        <f t="shared" si="205"/>
        <v>703.9</v>
      </c>
      <c r="DI78" s="70">
        <f t="shared" si="206"/>
        <v>1690</v>
      </c>
      <c r="DJ78" s="70">
        <f t="shared" si="207"/>
        <v>650</v>
      </c>
      <c r="DK78" s="70">
        <f t="shared" si="208"/>
        <v>1408.3333333333333</v>
      </c>
      <c r="DL78" s="70">
        <f t="shared" si="209"/>
        <v>736.7</v>
      </c>
      <c r="DM78" s="70">
        <f t="shared" si="210"/>
        <v>800</v>
      </c>
      <c r="DN78" s="70">
        <f t="shared" si="211"/>
        <v>6540.8833333333332</v>
      </c>
      <c r="DO78" s="70">
        <f t="shared" si="212"/>
        <v>250</v>
      </c>
      <c r="DP78" s="70">
        <f t="shared" si="213"/>
        <v>6790.8833333333332</v>
      </c>
      <c r="DQ78" s="70">
        <f t="shared" si="214"/>
        <v>7537.25</v>
      </c>
      <c r="DR78" s="70">
        <f t="shared" si="215"/>
        <v>6728.166666666667</v>
      </c>
      <c r="DS78" s="71">
        <f t="shared" si="216"/>
        <v>809.08333333333337</v>
      </c>
      <c r="DT78" s="106">
        <f t="shared" si="217"/>
        <v>1.0725569677798192</v>
      </c>
      <c r="DU78" s="92">
        <f t="shared" si="218"/>
        <v>8.5238573295702089E-3</v>
      </c>
      <c r="DV78" s="92" t="str">
        <f t="shared" si="219"/>
        <v/>
      </c>
      <c r="DW78" s="92">
        <f t="shared" si="220"/>
        <v>1</v>
      </c>
      <c r="DX78" s="92">
        <f t="shared" si="221"/>
        <v>3.9206192108802301E-2</v>
      </c>
      <c r="DY78" s="92">
        <f t="shared" si="222"/>
        <v>4.9999526452370581E-2</v>
      </c>
      <c r="DZ78" s="92">
        <f t="shared" si="223"/>
        <v>0.12004432405811377</v>
      </c>
      <c r="EA78" s="92">
        <f t="shared" si="224"/>
        <v>4.6170893868505293E-2</v>
      </c>
      <c r="EB78" s="92">
        <f t="shared" si="225"/>
        <v>0.10003693671509481</v>
      </c>
      <c r="EC78" s="92">
        <f t="shared" si="226"/>
        <v>5.2329380789119771E-2</v>
      </c>
      <c r="ED78" s="92">
        <f t="shared" si="227"/>
        <v>5.6825715530468057E-2</v>
      </c>
      <c r="EE78" s="92">
        <f t="shared" si="228"/>
        <v>0.46461296952247455</v>
      </c>
      <c r="EF78" s="92">
        <f t="shared" si="229"/>
        <v>1.7758036103271268E-2</v>
      </c>
      <c r="EG78" s="92">
        <f t="shared" si="230"/>
        <v>0.48237100562574586</v>
      </c>
      <c r="EH78" s="92">
        <f t="shared" si="231"/>
        <v>0.53538703047752545</v>
      </c>
      <c r="EI78" s="92">
        <f t="shared" si="232"/>
        <v>0.47791610630197184</v>
      </c>
      <c r="EJ78" s="122">
        <f t="shared" si="233"/>
        <v>5.7470924175553578E-2</v>
      </c>
    </row>
    <row r="79" spans="2:140" ht="12" hidden="1" customHeight="1" outlineLevel="1">
      <c r="B79" s="121">
        <v>44974</v>
      </c>
      <c r="C79" s="117" t="s">
        <v>530</v>
      </c>
      <c r="D79" s="50" t="s">
        <v>531</v>
      </c>
      <c r="E79" s="50" t="s">
        <v>532</v>
      </c>
      <c r="F79" s="50" t="s">
        <v>533</v>
      </c>
      <c r="G79" s="50" t="s">
        <v>534</v>
      </c>
      <c r="H79" s="50" t="s">
        <v>182</v>
      </c>
      <c r="I79" s="50" t="s">
        <v>182</v>
      </c>
      <c r="J79" s="52" t="s">
        <v>254</v>
      </c>
      <c r="K79" s="50" t="s">
        <v>255</v>
      </c>
      <c r="L79" s="49">
        <v>4</v>
      </c>
      <c r="M79" s="50" t="s">
        <v>159</v>
      </c>
      <c r="N79" s="50" t="s">
        <v>244</v>
      </c>
      <c r="O79" s="50" t="s">
        <v>160</v>
      </c>
      <c r="P79" s="50" t="s">
        <v>177</v>
      </c>
      <c r="Q79" s="53">
        <v>0.09</v>
      </c>
      <c r="R79" s="49">
        <v>60</v>
      </c>
      <c r="S79" s="49">
        <v>0</v>
      </c>
      <c r="T79" s="54">
        <f t="shared" si="238"/>
        <v>60</v>
      </c>
      <c r="U79" s="55">
        <v>43400</v>
      </c>
      <c r="V79" s="49">
        <v>3.49</v>
      </c>
      <c r="W79" s="56">
        <f t="shared" si="177"/>
        <v>17.191977077363894</v>
      </c>
      <c r="X79" s="49" t="s">
        <v>163</v>
      </c>
      <c r="Y79" s="57" t="s">
        <v>162</v>
      </c>
      <c r="Z79" s="58">
        <v>3200500</v>
      </c>
      <c r="AA79" s="114">
        <v>3.2500000000000001E-2</v>
      </c>
      <c r="AB79" s="59">
        <v>40</v>
      </c>
      <c r="AC79" s="60">
        <v>40</v>
      </c>
      <c r="AD79" s="61">
        <v>3.2500000000000001E-2</v>
      </c>
      <c r="AE79" s="62">
        <v>3200000</v>
      </c>
      <c r="AF79" s="63">
        <v>1.2</v>
      </c>
      <c r="AG79" s="59"/>
      <c r="AH79" s="60"/>
      <c r="AI79" s="61"/>
      <c r="AJ79" s="64"/>
      <c r="AK79" s="65">
        <f t="shared" si="178"/>
        <v>3200000</v>
      </c>
      <c r="AL79" s="62">
        <v>500</v>
      </c>
      <c r="AM79" s="49" t="s">
        <v>163</v>
      </c>
      <c r="AN79" s="67">
        <v>0.89</v>
      </c>
      <c r="AO79" s="62">
        <v>9301050</v>
      </c>
      <c r="AP79" s="62">
        <v>0</v>
      </c>
      <c r="AQ79" s="68">
        <v>511683</v>
      </c>
      <c r="AR79" s="69">
        <f t="shared" si="179"/>
        <v>53333.333333333336</v>
      </c>
      <c r="AS79" s="70" t="str">
        <f>IFERROR(IF(#REF!&gt;0,#REF!/T79,""),"")</f>
        <v/>
      </c>
      <c r="AT79" s="70">
        <f t="shared" si="180"/>
        <v>155017.5</v>
      </c>
      <c r="AU79" s="70">
        <f t="shared" si="181"/>
        <v>8.3333333333333339</v>
      </c>
      <c r="AV79" s="71">
        <f t="shared" si="182"/>
        <v>8528.0499999999993</v>
      </c>
      <c r="AW79" s="115">
        <f t="shared" si="183"/>
        <v>125194.78333333334</v>
      </c>
      <c r="AX79" s="116">
        <f t="shared" si="184"/>
        <v>173.08034562211981</v>
      </c>
      <c r="AY79" s="72">
        <f t="shared" si="185"/>
        <v>146967.03333333333</v>
      </c>
      <c r="AZ79" s="73">
        <f t="shared" si="186"/>
        <v>203.18023041474655</v>
      </c>
      <c r="BA79" s="66">
        <v>1064171</v>
      </c>
      <c r="BB79" s="62">
        <v>1390482</v>
      </c>
      <c r="BC79" s="62">
        <v>6121205</v>
      </c>
      <c r="BD79" s="62">
        <v>375584</v>
      </c>
      <c r="BE79" s="62">
        <v>930751</v>
      </c>
      <c r="BF79" s="62">
        <v>525725</v>
      </c>
      <c r="BG79" s="62">
        <v>807095</v>
      </c>
      <c r="BH79" s="62">
        <v>1088845</v>
      </c>
      <c r="BI79" s="62">
        <v>197693</v>
      </c>
      <c r="BJ79" s="47">
        <f t="shared" si="187"/>
        <v>12501551</v>
      </c>
      <c r="BK79" s="69">
        <f t="shared" si="165"/>
        <v>17736.183333333334</v>
      </c>
      <c r="BL79" s="70">
        <f t="shared" si="166"/>
        <v>23174.7</v>
      </c>
      <c r="BM79" s="70">
        <f t="shared" si="167"/>
        <v>102020.08333333333</v>
      </c>
      <c r="BN79" s="70">
        <f t="shared" si="168"/>
        <v>6259.7333333333336</v>
      </c>
      <c r="BO79" s="70">
        <f t="shared" si="169"/>
        <v>15512.516666666666</v>
      </c>
      <c r="BP79" s="70">
        <f t="shared" si="175"/>
        <v>8762.0833333333339</v>
      </c>
      <c r="BQ79" s="70">
        <f t="shared" si="188"/>
        <v>13451.583333333334</v>
      </c>
      <c r="BR79" s="70">
        <f t="shared" si="159"/>
        <v>18147.416666666668</v>
      </c>
      <c r="BS79" s="70">
        <f t="shared" si="160"/>
        <v>3294.8833333333332</v>
      </c>
      <c r="BT79" s="71">
        <f t="shared" si="161"/>
        <v>208359.18333333332</v>
      </c>
      <c r="BU79" s="65">
        <f t="shared" si="170"/>
        <v>24.520069124423962</v>
      </c>
      <c r="BV79" s="48">
        <f t="shared" si="171"/>
        <v>32.038755760368666</v>
      </c>
      <c r="BW79" s="48">
        <f t="shared" si="172"/>
        <v>141.04158986175116</v>
      </c>
      <c r="BX79" s="48">
        <f t="shared" si="173"/>
        <v>8.654009216589861</v>
      </c>
      <c r="BY79" s="48">
        <f t="shared" si="174"/>
        <v>21.445875576036865</v>
      </c>
      <c r="BZ79" s="48">
        <f t="shared" si="176"/>
        <v>12.113479262672811</v>
      </c>
      <c r="CA79" s="48">
        <f t="shared" si="189"/>
        <v>18.596658986175115</v>
      </c>
      <c r="CB79" s="48">
        <f t="shared" si="162"/>
        <v>25.088594470046083</v>
      </c>
      <c r="CC79" s="48">
        <f t="shared" si="163"/>
        <v>4.5551382488479266</v>
      </c>
      <c r="CD79" s="47">
        <f t="shared" si="164"/>
        <v>288.05417050691244</v>
      </c>
      <c r="CE79" s="66">
        <v>450384</v>
      </c>
      <c r="CF79" s="62">
        <v>14400</v>
      </c>
      <c r="CG79" s="74">
        <v>-34859</v>
      </c>
      <c r="CH79" s="75">
        <f t="shared" si="190"/>
        <v>429925</v>
      </c>
      <c r="CI79" s="62">
        <f>23100+2400</f>
        <v>25500</v>
      </c>
      <c r="CJ79" s="62">
        <v>21496</v>
      </c>
      <c r="CK79" s="62">
        <v>60000</v>
      </c>
      <c r="CL79" s="62">
        <v>37500</v>
      </c>
      <c r="CM79" s="62">
        <f>7500+24000</f>
        <v>31500</v>
      </c>
      <c r="CN79" s="62">
        <v>20500</v>
      </c>
      <c r="CO79" s="62">
        <v>40696</v>
      </c>
      <c r="CP79" s="75">
        <f t="shared" si="239"/>
        <v>237192</v>
      </c>
      <c r="CQ79" s="62">
        <v>15000</v>
      </c>
      <c r="CR79" s="75">
        <f t="shared" si="240"/>
        <v>252192</v>
      </c>
      <c r="CS79" s="75">
        <f t="shared" si="191"/>
        <v>192733</v>
      </c>
      <c r="CT79" s="62">
        <v>145466</v>
      </c>
      <c r="CU79" s="47">
        <f t="shared" si="192"/>
        <v>47267</v>
      </c>
      <c r="CV79" s="76">
        <f t="shared" si="193"/>
        <v>0.44829446996569167</v>
      </c>
      <c r="CW79" s="75">
        <f t="shared" si="194"/>
        <v>4203.2</v>
      </c>
      <c r="CX79" s="77">
        <f t="shared" si="195"/>
        <v>0.58659533639588302</v>
      </c>
      <c r="CY79" s="75">
        <f t="shared" si="196"/>
        <v>787.7833333333333</v>
      </c>
      <c r="CZ79" s="77">
        <f t="shared" si="197"/>
        <v>0.1099424318195034</v>
      </c>
      <c r="DA79" s="77">
        <f t="shared" si="198"/>
        <v>0.33835203814618831</v>
      </c>
      <c r="DB79" s="47">
        <f t="shared" si="199"/>
        <v>53333.333333333336</v>
      </c>
      <c r="DC79" s="69">
        <f t="shared" si="200"/>
        <v>7506.4</v>
      </c>
      <c r="DD79" s="70">
        <f t="shared" si="201"/>
        <v>240</v>
      </c>
      <c r="DE79" s="70">
        <f t="shared" si="202"/>
        <v>-580.98333333333335</v>
      </c>
      <c r="DF79" s="70">
        <f t="shared" si="203"/>
        <v>7165.416666666667</v>
      </c>
      <c r="DG79" s="70">
        <f t="shared" si="204"/>
        <v>425</v>
      </c>
      <c r="DH79" s="70">
        <f t="shared" si="205"/>
        <v>358.26666666666665</v>
      </c>
      <c r="DI79" s="70">
        <f t="shared" si="206"/>
        <v>1000</v>
      </c>
      <c r="DJ79" s="70">
        <f t="shared" si="207"/>
        <v>625</v>
      </c>
      <c r="DK79" s="70">
        <f t="shared" si="208"/>
        <v>525</v>
      </c>
      <c r="DL79" s="70">
        <f t="shared" si="209"/>
        <v>341.66666666666669</v>
      </c>
      <c r="DM79" s="70">
        <f t="shared" si="210"/>
        <v>678.26666666666665</v>
      </c>
      <c r="DN79" s="70">
        <f t="shared" si="211"/>
        <v>3953.2</v>
      </c>
      <c r="DO79" s="70">
        <f t="shared" si="212"/>
        <v>250</v>
      </c>
      <c r="DP79" s="70">
        <f t="shared" si="213"/>
        <v>4203.2</v>
      </c>
      <c r="DQ79" s="70">
        <f t="shared" si="214"/>
        <v>3212.2166666666667</v>
      </c>
      <c r="DR79" s="70">
        <f t="shared" si="215"/>
        <v>2424.4333333333334</v>
      </c>
      <c r="DS79" s="71">
        <f t="shared" si="216"/>
        <v>787.7833333333333</v>
      </c>
      <c r="DT79" s="106">
        <f t="shared" si="217"/>
        <v>1.047587369890097</v>
      </c>
      <c r="DU79" s="92">
        <f t="shared" si="218"/>
        <v>3.3494214107111703E-2</v>
      </c>
      <c r="DV79" s="92" t="str">
        <f t="shared" si="219"/>
        <v/>
      </c>
      <c r="DW79" s="92">
        <f t="shared" si="220"/>
        <v>1</v>
      </c>
      <c r="DX79" s="92">
        <f t="shared" si="221"/>
        <v>5.9312670814676977E-2</v>
      </c>
      <c r="DY79" s="92">
        <f t="shared" si="222"/>
        <v>4.9999418503227304E-2</v>
      </c>
      <c r="DZ79" s="92">
        <f t="shared" si="223"/>
        <v>0.13955922544629878</v>
      </c>
      <c r="EA79" s="92">
        <f t="shared" si="224"/>
        <v>8.7224515903936733E-2</v>
      </c>
      <c r="EB79" s="92">
        <f t="shared" si="225"/>
        <v>7.3268593359306855E-2</v>
      </c>
      <c r="EC79" s="92">
        <f t="shared" si="226"/>
        <v>4.7682735360818747E-2</v>
      </c>
      <c r="ED79" s="92">
        <f t="shared" si="227"/>
        <v>9.4658370646042919E-2</v>
      </c>
      <c r="EE79" s="92">
        <f t="shared" si="228"/>
        <v>0.55170553003430833</v>
      </c>
      <c r="EF79" s="92">
        <f t="shared" si="229"/>
        <v>3.4889806361574696E-2</v>
      </c>
      <c r="EG79" s="92">
        <f t="shared" si="230"/>
        <v>0.58659533639588302</v>
      </c>
      <c r="EH79" s="92">
        <f t="shared" si="231"/>
        <v>0.44829446996569167</v>
      </c>
      <c r="EI79" s="92">
        <f t="shared" si="232"/>
        <v>0.33835203814618831</v>
      </c>
      <c r="EJ79" s="122">
        <f t="shared" si="233"/>
        <v>0.1099424318195034</v>
      </c>
    </row>
    <row r="80" spans="2:140" ht="12" hidden="1" customHeight="1" outlineLevel="1">
      <c r="B80" s="121">
        <v>44974</v>
      </c>
      <c r="C80" s="117" t="s">
        <v>535</v>
      </c>
      <c r="D80" s="50" t="s">
        <v>536</v>
      </c>
      <c r="E80" s="50" t="s">
        <v>537</v>
      </c>
      <c r="F80" s="50" t="s">
        <v>538</v>
      </c>
      <c r="G80" s="50" t="s">
        <v>291</v>
      </c>
      <c r="H80" s="50" t="s">
        <v>539</v>
      </c>
      <c r="I80" s="50" t="s">
        <v>540</v>
      </c>
      <c r="J80" s="52" t="s">
        <v>541</v>
      </c>
      <c r="K80" s="50" t="s">
        <v>542</v>
      </c>
      <c r="L80" s="49">
        <v>11</v>
      </c>
      <c r="M80" s="50" t="s">
        <v>159</v>
      </c>
      <c r="N80" s="50" t="s">
        <v>160</v>
      </c>
      <c r="O80" s="50" t="s">
        <v>160</v>
      </c>
      <c r="P80" s="50" t="s">
        <v>273</v>
      </c>
      <c r="Q80" s="53">
        <v>0.09</v>
      </c>
      <c r="R80" s="49">
        <v>44</v>
      </c>
      <c r="S80" s="49">
        <v>0</v>
      </c>
      <c r="T80" s="54">
        <f t="shared" si="238"/>
        <v>44</v>
      </c>
      <c r="U80" s="55">
        <v>42994</v>
      </c>
      <c r="V80" s="49">
        <v>0.83</v>
      </c>
      <c r="W80" s="56">
        <f t="shared" si="177"/>
        <v>53.01204819277109</v>
      </c>
      <c r="X80" s="49" t="s">
        <v>163</v>
      </c>
      <c r="Y80" s="57" t="s">
        <v>162</v>
      </c>
      <c r="Z80" s="58">
        <v>1751000</v>
      </c>
      <c r="AA80" s="114">
        <f>(((1300000*0.05)/(Z80))+((450000*0.03)/(Z80))+((1000*0)/(Z80)))</f>
        <v>4.4831524842946884E-2</v>
      </c>
      <c r="AB80" s="59">
        <v>15</v>
      </c>
      <c r="AC80" s="60">
        <v>30</v>
      </c>
      <c r="AD80" s="61">
        <v>0.05</v>
      </c>
      <c r="AE80" s="62">
        <v>1300000</v>
      </c>
      <c r="AF80" s="63">
        <v>1.36</v>
      </c>
      <c r="AG80" s="59">
        <v>50</v>
      </c>
      <c r="AH80" s="60">
        <v>0</v>
      </c>
      <c r="AI80" s="61">
        <v>0.03</v>
      </c>
      <c r="AJ80" s="64">
        <v>450000</v>
      </c>
      <c r="AK80" s="65">
        <f t="shared" si="178"/>
        <v>1750000</v>
      </c>
      <c r="AL80" s="62">
        <v>1000</v>
      </c>
      <c r="AM80" s="49" t="s">
        <v>163</v>
      </c>
      <c r="AN80" s="67">
        <v>0.88</v>
      </c>
      <c r="AO80" s="62">
        <v>16798820</v>
      </c>
      <c r="AP80" s="62">
        <v>0</v>
      </c>
      <c r="AQ80" s="68">
        <v>267020</v>
      </c>
      <c r="AR80" s="69">
        <f t="shared" si="179"/>
        <v>39772.727272727272</v>
      </c>
      <c r="AS80" s="70" t="str">
        <f>IFERROR(IF(#REF!&gt;0,#REF!/T80,""),"")</f>
        <v/>
      </c>
      <c r="AT80" s="70">
        <f t="shared" si="180"/>
        <v>381791.36363636365</v>
      </c>
      <c r="AU80" s="70">
        <f t="shared" si="181"/>
        <v>22.727272727272727</v>
      </c>
      <c r="AV80" s="71">
        <f t="shared" si="182"/>
        <v>6068.636363636364</v>
      </c>
      <c r="AW80" s="115">
        <f t="shared" si="183"/>
        <v>211183.18181818182</v>
      </c>
      <c r="AX80" s="116">
        <f t="shared" si="184"/>
        <v>216.12457552216588</v>
      </c>
      <c r="AY80" s="72">
        <f t="shared" si="185"/>
        <v>265042.72727272729</v>
      </c>
      <c r="AZ80" s="73">
        <f t="shared" si="186"/>
        <v>271.24435967809461</v>
      </c>
      <c r="BA80" s="66">
        <v>780000</v>
      </c>
      <c r="BB80" s="62">
        <v>820000</v>
      </c>
      <c r="BC80" s="62">
        <v>8472060</v>
      </c>
      <c r="BD80" s="62">
        <v>933000</v>
      </c>
      <c r="BE80" s="62">
        <v>1436820</v>
      </c>
      <c r="BF80" s="62">
        <v>1714000</v>
      </c>
      <c r="BG80" s="62">
        <v>1445000</v>
      </c>
      <c r="BH80" s="62">
        <v>2760000</v>
      </c>
      <c r="BI80" s="62">
        <v>150000</v>
      </c>
      <c r="BJ80" s="47">
        <f t="shared" si="187"/>
        <v>18510880</v>
      </c>
      <c r="BK80" s="69">
        <f t="shared" si="165"/>
        <v>17727.272727272728</v>
      </c>
      <c r="BL80" s="70">
        <f t="shared" si="166"/>
        <v>18636.363636363636</v>
      </c>
      <c r="BM80" s="70">
        <f t="shared" si="167"/>
        <v>192546.81818181818</v>
      </c>
      <c r="BN80" s="70">
        <f t="shared" si="168"/>
        <v>21204.545454545456</v>
      </c>
      <c r="BO80" s="70">
        <f t="shared" si="169"/>
        <v>32655</v>
      </c>
      <c r="BP80" s="70">
        <f t="shared" si="175"/>
        <v>38954.545454545456</v>
      </c>
      <c r="BQ80" s="70">
        <f t="shared" si="188"/>
        <v>32840.909090909088</v>
      </c>
      <c r="BR80" s="70">
        <f t="shared" si="159"/>
        <v>62727.272727272728</v>
      </c>
      <c r="BS80" s="70">
        <f t="shared" si="160"/>
        <v>3409.090909090909</v>
      </c>
      <c r="BT80" s="71">
        <f t="shared" si="161"/>
        <v>420701.81818181818</v>
      </c>
      <c r="BU80" s="65">
        <f t="shared" si="170"/>
        <v>18.14206633483742</v>
      </c>
      <c r="BV80" s="48">
        <f t="shared" si="171"/>
        <v>19.072428710982926</v>
      </c>
      <c r="BW80" s="48">
        <f t="shared" si="172"/>
        <v>197.05214681118295</v>
      </c>
      <c r="BX80" s="48">
        <f t="shared" si="173"/>
        <v>21.700702423593992</v>
      </c>
      <c r="BY80" s="48">
        <f t="shared" si="174"/>
        <v>33.419081732334746</v>
      </c>
      <c r="BZ80" s="48">
        <f t="shared" si="176"/>
        <v>39.866027817835047</v>
      </c>
      <c r="CA80" s="48">
        <f t="shared" si="189"/>
        <v>33.6093408382565</v>
      </c>
      <c r="CB80" s="48">
        <f t="shared" si="162"/>
        <v>64.195003954040104</v>
      </c>
      <c r="CC80" s="48">
        <f t="shared" si="163"/>
        <v>3.4888589105456576</v>
      </c>
      <c r="CD80" s="47">
        <f t="shared" si="164"/>
        <v>430.54565753360936</v>
      </c>
      <c r="CE80" s="66">
        <v>383364</v>
      </c>
      <c r="CF80" s="62">
        <v>2500</v>
      </c>
      <c r="CG80" s="74">
        <v>-28940</v>
      </c>
      <c r="CH80" s="75">
        <f t="shared" si="190"/>
        <v>356924</v>
      </c>
      <c r="CI80" s="62">
        <f>21120+1760</f>
        <v>22880</v>
      </c>
      <c r="CJ80" s="62">
        <v>17864</v>
      </c>
      <c r="CK80" s="62">
        <v>55440</v>
      </c>
      <c r="CL80" s="62">
        <f>4400+47200</f>
        <v>51600</v>
      </c>
      <c r="CM80" s="62">
        <f>9200+20000</f>
        <v>29200</v>
      </c>
      <c r="CN80" s="62">
        <v>54624</v>
      </c>
      <c r="CO80" s="62">
        <v>0</v>
      </c>
      <c r="CP80" s="75">
        <f t="shared" si="239"/>
        <v>231608</v>
      </c>
      <c r="CQ80" s="62">
        <v>13200</v>
      </c>
      <c r="CR80" s="75">
        <f t="shared" si="240"/>
        <v>244808</v>
      </c>
      <c r="CS80" s="75">
        <f t="shared" si="191"/>
        <v>125316</v>
      </c>
      <c r="CT80" s="62">
        <f>2640+83744</f>
        <v>86384</v>
      </c>
      <c r="CU80" s="47">
        <f t="shared" si="192"/>
        <v>38932</v>
      </c>
      <c r="CV80" s="76">
        <f t="shared" si="193"/>
        <v>0.35109995405184297</v>
      </c>
      <c r="CW80" s="75">
        <f t="shared" si="194"/>
        <v>5563.818181818182</v>
      </c>
      <c r="CX80" s="77">
        <f t="shared" si="195"/>
        <v>0.68588270892402869</v>
      </c>
      <c r="CY80" s="75">
        <f t="shared" si="196"/>
        <v>884.81818181818187</v>
      </c>
      <c r="CZ80" s="77">
        <f t="shared" si="197"/>
        <v>0.10907644204368437</v>
      </c>
      <c r="DA80" s="77">
        <f t="shared" si="198"/>
        <v>0.24202351200815861</v>
      </c>
      <c r="DB80" s="47">
        <f t="shared" si="199"/>
        <v>39772.727272727272</v>
      </c>
      <c r="DC80" s="69">
        <f t="shared" si="200"/>
        <v>8712.818181818182</v>
      </c>
      <c r="DD80" s="70">
        <f t="shared" si="201"/>
        <v>56.81818181818182</v>
      </c>
      <c r="DE80" s="70">
        <f t="shared" si="202"/>
        <v>-657.72727272727275</v>
      </c>
      <c r="DF80" s="70">
        <f t="shared" si="203"/>
        <v>8111.909090909091</v>
      </c>
      <c r="DG80" s="70">
        <f t="shared" si="204"/>
        <v>520</v>
      </c>
      <c r="DH80" s="70">
        <f t="shared" si="205"/>
        <v>406</v>
      </c>
      <c r="DI80" s="70">
        <f t="shared" si="206"/>
        <v>1260</v>
      </c>
      <c r="DJ80" s="70">
        <f t="shared" si="207"/>
        <v>1172.7272727272727</v>
      </c>
      <c r="DK80" s="70">
        <f t="shared" si="208"/>
        <v>663.63636363636363</v>
      </c>
      <c r="DL80" s="70">
        <f t="shared" si="209"/>
        <v>1241.4545454545455</v>
      </c>
      <c r="DM80" s="70" t="str">
        <f t="shared" si="210"/>
        <v/>
      </c>
      <c r="DN80" s="70">
        <f t="shared" si="211"/>
        <v>5263.818181818182</v>
      </c>
      <c r="DO80" s="70">
        <f t="shared" si="212"/>
        <v>300</v>
      </c>
      <c r="DP80" s="70">
        <f t="shared" si="213"/>
        <v>5563.818181818182</v>
      </c>
      <c r="DQ80" s="70">
        <f t="shared" si="214"/>
        <v>2848.090909090909</v>
      </c>
      <c r="DR80" s="70">
        <f t="shared" si="215"/>
        <v>1963.2727272727273</v>
      </c>
      <c r="DS80" s="71">
        <f t="shared" si="216"/>
        <v>884.81818181818187</v>
      </c>
      <c r="DT80" s="106">
        <f t="shared" si="217"/>
        <v>1.0740773946274278</v>
      </c>
      <c r="DU80" s="92">
        <f t="shared" si="218"/>
        <v>7.004292230278715E-3</v>
      </c>
      <c r="DV80" s="92" t="str">
        <f t="shared" si="219"/>
        <v/>
      </c>
      <c r="DW80" s="92">
        <f t="shared" si="220"/>
        <v>1</v>
      </c>
      <c r="DX80" s="92">
        <f t="shared" si="221"/>
        <v>6.4103282491510802E-2</v>
      </c>
      <c r="DY80" s="92">
        <f t="shared" si="222"/>
        <v>5.0049870560679582E-2</v>
      </c>
      <c r="DZ80" s="92">
        <f t="shared" si="223"/>
        <v>0.15532718449866079</v>
      </c>
      <c r="EA80" s="92">
        <f t="shared" si="224"/>
        <v>0.14456859163295269</v>
      </c>
      <c r="EB80" s="92">
        <f t="shared" si="225"/>
        <v>8.1810133249655387E-2</v>
      </c>
      <c r="EC80" s="92">
        <f t="shared" si="226"/>
        <v>0.1530409835146978</v>
      </c>
      <c r="ED80" s="92" t="str">
        <f t="shared" si="227"/>
        <v/>
      </c>
      <c r="EE80" s="92">
        <f t="shared" si="228"/>
        <v>0.64890004594815698</v>
      </c>
      <c r="EF80" s="92">
        <f t="shared" si="229"/>
        <v>3.6982662975871612E-2</v>
      </c>
      <c r="EG80" s="92">
        <f t="shared" si="230"/>
        <v>0.68588270892402869</v>
      </c>
      <c r="EH80" s="92">
        <f t="shared" si="231"/>
        <v>0.35109995405184297</v>
      </c>
      <c r="EI80" s="92">
        <f t="shared" si="232"/>
        <v>0.24202351200815861</v>
      </c>
      <c r="EJ80" s="122">
        <f t="shared" si="233"/>
        <v>0.10907644204368437</v>
      </c>
    </row>
    <row r="81" spans="2:140" ht="12" hidden="1" customHeight="1" outlineLevel="1">
      <c r="B81" s="121">
        <v>44974</v>
      </c>
      <c r="C81" s="117" t="s">
        <v>543</v>
      </c>
      <c r="D81" s="50" t="s">
        <v>544</v>
      </c>
      <c r="E81" s="50" t="s">
        <v>545</v>
      </c>
      <c r="F81" s="50" t="s">
        <v>546</v>
      </c>
      <c r="G81" s="50" t="s">
        <v>291</v>
      </c>
      <c r="H81" s="50" t="s">
        <v>310</v>
      </c>
      <c r="I81" s="50" t="s">
        <v>547</v>
      </c>
      <c r="J81" s="52" t="s">
        <v>518</v>
      </c>
      <c r="K81" s="50" t="s">
        <v>548</v>
      </c>
      <c r="L81" s="49">
        <v>11</v>
      </c>
      <c r="M81" s="50" t="s">
        <v>159</v>
      </c>
      <c r="N81" s="50" t="s">
        <v>244</v>
      </c>
      <c r="O81" s="50" t="s">
        <v>160</v>
      </c>
      <c r="P81" s="50" t="s">
        <v>177</v>
      </c>
      <c r="Q81" s="53">
        <v>0.09</v>
      </c>
      <c r="R81" s="49">
        <v>80</v>
      </c>
      <c r="S81" s="49">
        <v>4</v>
      </c>
      <c r="T81" s="54">
        <f t="shared" si="238"/>
        <v>84</v>
      </c>
      <c r="U81" s="55">
        <v>67266</v>
      </c>
      <c r="V81" s="49">
        <v>4.0960000000000001</v>
      </c>
      <c r="W81" s="56">
        <f t="shared" si="177"/>
        <v>20.5078125</v>
      </c>
      <c r="X81" s="49" t="s">
        <v>163</v>
      </c>
      <c r="Y81" s="57" t="s">
        <v>162</v>
      </c>
      <c r="Z81" s="58">
        <v>3720500</v>
      </c>
      <c r="AA81" s="114">
        <v>4.4999999999999998E-2</v>
      </c>
      <c r="AB81" s="59">
        <v>15</v>
      </c>
      <c r="AC81" s="60">
        <v>35</v>
      </c>
      <c r="AD81" s="61">
        <v>4.4999999999999998E-2</v>
      </c>
      <c r="AE81" s="62">
        <v>3720000</v>
      </c>
      <c r="AF81" s="63">
        <v>1.2</v>
      </c>
      <c r="AG81" s="59"/>
      <c r="AH81" s="60"/>
      <c r="AI81" s="61"/>
      <c r="AJ81" s="64"/>
      <c r="AK81" s="65">
        <f t="shared" si="178"/>
        <v>3720000</v>
      </c>
      <c r="AL81" s="62">
        <v>500</v>
      </c>
      <c r="AM81" s="49" t="s">
        <v>163</v>
      </c>
      <c r="AN81" s="67">
        <v>0.89</v>
      </c>
      <c r="AO81" s="62">
        <v>14197349</v>
      </c>
      <c r="AP81" s="62">
        <v>0</v>
      </c>
      <c r="AQ81" s="68">
        <v>698699</v>
      </c>
      <c r="AR81" s="69">
        <f t="shared" si="179"/>
        <v>44285.714285714283</v>
      </c>
      <c r="AS81" s="70" t="str">
        <f>IFERROR(IF(#REF!&gt;0,#REF!/T81,""),"")</f>
        <v/>
      </c>
      <c r="AT81" s="70">
        <f t="shared" si="180"/>
        <v>169016.05952380953</v>
      </c>
      <c r="AU81" s="70">
        <f t="shared" si="181"/>
        <v>5.9523809523809526</v>
      </c>
      <c r="AV81" s="71">
        <f t="shared" si="182"/>
        <v>8317.8452380952385</v>
      </c>
      <c r="AW81" s="115">
        <f t="shared" si="183"/>
        <v>98655.511904761908</v>
      </c>
      <c r="AX81" s="116">
        <f t="shared" si="184"/>
        <v>123.1983914607677</v>
      </c>
      <c r="AY81" s="72">
        <f t="shared" si="185"/>
        <v>120339.98809523809</v>
      </c>
      <c r="AZ81" s="73">
        <f t="shared" si="186"/>
        <v>150.27739125263878</v>
      </c>
      <c r="BA81" s="66">
        <v>2509000</v>
      </c>
      <c r="BB81" s="62">
        <v>1822800</v>
      </c>
      <c r="BC81" s="62">
        <v>6464263</v>
      </c>
      <c r="BD81" s="62">
        <v>580094</v>
      </c>
      <c r="BE81" s="62">
        <v>1241402</v>
      </c>
      <c r="BF81" s="62">
        <v>1852402</v>
      </c>
      <c r="BG81" s="62">
        <v>1258218</v>
      </c>
      <c r="BH81" s="62">
        <v>1906337</v>
      </c>
      <c r="BI81" s="62">
        <v>283333</v>
      </c>
      <c r="BJ81" s="47">
        <f t="shared" si="187"/>
        <v>17917849</v>
      </c>
      <c r="BK81" s="69">
        <f t="shared" si="165"/>
        <v>29869.047619047618</v>
      </c>
      <c r="BL81" s="70">
        <f t="shared" si="166"/>
        <v>21700</v>
      </c>
      <c r="BM81" s="70">
        <f t="shared" si="167"/>
        <v>76955.511904761908</v>
      </c>
      <c r="BN81" s="70">
        <f t="shared" si="168"/>
        <v>6905.8809523809523</v>
      </c>
      <c r="BO81" s="70">
        <f t="shared" si="169"/>
        <v>14778.595238095239</v>
      </c>
      <c r="BP81" s="70">
        <f t="shared" si="175"/>
        <v>22052.404761904763</v>
      </c>
      <c r="BQ81" s="70">
        <f t="shared" si="188"/>
        <v>14978.785714285714</v>
      </c>
      <c r="BR81" s="70">
        <f t="shared" si="159"/>
        <v>22694.488095238095</v>
      </c>
      <c r="BS81" s="70">
        <f t="shared" si="160"/>
        <v>3373.0119047619046</v>
      </c>
      <c r="BT81" s="71">
        <f t="shared" si="161"/>
        <v>213307.72619047618</v>
      </c>
      <c r="BU81" s="65">
        <f t="shared" si="170"/>
        <v>37.2996759135373</v>
      </c>
      <c r="BV81" s="48">
        <f t="shared" si="171"/>
        <v>27.098385514227097</v>
      </c>
      <c r="BW81" s="48">
        <f t="shared" si="172"/>
        <v>96.100005946540605</v>
      </c>
      <c r="BX81" s="48">
        <f t="shared" si="173"/>
        <v>8.6238813070496239</v>
      </c>
      <c r="BY81" s="48">
        <f t="shared" si="174"/>
        <v>18.455118484821455</v>
      </c>
      <c r="BZ81" s="48">
        <f t="shared" si="176"/>
        <v>27.53845925133054</v>
      </c>
      <c r="CA81" s="48">
        <f t="shared" si="189"/>
        <v>18.705111051645705</v>
      </c>
      <c r="CB81" s="48">
        <f t="shared" si="162"/>
        <v>28.34027591948384</v>
      </c>
      <c r="CC81" s="48">
        <f t="shared" si="163"/>
        <v>4.2121279695537117</v>
      </c>
      <c r="CD81" s="47">
        <f t="shared" si="164"/>
        <v>266.37304135818988</v>
      </c>
      <c r="CE81" s="66">
        <v>638412</v>
      </c>
      <c r="CF81" s="62">
        <f>10080+10080</f>
        <v>20160</v>
      </c>
      <c r="CG81" s="74">
        <v>-49393</v>
      </c>
      <c r="CH81" s="75">
        <f t="shared" si="190"/>
        <v>609179</v>
      </c>
      <c r="CI81" s="62">
        <f>29450+11723+3200</f>
        <v>44373</v>
      </c>
      <c r="CJ81" s="62">
        <v>30459</v>
      </c>
      <c r="CK81" s="62">
        <v>85287</v>
      </c>
      <c r="CL81" s="62">
        <v>50500</v>
      </c>
      <c r="CM81" s="62">
        <f>11000+32680</f>
        <v>43680</v>
      </c>
      <c r="CN81" s="62">
        <v>27720</v>
      </c>
      <c r="CO81" s="62">
        <v>52385</v>
      </c>
      <c r="CP81" s="75">
        <f t="shared" si="239"/>
        <v>334404</v>
      </c>
      <c r="CQ81" s="62">
        <v>21000</v>
      </c>
      <c r="CR81" s="75">
        <f t="shared" si="240"/>
        <v>355404</v>
      </c>
      <c r="CS81" s="75">
        <f t="shared" si="191"/>
        <v>274775</v>
      </c>
      <c r="CT81" s="62">
        <v>211262</v>
      </c>
      <c r="CU81" s="47">
        <f t="shared" si="192"/>
        <v>63513</v>
      </c>
      <c r="CV81" s="76">
        <f t="shared" si="193"/>
        <v>0.45105789923815498</v>
      </c>
      <c r="CW81" s="75">
        <f t="shared" si="194"/>
        <v>4231</v>
      </c>
      <c r="CX81" s="77">
        <f t="shared" si="195"/>
        <v>0.58341472703425434</v>
      </c>
      <c r="CY81" s="75">
        <f t="shared" si="196"/>
        <v>756.10714285714289</v>
      </c>
      <c r="CZ81" s="77">
        <f t="shared" si="197"/>
        <v>0.10425999583045377</v>
      </c>
      <c r="DA81" s="77">
        <f t="shared" si="198"/>
        <v>0.34679790340770117</v>
      </c>
      <c r="DB81" s="47">
        <f t="shared" si="199"/>
        <v>44285.714285714283</v>
      </c>
      <c r="DC81" s="69">
        <f t="shared" si="200"/>
        <v>7600.1428571428569</v>
      </c>
      <c r="DD81" s="70">
        <f t="shared" si="201"/>
        <v>240</v>
      </c>
      <c r="DE81" s="70">
        <f t="shared" si="202"/>
        <v>-588.01190476190482</v>
      </c>
      <c r="DF81" s="70">
        <f t="shared" si="203"/>
        <v>7252.1309523809523</v>
      </c>
      <c r="DG81" s="70">
        <f t="shared" si="204"/>
        <v>528.25</v>
      </c>
      <c r="DH81" s="70">
        <f t="shared" si="205"/>
        <v>362.60714285714283</v>
      </c>
      <c r="DI81" s="70">
        <f t="shared" si="206"/>
        <v>1015.3214285714286</v>
      </c>
      <c r="DJ81" s="70">
        <f t="shared" si="207"/>
        <v>601.19047619047615</v>
      </c>
      <c r="DK81" s="70">
        <f t="shared" si="208"/>
        <v>520</v>
      </c>
      <c r="DL81" s="70">
        <f t="shared" si="209"/>
        <v>330</v>
      </c>
      <c r="DM81" s="70">
        <f t="shared" si="210"/>
        <v>623.63095238095241</v>
      </c>
      <c r="DN81" s="70">
        <f t="shared" si="211"/>
        <v>3981</v>
      </c>
      <c r="DO81" s="70">
        <f t="shared" si="212"/>
        <v>250</v>
      </c>
      <c r="DP81" s="70">
        <f t="shared" si="213"/>
        <v>4231</v>
      </c>
      <c r="DQ81" s="70">
        <f t="shared" si="214"/>
        <v>3271.1309523809523</v>
      </c>
      <c r="DR81" s="70">
        <f t="shared" si="215"/>
        <v>2515.0238095238096</v>
      </c>
      <c r="DS81" s="71">
        <f t="shared" si="216"/>
        <v>756.10714285714289</v>
      </c>
      <c r="DT81" s="106">
        <f t="shared" si="217"/>
        <v>1.0479875373248257</v>
      </c>
      <c r="DU81" s="92">
        <f t="shared" si="218"/>
        <v>3.3093721221512891E-2</v>
      </c>
      <c r="DV81" s="92" t="str">
        <f t="shared" si="219"/>
        <v/>
      </c>
      <c r="DW81" s="92">
        <f t="shared" si="220"/>
        <v>1</v>
      </c>
      <c r="DX81" s="92">
        <f t="shared" si="221"/>
        <v>7.2840659313600759E-2</v>
      </c>
      <c r="DY81" s="92">
        <f t="shared" si="222"/>
        <v>5.0000082077681599E-2</v>
      </c>
      <c r="DZ81" s="92">
        <f t="shared" si="223"/>
        <v>0.14000318461404612</v>
      </c>
      <c r="EA81" s="92">
        <f t="shared" si="224"/>
        <v>8.2898458416984164E-2</v>
      </c>
      <c r="EB81" s="92">
        <f t="shared" si="225"/>
        <v>7.1703062646611262E-2</v>
      </c>
      <c r="EC81" s="92">
        <f t="shared" si="226"/>
        <v>4.5503866679580222E-2</v>
      </c>
      <c r="ED81" s="92">
        <f t="shared" si="227"/>
        <v>8.5992787013340913E-2</v>
      </c>
      <c r="EE81" s="92">
        <f t="shared" si="228"/>
        <v>0.54894210076184502</v>
      </c>
      <c r="EF81" s="92">
        <f t="shared" si="229"/>
        <v>3.4472626272409261E-2</v>
      </c>
      <c r="EG81" s="92">
        <f t="shared" si="230"/>
        <v>0.58341472703425434</v>
      </c>
      <c r="EH81" s="92">
        <f t="shared" si="231"/>
        <v>0.45105789923815498</v>
      </c>
      <c r="EI81" s="92">
        <f t="shared" si="232"/>
        <v>0.34679790340770117</v>
      </c>
      <c r="EJ81" s="122">
        <f t="shared" si="233"/>
        <v>0.10425999583045377</v>
      </c>
    </row>
    <row r="82" spans="2:140" ht="12" hidden="1" customHeight="1" outlineLevel="1">
      <c r="B82" s="121">
        <v>44974</v>
      </c>
      <c r="C82" s="117" t="s">
        <v>549</v>
      </c>
      <c r="D82" s="50" t="s">
        <v>550</v>
      </c>
      <c r="E82" s="50" t="s">
        <v>532</v>
      </c>
      <c r="F82" s="50" t="s">
        <v>533</v>
      </c>
      <c r="G82" s="50" t="s">
        <v>534</v>
      </c>
      <c r="H82" s="50" t="s">
        <v>182</v>
      </c>
      <c r="I82" s="50" t="s">
        <v>182</v>
      </c>
      <c r="J82" s="52" t="s">
        <v>551</v>
      </c>
      <c r="K82" s="50" t="s">
        <v>552</v>
      </c>
      <c r="L82" s="49">
        <v>12</v>
      </c>
      <c r="M82" s="50" t="s">
        <v>159</v>
      </c>
      <c r="N82" s="50" t="s">
        <v>160</v>
      </c>
      <c r="O82" s="50" t="s">
        <v>160</v>
      </c>
      <c r="P82" s="50" t="s">
        <v>177</v>
      </c>
      <c r="Q82" s="53">
        <v>0.09</v>
      </c>
      <c r="R82" s="49">
        <f>72-14</f>
        <v>58</v>
      </c>
      <c r="S82" s="49">
        <v>14</v>
      </c>
      <c r="T82" s="54">
        <f t="shared" si="238"/>
        <v>72</v>
      </c>
      <c r="U82" s="55">
        <v>73360</v>
      </c>
      <c r="V82" s="49">
        <v>7.75</v>
      </c>
      <c r="W82" s="56">
        <f t="shared" si="177"/>
        <v>9.2903225806451619</v>
      </c>
      <c r="X82" s="49" t="s">
        <v>163</v>
      </c>
      <c r="Y82" s="57" t="s">
        <v>162</v>
      </c>
      <c r="Z82" s="58">
        <v>4659710</v>
      </c>
      <c r="AA82" s="114">
        <v>4.4999999999999998E-2</v>
      </c>
      <c r="AB82" s="59">
        <v>15</v>
      </c>
      <c r="AC82" s="60">
        <v>35</v>
      </c>
      <c r="AD82" s="61">
        <v>4.4999999999999998E-2</v>
      </c>
      <c r="AE82" s="62">
        <v>4659210</v>
      </c>
      <c r="AF82" s="63">
        <v>1.2</v>
      </c>
      <c r="AG82" s="59"/>
      <c r="AH82" s="60"/>
      <c r="AI82" s="61"/>
      <c r="AJ82" s="64"/>
      <c r="AK82" s="65">
        <f t="shared" si="178"/>
        <v>4659210</v>
      </c>
      <c r="AL82" s="62">
        <v>500</v>
      </c>
      <c r="AM82" s="49" t="s">
        <v>163</v>
      </c>
      <c r="AN82" s="67">
        <v>0.89</v>
      </c>
      <c r="AO82" s="62">
        <v>12377413</v>
      </c>
      <c r="AP82" s="62">
        <v>0</v>
      </c>
      <c r="AQ82" s="68">
        <v>425103</v>
      </c>
      <c r="AR82" s="69">
        <f t="shared" si="179"/>
        <v>64711.25</v>
      </c>
      <c r="AS82" s="70" t="str">
        <f>IFERROR(IF(#REF!&gt;0,#REF!/T82,""),"")</f>
        <v/>
      </c>
      <c r="AT82" s="70">
        <f t="shared" si="180"/>
        <v>171908.51388888888</v>
      </c>
      <c r="AU82" s="70">
        <f t="shared" si="181"/>
        <v>6.9444444444444446</v>
      </c>
      <c r="AV82" s="71">
        <f t="shared" si="182"/>
        <v>5904.208333333333</v>
      </c>
      <c r="AW82" s="115">
        <f t="shared" si="183"/>
        <v>151470.02777777778</v>
      </c>
      <c r="AX82" s="116">
        <f t="shared" si="184"/>
        <v>148.66196837513633</v>
      </c>
      <c r="AY82" s="72">
        <f t="shared" si="185"/>
        <v>177558.34722222222</v>
      </c>
      <c r="AZ82" s="73">
        <f t="shared" si="186"/>
        <v>174.26664394765541</v>
      </c>
      <c r="BA82" s="66">
        <v>200000</v>
      </c>
      <c r="BB82" s="62">
        <v>2864400</v>
      </c>
      <c r="BC82" s="62">
        <v>8041442</v>
      </c>
      <c r="BD82" s="62">
        <v>545292</v>
      </c>
      <c r="BE82" s="62">
        <v>1333067</v>
      </c>
      <c r="BF82" s="62">
        <v>547240</v>
      </c>
      <c r="BG82" s="62">
        <v>999235</v>
      </c>
      <c r="BH82" s="62">
        <v>2123292</v>
      </c>
      <c r="BI82" s="62">
        <v>283155</v>
      </c>
      <c r="BJ82" s="47">
        <f t="shared" si="187"/>
        <v>16937123</v>
      </c>
      <c r="BK82" s="69">
        <f t="shared" si="165"/>
        <v>2777.7777777777778</v>
      </c>
      <c r="BL82" s="70">
        <f t="shared" si="166"/>
        <v>39783.333333333336</v>
      </c>
      <c r="BM82" s="70">
        <f t="shared" si="167"/>
        <v>111686.69444444444</v>
      </c>
      <c r="BN82" s="70">
        <f t="shared" si="168"/>
        <v>7573.5</v>
      </c>
      <c r="BO82" s="70">
        <f t="shared" si="169"/>
        <v>18514.819444444445</v>
      </c>
      <c r="BP82" s="70">
        <f t="shared" si="175"/>
        <v>7600.5555555555557</v>
      </c>
      <c r="BQ82" s="70">
        <f t="shared" si="188"/>
        <v>13878.263888888889</v>
      </c>
      <c r="BR82" s="70">
        <f t="shared" si="159"/>
        <v>29490.166666666668</v>
      </c>
      <c r="BS82" s="70">
        <f t="shared" si="160"/>
        <v>3932.7083333333335</v>
      </c>
      <c r="BT82" s="71">
        <f t="shared" si="161"/>
        <v>235237.81944444444</v>
      </c>
      <c r="BU82" s="65">
        <f t="shared" si="170"/>
        <v>2.7262813522355507</v>
      </c>
      <c r="BV82" s="48">
        <f t="shared" si="171"/>
        <v>39.045801526717554</v>
      </c>
      <c r="BW82" s="48">
        <f t="shared" si="172"/>
        <v>109.61616684841876</v>
      </c>
      <c r="BX82" s="48">
        <f t="shared" si="173"/>
        <v>7.4330970556161393</v>
      </c>
      <c r="BY82" s="48">
        <f t="shared" si="174"/>
        <v>18.171578516902944</v>
      </c>
      <c r="BZ82" s="48">
        <f t="shared" si="176"/>
        <v>7.4596510359869139</v>
      </c>
      <c r="CA82" s="48">
        <f t="shared" si="189"/>
        <v>13.620978735005453</v>
      </c>
      <c r="CB82" s="48">
        <f t="shared" si="162"/>
        <v>28.943456924754635</v>
      </c>
      <c r="CC82" s="48">
        <f t="shared" si="163"/>
        <v>3.8598009814612868</v>
      </c>
      <c r="CD82" s="47">
        <f t="shared" si="164"/>
        <v>230.87681297709923</v>
      </c>
      <c r="CE82" s="66">
        <v>727783</v>
      </c>
      <c r="CF82" s="62">
        <v>12960</v>
      </c>
      <c r="CG82" s="74">
        <v>-55556</v>
      </c>
      <c r="CH82" s="75">
        <f t="shared" si="190"/>
        <v>685187</v>
      </c>
      <c r="CI82" s="62">
        <f>27720+0+2320</f>
        <v>30040</v>
      </c>
      <c r="CJ82" s="62">
        <v>34259</v>
      </c>
      <c r="CK82" s="62">
        <v>79200</v>
      </c>
      <c r="CL82" s="62">
        <v>43200</v>
      </c>
      <c r="CM82" s="62">
        <f>10800+36000</f>
        <v>46800</v>
      </c>
      <c r="CN82" s="62">
        <v>38147</v>
      </c>
      <c r="CO82" s="62">
        <v>78020</v>
      </c>
      <c r="CP82" s="75">
        <f t="shared" si="239"/>
        <v>349666</v>
      </c>
      <c r="CQ82" s="62">
        <v>18000</v>
      </c>
      <c r="CR82" s="75">
        <f t="shared" si="240"/>
        <v>367666</v>
      </c>
      <c r="CS82" s="75">
        <f t="shared" si="191"/>
        <v>335521</v>
      </c>
      <c r="CT82" s="62">
        <v>264600</v>
      </c>
      <c r="CU82" s="47">
        <f t="shared" si="192"/>
        <v>70921</v>
      </c>
      <c r="CV82" s="76">
        <f t="shared" si="193"/>
        <v>0.4896780003123235</v>
      </c>
      <c r="CW82" s="75">
        <f t="shared" si="194"/>
        <v>5106.4722222222226</v>
      </c>
      <c r="CX82" s="77">
        <f t="shared" si="195"/>
        <v>0.53659220037741517</v>
      </c>
      <c r="CY82" s="75">
        <f t="shared" si="196"/>
        <v>985.01388888888891</v>
      </c>
      <c r="CZ82" s="77">
        <f t="shared" si="197"/>
        <v>0.1035060501731644</v>
      </c>
      <c r="DA82" s="77">
        <f t="shared" si="198"/>
        <v>0.38617195013915911</v>
      </c>
      <c r="DB82" s="47">
        <f t="shared" si="199"/>
        <v>64711.25</v>
      </c>
      <c r="DC82" s="69">
        <f t="shared" si="200"/>
        <v>10108.097222222223</v>
      </c>
      <c r="DD82" s="70">
        <f t="shared" si="201"/>
        <v>180</v>
      </c>
      <c r="DE82" s="70">
        <f t="shared" si="202"/>
        <v>-771.61111111111109</v>
      </c>
      <c r="DF82" s="70">
        <f t="shared" si="203"/>
        <v>9516.4861111111113</v>
      </c>
      <c r="DG82" s="70">
        <f t="shared" si="204"/>
        <v>417.22222222222223</v>
      </c>
      <c r="DH82" s="70">
        <f t="shared" si="205"/>
        <v>475.81944444444446</v>
      </c>
      <c r="DI82" s="70">
        <f t="shared" si="206"/>
        <v>1100</v>
      </c>
      <c r="DJ82" s="70">
        <f t="shared" si="207"/>
        <v>600</v>
      </c>
      <c r="DK82" s="70">
        <f t="shared" si="208"/>
        <v>650</v>
      </c>
      <c r="DL82" s="70">
        <f t="shared" si="209"/>
        <v>529.81944444444446</v>
      </c>
      <c r="DM82" s="70">
        <f t="shared" si="210"/>
        <v>1083.6111111111111</v>
      </c>
      <c r="DN82" s="70">
        <f t="shared" si="211"/>
        <v>4856.4722222222226</v>
      </c>
      <c r="DO82" s="70">
        <f t="shared" si="212"/>
        <v>250</v>
      </c>
      <c r="DP82" s="70">
        <f t="shared" si="213"/>
        <v>5106.4722222222226</v>
      </c>
      <c r="DQ82" s="70">
        <f t="shared" si="214"/>
        <v>4660.0138888888887</v>
      </c>
      <c r="DR82" s="70">
        <f t="shared" si="215"/>
        <v>3675</v>
      </c>
      <c r="DS82" s="71">
        <f t="shared" si="216"/>
        <v>985.01388888888891</v>
      </c>
      <c r="DT82" s="106">
        <f t="shared" si="217"/>
        <v>1.0621669704766727</v>
      </c>
      <c r="DU82" s="92">
        <f t="shared" si="218"/>
        <v>1.8914544496611875E-2</v>
      </c>
      <c r="DV82" s="92" t="str">
        <f t="shared" si="219"/>
        <v/>
      </c>
      <c r="DW82" s="92">
        <f t="shared" si="220"/>
        <v>1</v>
      </c>
      <c r="DX82" s="92">
        <f t="shared" si="221"/>
        <v>4.3842046039986163E-2</v>
      </c>
      <c r="DY82" s="92">
        <f t="shared" si="222"/>
        <v>4.9999489190542146E-2</v>
      </c>
      <c r="DZ82" s="92">
        <f t="shared" si="223"/>
        <v>0.11558888303485033</v>
      </c>
      <c r="EA82" s="92">
        <f t="shared" si="224"/>
        <v>6.3048481655372912E-2</v>
      </c>
      <c r="EB82" s="92">
        <f t="shared" si="225"/>
        <v>6.830252179332065E-2</v>
      </c>
      <c r="EC82" s="92">
        <f t="shared" si="226"/>
        <v>5.5673852539525705E-2</v>
      </c>
      <c r="ED82" s="92">
        <f t="shared" si="227"/>
        <v>0.11386672543407858</v>
      </c>
      <c r="EE82" s="92">
        <f t="shared" si="228"/>
        <v>0.51032199968767655</v>
      </c>
      <c r="EF82" s="92">
        <f t="shared" si="229"/>
        <v>2.6270200689738715E-2</v>
      </c>
      <c r="EG82" s="92">
        <f t="shared" si="230"/>
        <v>0.53659220037741517</v>
      </c>
      <c r="EH82" s="92">
        <f t="shared" si="231"/>
        <v>0.4896780003123235</v>
      </c>
      <c r="EI82" s="92">
        <f t="shared" si="232"/>
        <v>0.38617195013915911</v>
      </c>
      <c r="EJ82" s="122">
        <f t="shared" si="233"/>
        <v>0.1035060501731644</v>
      </c>
    </row>
    <row r="83" spans="2:140" ht="11.1" hidden="1" customHeight="1" outlineLevel="1">
      <c r="B83" s="121">
        <v>44974</v>
      </c>
      <c r="C83" s="117" t="s">
        <v>553</v>
      </c>
      <c r="D83" s="50" t="s">
        <v>554</v>
      </c>
      <c r="E83" s="50" t="s">
        <v>240</v>
      </c>
      <c r="F83" s="50" t="s">
        <v>555</v>
      </c>
      <c r="G83" s="50" t="s">
        <v>162</v>
      </c>
      <c r="H83" s="50" t="s">
        <v>242</v>
      </c>
      <c r="I83" s="50" t="s">
        <v>556</v>
      </c>
      <c r="J83" s="52" t="s">
        <v>175</v>
      </c>
      <c r="K83" s="50" t="s">
        <v>176</v>
      </c>
      <c r="L83" s="49">
        <v>6</v>
      </c>
      <c r="M83" s="50" t="s">
        <v>159</v>
      </c>
      <c r="N83" s="50" t="s">
        <v>160</v>
      </c>
      <c r="O83" s="50" t="s">
        <v>160</v>
      </c>
      <c r="P83" s="50" t="s">
        <v>177</v>
      </c>
      <c r="Q83" s="53">
        <v>0.09</v>
      </c>
      <c r="R83" s="49">
        <v>90</v>
      </c>
      <c r="S83" s="49">
        <v>10</v>
      </c>
      <c r="T83" s="54">
        <f t="shared" si="238"/>
        <v>100</v>
      </c>
      <c r="U83" s="55">
        <v>88194</v>
      </c>
      <c r="V83" s="49">
        <v>2.79</v>
      </c>
      <c r="W83" s="56">
        <f t="shared" si="177"/>
        <v>35.842293906810035</v>
      </c>
      <c r="X83" s="49" t="s">
        <v>163</v>
      </c>
      <c r="Y83" s="57" t="s">
        <v>162</v>
      </c>
      <c r="Z83" s="58">
        <v>8050500</v>
      </c>
      <c r="AA83" s="114">
        <v>4.7100000000000003E-2</v>
      </c>
      <c r="AB83" s="59">
        <v>18</v>
      </c>
      <c r="AC83" s="60">
        <v>35</v>
      </c>
      <c r="AD83" s="61">
        <v>4.7100000000000003E-2</v>
      </c>
      <c r="AE83" s="62">
        <v>6500000</v>
      </c>
      <c r="AF83" s="63">
        <v>1.2</v>
      </c>
      <c r="AG83" s="59">
        <v>18</v>
      </c>
      <c r="AH83" s="60">
        <v>35</v>
      </c>
      <c r="AI83" s="61">
        <v>0</v>
      </c>
      <c r="AJ83" s="64">
        <v>1440000</v>
      </c>
      <c r="AK83" s="65">
        <f t="shared" si="178"/>
        <v>7940000</v>
      </c>
      <c r="AL83" s="62">
        <v>110500</v>
      </c>
      <c r="AM83" s="49" t="s">
        <v>163</v>
      </c>
      <c r="AN83" s="67">
        <v>0.95</v>
      </c>
      <c r="AO83" s="62">
        <v>14992213</v>
      </c>
      <c r="AP83" s="62">
        <v>0</v>
      </c>
      <c r="AQ83" s="68">
        <v>743138</v>
      </c>
      <c r="AR83" s="69">
        <f t="shared" si="179"/>
        <v>79400</v>
      </c>
      <c r="AS83" s="70" t="str">
        <f>IFERROR(IF(#REF!&gt;0,#REF!/T83,""),"")</f>
        <v/>
      </c>
      <c r="AT83" s="70">
        <f t="shared" si="180"/>
        <v>149922.13</v>
      </c>
      <c r="AU83" s="70">
        <f t="shared" si="181"/>
        <v>1105</v>
      </c>
      <c r="AV83" s="71">
        <f t="shared" si="182"/>
        <v>7431.38</v>
      </c>
      <c r="AW83" s="115">
        <f t="shared" si="183"/>
        <v>92625.23</v>
      </c>
      <c r="AX83" s="116">
        <f t="shared" si="184"/>
        <v>105.02441209152551</v>
      </c>
      <c r="AY83" s="72">
        <f t="shared" si="185"/>
        <v>111322.18999999999</v>
      </c>
      <c r="AZ83" s="73">
        <f t="shared" si="186"/>
        <v>126.22422160237659</v>
      </c>
      <c r="BA83" s="66">
        <v>7300000</v>
      </c>
      <c r="BB83" s="62">
        <v>1716800</v>
      </c>
      <c r="BC83" s="62">
        <v>7545723</v>
      </c>
      <c r="BD83" s="62">
        <v>522415</v>
      </c>
      <c r="BE83" s="62">
        <v>1347281</v>
      </c>
      <c r="BF83" s="62">
        <v>1175300</v>
      </c>
      <c r="BG83" s="62">
        <v>1043750</v>
      </c>
      <c r="BH83" s="62">
        <v>1935000</v>
      </c>
      <c r="BI83" s="62">
        <v>455944</v>
      </c>
      <c r="BJ83" s="47">
        <f t="shared" si="187"/>
        <v>23042213</v>
      </c>
      <c r="BK83" s="69">
        <f t="shared" si="165"/>
        <v>73000</v>
      </c>
      <c r="BL83" s="70">
        <f t="shared" si="166"/>
        <v>17168</v>
      </c>
      <c r="BM83" s="70">
        <f t="shared" si="167"/>
        <v>75457.23</v>
      </c>
      <c r="BN83" s="70">
        <f t="shared" si="168"/>
        <v>5224.1499999999996</v>
      </c>
      <c r="BO83" s="70">
        <f t="shared" si="169"/>
        <v>13472.81</v>
      </c>
      <c r="BP83" s="70">
        <f t="shared" si="175"/>
        <v>11753</v>
      </c>
      <c r="BQ83" s="70">
        <f t="shared" si="188"/>
        <v>10437.5</v>
      </c>
      <c r="BR83" s="70">
        <f t="shared" si="159"/>
        <v>19350</v>
      </c>
      <c r="BS83" s="70">
        <f t="shared" si="160"/>
        <v>4559.4399999999996</v>
      </c>
      <c r="BT83" s="71">
        <f t="shared" si="161"/>
        <v>230422.13</v>
      </c>
      <c r="BU83" s="65">
        <f t="shared" si="170"/>
        <v>82.772070662403337</v>
      </c>
      <c r="BV83" s="48">
        <f t="shared" si="171"/>
        <v>19.466176837426584</v>
      </c>
      <c r="BW83" s="48">
        <f t="shared" si="172"/>
        <v>85.558235254098918</v>
      </c>
      <c r="BX83" s="48">
        <f t="shared" si="173"/>
        <v>5.9234755198766358</v>
      </c>
      <c r="BY83" s="48">
        <f t="shared" si="174"/>
        <v>15.276333990974443</v>
      </c>
      <c r="BZ83" s="48">
        <f t="shared" si="176"/>
        <v>13.326303376646937</v>
      </c>
      <c r="CA83" s="48">
        <f t="shared" si="189"/>
        <v>11.834705308751163</v>
      </c>
      <c r="CB83" s="48">
        <f t="shared" si="162"/>
        <v>21.940268045445269</v>
      </c>
      <c r="CC83" s="48">
        <f t="shared" si="163"/>
        <v>5.1697847926162774</v>
      </c>
      <c r="CD83" s="47">
        <f t="shared" si="164"/>
        <v>261.26735378823957</v>
      </c>
      <c r="CE83" s="66">
        <v>1052688</v>
      </c>
      <c r="CF83" s="62">
        <v>12000</v>
      </c>
      <c r="CG83" s="74">
        <v>-79852</v>
      </c>
      <c r="CH83" s="75">
        <f t="shared" si="190"/>
        <v>984836</v>
      </c>
      <c r="CI83" s="62">
        <f>40500+4000+3600</f>
        <v>48100</v>
      </c>
      <c r="CJ83" s="62">
        <v>49439</v>
      </c>
      <c r="CK83" s="62">
        <v>140000</v>
      </c>
      <c r="CL83" s="62">
        <v>46000</v>
      </c>
      <c r="CM83" s="62">
        <f>25000+34000</f>
        <v>59000</v>
      </c>
      <c r="CN83" s="62">
        <v>70000</v>
      </c>
      <c r="CO83" s="62">
        <v>87000</v>
      </c>
      <c r="CP83" s="75">
        <f t="shared" si="239"/>
        <v>499539</v>
      </c>
      <c r="CQ83" s="62">
        <v>30000</v>
      </c>
      <c r="CR83" s="75">
        <f t="shared" si="240"/>
        <v>529539</v>
      </c>
      <c r="CS83" s="75">
        <f t="shared" si="191"/>
        <v>485297</v>
      </c>
      <c r="CT83" s="62">
        <v>379349</v>
      </c>
      <c r="CU83" s="47">
        <f t="shared" si="192"/>
        <v>105948</v>
      </c>
      <c r="CV83" s="76">
        <f t="shared" si="193"/>
        <v>0.49276935449150927</v>
      </c>
      <c r="CW83" s="75">
        <f t="shared" si="194"/>
        <v>5295.39</v>
      </c>
      <c r="CX83" s="77">
        <f t="shared" si="195"/>
        <v>0.53769257013350447</v>
      </c>
      <c r="CY83" s="75">
        <f t="shared" si="196"/>
        <v>1059.48</v>
      </c>
      <c r="CZ83" s="77">
        <f t="shared" si="197"/>
        <v>0.10757933300569841</v>
      </c>
      <c r="DA83" s="77">
        <f t="shared" si="198"/>
        <v>0.38519002148581083</v>
      </c>
      <c r="DB83" s="47">
        <f t="shared" si="199"/>
        <v>79400</v>
      </c>
      <c r="DC83" s="69">
        <f t="shared" si="200"/>
        <v>10526.88</v>
      </c>
      <c r="DD83" s="70">
        <f t="shared" si="201"/>
        <v>120</v>
      </c>
      <c r="DE83" s="70">
        <f t="shared" si="202"/>
        <v>-798.52</v>
      </c>
      <c r="DF83" s="70">
        <f t="shared" si="203"/>
        <v>9848.36</v>
      </c>
      <c r="DG83" s="70">
        <f t="shared" si="204"/>
        <v>481</v>
      </c>
      <c r="DH83" s="70">
        <f t="shared" si="205"/>
        <v>494.39</v>
      </c>
      <c r="DI83" s="70">
        <f t="shared" si="206"/>
        <v>1400</v>
      </c>
      <c r="DJ83" s="70">
        <f t="shared" si="207"/>
        <v>460</v>
      </c>
      <c r="DK83" s="70">
        <f t="shared" si="208"/>
        <v>590</v>
      </c>
      <c r="DL83" s="70">
        <f t="shared" si="209"/>
        <v>700</v>
      </c>
      <c r="DM83" s="70">
        <f t="shared" si="210"/>
        <v>870</v>
      </c>
      <c r="DN83" s="70">
        <f t="shared" si="211"/>
        <v>4995.3900000000003</v>
      </c>
      <c r="DO83" s="70">
        <f t="shared" si="212"/>
        <v>300</v>
      </c>
      <c r="DP83" s="70">
        <f t="shared" si="213"/>
        <v>5295.39</v>
      </c>
      <c r="DQ83" s="70">
        <f t="shared" si="214"/>
        <v>4852.97</v>
      </c>
      <c r="DR83" s="70">
        <f t="shared" si="215"/>
        <v>3793.49</v>
      </c>
      <c r="DS83" s="71">
        <f t="shared" si="216"/>
        <v>1059.48</v>
      </c>
      <c r="DT83" s="106">
        <f t="shared" si="217"/>
        <v>1.0688967503218809</v>
      </c>
      <c r="DU83" s="92">
        <f t="shared" si="218"/>
        <v>1.2184769850005482E-2</v>
      </c>
      <c r="DV83" s="92" t="str">
        <f t="shared" si="219"/>
        <v/>
      </c>
      <c r="DW83" s="92">
        <f t="shared" si="220"/>
        <v>1</v>
      </c>
      <c r="DX83" s="92">
        <f t="shared" si="221"/>
        <v>4.8840619148771976E-2</v>
      </c>
      <c r="DY83" s="92">
        <f t="shared" si="222"/>
        <v>5.0200236384535094E-2</v>
      </c>
      <c r="DZ83" s="92">
        <f t="shared" si="223"/>
        <v>0.14215564825006397</v>
      </c>
      <c r="EA83" s="92">
        <f t="shared" si="224"/>
        <v>4.6708284425021021E-2</v>
      </c>
      <c r="EB83" s="92">
        <f t="shared" si="225"/>
        <v>5.990845176252696E-2</v>
      </c>
      <c r="EC83" s="92">
        <f t="shared" si="226"/>
        <v>7.1077824125031983E-2</v>
      </c>
      <c r="ED83" s="92">
        <f t="shared" si="227"/>
        <v>8.8339581412539753E-2</v>
      </c>
      <c r="EE83" s="92">
        <f t="shared" si="228"/>
        <v>0.50723064550849073</v>
      </c>
      <c r="EF83" s="92">
        <f t="shared" si="229"/>
        <v>3.0461924625013709E-2</v>
      </c>
      <c r="EG83" s="92">
        <f t="shared" si="230"/>
        <v>0.53769257013350447</v>
      </c>
      <c r="EH83" s="92">
        <f t="shared" si="231"/>
        <v>0.49276935449150927</v>
      </c>
      <c r="EI83" s="92">
        <f t="shared" si="232"/>
        <v>0.38519002148581083</v>
      </c>
      <c r="EJ83" s="122">
        <f t="shared" si="233"/>
        <v>0.10757933300569841</v>
      </c>
    </row>
    <row r="84" spans="2:140" ht="12" hidden="1" customHeight="1" outlineLevel="1">
      <c r="B84" s="121">
        <v>44974</v>
      </c>
      <c r="C84" s="117" t="s">
        <v>557</v>
      </c>
      <c r="D84" s="50" t="s">
        <v>558</v>
      </c>
      <c r="E84" s="50" t="s">
        <v>559</v>
      </c>
      <c r="F84" s="50" t="s">
        <v>560</v>
      </c>
      <c r="G84" s="50" t="s">
        <v>162</v>
      </c>
      <c r="H84" s="50" t="s">
        <v>561</v>
      </c>
      <c r="I84" s="50" t="s">
        <v>561</v>
      </c>
      <c r="J84" s="52" t="s">
        <v>230</v>
      </c>
      <c r="K84" s="50" t="s">
        <v>230</v>
      </c>
      <c r="L84" s="49">
        <v>3</v>
      </c>
      <c r="M84" s="50" t="s">
        <v>159</v>
      </c>
      <c r="N84" s="50" t="s">
        <v>160</v>
      </c>
      <c r="O84" s="50" t="s">
        <v>318</v>
      </c>
      <c r="P84" s="50" t="s">
        <v>177</v>
      </c>
      <c r="Q84" s="53">
        <v>0.09</v>
      </c>
      <c r="R84" s="49">
        <f>107-22</f>
        <v>85</v>
      </c>
      <c r="S84" s="49">
        <v>22</v>
      </c>
      <c r="T84" s="54">
        <f t="shared" si="238"/>
        <v>107</v>
      </c>
      <c r="U84" s="55">
        <v>95440</v>
      </c>
      <c r="V84" s="49">
        <v>6.3</v>
      </c>
      <c r="W84" s="56">
        <f t="shared" si="177"/>
        <v>16.984126984126984</v>
      </c>
      <c r="X84" s="49" t="s">
        <v>163</v>
      </c>
      <c r="Y84" s="57" t="s">
        <v>249</v>
      </c>
      <c r="Z84" s="58">
        <v>7000500</v>
      </c>
      <c r="AA84" s="114">
        <v>4.7500000000000001E-2</v>
      </c>
      <c r="AB84" s="59">
        <v>15</v>
      </c>
      <c r="AC84" s="60">
        <v>35</v>
      </c>
      <c r="AD84" s="61">
        <v>4.7500000000000001E-2</v>
      </c>
      <c r="AE84" s="62">
        <v>7000000</v>
      </c>
      <c r="AF84" s="63">
        <v>1.1599999999999999</v>
      </c>
      <c r="AG84" s="59"/>
      <c r="AH84" s="60"/>
      <c r="AI84" s="61"/>
      <c r="AJ84" s="64"/>
      <c r="AK84" s="65">
        <f t="shared" si="178"/>
        <v>7000000</v>
      </c>
      <c r="AL84" s="62">
        <v>500</v>
      </c>
      <c r="AM84" s="49" t="s">
        <v>163</v>
      </c>
      <c r="AN84" s="67">
        <v>0.89</v>
      </c>
      <c r="AO84" s="62">
        <v>14515343</v>
      </c>
      <c r="AP84" s="62">
        <v>0</v>
      </c>
      <c r="AQ84" s="68">
        <v>1017075</v>
      </c>
      <c r="AR84" s="69">
        <f t="shared" si="179"/>
        <v>65420.560747663549</v>
      </c>
      <c r="AS84" s="70" t="str">
        <f>IFERROR(IF(#REF!&gt;0,#REF!/T84,""),"")</f>
        <v/>
      </c>
      <c r="AT84" s="70">
        <f t="shared" si="180"/>
        <v>135657.41121495326</v>
      </c>
      <c r="AU84" s="70">
        <f t="shared" si="181"/>
        <v>4.6728971962616823</v>
      </c>
      <c r="AV84" s="71">
        <f t="shared" si="182"/>
        <v>9505.3738317757015</v>
      </c>
      <c r="AW84" s="115">
        <f t="shared" si="183"/>
        <v>112679.76635514019</v>
      </c>
      <c r="AX84" s="116">
        <f t="shared" si="184"/>
        <v>126.32790234702431</v>
      </c>
      <c r="AY84" s="72">
        <f t="shared" si="185"/>
        <v>134879.42056074768</v>
      </c>
      <c r="AZ84" s="73">
        <f t="shared" si="186"/>
        <v>151.21645012573345</v>
      </c>
      <c r="BA84" s="66">
        <v>1251000</v>
      </c>
      <c r="BB84" s="62">
        <v>2732630</v>
      </c>
      <c r="BC84" s="62">
        <v>9324105</v>
      </c>
      <c r="BD84" s="62">
        <v>603000</v>
      </c>
      <c r="BE84" s="62">
        <v>1772363</v>
      </c>
      <c r="BF84" s="62">
        <v>1328500</v>
      </c>
      <c r="BG84" s="62">
        <v>1354449</v>
      </c>
      <c r="BH84" s="62">
        <v>2455669</v>
      </c>
      <c r="BI84" s="62">
        <v>693159</v>
      </c>
      <c r="BJ84" s="47">
        <f t="shared" si="187"/>
        <v>21514875</v>
      </c>
      <c r="BK84" s="69">
        <f t="shared" si="165"/>
        <v>11691.58878504673</v>
      </c>
      <c r="BL84" s="70">
        <f t="shared" si="166"/>
        <v>25538.598130841121</v>
      </c>
      <c r="BM84" s="70">
        <f t="shared" si="167"/>
        <v>87141.168224299065</v>
      </c>
      <c r="BN84" s="70">
        <f t="shared" si="168"/>
        <v>5635.5140186915887</v>
      </c>
      <c r="BO84" s="70">
        <f t="shared" si="169"/>
        <v>16564.140186915887</v>
      </c>
      <c r="BP84" s="70">
        <f t="shared" si="175"/>
        <v>12415.88785046729</v>
      </c>
      <c r="BQ84" s="70">
        <f t="shared" si="188"/>
        <v>12658.401869158879</v>
      </c>
      <c r="BR84" s="70">
        <f t="shared" si="159"/>
        <v>22950.17757009346</v>
      </c>
      <c r="BS84" s="70">
        <f t="shared" si="160"/>
        <v>6478.1214953271028</v>
      </c>
      <c r="BT84" s="71">
        <f t="shared" si="161"/>
        <v>201073.59813084113</v>
      </c>
      <c r="BU84" s="65">
        <f t="shared" si="170"/>
        <v>13.107711651299246</v>
      </c>
      <c r="BV84" s="48">
        <f t="shared" si="171"/>
        <v>28.631915339480301</v>
      </c>
      <c r="BW84" s="48">
        <f t="shared" si="172"/>
        <v>97.695987007544005</v>
      </c>
      <c r="BX84" s="48">
        <f t="shared" si="173"/>
        <v>6.3181056160938809</v>
      </c>
      <c r="BY84" s="48">
        <f t="shared" si="174"/>
        <v>18.570442162615254</v>
      </c>
      <c r="BZ84" s="48">
        <f t="shared" si="176"/>
        <v>13.919740150880134</v>
      </c>
      <c r="CA84" s="48">
        <f t="shared" si="189"/>
        <v>14.191628248113998</v>
      </c>
      <c r="CB84" s="48">
        <f t="shared" si="162"/>
        <v>25.729976948868398</v>
      </c>
      <c r="CC84" s="48">
        <f t="shared" si="163"/>
        <v>7.2627724224643755</v>
      </c>
      <c r="CD84" s="47">
        <f t="shared" si="164"/>
        <v>225.42827954735961</v>
      </c>
      <c r="CE84" s="66">
        <v>1259448</v>
      </c>
      <c r="CF84" s="62">
        <v>19200</v>
      </c>
      <c r="CG84" s="74">
        <v>-95899</v>
      </c>
      <c r="CH84" s="75">
        <f t="shared" si="190"/>
        <v>1182749</v>
      </c>
      <c r="CI84" s="62">
        <f>46920+0+3400</f>
        <v>50320</v>
      </c>
      <c r="CJ84" s="62">
        <v>59132</v>
      </c>
      <c r="CK84" s="62">
        <v>174655</v>
      </c>
      <c r="CL84" s="62">
        <v>77270</v>
      </c>
      <c r="CM84" s="62">
        <f>24600+80400</f>
        <v>105000</v>
      </c>
      <c r="CN84" s="62">
        <v>45000</v>
      </c>
      <c r="CO84" s="62">
        <v>161500</v>
      </c>
      <c r="CP84" s="75">
        <f t="shared" si="239"/>
        <v>672877</v>
      </c>
      <c r="CQ84" s="62">
        <v>32100</v>
      </c>
      <c r="CR84" s="75">
        <f t="shared" si="240"/>
        <v>704977</v>
      </c>
      <c r="CS84" s="75">
        <f t="shared" si="191"/>
        <v>509872</v>
      </c>
      <c r="CT84" s="62">
        <v>410640</v>
      </c>
      <c r="CU84" s="47">
        <f t="shared" si="192"/>
        <v>99232</v>
      </c>
      <c r="CV84" s="76">
        <f t="shared" si="193"/>
        <v>0.43109062024148825</v>
      </c>
      <c r="CW84" s="75">
        <f>IFERROR(IF(CU84&gt;0,CR84/T84,""),"")</f>
        <v>6588.5700934579436</v>
      </c>
      <c r="CX84" s="77">
        <f t="shared" si="195"/>
        <v>0.59604954221056206</v>
      </c>
      <c r="CY84" s="75">
        <f t="shared" si="196"/>
        <v>927.40186915887853</v>
      </c>
      <c r="CZ84" s="77">
        <f t="shared" si="197"/>
        <v>8.3899457957690091E-2</v>
      </c>
      <c r="DA84" s="77">
        <f t="shared" si="198"/>
        <v>0.34719116228379815</v>
      </c>
      <c r="DB84" s="47">
        <f t="shared" si="199"/>
        <v>65420.560747663549</v>
      </c>
      <c r="DC84" s="69">
        <f t="shared" si="200"/>
        <v>11770.542056074766</v>
      </c>
      <c r="DD84" s="70">
        <f t="shared" si="201"/>
        <v>179.43925233644859</v>
      </c>
      <c r="DE84" s="70">
        <f t="shared" si="202"/>
        <v>-896.25233644859816</v>
      </c>
      <c r="DF84" s="70">
        <f t="shared" si="203"/>
        <v>11053.728971962617</v>
      </c>
      <c r="DG84" s="70">
        <f t="shared" si="204"/>
        <v>470.28037383177571</v>
      </c>
      <c r="DH84" s="70">
        <f t="shared" si="205"/>
        <v>552.63551401869154</v>
      </c>
      <c r="DI84" s="70">
        <f t="shared" si="206"/>
        <v>1632.2897196261683</v>
      </c>
      <c r="DJ84" s="70">
        <f t="shared" si="207"/>
        <v>722.14953271028037</v>
      </c>
      <c r="DK84" s="70">
        <f t="shared" si="208"/>
        <v>981.30841121495325</v>
      </c>
      <c r="DL84" s="70">
        <f t="shared" si="209"/>
        <v>420.56074766355141</v>
      </c>
      <c r="DM84" s="70">
        <f t="shared" si="210"/>
        <v>1509.3457943925234</v>
      </c>
      <c r="DN84" s="70">
        <f t="shared" si="211"/>
        <v>6288.5700934579436</v>
      </c>
      <c r="DO84" s="70">
        <f t="shared" si="212"/>
        <v>300</v>
      </c>
      <c r="DP84" s="70">
        <f t="shared" si="213"/>
        <v>6588.5700934579436</v>
      </c>
      <c r="DQ84" s="70">
        <f t="shared" si="214"/>
        <v>4765.1588785046733</v>
      </c>
      <c r="DR84" s="70">
        <f t="shared" si="215"/>
        <v>3837.7570093457944</v>
      </c>
      <c r="DS84" s="71">
        <f t="shared" si="216"/>
        <v>927.40186915887853</v>
      </c>
      <c r="DT84" s="106">
        <f t="shared" si="217"/>
        <v>1.064848078501863</v>
      </c>
      <c r="DU84" s="92">
        <f t="shared" si="218"/>
        <v>1.6233368195618849E-2</v>
      </c>
      <c r="DV84" s="92" t="str">
        <f t="shared" si="219"/>
        <v/>
      </c>
      <c r="DW84" s="92">
        <f t="shared" si="220"/>
        <v>1</v>
      </c>
      <c r="DX84" s="92">
        <f t="shared" si="221"/>
        <v>4.254495247935107E-2</v>
      </c>
      <c r="DY84" s="92">
        <f t="shared" si="222"/>
        <v>4.9995392090798639E-2</v>
      </c>
      <c r="DZ84" s="92">
        <f t="shared" si="223"/>
        <v>0.14766869386488596</v>
      </c>
      <c r="EA84" s="92">
        <f t="shared" si="224"/>
        <v>6.5330852108097318E-2</v>
      </c>
      <c r="EB84" s="92">
        <f t="shared" si="225"/>
        <v>8.8776232319790593E-2</v>
      </c>
      <c r="EC84" s="92">
        <f t="shared" si="226"/>
        <v>3.8046956708481683E-2</v>
      </c>
      <c r="ED84" s="92">
        <f t="shared" si="227"/>
        <v>0.13654630018710648</v>
      </c>
      <c r="EE84" s="92">
        <f t="shared" si="228"/>
        <v>0.56890937975851175</v>
      </c>
      <c r="EF84" s="92">
        <f t="shared" si="229"/>
        <v>2.7140162452050268E-2</v>
      </c>
      <c r="EG84" s="92">
        <f t="shared" si="230"/>
        <v>0.59604954221056206</v>
      </c>
      <c r="EH84" s="92">
        <f t="shared" si="231"/>
        <v>0.43109062024148825</v>
      </c>
      <c r="EI84" s="92">
        <f t="shared" si="232"/>
        <v>0.34719116228379815</v>
      </c>
      <c r="EJ84" s="122">
        <f t="shared" si="233"/>
        <v>8.3899457957690091E-2</v>
      </c>
    </row>
    <row r="85" spans="2:140" ht="12" hidden="1" customHeight="1" outlineLevel="1">
      <c r="B85" s="121">
        <v>44974</v>
      </c>
      <c r="C85" s="117" t="s">
        <v>562</v>
      </c>
      <c r="D85" s="50" t="s">
        <v>563</v>
      </c>
      <c r="E85" s="50" t="s">
        <v>564</v>
      </c>
      <c r="F85" s="50" t="s">
        <v>565</v>
      </c>
      <c r="G85" s="50" t="s">
        <v>162</v>
      </c>
      <c r="H85" s="50" t="s">
        <v>566</v>
      </c>
      <c r="I85" s="50" t="s">
        <v>419</v>
      </c>
      <c r="J85" s="52" t="s">
        <v>230</v>
      </c>
      <c r="K85" s="50" t="s">
        <v>230</v>
      </c>
      <c r="L85" s="49">
        <v>3</v>
      </c>
      <c r="M85" s="50" t="s">
        <v>159</v>
      </c>
      <c r="N85" s="50" t="s">
        <v>244</v>
      </c>
      <c r="O85" s="50" t="s">
        <v>160</v>
      </c>
      <c r="P85" s="50" t="s">
        <v>177</v>
      </c>
      <c r="Q85" s="53">
        <v>0.09</v>
      </c>
      <c r="R85" s="49">
        <v>84</v>
      </c>
      <c r="S85" s="49">
        <v>0</v>
      </c>
      <c r="T85" s="54">
        <f t="shared" si="238"/>
        <v>84</v>
      </c>
      <c r="U85" s="55">
        <v>58320</v>
      </c>
      <c r="V85" s="49">
        <v>1.77</v>
      </c>
      <c r="W85" s="56">
        <f t="shared" si="177"/>
        <v>47.457627118644069</v>
      </c>
      <c r="X85" s="49" t="s">
        <v>163</v>
      </c>
      <c r="Y85" s="57" t="s">
        <v>162</v>
      </c>
      <c r="Z85" s="58">
        <v>8352696</v>
      </c>
      <c r="AA85" s="114">
        <v>4.7500000000000001E-2</v>
      </c>
      <c r="AB85" s="59">
        <v>17</v>
      </c>
      <c r="AC85" s="60">
        <v>30</v>
      </c>
      <c r="AD85" s="61">
        <v>4.7500000000000001E-2</v>
      </c>
      <c r="AE85" s="62">
        <v>3102196</v>
      </c>
      <c r="AF85" s="63">
        <v>1.25</v>
      </c>
      <c r="AG85" s="59"/>
      <c r="AH85" s="60"/>
      <c r="AI85" s="61"/>
      <c r="AJ85" s="64"/>
      <c r="AK85" s="65">
        <f t="shared" si="178"/>
        <v>3102196</v>
      </c>
      <c r="AL85" s="62">
        <v>4250500</v>
      </c>
      <c r="AM85" s="49" t="s">
        <v>163</v>
      </c>
      <c r="AN85" s="67">
        <v>0.93</v>
      </c>
      <c r="AO85" s="62">
        <v>13997079</v>
      </c>
      <c r="AP85" s="62">
        <v>0</v>
      </c>
      <c r="AQ85" s="68">
        <v>524858</v>
      </c>
      <c r="AR85" s="69">
        <f t="shared" si="179"/>
        <v>36930.904761904763</v>
      </c>
      <c r="AS85" s="70" t="str">
        <f>IFERROR(IF(#REF!&gt;0,#REF!/T85,""),"")</f>
        <v/>
      </c>
      <c r="AT85" s="70">
        <f t="shared" si="180"/>
        <v>166631.89285714287</v>
      </c>
      <c r="AU85" s="70">
        <f t="shared" si="181"/>
        <v>50601.190476190473</v>
      </c>
      <c r="AV85" s="71">
        <f t="shared" si="182"/>
        <v>6248.3095238095239</v>
      </c>
      <c r="AW85" s="115">
        <f t="shared" si="183"/>
        <v>130023.82142857143</v>
      </c>
      <c r="AX85" s="116">
        <f t="shared" si="184"/>
        <v>187.27710905349795</v>
      </c>
      <c r="AY85" s="72">
        <f t="shared" si="185"/>
        <v>157120.78571428571</v>
      </c>
      <c r="AZ85" s="73">
        <f t="shared" si="186"/>
        <v>226.305658436214</v>
      </c>
      <c r="BA85" s="66">
        <v>2994200</v>
      </c>
      <c r="BB85" s="62">
        <v>1623200</v>
      </c>
      <c r="BC85" s="62">
        <v>9298801</v>
      </c>
      <c r="BD85" s="62">
        <v>655320</v>
      </c>
      <c r="BE85" s="62">
        <v>1620825</v>
      </c>
      <c r="BF85" s="62">
        <v>1945901</v>
      </c>
      <c r="BG85" s="62">
        <v>1610039</v>
      </c>
      <c r="BH85" s="62">
        <v>2330800</v>
      </c>
      <c r="BI85" s="62">
        <v>270689</v>
      </c>
      <c r="BJ85" s="47">
        <f t="shared" si="187"/>
        <v>22349775</v>
      </c>
      <c r="BK85" s="69">
        <f t="shared" si="165"/>
        <v>35645.238095238092</v>
      </c>
      <c r="BL85" s="70">
        <f t="shared" si="166"/>
        <v>19323.809523809523</v>
      </c>
      <c r="BM85" s="70">
        <f t="shared" si="167"/>
        <v>110700.01190476191</v>
      </c>
      <c r="BN85" s="70">
        <f t="shared" si="168"/>
        <v>7801.4285714285716</v>
      </c>
      <c r="BO85" s="70">
        <f t="shared" si="169"/>
        <v>19295.535714285714</v>
      </c>
      <c r="BP85" s="70">
        <f t="shared" si="175"/>
        <v>23165.488095238095</v>
      </c>
      <c r="BQ85" s="70">
        <f t="shared" si="188"/>
        <v>19167.130952380954</v>
      </c>
      <c r="BR85" s="70">
        <f t="shared" si="159"/>
        <v>27747.619047619046</v>
      </c>
      <c r="BS85" s="70">
        <f t="shared" si="160"/>
        <v>3222.4880952380954</v>
      </c>
      <c r="BT85" s="71">
        <f t="shared" si="161"/>
        <v>266068.75</v>
      </c>
      <c r="BU85" s="65">
        <f t="shared" si="170"/>
        <v>51.340877914951989</v>
      </c>
      <c r="BV85" s="48">
        <f t="shared" si="171"/>
        <v>27.832647462277091</v>
      </c>
      <c r="BW85" s="48">
        <f t="shared" si="172"/>
        <v>159.44446159122086</v>
      </c>
      <c r="BX85" s="48">
        <f t="shared" si="173"/>
        <v>11.236625514403292</v>
      </c>
      <c r="BY85" s="48">
        <f t="shared" si="174"/>
        <v>27.791923868312757</v>
      </c>
      <c r="BZ85" s="48">
        <f t="shared" si="176"/>
        <v>33.36592935528121</v>
      </c>
      <c r="CA85" s="48">
        <f t="shared" si="189"/>
        <v>27.606978737997256</v>
      </c>
      <c r="CB85" s="48">
        <f t="shared" si="162"/>
        <v>39.965706447187927</v>
      </c>
      <c r="CC85" s="48">
        <f t="shared" si="163"/>
        <v>4.6414437585733879</v>
      </c>
      <c r="CD85" s="47">
        <f t="shared" si="164"/>
        <v>383.22659465020575</v>
      </c>
      <c r="CE85" s="66">
        <v>699204</v>
      </c>
      <c r="CF85" s="62">
        <v>15926</v>
      </c>
      <c r="CG85" s="74">
        <v>-53635</v>
      </c>
      <c r="CH85" s="75">
        <f t="shared" si="190"/>
        <v>661495</v>
      </c>
      <c r="CI85" s="62">
        <f>28250+12000</f>
        <v>40250</v>
      </c>
      <c r="CJ85" s="62">
        <v>33075</v>
      </c>
      <c r="CK85" s="62">
        <v>106250</v>
      </c>
      <c r="CL85" s="62">
        <v>52500</v>
      </c>
      <c r="CM85" s="62">
        <f>15568+21755</f>
        <v>37323</v>
      </c>
      <c r="CN85" s="62">
        <v>30000</v>
      </c>
      <c r="CO85" s="62">
        <v>95000</v>
      </c>
      <c r="CP85" s="75">
        <f t="shared" si="239"/>
        <v>394398</v>
      </c>
      <c r="CQ85" s="62">
        <v>21000</v>
      </c>
      <c r="CR85" s="75">
        <f t="shared" si="240"/>
        <v>415398</v>
      </c>
      <c r="CS85" s="75">
        <f t="shared" si="191"/>
        <v>267097</v>
      </c>
      <c r="CT85" s="62">
        <v>194190</v>
      </c>
      <c r="CU85" s="47">
        <f t="shared" si="192"/>
        <v>72907</v>
      </c>
      <c r="CV85" s="76">
        <f t="shared" si="193"/>
        <v>0.40377780633262533</v>
      </c>
      <c r="CW85" s="75">
        <f t="shared" si="194"/>
        <v>4945.2142857142853</v>
      </c>
      <c r="CX85" s="77">
        <f t="shared" si="195"/>
        <v>0.62796846537010864</v>
      </c>
      <c r="CY85" s="75">
        <f t="shared" si="196"/>
        <v>867.94047619047615</v>
      </c>
      <c r="CZ85" s="77">
        <f t="shared" si="197"/>
        <v>0.1102154967157726</v>
      </c>
      <c r="DA85" s="77">
        <f t="shared" si="198"/>
        <v>0.29356230961685276</v>
      </c>
      <c r="DB85" s="47">
        <f t="shared" si="199"/>
        <v>36930.904761904763</v>
      </c>
      <c r="DC85" s="69">
        <f t="shared" si="200"/>
        <v>8323.8571428571431</v>
      </c>
      <c r="DD85" s="70">
        <f t="shared" si="201"/>
        <v>189.5952380952381</v>
      </c>
      <c r="DE85" s="70">
        <f t="shared" si="202"/>
        <v>-638.51190476190482</v>
      </c>
      <c r="DF85" s="70">
        <f t="shared" si="203"/>
        <v>7874.9404761904761</v>
      </c>
      <c r="DG85" s="70">
        <f t="shared" si="204"/>
        <v>479.16666666666669</v>
      </c>
      <c r="DH85" s="70">
        <f t="shared" si="205"/>
        <v>393.75</v>
      </c>
      <c r="DI85" s="70">
        <f t="shared" si="206"/>
        <v>1264.8809523809523</v>
      </c>
      <c r="DJ85" s="70">
        <f t="shared" si="207"/>
        <v>625</v>
      </c>
      <c r="DK85" s="70">
        <f t="shared" si="208"/>
        <v>444.32142857142856</v>
      </c>
      <c r="DL85" s="70">
        <f t="shared" si="209"/>
        <v>357.14285714285717</v>
      </c>
      <c r="DM85" s="70">
        <f t="shared" si="210"/>
        <v>1130.952380952381</v>
      </c>
      <c r="DN85" s="70">
        <f t="shared" si="211"/>
        <v>4695.2142857142853</v>
      </c>
      <c r="DO85" s="70">
        <f t="shared" si="212"/>
        <v>250</v>
      </c>
      <c r="DP85" s="70">
        <f t="shared" si="213"/>
        <v>4945.2142857142853</v>
      </c>
      <c r="DQ85" s="70">
        <f t="shared" si="214"/>
        <v>3179.7261904761904</v>
      </c>
      <c r="DR85" s="70">
        <f t="shared" si="215"/>
        <v>2311.7857142857142</v>
      </c>
      <c r="DS85" s="71">
        <f t="shared" si="216"/>
        <v>867.94047619047615</v>
      </c>
      <c r="DT85" s="106">
        <f t="shared" si="217"/>
        <v>1.0570057218875426</v>
      </c>
      <c r="DU85" s="92">
        <f t="shared" si="218"/>
        <v>2.407576776846386E-2</v>
      </c>
      <c r="DV85" s="92" t="str">
        <f t="shared" si="219"/>
        <v/>
      </c>
      <c r="DW85" s="92">
        <f t="shared" si="220"/>
        <v>1</v>
      </c>
      <c r="DX85" s="92">
        <f t="shared" si="221"/>
        <v>6.0847020763573421E-2</v>
      </c>
      <c r="DY85" s="92">
        <f t="shared" si="222"/>
        <v>5.0000377931805985E-2</v>
      </c>
      <c r="DZ85" s="92">
        <f t="shared" si="223"/>
        <v>0.16062101754359442</v>
      </c>
      <c r="EA85" s="92">
        <f t="shared" si="224"/>
        <v>7.9365679256834895E-2</v>
      </c>
      <c r="EB85" s="92">
        <f t="shared" si="225"/>
        <v>5.6422195179101881E-2</v>
      </c>
      <c r="EC85" s="92">
        <f t="shared" si="226"/>
        <v>4.5351816718191371E-2</v>
      </c>
      <c r="ED85" s="92">
        <f t="shared" si="227"/>
        <v>0.14361408627427266</v>
      </c>
      <c r="EE85" s="92">
        <f t="shared" si="228"/>
        <v>0.59622219366737461</v>
      </c>
      <c r="EF85" s="92">
        <f t="shared" si="229"/>
        <v>3.1746271702733961E-2</v>
      </c>
      <c r="EG85" s="92">
        <f t="shared" si="230"/>
        <v>0.62796846537010864</v>
      </c>
      <c r="EH85" s="92">
        <f t="shared" si="231"/>
        <v>0.40377780633262533</v>
      </c>
      <c r="EI85" s="92">
        <f t="shared" si="232"/>
        <v>0.29356230961685276</v>
      </c>
      <c r="EJ85" s="122">
        <f t="shared" si="233"/>
        <v>0.1102154967157726</v>
      </c>
    </row>
    <row r="86" spans="2:140" ht="12" hidden="1" customHeight="1" outlineLevel="1">
      <c r="B86" s="121">
        <v>44974</v>
      </c>
      <c r="C86" s="117" t="s">
        <v>567</v>
      </c>
      <c r="D86" s="50" t="s">
        <v>412</v>
      </c>
      <c r="E86" s="50" t="s">
        <v>413</v>
      </c>
      <c r="F86" s="50" t="s">
        <v>414</v>
      </c>
      <c r="G86" s="50" t="s">
        <v>291</v>
      </c>
      <c r="H86" s="50" t="s">
        <v>415</v>
      </c>
      <c r="I86" s="50" t="s">
        <v>174</v>
      </c>
      <c r="J86" s="52" t="s">
        <v>191</v>
      </c>
      <c r="K86" s="50" t="s">
        <v>192</v>
      </c>
      <c r="L86" s="49">
        <v>3</v>
      </c>
      <c r="M86" s="50" t="s">
        <v>159</v>
      </c>
      <c r="N86" s="50" t="s">
        <v>160</v>
      </c>
      <c r="O86" s="50" t="s">
        <v>160</v>
      </c>
      <c r="P86" s="50" t="s">
        <v>231</v>
      </c>
      <c r="Q86" s="53">
        <v>0.09</v>
      </c>
      <c r="R86" s="49">
        <f>210-65</f>
        <v>145</v>
      </c>
      <c r="S86" s="49">
        <v>65</v>
      </c>
      <c r="T86" s="54">
        <f t="shared" si="238"/>
        <v>210</v>
      </c>
      <c r="U86" s="55">
        <v>178872</v>
      </c>
      <c r="V86" s="49">
        <v>8.4</v>
      </c>
      <c r="W86" s="56">
        <f t="shared" si="177"/>
        <v>25</v>
      </c>
      <c r="X86" s="49" t="s">
        <v>163</v>
      </c>
      <c r="Y86" s="57" t="s">
        <v>249</v>
      </c>
      <c r="Z86" s="58">
        <v>33565972</v>
      </c>
      <c r="AA86" s="114">
        <f>(((25421000*0.0365)/(Z86))+(((6757472+2500+150000+325000)*0)/(Z86))+(((380000+530000)*0.0162)/(Z86)))</f>
        <v>2.8082264383703832E-2</v>
      </c>
      <c r="AB86" s="59">
        <v>40</v>
      </c>
      <c r="AC86" s="60">
        <v>40</v>
      </c>
      <c r="AD86" s="61">
        <v>3.6499999999999998E-2</v>
      </c>
      <c r="AE86" s="62">
        <v>25421000</v>
      </c>
      <c r="AF86" s="63">
        <v>1.25</v>
      </c>
      <c r="AG86" s="59"/>
      <c r="AH86" s="60"/>
      <c r="AI86" s="61"/>
      <c r="AJ86" s="64"/>
      <c r="AK86" s="65">
        <f t="shared" si="178"/>
        <v>25421000</v>
      </c>
      <c r="AL86" s="62">
        <v>1562500</v>
      </c>
      <c r="AM86" s="49" t="s">
        <v>163</v>
      </c>
      <c r="AN86" s="67">
        <v>0.87</v>
      </c>
      <c r="AO86" s="62">
        <v>17642985</v>
      </c>
      <c r="AP86" s="62">
        <v>0</v>
      </c>
      <c r="AQ86" s="68">
        <v>244725</v>
      </c>
      <c r="AR86" s="69">
        <f t="shared" si="179"/>
        <v>121052.38095238095</v>
      </c>
      <c r="AS86" s="70" t="str">
        <f>IFERROR(IF(#REF!&gt;0,#REF!/T86,""),"")</f>
        <v/>
      </c>
      <c r="AT86" s="70">
        <f t="shared" si="180"/>
        <v>84014.21428571429</v>
      </c>
      <c r="AU86" s="70">
        <f t="shared" si="181"/>
        <v>7440.4761904761908</v>
      </c>
      <c r="AV86" s="71">
        <f t="shared" si="182"/>
        <v>1165.3571428571429</v>
      </c>
      <c r="AW86" s="115">
        <f t="shared" si="183"/>
        <v>136740</v>
      </c>
      <c r="AX86" s="116">
        <f t="shared" si="184"/>
        <v>160.53602576143834</v>
      </c>
      <c r="AY86" s="72">
        <f t="shared" si="185"/>
        <v>163604.54761904763</v>
      </c>
      <c r="AZ86" s="73">
        <f t="shared" si="186"/>
        <v>192.07564627219463</v>
      </c>
      <c r="BA86" s="66">
        <v>910000</v>
      </c>
      <c r="BB86" s="62">
        <v>5063000</v>
      </c>
      <c r="BC86" s="62">
        <v>23652400</v>
      </c>
      <c r="BD86" s="62">
        <v>1612757</v>
      </c>
      <c r="BE86" s="62">
        <v>4028798</v>
      </c>
      <c r="BF86" s="62">
        <v>5031150</v>
      </c>
      <c r="BG86" s="62">
        <v>2212268</v>
      </c>
      <c r="BH86" s="62">
        <v>5892514</v>
      </c>
      <c r="BI86" s="62">
        <v>1846000</v>
      </c>
      <c r="BJ86" s="47">
        <f t="shared" si="187"/>
        <v>50248887</v>
      </c>
      <c r="BK86" s="69">
        <f t="shared" si="165"/>
        <v>4333.333333333333</v>
      </c>
      <c r="BL86" s="70">
        <f t="shared" si="166"/>
        <v>24109.523809523809</v>
      </c>
      <c r="BM86" s="70">
        <f t="shared" si="167"/>
        <v>112630.47619047618</v>
      </c>
      <c r="BN86" s="70">
        <f t="shared" si="168"/>
        <v>7679.7952380952383</v>
      </c>
      <c r="BO86" s="70">
        <f t="shared" si="169"/>
        <v>19184.752380952381</v>
      </c>
      <c r="BP86" s="70">
        <f t="shared" si="175"/>
        <v>23957.857142857141</v>
      </c>
      <c r="BQ86" s="70">
        <f t="shared" si="188"/>
        <v>10534.609523809524</v>
      </c>
      <c r="BR86" s="70">
        <f t="shared" si="159"/>
        <v>28059.590476190475</v>
      </c>
      <c r="BS86" s="70">
        <f t="shared" si="160"/>
        <v>8790.4761904761908</v>
      </c>
      <c r="BT86" s="71">
        <f t="shared" si="161"/>
        <v>239280.41428571427</v>
      </c>
      <c r="BU86" s="65">
        <f t="shared" si="170"/>
        <v>5.0874368263339145</v>
      </c>
      <c r="BV86" s="48">
        <f t="shared" si="171"/>
        <v>28.30515676014133</v>
      </c>
      <c r="BW86" s="48">
        <f t="shared" si="172"/>
        <v>132.23086900129701</v>
      </c>
      <c r="BX86" s="48">
        <f t="shared" si="173"/>
        <v>9.0162630260745118</v>
      </c>
      <c r="BY86" s="48">
        <f t="shared" si="174"/>
        <v>22.523357484681785</v>
      </c>
      <c r="BZ86" s="48">
        <f t="shared" si="176"/>
        <v>28.127096471219645</v>
      </c>
      <c r="CA86" s="48">
        <f t="shared" si="189"/>
        <v>12.367883179033052</v>
      </c>
      <c r="CB86" s="48">
        <f t="shared" si="162"/>
        <v>32.942629366250728</v>
      </c>
      <c r="CC86" s="48">
        <f t="shared" si="163"/>
        <v>10.320228990563084</v>
      </c>
      <c r="CD86" s="47">
        <f t="shared" si="164"/>
        <v>280.92092110559508</v>
      </c>
      <c r="CE86" s="66">
        <v>2951592</v>
      </c>
      <c r="CF86" s="62">
        <v>13424</v>
      </c>
      <c r="CG86" s="74">
        <v>-222376</v>
      </c>
      <c r="CH86" s="75">
        <f t="shared" si="190"/>
        <v>2742640</v>
      </c>
      <c r="CI86" s="62">
        <f>113096+5800</f>
        <v>118896</v>
      </c>
      <c r="CJ86" s="62">
        <v>96990</v>
      </c>
      <c r="CK86" s="62">
        <f>287980+72372</f>
        <v>360352</v>
      </c>
      <c r="CL86" s="62">
        <f>143094+101228</f>
        <v>244322</v>
      </c>
      <c r="CM86" s="62">
        <f>36444+154523</f>
        <v>190967</v>
      </c>
      <c r="CN86" s="62">
        <v>105000</v>
      </c>
      <c r="CO86" s="62">
        <v>0</v>
      </c>
      <c r="CP86" s="75">
        <f t="shared" si="239"/>
        <v>1116527</v>
      </c>
      <c r="CQ86" s="62">
        <v>73500</v>
      </c>
      <c r="CR86" s="75">
        <f t="shared" si="240"/>
        <v>1190027</v>
      </c>
      <c r="CS86" s="75">
        <f t="shared" si="191"/>
        <v>1626113</v>
      </c>
      <c r="CT86" s="62">
        <f>100+1298317</f>
        <v>1298417</v>
      </c>
      <c r="CU86" s="47">
        <f t="shared" si="192"/>
        <v>327696</v>
      </c>
      <c r="CV86" s="76">
        <f t="shared" si="193"/>
        <v>0.59290063588367414</v>
      </c>
      <c r="CW86" s="75">
        <f t="shared" si="194"/>
        <v>5666.7952380952383</v>
      </c>
      <c r="CX86" s="77">
        <f t="shared" si="195"/>
        <v>0.4338983607035557</v>
      </c>
      <c r="CY86" s="75">
        <f t="shared" si="196"/>
        <v>1560.4571428571428</v>
      </c>
      <c r="CZ86" s="77">
        <f t="shared" si="197"/>
        <v>0.11948195898841991</v>
      </c>
      <c r="DA86" s="77">
        <f t="shared" si="198"/>
        <v>0.47341867689525419</v>
      </c>
      <c r="DB86" s="47">
        <f t="shared" si="199"/>
        <v>121052.38095238095</v>
      </c>
      <c r="DC86" s="69">
        <f t="shared" si="200"/>
        <v>14055.2</v>
      </c>
      <c r="DD86" s="70">
        <f t="shared" si="201"/>
        <v>63.923809523809524</v>
      </c>
      <c r="DE86" s="70">
        <f t="shared" si="202"/>
        <v>-1058.9333333333334</v>
      </c>
      <c r="DF86" s="70">
        <f t="shared" si="203"/>
        <v>13060.190476190477</v>
      </c>
      <c r="DG86" s="70">
        <f t="shared" si="204"/>
        <v>566.17142857142858</v>
      </c>
      <c r="DH86" s="70">
        <f t="shared" si="205"/>
        <v>461.85714285714283</v>
      </c>
      <c r="DI86" s="70">
        <f t="shared" si="206"/>
        <v>1715.9619047619049</v>
      </c>
      <c r="DJ86" s="70">
        <f t="shared" si="207"/>
        <v>1163.4380952380952</v>
      </c>
      <c r="DK86" s="70">
        <f t="shared" si="208"/>
        <v>909.36666666666667</v>
      </c>
      <c r="DL86" s="70">
        <f t="shared" si="209"/>
        <v>500</v>
      </c>
      <c r="DM86" s="70" t="str">
        <f t="shared" si="210"/>
        <v/>
      </c>
      <c r="DN86" s="70">
        <f t="shared" si="211"/>
        <v>5316.7952380952383</v>
      </c>
      <c r="DO86" s="70">
        <f t="shared" si="212"/>
        <v>350</v>
      </c>
      <c r="DP86" s="70">
        <f t="shared" si="213"/>
        <v>5666.7952380952383</v>
      </c>
      <c r="DQ86" s="70">
        <f t="shared" si="214"/>
        <v>7743.3952380952378</v>
      </c>
      <c r="DR86" s="70">
        <f t="shared" si="215"/>
        <v>6182.9380952380952</v>
      </c>
      <c r="DS86" s="71">
        <f t="shared" si="216"/>
        <v>1560.4571428571428</v>
      </c>
      <c r="DT86" s="106">
        <f t="shared" si="217"/>
        <v>1.0761864480938075</v>
      </c>
      <c r="DU86" s="92">
        <f t="shared" si="218"/>
        <v>4.8945541522037164E-3</v>
      </c>
      <c r="DV86" s="92" t="str">
        <f t="shared" si="219"/>
        <v/>
      </c>
      <c r="DW86" s="92">
        <f t="shared" si="220"/>
        <v>1</v>
      </c>
      <c r="DX86" s="92">
        <f t="shared" si="221"/>
        <v>4.335093194877928E-2</v>
      </c>
      <c r="DY86" s="92">
        <f t="shared" si="222"/>
        <v>3.5363737129189395E-2</v>
      </c>
      <c r="DZ86" s="92">
        <f t="shared" si="223"/>
        <v>0.13138873494151621</v>
      </c>
      <c r="EA86" s="92">
        <f t="shared" si="224"/>
        <v>8.9082781553539658E-2</v>
      </c>
      <c r="EB86" s="92">
        <f t="shared" si="225"/>
        <v>6.9628897704401602E-2</v>
      </c>
      <c r="EC86" s="92">
        <f t="shared" si="226"/>
        <v>3.8284280838899745E-2</v>
      </c>
      <c r="ED86" s="92" t="str">
        <f t="shared" si="227"/>
        <v/>
      </c>
      <c r="EE86" s="92">
        <f t="shared" si="228"/>
        <v>0.40709936411632586</v>
      </c>
      <c r="EF86" s="92">
        <f t="shared" si="229"/>
        <v>2.6798996587229822E-2</v>
      </c>
      <c r="EG86" s="92">
        <f t="shared" si="230"/>
        <v>0.4338983607035557</v>
      </c>
      <c r="EH86" s="92">
        <f t="shared" si="231"/>
        <v>0.59290063588367414</v>
      </c>
      <c r="EI86" s="92">
        <f t="shared" si="232"/>
        <v>0.47341867689525419</v>
      </c>
      <c r="EJ86" s="122">
        <f t="shared" si="233"/>
        <v>0.11948195898841991</v>
      </c>
    </row>
    <row r="87" spans="2:140" ht="12" hidden="1" customHeight="1" outlineLevel="1">
      <c r="B87" s="121">
        <v>44978</v>
      </c>
      <c r="C87" s="117" t="s">
        <v>568</v>
      </c>
      <c r="D87" s="50" t="s">
        <v>569</v>
      </c>
      <c r="E87" s="50" t="s">
        <v>570</v>
      </c>
      <c r="F87" s="50" t="s">
        <v>571</v>
      </c>
      <c r="G87" s="50" t="s">
        <v>162</v>
      </c>
      <c r="H87" s="50" t="s">
        <v>572</v>
      </c>
      <c r="I87" s="50" t="s">
        <v>573</v>
      </c>
      <c r="J87" s="52" t="s">
        <v>574</v>
      </c>
      <c r="K87" s="50" t="s">
        <v>312</v>
      </c>
      <c r="L87" s="49">
        <v>10</v>
      </c>
      <c r="M87" s="50" t="s">
        <v>159</v>
      </c>
      <c r="N87" s="50" t="s">
        <v>160</v>
      </c>
      <c r="O87" s="50" t="s">
        <v>160</v>
      </c>
      <c r="P87" s="50" t="s">
        <v>177</v>
      </c>
      <c r="Q87" s="53">
        <v>0.09</v>
      </c>
      <c r="R87" s="49">
        <v>72</v>
      </c>
      <c r="S87" s="49">
        <v>0</v>
      </c>
      <c r="T87" s="54">
        <f t="shared" si="238"/>
        <v>72</v>
      </c>
      <c r="U87" s="55">
        <v>59646</v>
      </c>
      <c r="V87" s="49">
        <v>2.0299999999999998</v>
      </c>
      <c r="W87" s="56">
        <f t="shared" si="177"/>
        <v>35.467980295566505</v>
      </c>
      <c r="X87" s="49" t="s">
        <v>163</v>
      </c>
      <c r="Y87" s="57" t="s">
        <v>162</v>
      </c>
      <c r="Z87" s="58">
        <v>4400500</v>
      </c>
      <c r="AA87" s="114">
        <f>(((4100000*0.034)/(Z87))+((300000*0.01)/(Z87))+((500*0)/(Z87)))</f>
        <v>3.2359959095557327E-2</v>
      </c>
      <c r="AB87" s="59">
        <v>40</v>
      </c>
      <c r="AC87" s="60">
        <v>40</v>
      </c>
      <c r="AD87" s="61">
        <v>3.4000000000000002E-2</v>
      </c>
      <c r="AE87" s="62">
        <v>4100000</v>
      </c>
      <c r="AF87" s="63">
        <v>1.17</v>
      </c>
      <c r="AG87" s="59">
        <v>40</v>
      </c>
      <c r="AH87" s="60">
        <v>40</v>
      </c>
      <c r="AI87" s="61">
        <v>0.01</v>
      </c>
      <c r="AJ87" s="64">
        <v>300000</v>
      </c>
      <c r="AK87" s="65">
        <f t="shared" si="178"/>
        <v>4400000</v>
      </c>
      <c r="AL87" s="62">
        <v>500</v>
      </c>
      <c r="AM87" s="49" t="s">
        <v>163</v>
      </c>
      <c r="AN87" s="67">
        <v>0.91</v>
      </c>
      <c r="AO87" s="62">
        <v>13926067</v>
      </c>
      <c r="AP87" s="62">
        <v>0</v>
      </c>
      <c r="AQ87" s="68">
        <v>274221</v>
      </c>
      <c r="AR87" s="69">
        <f t="shared" si="179"/>
        <v>61111.111111111109</v>
      </c>
      <c r="AS87" s="70" t="str">
        <f>IFERROR(IF(#REF!&gt;0,#REF!/T87,""),"")</f>
        <v/>
      </c>
      <c r="AT87" s="70">
        <f t="shared" si="180"/>
        <v>193417.59722222222</v>
      </c>
      <c r="AU87" s="70">
        <f t="shared" si="181"/>
        <v>6.9444444444444446</v>
      </c>
      <c r="AV87" s="71">
        <f t="shared" si="182"/>
        <v>3808.625</v>
      </c>
      <c r="AW87" s="115">
        <f t="shared" si="183"/>
        <v>133823.05555555556</v>
      </c>
      <c r="AX87" s="116">
        <f t="shared" si="184"/>
        <v>161.54075713375582</v>
      </c>
      <c r="AY87" s="72">
        <f t="shared" si="185"/>
        <v>163237.33333333334</v>
      </c>
      <c r="AZ87" s="73">
        <f t="shared" si="186"/>
        <v>197.04737953928176</v>
      </c>
      <c r="BA87" s="66">
        <v>1068625</v>
      </c>
      <c r="BB87" s="62">
        <v>1936327</v>
      </c>
      <c r="BC87" s="62">
        <f>5959447+1739486</f>
        <v>7698933</v>
      </c>
      <c r="BD87" s="62">
        <v>674468</v>
      </c>
      <c r="BE87" s="62">
        <v>1443360</v>
      </c>
      <c r="BF87" s="62">
        <v>1862750</v>
      </c>
      <c r="BG87" s="62">
        <v>1256589</v>
      </c>
      <c r="BH87" s="62">
        <v>2107304</v>
      </c>
      <c r="BI87" s="62">
        <v>275000</v>
      </c>
      <c r="BJ87" s="47">
        <f t="shared" si="187"/>
        <v>18323356</v>
      </c>
      <c r="BK87" s="69">
        <f t="shared" si="165"/>
        <v>14842.013888888889</v>
      </c>
      <c r="BL87" s="70">
        <f t="shared" si="166"/>
        <v>26893.430555555555</v>
      </c>
      <c r="BM87" s="70">
        <f t="shared" si="167"/>
        <v>106929.625</v>
      </c>
      <c r="BN87" s="70">
        <f t="shared" si="168"/>
        <v>9367.6111111111113</v>
      </c>
      <c r="BO87" s="70">
        <f t="shared" si="169"/>
        <v>20046.666666666668</v>
      </c>
      <c r="BP87" s="70">
        <f t="shared" si="175"/>
        <v>25871.527777777777</v>
      </c>
      <c r="BQ87" s="70">
        <f t="shared" si="188"/>
        <v>17452.625</v>
      </c>
      <c r="BR87" s="70">
        <f t="shared" si="159"/>
        <v>29268.111111111109</v>
      </c>
      <c r="BS87" s="70">
        <f t="shared" si="160"/>
        <v>3819.4444444444443</v>
      </c>
      <c r="BT87" s="71">
        <f t="shared" si="161"/>
        <v>254491.05555555556</v>
      </c>
      <c r="BU87" s="65">
        <f t="shared" si="170"/>
        <v>17.916121785199344</v>
      </c>
      <c r="BV87" s="48">
        <f t="shared" si="171"/>
        <v>32.463652214733592</v>
      </c>
      <c r="BW87" s="48">
        <f t="shared" si="172"/>
        <v>129.07710491902222</v>
      </c>
      <c r="BX87" s="48">
        <f t="shared" si="173"/>
        <v>11.307849646246186</v>
      </c>
      <c r="BY87" s="48">
        <f t="shared" si="174"/>
        <v>24.198772759279752</v>
      </c>
      <c r="BZ87" s="48">
        <f t="shared" si="176"/>
        <v>31.230090869463165</v>
      </c>
      <c r="CA87" s="48">
        <f t="shared" si="189"/>
        <v>21.067447942862891</v>
      </c>
      <c r="CB87" s="48">
        <f t="shared" si="162"/>
        <v>35.33018140361466</v>
      </c>
      <c r="CC87" s="48">
        <f t="shared" si="163"/>
        <v>4.6105354927405022</v>
      </c>
      <c r="CD87" s="47">
        <f t="shared" si="164"/>
        <v>307.20175703316232</v>
      </c>
      <c r="CE87" s="66">
        <v>583296</v>
      </c>
      <c r="CF87" s="62">
        <v>17280</v>
      </c>
      <c r="CG87" s="74">
        <v>-45043</v>
      </c>
      <c r="CH87" s="75">
        <f t="shared" si="190"/>
        <v>555533</v>
      </c>
      <c r="CI87" s="62">
        <f>35000+8000+2880</f>
        <v>45880</v>
      </c>
      <c r="CJ87" s="62">
        <v>27769</v>
      </c>
      <c r="CK87" s="62">
        <v>84500</v>
      </c>
      <c r="CL87" s="62">
        <v>45750</v>
      </c>
      <c r="CM87" s="62">
        <f>36000</f>
        <v>36000</v>
      </c>
      <c r="CN87" s="62">
        <v>38000</v>
      </c>
      <c r="CO87" s="62">
        <v>28000</v>
      </c>
      <c r="CP87" s="75">
        <f t="shared" si="239"/>
        <v>305899</v>
      </c>
      <c r="CQ87" s="62">
        <v>18000</v>
      </c>
      <c r="CR87" s="75">
        <f t="shared" si="240"/>
        <v>323899</v>
      </c>
      <c r="CS87" s="75">
        <f t="shared" si="191"/>
        <v>249634</v>
      </c>
      <c r="CT87" s="62">
        <v>197907</v>
      </c>
      <c r="CU87" s="47">
        <f t="shared" si="192"/>
        <v>51727</v>
      </c>
      <c r="CV87" s="76">
        <f t="shared" si="193"/>
        <v>0.44935944399342614</v>
      </c>
      <c r="CW87" s="75">
        <f t="shared" si="194"/>
        <v>4498.5972222222226</v>
      </c>
      <c r="CX87" s="77">
        <f t="shared" si="195"/>
        <v>0.58304187149998288</v>
      </c>
      <c r="CY87" s="75">
        <f t="shared" si="196"/>
        <v>718.43055555555554</v>
      </c>
      <c r="CZ87" s="77">
        <f t="shared" si="197"/>
        <v>9.311238036264273E-2</v>
      </c>
      <c r="DA87" s="77">
        <f t="shared" si="198"/>
        <v>0.3562470636307834</v>
      </c>
      <c r="DB87" s="47">
        <f t="shared" si="199"/>
        <v>61111.111111111109</v>
      </c>
      <c r="DC87" s="69">
        <f t="shared" si="200"/>
        <v>8101.333333333333</v>
      </c>
      <c r="DD87" s="70">
        <f t="shared" si="201"/>
        <v>240</v>
      </c>
      <c r="DE87" s="70">
        <f t="shared" si="202"/>
        <v>-625.59722222222217</v>
      </c>
      <c r="DF87" s="70">
        <f t="shared" si="203"/>
        <v>7715.7361111111113</v>
      </c>
      <c r="DG87" s="70">
        <f t="shared" si="204"/>
        <v>637.22222222222217</v>
      </c>
      <c r="DH87" s="70">
        <f t="shared" si="205"/>
        <v>385.68055555555554</v>
      </c>
      <c r="DI87" s="70">
        <f t="shared" si="206"/>
        <v>1173.6111111111111</v>
      </c>
      <c r="DJ87" s="70">
        <f t="shared" si="207"/>
        <v>635.41666666666663</v>
      </c>
      <c r="DK87" s="70">
        <f t="shared" si="208"/>
        <v>500</v>
      </c>
      <c r="DL87" s="70">
        <f t="shared" si="209"/>
        <v>527.77777777777783</v>
      </c>
      <c r="DM87" s="70">
        <f t="shared" si="210"/>
        <v>388.88888888888891</v>
      </c>
      <c r="DN87" s="70">
        <f t="shared" si="211"/>
        <v>4248.5972222222226</v>
      </c>
      <c r="DO87" s="70">
        <f t="shared" si="212"/>
        <v>250</v>
      </c>
      <c r="DP87" s="70">
        <f t="shared" si="213"/>
        <v>4498.5972222222226</v>
      </c>
      <c r="DQ87" s="70">
        <f t="shared" si="214"/>
        <v>3467.1388888888887</v>
      </c>
      <c r="DR87" s="70">
        <f t="shared" si="215"/>
        <v>2748.7083333333335</v>
      </c>
      <c r="DS87" s="71">
        <f t="shared" si="216"/>
        <v>718.43055555555554</v>
      </c>
      <c r="DT87" s="106">
        <f t="shared" si="217"/>
        <v>1.0499754290024175</v>
      </c>
      <c r="DU87" s="92">
        <f t="shared" si="218"/>
        <v>3.1105262873672671E-2</v>
      </c>
      <c r="DV87" s="92" t="str">
        <f t="shared" si="219"/>
        <v/>
      </c>
      <c r="DW87" s="92">
        <f t="shared" si="220"/>
        <v>1</v>
      </c>
      <c r="DX87" s="92">
        <f t="shared" si="221"/>
        <v>8.2587353046533696E-2</v>
      </c>
      <c r="DY87" s="92">
        <f t="shared" si="222"/>
        <v>4.9986229440915304E-2</v>
      </c>
      <c r="DZ87" s="92">
        <f t="shared" si="223"/>
        <v>0.15210617551072572</v>
      </c>
      <c r="EA87" s="92">
        <f t="shared" si="224"/>
        <v>8.2353343545747956E-2</v>
      </c>
      <c r="EB87" s="92">
        <f t="shared" si="225"/>
        <v>6.4802630986818072E-2</v>
      </c>
      <c r="EC87" s="92">
        <f t="shared" si="226"/>
        <v>6.8402777152752406E-2</v>
      </c>
      <c r="ED87" s="92">
        <f t="shared" si="227"/>
        <v>5.0402046323080714E-2</v>
      </c>
      <c r="EE87" s="92">
        <f t="shared" si="228"/>
        <v>0.55064055600657391</v>
      </c>
      <c r="EF87" s="92">
        <f t="shared" si="229"/>
        <v>3.2401315493409036E-2</v>
      </c>
      <c r="EG87" s="92">
        <f t="shared" si="230"/>
        <v>0.58304187149998288</v>
      </c>
      <c r="EH87" s="92">
        <f t="shared" si="231"/>
        <v>0.44935944399342614</v>
      </c>
      <c r="EI87" s="92">
        <f t="shared" si="232"/>
        <v>0.3562470636307834</v>
      </c>
      <c r="EJ87" s="122">
        <f t="shared" si="233"/>
        <v>9.311238036264273E-2</v>
      </c>
    </row>
    <row r="88" spans="2:140" ht="12" hidden="1" customHeight="1" outlineLevel="1">
      <c r="B88" s="121">
        <v>44978</v>
      </c>
      <c r="C88" s="117" t="s">
        <v>575</v>
      </c>
      <c r="D88" s="50" t="s">
        <v>576</v>
      </c>
      <c r="E88" s="50" t="s">
        <v>577</v>
      </c>
      <c r="F88" s="50" t="s">
        <v>578</v>
      </c>
      <c r="G88" s="50" t="s">
        <v>154</v>
      </c>
      <c r="H88" s="50" t="s">
        <v>424</v>
      </c>
      <c r="I88" s="50" t="s">
        <v>579</v>
      </c>
      <c r="J88" s="52" t="s">
        <v>254</v>
      </c>
      <c r="K88" s="50" t="s">
        <v>255</v>
      </c>
      <c r="L88" s="49">
        <v>4</v>
      </c>
      <c r="M88" s="50" t="s">
        <v>159</v>
      </c>
      <c r="N88" s="50" t="s">
        <v>160</v>
      </c>
      <c r="O88" s="50" t="s">
        <v>580</v>
      </c>
      <c r="P88" s="50" t="s">
        <v>161</v>
      </c>
      <c r="Q88" s="53">
        <v>0.09</v>
      </c>
      <c r="R88" s="49">
        <v>120</v>
      </c>
      <c r="S88" s="49">
        <v>0</v>
      </c>
      <c r="T88" s="54">
        <f t="shared" si="238"/>
        <v>120</v>
      </c>
      <c r="U88" s="55">
        <v>101888</v>
      </c>
      <c r="V88" s="49">
        <v>9.0299999999999994</v>
      </c>
      <c r="W88" s="56">
        <f t="shared" si="177"/>
        <v>13.2890365448505</v>
      </c>
      <c r="X88" s="49">
        <v>1981</v>
      </c>
      <c r="Y88" s="57" t="s">
        <v>162</v>
      </c>
      <c r="Z88" s="58">
        <v>4025500</v>
      </c>
      <c r="AA88" s="114">
        <v>4.65E-2</v>
      </c>
      <c r="AB88" s="59">
        <v>18</v>
      </c>
      <c r="AC88" s="60">
        <v>35</v>
      </c>
      <c r="AD88" s="61">
        <v>4.65E-2</v>
      </c>
      <c r="AE88" s="62">
        <v>4025000</v>
      </c>
      <c r="AF88" s="63">
        <v>1.17</v>
      </c>
      <c r="AG88" s="59"/>
      <c r="AH88" s="60"/>
      <c r="AI88" s="61"/>
      <c r="AJ88" s="64"/>
      <c r="AK88" s="65">
        <f t="shared" si="178"/>
        <v>4025000</v>
      </c>
      <c r="AL88" s="62">
        <v>500</v>
      </c>
      <c r="AM88" s="49" t="s">
        <v>163</v>
      </c>
      <c r="AN88" s="67">
        <v>0.9</v>
      </c>
      <c r="AO88" s="62">
        <v>12876180</v>
      </c>
      <c r="AP88" s="62">
        <v>0</v>
      </c>
      <c r="AQ88" s="68">
        <v>339474</v>
      </c>
      <c r="AR88" s="69">
        <f t="shared" si="179"/>
        <v>33541.666666666664</v>
      </c>
      <c r="AS88" s="70" t="str">
        <f>IFERROR(IF(#REF!&gt;0,#REF!/T88,""),"")</f>
        <v/>
      </c>
      <c r="AT88" s="70">
        <f t="shared" si="180"/>
        <v>107301.5</v>
      </c>
      <c r="AU88" s="70">
        <f t="shared" si="181"/>
        <v>4.166666666666667</v>
      </c>
      <c r="AV88" s="71">
        <f t="shared" si="182"/>
        <v>2828.95</v>
      </c>
      <c r="AW88" s="115">
        <f t="shared" si="183"/>
        <v>49276.366666666669</v>
      </c>
      <c r="AX88" s="116">
        <f t="shared" si="184"/>
        <v>58.035921796482413</v>
      </c>
      <c r="AY88" s="72">
        <f t="shared" si="185"/>
        <v>61792.541666666664</v>
      </c>
      <c r="AZ88" s="73">
        <f t="shared" si="186"/>
        <v>72.77701986494975</v>
      </c>
      <c r="BA88" s="66">
        <v>3858309</v>
      </c>
      <c r="BB88" s="62">
        <v>834968</v>
      </c>
      <c r="BC88" s="62">
        <f>4979604+98592</f>
        <v>5078196</v>
      </c>
      <c r="BD88" s="62">
        <v>591316</v>
      </c>
      <c r="BE88" s="62">
        <v>910625</v>
      </c>
      <c r="BF88" s="62">
        <v>1916455</v>
      </c>
      <c r="BG88" s="62">
        <v>1271422</v>
      </c>
      <c r="BH88" s="62">
        <v>1914642</v>
      </c>
      <c r="BI88" s="62">
        <v>523469</v>
      </c>
      <c r="BJ88" s="47">
        <f t="shared" si="187"/>
        <v>16899402</v>
      </c>
      <c r="BK88" s="69">
        <f t="shared" si="165"/>
        <v>32152.575000000001</v>
      </c>
      <c r="BL88" s="70">
        <f t="shared" si="166"/>
        <v>6958.0666666666666</v>
      </c>
      <c r="BM88" s="70">
        <f t="shared" si="167"/>
        <v>42318.3</v>
      </c>
      <c r="BN88" s="70">
        <f t="shared" si="168"/>
        <v>4927.6333333333332</v>
      </c>
      <c r="BO88" s="70">
        <f t="shared" si="169"/>
        <v>7588.541666666667</v>
      </c>
      <c r="BP88" s="70">
        <f t="shared" si="175"/>
        <v>15970.458333333334</v>
      </c>
      <c r="BQ88" s="70">
        <f t="shared" si="188"/>
        <v>10595.183333333332</v>
      </c>
      <c r="BR88" s="70">
        <f t="shared" si="159"/>
        <v>15955.35</v>
      </c>
      <c r="BS88" s="70">
        <f t="shared" si="160"/>
        <v>4362.2416666666668</v>
      </c>
      <c r="BT88" s="71">
        <f t="shared" si="161"/>
        <v>140828.35</v>
      </c>
      <c r="BU88" s="65">
        <f t="shared" si="170"/>
        <v>37.868139525753769</v>
      </c>
      <c r="BV88" s="48">
        <f t="shared" si="171"/>
        <v>8.1949591708542719</v>
      </c>
      <c r="BW88" s="48">
        <f t="shared" si="172"/>
        <v>49.840962625628144</v>
      </c>
      <c r="BX88" s="48">
        <f t="shared" si="173"/>
        <v>5.8035882537688446</v>
      </c>
      <c r="BY88" s="48">
        <f t="shared" si="174"/>
        <v>8.9375098146984921</v>
      </c>
      <c r="BZ88" s="48">
        <f t="shared" si="176"/>
        <v>18.809427999371859</v>
      </c>
      <c r="CA88" s="48">
        <f t="shared" si="189"/>
        <v>12.478623586683417</v>
      </c>
      <c r="CB88" s="48">
        <f t="shared" si="162"/>
        <v>18.791633951005025</v>
      </c>
      <c r="CC88" s="48">
        <f t="shared" si="163"/>
        <v>5.1376904051507539</v>
      </c>
      <c r="CD88" s="47">
        <f t="shared" si="164"/>
        <v>165.86253533291458</v>
      </c>
      <c r="CE88" s="66">
        <v>944736</v>
      </c>
      <c r="CF88" s="62">
        <v>28800</v>
      </c>
      <c r="CG88" s="74">
        <v>-73015</v>
      </c>
      <c r="CH88" s="75">
        <f t="shared" si="190"/>
        <v>900521</v>
      </c>
      <c r="CI88" s="62">
        <f>44640+4800</f>
        <v>49440</v>
      </c>
      <c r="CJ88" s="62">
        <v>45026</v>
      </c>
      <c r="CK88" s="62">
        <v>166872</v>
      </c>
      <c r="CL88" s="62">
        <f>66000+5000</f>
        <v>71000</v>
      </c>
      <c r="CM88" s="62">
        <f>22893+78000+2500</f>
        <v>103393</v>
      </c>
      <c r="CN88" s="62">
        <v>95000</v>
      </c>
      <c r="CO88" s="62">
        <v>60000</v>
      </c>
      <c r="CP88" s="75">
        <f t="shared" si="239"/>
        <v>590731</v>
      </c>
      <c r="CQ88" s="62">
        <v>36000</v>
      </c>
      <c r="CR88" s="75">
        <f t="shared" si="240"/>
        <v>626731</v>
      </c>
      <c r="CS88" s="75">
        <f t="shared" si="191"/>
        <v>309790</v>
      </c>
      <c r="CT88" s="62">
        <v>233090</v>
      </c>
      <c r="CU88" s="47">
        <f t="shared" si="192"/>
        <v>76700</v>
      </c>
      <c r="CV88" s="76">
        <f t="shared" si="193"/>
        <v>0.34401196640611381</v>
      </c>
      <c r="CW88" s="75">
        <f t="shared" si="194"/>
        <v>5222.7583333333332</v>
      </c>
      <c r="CX88" s="77">
        <f t="shared" si="195"/>
        <v>0.69596489143506923</v>
      </c>
      <c r="CY88" s="75">
        <f t="shared" si="196"/>
        <v>639.16666666666663</v>
      </c>
      <c r="CZ88" s="77">
        <f t="shared" si="197"/>
        <v>8.5172916567187215E-2</v>
      </c>
      <c r="DA88" s="77">
        <f t="shared" si="198"/>
        <v>0.25883904983892658</v>
      </c>
      <c r="DB88" s="47">
        <f t="shared" si="199"/>
        <v>33541.666666666664</v>
      </c>
      <c r="DC88" s="69">
        <f t="shared" si="200"/>
        <v>7872.8</v>
      </c>
      <c r="DD88" s="70">
        <f t="shared" si="201"/>
        <v>240</v>
      </c>
      <c r="DE88" s="70">
        <f t="shared" si="202"/>
        <v>-608.45833333333337</v>
      </c>
      <c r="DF88" s="70">
        <f t="shared" si="203"/>
        <v>7504.3416666666662</v>
      </c>
      <c r="DG88" s="70">
        <f t="shared" si="204"/>
        <v>412</v>
      </c>
      <c r="DH88" s="70">
        <f t="shared" si="205"/>
        <v>375.21666666666664</v>
      </c>
      <c r="DI88" s="70">
        <f t="shared" si="206"/>
        <v>1390.6</v>
      </c>
      <c r="DJ88" s="70">
        <f t="shared" si="207"/>
        <v>591.66666666666663</v>
      </c>
      <c r="DK88" s="70">
        <f t="shared" si="208"/>
        <v>861.60833333333335</v>
      </c>
      <c r="DL88" s="70">
        <f t="shared" si="209"/>
        <v>791.66666666666663</v>
      </c>
      <c r="DM88" s="70">
        <f t="shared" si="210"/>
        <v>500</v>
      </c>
      <c r="DN88" s="70">
        <f t="shared" si="211"/>
        <v>4922.7583333333332</v>
      </c>
      <c r="DO88" s="70">
        <f t="shared" si="212"/>
        <v>300</v>
      </c>
      <c r="DP88" s="70">
        <f t="shared" si="213"/>
        <v>5222.7583333333332</v>
      </c>
      <c r="DQ88" s="70">
        <f t="shared" si="214"/>
        <v>2581.5833333333335</v>
      </c>
      <c r="DR88" s="70">
        <f t="shared" si="215"/>
        <v>1942.4166666666667</v>
      </c>
      <c r="DS88" s="71">
        <f t="shared" si="216"/>
        <v>639.16666666666663</v>
      </c>
      <c r="DT88" s="106">
        <f t="shared" si="217"/>
        <v>1.0490993547068863</v>
      </c>
      <c r="DU88" s="92">
        <f t="shared" si="218"/>
        <v>3.198148627294644E-2</v>
      </c>
      <c r="DV88" s="92" t="str">
        <f t="shared" si="219"/>
        <v/>
      </c>
      <c r="DW88" s="92">
        <f t="shared" si="220"/>
        <v>1</v>
      </c>
      <c r="DX88" s="92">
        <f t="shared" si="221"/>
        <v>5.4901551435224717E-2</v>
      </c>
      <c r="DY88" s="92">
        <f t="shared" si="222"/>
        <v>4.999994447658633E-2</v>
      </c>
      <c r="DZ88" s="92">
        <f t="shared" si="223"/>
        <v>0.18530606171316383</v>
      </c>
      <c r="EA88" s="92">
        <f t="shared" si="224"/>
        <v>7.8843247408999895E-2</v>
      </c>
      <c r="EB88" s="92">
        <f t="shared" si="225"/>
        <v>0.11481464618815108</v>
      </c>
      <c r="EC88" s="92">
        <f t="shared" si="226"/>
        <v>0.1054944859697886</v>
      </c>
      <c r="ED88" s="92">
        <f t="shared" si="227"/>
        <v>6.6628096401971745E-2</v>
      </c>
      <c r="EE88" s="92">
        <f t="shared" si="228"/>
        <v>0.65598803359388624</v>
      </c>
      <c r="EF88" s="92">
        <f t="shared" si="229"/>
        <v>3.9976857841183051E-2</v>
      </c>
      <c r="EG88" s="92">
        <f t="shared" si="230"/>
        <v>0.69596489143506923</v>
      </c>
      <c r="EH88" s="92">
        <f t="shared" si="231"/>
        <v>0.34401196640611381</v>
      </c>
      <c r="EI88" s="92">
        <f t="shared" si="232"/>
        <v>0.25883904983892658</v>
      </c>
      <c r="EJ88" s="122">
        <f t="shared" si="233"/>
        <v>8.5172916567187215E-2</v>
      </c>
    </row>
    <row r="89" spans="2:140" ht="12" hidden="1" customHeight="1" outlineLevel="1">
      <c r="B89" s="121">
        <v>44978</v>
      </c>
      <c r="C89" s="117" t="s">
        <v>581</v>
      </c>
      <c r="D89" s="50" t="s">
        <v>582</v>
      </c>
      <c r="E89" s="50" t="s">
        <v>583</v>
      </c>
      <c r="F89" s="50" t="s">
        <v>584</v>
      </c>
      <c r="G89" s="50" t="s">
        <v>585</v>
      </c>
      <c r="H89" s="50" t="s">
        <v>586</v>
      </c>
      <c r="I89" s="50" t="s">
        <v>587</v>
      </c>
      <c r="J89" s="52" t="s">
        <v>588</v>
      </c>
      <c r="K89" s="50" t="s">
        <v>462</v>
      </c>
      <c r="L89" s="49">
        <v>3</v>
      </c>
      <c r="M89" s="50" t="s">
        <v>159</v>
      </c>
      <c r="N89" s="50" t="s">
        <v>244</v>
      </c>
      <c r="O89" s="50" t="s">
        <v>160</v>
      </c>
      <c r="P89" s="50" t="s">
        <v>177</v>
      </c>
      <c r="Q89" s="53">
        <v>0.09</v>
      </c>
      <c r="R89" s="49">
        <f>180-72</f>
        <v>108</v>
      </c>
      <c r="S89" s="49">
        <v>72</v>
      </c>
      <c r="T89" s="54">
        <f t="shared" si="238"/>
        <v>180</v>
      </c>
      <c r="U89" s="55">
        <v>149577</v>
      </c>
      <c r="V89" s="49">
        <v>4.5</v>
      </c>
      <c r="W89" s="56">
        <f t="shared" si="177"/>
        <v>40</v>
      </c>
      <c r="X89" s="49" t="s">
        <v>163</v>
      </c>
      <c r="Y89" s="57" t="s">
        <v>162</v>
      </c>
      <c r="Z89" s="58">
        <v>20400500</v>
      </c>
      <c r="AA89" s="114">
        <v>4.4999999999999998E-2</v>
      </c>
      <c r="AB89" s="59">
        <v>15</v>
      </c>
      <c r="AC89" s="60">
        <v>35</v>
      </c>
      <c r="AD89" s="61">
        <v>4.4999999999999998E-2</v>
      </c>
      <c r="AE89" s="62">
        <v>20400000</v>
      </c>
      <c r="AF89" s="63">
        <v>1.17</v>
      </c>
      <c r="AG89" s="59"/>
      <c r="AH89" s="60"/>
      <c r="AI89" s="61"/>
      <c r="AJ89" s="64"/>
      <c r="AK89" s="65">
        <f t="shared" si="178"/>
        <v>20400000</v>
      </c>
      <c r="AL89" s="62">
        <v>500</v>
      </c>
      <c r="AM89" s="49" t="s">
        <v>163</v>
      </c>
      <c r="AN89" s="67">
        <v>0.92</v>
      </c>
      <c r="AO89" s="62">
        <v>15328683</v>
      </c>
      <c r="AP89" s="62">
        <v>0</v>
      </c>
      <c r="AQ89" s="68">
        <v>1530063</v>
      </c>
      <c r="AR89" s="69">
        <f t="shared" si="179"/>
        <v>113333.33333333333</v>
      </c>
      <c r="AS89" s="70" t="str">
        <f>IFERROR(IF(#REF!&gt;0,#REF!/T89,""),"")</f>
        <v/>
      </c>
      <c r="AT89" s="70">
        <f t="shared" si="180"/>
        <v>85159.35</v>
      </c>
      <c r="AU89" s="70">
        <f t="shared" si="181"/>
        <v>2.7777777777777777</v>
      </c>
      <c r="AV89" s="71">
        <f t="shared" si="182"/>
        <v>8500.35</v>
      </c>
      <c r="AW89" s="115">
        <f t="shared" si="183"/>
        <v>104652.46666666666</v>
      </c>
      <c r="AX89" s="116">
        <f t="shared" si="184"/>
        <v>125.93810545738984</v>
      </c>
      <c r="AY89" s="72">
        <f t="shared" si="185"/>
        <v>125269.00000000001</v>
      </c>
      <c r="AZ89" s="73">
        <f t="shared" si="186"/>
        <v>150.74790910367236</v>
      </c>
      <c r="BA89" s="66">
        <v>5310000</v>
      </c>
      <c r="BB89" s="62">
        <v>2010000</v>
      </c>
      <c r="BC89" s="62">
        <v>16827444</v>
      </c>
      <c r="BD89" s="62">
        <v>941872</v>
      </c>
      <c r="BE89" s="62">
        <v>2769104</v>
      </c>
      <c r="BF89" s="62">
        <v>1338831</v>
      </c>
      <c r="BG89" s="62">
        <v>1831538</v>
      </c>
      <c r="BH89" s="62">
        <v>3608199</v>
      </c>
      <c r="BI89" s="62">
        <v>1092195</v>
      </c>
      <c r="BJ89" s="47">
        <f t="shared" si="187"/>
        <v>35729183</v>
      </c>
      <c r="BK89" s="69">
        <f t="shared" si="165"/>
        <v>29500</v>
      </c>
      <c r="BL89" s="70">
        <f t="shared" si="166"/>
        <v>11166.666666666666</v>
      </c>
      <c r="BM89" s="70">
        <f t="shared" si="167"/>
        <v>93485.8</v>
      </c>
      <c r="BN89" s="70">
        <f t="shared" si="168"/>
        <v>5232.6222222222223</v>
      </c>
      <c r="BO89" s="70">
        <f t="shared" si="169"/>
        <v>15383.911111111111</v>
      </c>
      <c r="BP89" s="70">
        <f t="shared" si="175"/>
        <v>7437.95</v>
      </c>
      <c r="BQ89" s="70">
        <f t="shared" si="188"/>
        <v>10175.211111111112</v>
      </c>
      <c r="BR89" s="70">
        <f t="shared" si="159"/>
        <v>20045.55</v>
      </c>
      <c r="BS89" s="70">
        <f t="shared" si="160"/>
        <v>6067.75</v>
      </c>
      <c r="BT89" s="71">
        <f t="shared" si="161"/>
        <v>198495.4611111111</v>
      </c>
      <c r="BU89" s="65">
        <f t="shared" si="170"/>
        <v>35.500110311077236</v>
      </c>
      <c r="BV89" s="48">
        <f t="shared" si="171"/>
        <v>13.437894863515112</v>
      </c>
      <c r="BW89" s="48">
        <f t="shared" si="172"/>
        <v>112.50021059387473</v>
      </c>
      <c r="BX89" s="48">
        <f t="shared" si="173"/>
        <v>6.2969039357655259</v>
      </c>
      <c r="BY89" s="48">
        <f t="shared" si="174"/>
        <v>18.51289971051699</v>
      </c>
      <c r="BZ89" s="48">
        <f t="shared" si="176"/>
        <v>8.9507812029924381</v>
      </c>
      <c r="CA89" s="48">
        <f t="shared" si="189"/>
        <v>12.244783623150617</v>
      </c>
      <c r="CB89" s="48">
        <f t="shared" si="162"/>
        <v>24.122685974447943</v>
      </c>
      <c r="CC89" s="48">
        <f t="shared" si="163"/>
        <v>7.3018913335606408</v>
      </c>
      <c r="CD89" s="47">
        <f t="shared" si="164"/>
        <v>238.86816154890124</v>
      </c>
      <c r="CE89" s="66">
        <v>2437404</v>
      </c>
      <c r="CF89" s="62">
        <v>43200</v>
      </c>
      <c r="CG89" s="74">
        <v>-186045</v>
      </c>
      <c r="CH89" s="75">
        <f t="shared" si="190"/>
        <v>2294559</v>
      </c>
      <c r="CI89" s="62">
        <f>90237+2050+4320</f>
        <v>96607</v>
      </c>
      <c r="CJ89" s="62">
        <v>92278</v>
      </c>
      <c r="CK89" s="62">
        <v>278450</v>
      </c>
      <c r="CL89" s="62">
        <v>97000</v>
      </c>
      <c r="CM89" s="62">
        <f>1200+31800+109487</f>
        <v>142487</v>
      </c>
      <c r="CN89" s="62">
        <v>81000</v>
      </c>
      <c r="CO89" s="62">
        <v>119445</v>
      </c>
      <c r="CP89" s="75">
        <f t="shared" si="239"/>
        <v>907267</v>
      </c>
      <c r="CQ89" s="62">
        <v>45000</v>
      </c>
      <c r="CR89" s="75">
        <f t="shared" si="240"/>
        <v>952267</v>
      </c>
      <c r="CS89" s="75">
        <f t="shared" si="191"/>
        <v>1387292</v>
      </c>
      <c r="CT89" s="62">
        <v>1143419</v>
      </c>
      <c r="CU89" s="47">
        <f t="shared" si="192"/>
        <v>243873</v>
      </c>
      <c r="CV89" s="76">
        <f t="shared" si="193"/>
        <v>0.60460070976601599</v>
      </c>
      <c r="CW89" s="75">
        <f t="shared" si="194"/>
        <v>5290.3722222222223</v>
      </c>
      <c r="CX89" s="77">
        <f t="shared" si="195"/>
        <v>0.41501090187700557</v>
      </c>
      <c r="CY89" s="75">
        <f t="shared" si="196"/>
        <v>1354.85</v>
      </c>
      <c r="CZ89" s="77">
        <f t="shared" si="197"/>
        <v>0.10628316813819126</v>
      </c>
      <c r="DA89" s="77">
        <f t="shared" si="198"/>
        <v>0.49831754162782477</v>
      </c>
      <c r="DB89" s="47">
        <f t="shared" si="199"/>
        <v>113333.33333333333</v>
      </c>
      <c r="DC89" s="69">
        <f t="shared" si="200"/>
        <v>13541.133333333333</v>
      </c>
      <c r="DD89" s="70">
        <f t="shared" si="201"/>
        <v>240</v>
      </c>
      <c r="DE89" s="70">
        <f t="shared" si="202"/>
        <v>-1033.5833333333333</v>
      </c>
      <c r="DF89" s="70">
        <f t="shared" si="203"/>
        <v>12747.55</v>
      </c>
      <c r="DG89" s="70">
        <f t="shared" si="204"/>
        <v>536.70555555555552</v>
      </c>
      <c r="DH89" s="70">
        <f t="shared" si="205"/>
        <v>512.65555555555557</v>
      </c>
      <c r="DI89" s="70">
        <f t="shared" si="206"/>
        <v>1546.9444444444443</v>
      </c>
      <c r="DJ89" s="70">
        <f t="shared" si="207"/>
        <v>538.88888888888891</v>
      </c>
      <c r="DK89" s="70">
        <f t="shared" si="208"/>
        <v>791.59444444444443</v>
      </c>
      <c r="DL89" s="70">
        <f t="shared" si="209"/>
        <v>450</v>
      </c>
      <c r="DM89" s="70">
        <f t="shared" si="210"/>
        <v>663.58333333333337</v>
      </c>
      <c r="DN89" s="70">
        <f t="shared" si="211"/>
        <v>5040.3722222222223</v>
      </c>
      <c r="DO89" s="70">
        <f t="shared" si="212"/>
        <v>250</v>
      </c>
      <c r="DP89" s="70">
        <f t="shared" si="213"/>
        <v>5290.3722222222223</v>
      </c>
      <c r="DQ89" s="70">
        <f t="shared" si="214"/>
        <v>7707.1777777777779</v>
      </c>
      <c r="DR89" s="70">
        <f t="shared" si="215"/>
        <v>6352.3277777777776</v>
      </c>
      <c r="DS89" s="71">
        <f t="shared" si="216"/>
        <v>1354.85</v>
      </c>
      <c r="DT89" s="106">
        <f t="shared" si="217"/>
        <v>1.0622537925588316</v>
      </c>
      <c r="DU89" s="92">
        <f t="shared" si="218"/>
        <v>1.8827147177300736E-2</v>
      </c>
      <c r="DV89" s="92" t="str">
        <f t="shared" si="219"/>
        <v/>
      </c>
      <c r="DW89" s="92">
        <f t="shared" si="220"/>
        <v>1</v>
      </c>
      <c r="DX89" s="92">
        <f t="shared" si="221"/>
        <v>4.2102643688830842E-2</v>
      </c>
      <c r="DY89" s="92">
        <f t="shared" si="222"/>
        <v>4.021600664877216E-2</v>
      </c>
      <c r="DZ89" s="92">
        <f t="shared" si="223"/>
        <v>0.12135229471109699</v>
      </c>
      <c r="EA89" s="92">
        <f t="shared" si="224"/>
        <v>4.227391843051323E-2</v>
      </c>
      <c r="EB89" s="92">
        <f t="shared" si="225"/>
        <v>6.2097771292871529E-2</v>
      </c>
      <c r="EC89" s="92">
        <f t="shared" si="226"/>
        <v>3.5300900957438881E-2</v>
      </c>
      <c r="ED89" s="92">
        <f t="shared" si="227"/>
        <v>5.2055754504460337E-2</v>
      </c>
      <c r="EE89" s="92">
        <f t="shared" si="228"/>
        <v>0.39539929023398396</v>
      </c>
      <c r="EF89" s="92">
        <f t="shared" si="229"/>
        <v>1.9611611643021599E-2</v>
      </c>
      <c r="EG89" s="92">
        <f t="shared" si="230"/>
        <v>0.41501090187700557</v>
      </c>
      <c r="EH89" s="92">
        <f t="shared" si="231"/>
        <v>0.60460070976601599</v>
      </c>
      <c r="EI89" s="92">
        <f t="shared" si="232"/>
        <v>0.49831754162782477</v>
      </c>
      <c r="EJ89" s="122">
        <f t="shared" si="233"/>
        <v>0.10628316813819126</v>
      </c>
    </row>
    <row r="90" spans="2:140" ht="12" hidden="1" customHeight="1" outlineLevel="1">
      <c r="B90" s="121">
        <v>44978</v>
      </c>
      <c r="C90" s="117" t="s">
        <v>589</v>
      </c>
      <c r="D90" s="50" t="s">
        <v>590</v>
      </c>
      <c r="E90" s="50" t="s">
        <v>451</v>
      </c>
      <c r="F90" s="50" t="s">
        <v>591</v>
      </c>
      <c r="G90" s="50" t="s">
        <v>162</v>
      </c>
      <c r="H90" s="50" t="s">
        <v>592</v>
      </c>
      <c r="I90" s="50" t="s">
        <v>593</v>
      </c>
      <c r="J90" s="52" t="s">
        <v>594</v>
      </c>
      <c r="K90" s="50" t="s">
        <v>595</v>
      </c>
      <c r="L90" s="49">
        <v>2</v>
      </c>
      <c r="M90" s="50" t="s">
        <v>159</v>
      </c>
      <c r="N90" s="50" t="s">
        <v>244</v>
      </c>
      <c r="O90" s="50" t="s">
        <v>160</v>
      </c>
      <c r="P90" s="50" t="s">
        <v>273</v>
      </c>
      <c r="Q90" s="53">
        <v>0.09</v>
      </c>
      <c r="R90" s="49">
        <v>29</v>
      </c>
      <c r="S90" s="49">
        <v>0</v>
      </c>
      <c r="T90" s="54">
        <f t="shared" si="238"/>
        <v>29</v>
      </c>
      <c r="U90" s="55">
        <v>21793</v>
      </c>
      <c r="V90" s="49">
        <v>3.55</v>
      </c>
      <c r="W90" s="56">
        <f t="shared" si="177"/>
        <v>8.169014084507042</v>
      </c>
      <c r="X90" s="49" t="s">
        <v>163</v>
      </c>
      <c r="Y90" s="57" t="s">
        <v>162</v>
      </c>
      <c r="Z90" s="58">
        <v>1099962</v>
      </c>
      <c r="AA90" s="114">
        <v>4.4999999999999998E-2</v>
      </c>
      <c r="AB90" s="59">
        <v>15</v>
      </c>
      <c r="AC90" s="60">
        <v>35</v>
      </c>
      <c r="AD90" s="61">
        <v>4.4999999999999998E-2</v>
      </c>
      <c r="AE90" s="62">
        <v>1099462</v>
      </c>
      <c r="AF90" s="63">
        <v>1.2</v>
      </c>
      <c r="AG90" s="59"/>
      <c r="AH90" s="60"/>
      <c r="AI90" s="61"/>
      <c r="AJ90" s="64"/>
      <c r="AK90" s="65">
        <f t="shared" si="178"/>
        <v>1099462</v>
      </c>
      <c r="AL90" s="62">
        <v>500</v>
      </c>
      <c r="AM90" s="49" t="s">
        <v>163</v>
      </c>
      <c r="AN90" s="67">
        <v>0.879</v>
      </c>
      <c r="AO90" s="62">
        <v>8336521</v>
      </c>
      <c r="AP90" s="62">
        <v>0</v>
      </c>
      <c r="AQ90" s="68">
        <v>126558</v>
      </c>
      <c r="AR90" s="69">
        <f t="shared" si="179"/>
        <v>37912.482758620688</v>
      </c>
      <c r="AS90" s="70" t="str">
        <f>IFERROR(IF(#REF!&gt;0,#REF!/T90,""),"")</f>
        <v/>
      </c>
      <c r="AT90" s="70">
        <f t="shared" si="180"/>
        <v>287466.24137931032</v>
      </c>
      <c r="AU90" s="70">
        <f t="shared" si="181"/>
        <v>17.241379310344829</v>
      </c>
      <c r="AV90" s="71">
        <f t="shared" si="182"/>
        <v>4364.0689655172409</v>
      </c>
      <c r="AW90" s="115">
        <f t="shared" si="183"/>
        <v>158291.3448275862</v>
      </c>
      <c r="AX90" s="116">
        <f t="shared" si="184"/>
        <v>210.63869132290185</v>
      </c>
      <c r="AY90" s="72">
        <f t="shared" si="185"/>
        <v>192306.1724137931</v>
      </c>
      <c r="AZ90" s="73">
        <f t="shared" si="186"/>
        <v>255.90230808057632</v>
      </c>
      <c r="BA90" s="66">
        <v>495000</v>
      </c>
      <c r="BB90" s="62">
        <v>448139</v>
      </c>
      <c r="BC90" s="62">
        <v>4142310</v>
      </c>
      <c r="BD90" s="62">
        <v>321174</v>
      </c>
      <c r="BE90" s="62">
        <v>665256</v>
      </c>
      <c r="BF90" s="62">
        <v>861425</v>
      </c>
      <c r="BG90" s="62">
        <v>776145</v>
      </c>
      <c r="BH90" s="62">
        <v>1354131</v>
      </c>
      <c r="BI90" s="62">
        <v>200044</v>
      </c>
      <c r="BJ90" s="47">
        <f t="shared" si="187"/>
        <v>9263624</v>
      </c>
      <c r="BK90" s="69">
        <f t="shared" si="165"/>
        <v>17068.96551724138</v>
      </c>
      <c r="BL90" s="70">
        <f t="shared" si="166"/>
        <v>15453.068965517241</v>
      </c>
      <c r="BM90" s="70">
        <f t="shared" si="167"/>
        <v>142838.27586206896</v>
      </c>
      <c r="BN90" s="70">
        <f t="shared" si="168"/>
        <v>11074.965517241379</v>
      </c>
      <c r="BO90" s="70">
        <f t="shared" si="169"/>
        <v>22939.862068965518</v>
      </c>
      <c r="BP90" s="70">
        <f t="shared" si="175"/>
        <v>29704.310344827587</v>
      </c>
      <c r="BQ90" s="70">
        <f t="shared" si="188"/>
        <v>26763.620689655174</v>
      </c>
      <c r="BR90" s="70">
        <f t="shared" si="159"/>
        <v>46694.172413793101</v>
      </c>
      <c r="BS90" s="70">
        <f t="shared" si="160"/>
        <v>6898.0689655172409</v>
      </c>
      <c r="BT90" s="71">
        <f t="shared" si="161"/>
        <v>319435.31034482759</v>
      </c>
      <c r="BU90" s="65">
        <f t="shared" si="170"/>
        <v>22.713715413206074</v>
      </c>
      <c r="BV90" s="48">
        <f t="shared" si="171"/>
        <v>20.563437801128803</v>
      </c>
      <c r="BW90" s="48">
        <f t="shared" si="172"/>
        <v>190.07525352177305</v>
      </c>
      <c r="BX90" s="48">
        <f t="shared" si="173"/>
        <v>14.737484513375854</v>
      </c>
      <c r="BY90" s="48">
        <f t="shared" si="174"/>
        <v>30.526132244298626</v>
      </c>
      <c r="BZ90" s="48">
        <f t="shared" si="176"/>
        <v>39.527600605699078</v>
      </c>
      <c r="CA90" s="48">
        <f t="shared" si="189"/>
        <v>35.614417473500666</v>
      </c>
      <c r="CB90" s="48">
        <f t="shared" si="162"/>
        <v>62.13605286101042</v>
      </c>
      <c r="CC90" s="48">
        <f t="shared" si="163"/>
        <v>9.1792777497361531</v>
      </c>
      <c r="CD90" s="47">
        <f t="shared" si="164"/>
        <v>425.07337218372874</v>
      </c>
      <c r="CE90" s="66">
        <v>222852</v>
      </c>
      <c r="CF90" s="62">
        <v>6960</v>
      </c>
      <c r="CG90" s="74">
        <v>-17236</v>
      </c>
      <c r="CH90" s="75">
        <f t="shared" si="190"/>
        <v>212576</v>
      </c>
      <c r="CI90" s="62">
        <f>12325+1160</f>
        <v>13485</v>
      </c>
      <c r="CJ90" s="62">
        <v>10629</v>
      </c>
      <c r="CK90" s="62">
        <v>33350</v>
      </c>
      <c r="CL90" s="62">
        <v>18125</v>
      </c>
      <c r="CM90" s="62">
        <f>5800+15950</f>
        <v>21750</v>
      </c>
      <c r="CN90" s="62">
        <v>9153</v>
      </c>
      <c r="CO90" s="62">
        <v>22457</v>
      </c>
      <c r="CP90" s="75">
        <f t="shared" si="239"/>
        <v>128949</v>
      </c>
      <c r="CQ90" s="62">
        <v>8700</v>
      </c>
      <c r="CR90" s="75">
        <f t="shared" si="240"/>
        <v>137649</v>
      </c>
      <c r="CS90" s="75">
        <f t="shared" si="191"/>
        <v>83627</v>
      </c>
      <c r="CT90" s="62">
        <v>62439</v>
      </c>
      <c r="CU90" s="47">
        <f t="shared" si="192"/>
        <v>21188</v>
      </c>
      <c r="CV90" s="76">
        <f t="shared" si="193"/>
        <v>0.39339812584675599</v>
      </c>
      <c r="CW90" s="75">
        <f t="shared" si="194"/>
        <v>4746.5172413793107</v>
      </c>
      <c r="CX90" s="77">
        <f t="shared" si="195"/>
        <v>0.64752841336745448</v>
      </c>
      <c r="CY90" s="75">
        <f t="shared" si="196"/>
        <v>730.62068965517244</v>
      </c>
      <c r="CZ90" s="77">
        <f t="shared" si="197"/>
        <v>9.9672587686286312E-2</v>
      </c>
      <c r="DA90" s="77">
        <f t="shared" si="198"/>
        <v>0.29372553816046965</v>
      </c>
      <c r="DB90" s="47">
        <f t="shared" si="199"/>
        <v>37912.482758620688</v>
      </c>
      <c r="DC90" s="69">
        <f t="shared" si="200"/>
        <v>7684.5517241379312</v>
      </c>
      <c r="DD90" s="70">
        <f t="shared" si="201"/>
        <v>240</v>
      </c>
      <c r="DE90" s="70">
        <f t="shared" si="202"/>
        <v>-594.34482758620686</v>
      </c>
      <c r="DF90" s="70">
        <f t="shared" si="203"/>
        <v>7330.2068965517237</v>
      </c>
      <c r="DG90" s="70">
        <f t="shared" si="204"/>
        <v>465</v>
      </c>
      <c r="DH90" s="70">
        <f t="shared" si="205"/>
        <v>366.51724137931035</v>
      </c>
      <c r="DI90" s="70">
        <f t="shared" si="206"/>
        <v>1150</v>
      </c>
      <c r="DJ90" s="70">
        <f t="shared" si="207"/>
        <v>625</v>
      </c>
      <c r="DK90" s="70">
        <f t="shared" si="208"/>
        <v>750</v>
      </c>
      <c r="DL90" s="70">
        <f t="shared" si="209"/>
        <v>315.62068965517244</v>
      </c>
      <c r="DM90" s="70">
        <f t="shared" si="210"/>
        <v>774.37931034482756</v>
      </c>
      <c r="DN90" s="70">
        <f t="shared" si="211"/>
        <v>4446.5172413793107</v>
      </c>
      <c r="DO90" s="70">
        <f t="shared" si="212"/>
        <v>300</v>
      </c>
      <c r="DP90" s="70">
        <f t="shared" si="213"/>
        <v>4746.5172413793107</v>
      </c>
      <c r="DQ90" s="70">
        <f t="shared" si="214"/>
        <v>2883.6896551724139</v>
      </c>
      <c r="DR90" s="70">
        <f t="shared" si="215"/>
        <v>2153.0689655172414</v>
      </c>
      <c r="DS90" s="71">
        <f t="shared" si="216"/>
        <v>730.62068965517244</v>
      </c>
      <c r="DT90" s="106">
        <f t="shared" si="217"/>
        <v>1.0483403582718651</v>
      </c>
      <c r="DU90" s="92">
        <f t="shared" si="218"/>
        <v>3.2741231371368355E-2</v>
      </c>
      <c r="DV90" s="92" t="str">
        <f t="shared" si="219"/>
        <v/>
      </c>
      <c r="DW90" s="92">
        <f t="shared" si="220"/>
        <v>1</v>
      </c>
      <c r="DX90" s="92">
        <f t="shared" si="221"/>
        <v>6.3436135782026198E-2</v>
      </c>
      <c r="DY90" s="92">
        <f t="shared" si="222"/>
        <v>5.0000940839981939E-2</v>
      </c>
      <c r="DZ90" s="92">
        <f t="shared" si="223"/>
        <v>0.15688506698780671</v>
      </c>
      <c r="EA90" s="92">
        <f t="shared" si="224"/>
        <v>8.5263623362938426E-2</v>
      </c>
      <c r="EB90" s="92">
        <f t="shared" si="225"/>
        <v>0.10231634803552611</v>
      </c>
      <c r="EC90" s="92">
        <f t="shared" si="226"/>
        <v>4.3057541773295196E-2</v>
      </c>
      <c r="ED90" s="92">
        <f t="shared" si="227"/>
        <v>0.10564221737166943</v>
      </c>
      <c r="EE90" s="92">
        <f t="shared" si="228"/>
        <v>0.60660187415324407</v>
      </c>
      <c r="EF90" s="92">
        <f t="shared" si="229"/>
        <v>4.0926539214210446E-2</v>
      </c>
      <c r="EG90" s="92">
        <f t="shared" si="230"/>
        <v>0.64752841336745448</v>
      </c>
      <c r="EH90" s="92">
        <f t="shared" si="231"/>
        <v>0.39339812584675599</v>
      </c>
      <c r="EI90" s="92">
        <f t="shared" si="232"/>
        <v>0.29372553816046965</v>
      </c>
      <c r="EJ90" s="122">
        <f t="shared" si="233"/>
        <v>9.9672587686286312E-2</v>
      </c>
    </row>
    <row r="91" spans="2:140" ht="12" hidden="1" customHeight="1" outlineLevel="1">
      <c r="B91" s="121">
        <v>44978</v>
      </c>
      <c r="C91" s="117" t="s">
        <v>596</v>
      </c>
      <c r="D91" s="50" t="s">
        <v>597</v>
      </c>
      <c r="E91" s="50" t="s">
        <v>598</v>
      </c>
      <c r="F91" s="50" t="s">
        <v>599</v>
      </c>
      <c r="G91" s="50" t="s">
        <v>162</v>
      </c>
      <c r="H91" s="50" t="s">
        <v>433</v>
      </c>
      <c r="I91" s="50" t="s">
        <v>321</v>
      </c>
      <c r="J91" s="52" t="s">
        <v>600</v>
      </c>
      <c r="K91" s="50" t="s">
        <v>601</v>
      </c>
      <c r="L91" s="49">
        <v>11</v>
      </c>
      <c r="M91" s="50" t="s">
        <v>283</v>
      </c>
      <c r="N91" s="50" t="s">
        <v>160</v>
      </c>
      <c r="O91" s="50" t="s">
        <v>160</v>
      </c>
      <c r="P91" s="50" t="s">
        <v>177</v>
      </c>
      <c r="Q91" s="53">
        <v>0.09</v>
      </c>
      <c r="R91" s="49">
        <f>61-6</f>
        <v>55</v>
      </c>
      <c r="S91" s="49">
        <v>6</v>
      </c>
      <c r="T91" s="54">
        <f t="shared" si="238"/>
        <v>61</v>
      </c>
      <c r="U91" s="55">
        <v>60540</v>
      </c>
      <c r="V91" s="49">
        <v>5.9</v>
      </c>
      <c r="W91" s="56">
        <f t="shared" si="177"/>
        <v>10.338983050847457</v>
      </c>
      <c r="X91" s="49" t="s">
        <v>163</v>
      </c>
      <c r="Y91" s="57" t="s">
        <v>162</v>
      </c>
      <c r="Z91" s="58">
        <v>2300250</v>
      </c>
      <c r="AA91" s="114">
        <v>5.2499999999999998E-2</v>
      </c>
      <c r="AB91" s="59">
        <v>15</v>
      </c>
      <c r="AC91" s="60">
        <v>40</v>
      </c>
      <c r="AD91" s="61">
        <v>5.2499999999999998E-2</v>
      </c>
      <c r="AE91" s="62">
        <v>2300000</v>
      </c>
      <c r="AF91" s="63">
        <v>1.23</v>
      </c>
      <c r="AG91" s="59"/>
      <c r="AH91" s="60"/>
      <c r="AI91" s="61"/>
      <c r="AJ91" s="64"/>
      <c r="AK91" s="65">
        <f t="shared" si="178"/>
        <v>2300000</v>
      </c>
      <c r="AL91" s="62">
        <v>250</v>
      </c>
      <c r="AM91" s="49" t="s">
        <v>163</v>
      </c>
      <c r="AN91" s="67">
        <v>0.87</v>
      </c>
      <c r="AO91" s="62">
        <v>9018895</v>
      </c>
      <c r="AP91" s="62">
        <v>0</v>
      </c>
      <c r="AQ91" s="68">
        <v>262325</v>
      </c>
      <c r="AR91" s="69">
        <f t="shared" si="179"/>
        <v>37704.918032786882</v>
      </c>
      <c r="AS91" s="70" t="str">
        <f>IFERROR(IF(#REF!&gt;0,#REF!/T91,""),"")</f>
        <v/>
      </c>
      <c r="AT91" s="70">
        <f t="shared" si="180"/>
        <v>147850.73770491802</v>
      </c>
      <c r="AU91" s="70">
        <f t="shared" si="181"/>
        <v>4.0983606557377046</v>
      </c>
      <c r="AV91" s="71">
        <f t="shared" si="182"/>
        <v>4300.4098360655735</v>
      </c>
      <c r="AW91" s="115">
        <f t="shared" si="183"/>
        <v>105629.65573770492</v>
      </c>
      <c r="AX91" s="116">
        <f t="shared" si="184"/>
        <v>106.43225966303271</v>
      </c>
      <c r="AY91" s="72">
        <f t="shared" si="185"/>
        <v>126536.81967213114</v>
      </c>
      <c r="AZ91" s="73">
        <f t="shared" si="186"/>
        <v>127.49828212751899</v>
      </c>
      <c r="BA91" s="66">
        <v>866550</v>
      </c>
      <c r="BB91" s="62">
        <v>1119144</v>
      </c>
      <c r="BC91" s="62">
        <v>5324265</v>
      </c>
      <c r="BD91" s="62">
        <v>372559</v>
      </c>
      <c r="BE91" s="62">
        <v>902778</v>
      </c>
      <c r="BF91" s="62">
        <v>754268</v>
      </c>
      <c r="BG91" s="62">
        <v>581735</v>
      </c>
      <c r="BH91" s="62">
        <v>1182596</v>
      </c>
      <c r="BI91" s="62">
        <v>215250</v>
      </c>
      <c r="BJ91" s="47">
        <f t="shared" si="187"/>
        <v>11319145</v>
      </c>
      <c r="BK91" s="69">
        <f t="shared" si="165"/>
        <v>14205.737704918032</v>
      </c>
      <c r="BL91" s="70">
        <f t="shared" si="166"/>
        <v>18346.622950819674</v>
      </c>
      <c r="BM91" s="70">
        <f t="shared" si="167"/>
        <v>87283.032786885247</v>
      </c>
      <c r="BN91" s="70">
        <f t="shared" si="168"/>
        <v>6107.5245901639346</v>
      </c>
      <c r="BO91" s="70">
        <f t="shared" si="169"/>
        <v>14799.639344262296</v>
      </c>
      <c r="BP91" s="70">
        <f t="shared" si="175"/>
        <v>12365.049180327869</v>
      </c>
      <c r="BQ91" s="70">
        <f t="shared" si="188"/>
        <v>9536.6393442622957</v>
      </c>
      <c r="BR91" s="70">
        <f t="shared" si="159"/>
        <v>19386.819672131147</v>
      </c>
      <c r="BS91" s="70">
        <f t="shared" si="160"/>
        <v>3528.688524590164</v>
      </c>
      <c r="BT91" s="71">
        <f t="shared" si="161"/>
        <v>185559.75409836066</v>
      </c>
      <c r="BU91" s="65">
        <f t="shared" si="170"/>
        <v>14.313676907829533</v>
      </c>
      <c r="BV91" s="48">
        <f t="shared" si="171"/>
        <v>18.486025768087217</v>
      </c>
      <c r="BW91" s="48">
        <f t="shared" si="172"/>
        <v>87.946233894945493</v>
      </c>
      <c r="BX91" s="48">
        <f t="shared" si="173"/>
        <v>6.1539312851007599</v>
      </c>
      <c r="BY91" s="48">
        <f t="shared" si="174"/>
        <v>14.912091179385531</v>
      </c>
      <c r="BZ91" s="48">
        <f t="shared" si="176"/>
        <v>12.459002312520647</v>
      </c>
      <c r="CA91" s="48">
        <f t="shared" si="189"/>
        <v>9.6091014205483969</v>
      </c>
      <c r="CB91" s="48">
        <f t="shared" si="162"/>
        <v>19.534126197555334</v>
      </c>
      <c r="CC91" s="48">
        <f t="shared" si="163"/>
        <v>3.5555004955401386</v>
      </c>
      <c r="CD91" s="47">
        <f t="shared" si="164"/>
        <v>186.96968946151304</v>
      </c>
      <c r="CE91" s="66">
        <v>460128</v>
      </c>
      <c r="CF91" s="62">
        <v>14640</v>
      </c>
      <c r="CG91" s="74">
        <v>-35608</v>
      </c>
      <c r="CH91" s="75">
        <f t="shared" si="190"/>
        <v>439160</v>
      </c>
      <c r="CI91" s="62">
        <f>22900+3600+2200</f>
        <v>28700</v>
      </c>
      <c r="CJ91" s="62">
        <v>26350</v>
      </c>
      <c r="CK91" s="62">
        <v>81184</v>
      </c>
      <c r="CL91" s="62">
        <v>29055</v>
      </c>
      <c r="CM91" s="62">
        <f>10950+7438</f>
        <v>18388</v>
      </c>
      <c r="CN91" s="62">
        <v>26564</v>
      </c>
      <c r="CO91" s="62">
        <v>43814</v>
      </c>
      <c r="CP91" s="75">
        <f t="shared" si="239"/>
        <v>254055</v>
      </c>
      <c r="CQ91" s="62">
        <v>15250</v>
      </c>
      <c r="CR91" s="75">
        <f t="shared" si="240"/>
        <v>269305</v>
      </c>
      <c r="CS91" s="75">
        <f t="shared" si="191"/>
        <v>185105</v>
      </c>
      <c r="CT91" s="62">
        <v>137688</v>
      </c>
      <c r="CU91" s="47">
        <f t="shared" si="192"/>
        <v>47417</v>
      </c>
      <c r="CV91" s="76">
        <f t="shared" si="193"/>
        <v>0.42149785955005009</v>
      </c>
      <c r="CW91" s="75">
        <f t="shared" si="194"/>
        <v>4414.8360655737706</v>
      </c>
      <c r="CX91" s="77">
        <f t="shared" si="195"/>
        <v>0.61322752527552604</v>
      </c>
      <c r="CY91" s="75">
        <f t="shared" si="196"/>
        <v>777.32786885245901</v>
      </c>
      <c r="CZ91" s="77">
        <f t="shared" si="197"/>
        <v>0.10797203752618635</v>
      </c>
      <c r="DA91" s="77">
        <f t="shared" si="198"/>
        <v>0.31352582202386375</v>
      </c>
      <c r="DB91" s="47">
        <f t="shared" si="199"/>
        <v>37704.918032786882</v>
      </c>
      <c r="DC91" s="69">
        <f t="shared" si="200"/>
        <v>7543.0819672131147</v>
      </c>
      <c r="DD91" s="70">
        <f t="shared" si="201"/>
        <v>240</v>
      </c>
      <c r="DE91" s="70">
        <f t="shared" si="202"/>
        <v>-583.73770491803282</v>
      </c>
      <c r="DF91" s="70">
        <f t="shared" si="203"/>
        <v>7199.3442622950815</v>
      </c>
      <c r="DG91" s="70">
        <f t="shared" si="204"/>
        <v>470.49180327868851</v>
      </c>
      <c r="DH91" s="70">
        <f t="shared" si="205"/>
        <v>431.96721311475409</v>
      </c>
      <c r="DI91" s="70">
        <f t="shared" si="206"/>
        <v>1330.8852459016393</v>
      </c>
      <c r="DJ91" s="70">
        <f t="shared" si="207"/>
        <v>476.31147540983608</v>
      </c>
      <c r="DK91" s="70">
        <f t="shared" si="208"/>
        <v>301.44262295081967</v>
      </c>
      <c r="DL91" s="70">
        <f t="shared" si="209"/>
        <v>435.47540983606558</v>
      </c>
      <c r="DM91" s="70">
        <f t="shared" si="210"/>
        <v>718.26229508196718</v>
      </c>
      <c r="DN91" s="70">
        <f t="shared" si="211"/>
        <v>4164.8360655737706</v>
      </c>
      <c r="DO91" s="70">
        <f t="shared" si="212"/>
        <v>250</v>
      </c>
      <c r="DP91" s="70">
        <f t="shared" si="213"/>
        <v>4414.8360655737706</v>
      </c>
      <c r="DQ91" s="70">
        <f t="shared" si="214"/>
        <v>3034.5081967213114</v>
      </c>
      <c r="DR91" s="70">
        <f t="shared" si="215"/>
        <v>2257.1803278688526</v>
      </c>
      <c r="DS91" s="71">
        <f t="shared" si="216"/>
        <v>777.32786885245901</v>
      </c>
      <c r="DT91" s="106">
        <f t="shared" si="217"/>
        <v>1.0477456963293561</v>
      </c>
      <c r="DU91" s="92">
        <f t="shared" si="218"/>
        <v>3.3336369432553054E-2</v>
      </c>
      <c r="DV91" s="92" t="str">
        <f t="shared" si="219"/>
        <v/>
      </c>
      <c r="DW91" s="92">
        <f t="shared" si="220"/>
        <v>1</v>
      </c>
      <c r="DX91" s="92">
        <f t="shared" si="221"/>
        <v>6.5352035704526829E-2</v>
      </c>
      <c r="DY91" s="92">
        <f t="shared" si="222"/>
        <v>6.0000910829765913E-2</v>
      </c>
      <c r="DZ91" s="92">
        <f t="shared" si="223"/>
        <v>0.18486200929046362</v>
      </c>
      <c r="EA91" s="92">
        <f t="shared" si="224"/>
        <v>6.6160397121777945E-2</v>
      </c>
      <c r="EB91" s="92">
        <f t="shared" si="225"/>
        <v>4.1870844339193004E-2</v>
      </c>
      <c r="EC91" s="92">
        <f t="shared" si="226"/>
        <v>6.0488204754531379E-2</v>
      </c>
      <c r="ED91" s="92">
        <f t="shared" si="227"/>
        <v>9.9767738409691234E-2</v>
      </c>
      <c r="EE91" s="92">
        <f t="shared" si="228"/>
        <v>0.57850214044994985</v>
      </c>
      <c r="EF91" s="92">
        <f t="shared" si="229"/>
        <v>3.4725384825576099E-2</v>
      </c>
      <c r="EG91" s="92">
        <f t="shared" si="230"/>
        <v>0.61322752527552604</v>
      </c>
      <c r="EH91" s="92">
        <f t="shared" si="231"/>
        <v>0.42149785955005009</v>
      </c>
      <c r="EI91" s="92">
        <f t="shared" si="232"/>
        <v>0.31352582202386375</v>
      </c>
      <c r="EJ91" s="122">
        <f t="shared" si="233"/>
        <v>0.10797203752618635</v>
      </c>
    </row>
    <row r="92" spans="2:140" ht="12" hidden="1" customHeight="1" outlineLevel="1">
      <c r="B92" s="121">
        <v>44978</v>
      </c>
      <c r="C92" s="117" t="s">
        <v>602</v>
      </c>
      <c r="D92" s="50" t="s">
        <v>603</v>
      </c>
      <c r="E92" s="50" t="s">
        <v>532</v>
      </c>
      <c r="F92" s="50" t="s">
        <v>533</v>
      </c>
      <c r="G92" s="50" t="s">
        <v>534</v>
      </c>
      <c r="H92" s="50" t="s">
        <v>236</v>
      </c>
      <c r="I92" s="50" t="s">
        <v>182</v>
      </c>
      <c r="J92" s="52" t="s">
        <v>551</v>
      </c>
      <c r="K92" s="50" t="s">
        <v>552</v>
      </c>
      <c r="L92" s="49">
        <v>12</v>
      </c>
      <c r="M92" s="50" t="s">
        <v>159</v>
      </c>
      <c r="N92" s="50" t="s">
        <v>160</v>
      </c>
      <c r="O92" s="50" t="s">
        <v>160</v>
      </c>
      <c r="P92" s="50" t="s">
        <v>177</v>
      </c>
      <c r="Q92" s="53">
        <v>0.09</v>
      </c>
      <c r="R92" s="49">
        <f>36-9</f>
        <v>27</v>
      </c>
      <c r="S92" s="49">
        <v>9</v>
      </c>
      <c r="T92" s="54">
        <f t="shared" si="238"/>
        <v>36</v>
      </c>
      <c r="U92" s="55">
        <v>36816</v>
      </c>
      <c r="V92" s="49">
        <v>8.0820000000000007</v>
      </c>
      <c r="W92" s="56">
        <f t="shared" si="177"/>
        <v>4.4543429844097995</v>
      </c>
      <c r="X92" s="49" t="s">
        <v>163</v>
      </c>
      <c r="Y92" s="57" t="s">
        <v>162</v>
      </c>
      <c r="Z92" s="58">
        <v>2850500</v>
      </c>
      <c r="AA92" s="114">
        <v>0.03</v>
      </c>
      <c r="AB92" s="59">
        <v>40</v>
      </c>
      <c r="AC92" s="60">
        <v>40</v>
      </c>
      <c r="AD92" s="61">
        <v>0.03</v>
      </c>
      <c r="AE92" s="62">
        <v>2850000</v>
      </c>
      <c r="AF92" s="63">
        <v>1.21</v>
      </c>
      <c r="AG92" s="59"/>
      <c r="AH92" s="60"/>
      <c r="AI92" s="61"/>
      <c r="AJ92" s="64"/>
      <c r="AK92" s="65">
        <f t="shared" si="178"/>
        <v>2850000</v>
      </c>
      <c r="AL92" s="62">
        <v>500</v>
      </c>
      <c r="AM92" s="49" t="s">
        <v>163</v>
      </c>
      <c r="AN92" s="67">
        <v>0.89</v>
      </c>
      <c r="AO92" s="62">
        <v>5981169</v>
      </c>
      <c r="AP92" s="62">
        <v>0</v>
      </c>
      <c r="AQ92" s="68">
        <v>453205</v>
      </c>
      <c r="AR92" s="69">
        <f t="shared" si="179"/>
        <v>79166.666666666672</v>
      </c>
      <c r="AS92" s="70" t="str">
        <f>IFERROR(IF(#REF!&gt;0,#REF!/T92,""),"")</f>
        <v/>
      </c>
      <c r="AT92" s="70">
        <f t="shared" si="180"/>
        <v>166143.58333333334</v>
      </c>
      <c r="AU92" s="70">
        <f t="shared" si="181"/>
        <v>13.888888888888889</v>
      </c>
      <c r="AV92" s="71">
        <f t="shared" si="182"/>
        <v>12589.027777777777</v>
      </c>
      <c r="AW92" s="115">
        <f t="shared" si="183"/>
        <v>137515.25</v>
      </c>
      <c r="AX92" s="116">
        <f t="shared" si="184"/>
        <v>134.46732398956976</v>
      </c>
      <c r="AY92" s="72">
        <f t="shared" si="185"/>
        <v>161426.63888888888</v>
      </c>
      <c r="AZ92" s="73">
        <f t="shared" si="186"/>
        <v>157.84873424598001</v>
      </c>
      <c r="BA92" s="66">
        <v>779486</v>
      </c>
      <c r="BB92" s="62">
        <v>1064195</v>
      </c>
      <c r="BC92" s="62">
        <v>3886354</v>
      </c>
      <c r="BD92" s="62">
        <v>247527</v>
      </c>
      <c r="BE92" s="62">
        <v>613283</v>
      </c>
      <c r="BF92" s="62">
        <v>405860</v>
      </c>
      <c r="BG92" s="62">
        <v>489727</v>
      </c>
      <c r="BH92" s="62">
        <v>1164180</v>
      </c>
      <c r="BI92" s="62">
        <v>160542</v>
      </c>
      <c r="BJ92" s="47">
        <f t="shared" si="187"/>
        <v>8811154</v>
      </c>
      <c r="BK92" s="69">
        <f t="shared" si="165"/>
        <v>21652.388888888891</v>
      </c>
      <c r="BL92" s="70">
        <f t="shared" si="166"/>
        <v>29560.972222222223</v>
      </c>
      <c r="BM92" s="70">
        <f t="shared" si="167"/>
        <v>107954.27777777778</v>
      </c>
      <c r="BN92" s="70">
        <f t="shared" si="168"/>
        <v>6875.75</v>
      </c>
      <c r="BO92" s="70">
        <f t="shared" si="169"/>
        <v>17035.638888888891</v>
      </c>
      <c r="BP92" s="70">
        <f t="shared" si="175"/>
        <v>11273.888888888889</v>
      </c>
      <c r="BQ92" s="70">
        <f t="shared" si="188"/>
        <v>13603.527777777777</v>
      </c>
      <c r="BR92" s="70">
        <f t="shared" si="159"/>
        <v>32338.333333333332</v>
      </c>
      <c r="BS92" s="70">
        <f t="shared" si="160"/>
        <v>4459.5</v>
      </c>
      <c r="BT92" s="71">
        <f t="shared" si="161"/>
        <v>244754.27777777778</v>
      </c>
      <c r="BU92" s="65">
        <f t="shared" si="170"/>
        <v>21.172479356801389</v>
      </c>
      <c r="BV92" s="48">
        <f t="shared" si="171"/>
        <v>28.905774663189916</v>
      </c>
      <c r="BW92" s="48">
        <f t="shared" si="172"/>
        <v>105.56154932637983</v>
      </c>
      <c r="BX92" s="48">
        <f t="shared" si="173"/>
        <v>6.7233539765319428</v>
      </c>
      <c r="BY92" s="48">
        <f t="shared" si="174"/>
        <v>16.658056279878313</v>
      </c>
      <c r="BZ92" s="48">
        <f t="shared" si="176"/>
        <v>11.024011299435028</v>
      </c>
      <c r="CA92" s="48">
        <f t="shared" si="189"/>
        <v>13.30201542807475</v>
      </c>
      <c r="CB92" s="48">
        <f t="shared" si="162"/>
        <v>31.621577574967404</v>
      </c>
      <c r="CC92" s="48">
        <f t="shared" si="163"/>
        <v>4.3606584093872227</v>
      </c>
      <c r="CD92" s="47">
        <f t="shared" si="164"/>
        <v>239.3294763146458</v>
      </c>
      <c r="CE92" s="66">
        <v>368825</v>
      </c>
      <c r="CF92" s="62">
        <v>8640</v>
      </c>
      <c r="CG92" s="74">
        <v>-28310</v>
      </c>
      <c r="CH92" s="75">
        <f t="shared" si="190"/>
        <v>349155</v>
      </c>
      <c r="CI92" s="62">
        <f>13860+1080</f>
        <v>14940</v>
      </c>
      <c r="CJ92" s="62">
        <v>17458</v>
      </c>
      <c r="CK92" s="62">
        <v>36000</v>
      </c>
      <c r="CL92" s="62">
        <v>21600</v>
      </c>
      <c r="CM92" s="62">
        <f>5400+18000</f>
        <v>23400</v>
      </c>
      <c r="CN92" s="62">
        <v>18750</v>
      </c>
      <c r="CO92" s="62">
        <v>40799</v>
      </c>
      <c r="CP92" s="75">
        <f t="shared" si="239"/>
        <v>172947</v>
      </c>
      <c r="CQ92" s="62">
        <v>9000</v>
      </c>
      <c r="CR92" s="75">
        <f t="shared" si="240"/>
        <v>181947</v>
      </c>
      <c r="CS92" s="75">
        <f t="shared" si="191"/>
        <v>176208</v>
      </c>
      <c r="CT92" s="62">
        <v>138744</v>
      </c>
      <c r="CU92" s="47">
        <f t="shared" si="192"/>
        <v>37464</v>
      </c>
      <c r="CV92" s="76">
        <f t="shared" si="193"/>
        <v>0.50466984577050311</v>
      </c>
      <c r="CW92" s="75">
        <f t="shared" si="194"/>
        <v>5054.083333333333</v>
      </c>
      <c r="CX92" s="77">
        <f t="shared" si="195"/>
        <v>0.52110667182197024</v>
      </c>
      <c r="CY92" s="75">
        <f t="shared" si="196"/>
        <v>1040.6666666666667</v>
      </c>
      <c r="CZ92" s="77">
        <f t="shared" si="197"/>
        <v>0.10729905056493534</v>
      </c>
      <c r="DA92" s="77">
        <f t="shared" si="198"/>
        <v>0.39737079520556773</v>
      </c>
      <c r="DB92" s="47">
        <f t="shared" si="199"/>
        <v>79166.666666666672</v>
      </c>
      <c r="DC92" s="69">
        <f t="shared" si="200"/>
        <v>10245.138888888889</v>
      </c>
      <c r="DD92" s="70">
        <f t="shared" si="201"/>
        <v>240</v>
      </c>
      <c r="DE92" s="70">
        <f t="shared" si="202"/>
        <v>-786.38888888888891</v>
      </c>
      <c r="DF92" s="70">
        <f t="shared" si="203"/>
        <v>9698.75</v>
      </c>
      <c r="DG92" s="70">
        <f t="shared" si="204"/>
        <v>415</v>
      </c>
      <c r="DH92" s="70">
        <f t="shared" si="205"/>
        <v>484.94444444444446</v>
      </c>
      <c r="DI92" s="70">
        <f t="shared" si="206"/>
        <v>1000</v>
      </c>
      <c r="DJ92" s="70">
        <f t="shared" si="207"/>
        <v>600</v>
      </c>
      <c r="DK92" s="70">
        <f t="shared" si="208"/>
        <v>650</v>
      </c>
      <c r="DL92" s="70">
        <f t="shared" si="209"/>
        <v>520.83333333333337</v>
      </c>
      <c r="DM92" s="70">
        <f t="shared" si="210"/>
        <v>1133.3055555555557</v>
      </c>
      <c r="DN92" s="70">
        <f t="shared" si="211"/>
        <v>4804.083333333333</v>
      </c>
      <c r="DO92" s="70">
        <f t="shared" si="212"/>
        <v>250</v>
      </c>
      <c r="DP92" s="70">
        <f t="shared" si="213"/>
        <v>5054.083333333333</v>
      </c>
      <c r="DQ92" s="70">
        <f t="shared" si="214"/>
        <v>4894.666666666667</v>
      </c>
      <c r="DR92" s="70">
        <f t="shared" si="215"/>
        <v>3854</v>
      </c>
      <c r="DS92" s="71">
        <f t="shared" si="216"/>
        <v>1040.6666666666667</v>
      </c>
      <c r="DT92" s="106">
        <f t="shared" si="217"/>
        <v>1.0563360112271054</v>
      </c>
      <c r="DU92" s="92">
        <f t="shared" si="218"/>
        <v>2.4745456888774327E-2</v>
      </c>
      <c r="DV92" s="92" t="str">
        <f t="shared" si="219"/>
        <v/>
      </c>
      <c r="DW92" s="92">
        <f t="shared" si="220"/>
        <v>1</v>
      </c>
      <c r="DX92" s="92">
        <f t="shared" si="221"/>
        <v>4.2789019203505606E-2</v>
      </c>
      <c r="DY92" s="92">
        <f t="shared" si="222"/>
        <v>5.0000716014377569E-2</v>
      </c>
      <c r="DZ92" s="92">
        <f t="shared" si="223"/>
        <v>0.10310607036989303</v>
      </c>
      <c r="EA92" s="92">
        <f t="shared" si="224"/>
        <v>6.1863642221935813E-2</v>
      </c>
      <c r="EB92" s="92">
        <f t="shared" si="225"/>
        <v>6.7018945740430463E-2</v>
      </c>
      <c r="EC92" s="92">
        <f t="shared" si="226"/>
        <v>5.3701078317652619E-2</v>
      </c>
      <c r="ED92" s="92">
        <f t="shared" si="227"/>
        <v>0.11685068236170182</v>
      </c>
      <c r="EE92" s="92">
        <f t="shared" si="228"/>
        <v>0.49533015422949694</v>
      </c>
      <c r="EF92" s="92">
        <f t="shared" si="229"/>
        <v>2.5776517592473257E-2</v>
      </c>
      <c r="EG92" s="92">
        <f t="shared" si="230"/>
        <v>0.52110667182197024</v>
      </c>
      <c r="EH92" s="92">
        <f t="shared" si="231"/>
        <v>0.50466984577050311</v>
      </c>
      <c r="EI92" s="92">
        <f t="shared" si="232"/>
        <v>0.39737079520556773</v>
      </c>
      <c r="EJ92" s="122">
        <f t="shared" si="233"/>
        <v>0.10729905056493534</v>
      </c>
    </row>
    <row r="93" spans="2:140" ht="12" hidden="1" customHeight="1" outlineLevel="1">
      <c r="B93" s="121">
        <v>44978</v>
      </c>
      <c r="C93" s="117" t="s">
        <v>604</v>
      </c>
      <c r="D93" s="50" t="s">
        <v>605</v>
      </c>
      <c r="E93" s="50" t="s">
        <v>606</v>
      </c>
      <c r="F93" s="50" t="s">
        <v>607</v>
      </c>
      <c r="G93" s="50" t="s">
        <v>154</v>
      </c>
      <c r="H93" s="50" t="s">
        <v>608</v>
      </c>
      <c r="I93" s="50" t="s">
        <v>190</v>
      </c>
      <c r="J93" s="52" t="s">
        <v>609</v>
      </c>
      <c r="K93" s="50" t="s">
        <v>610</v>
      </c>
      <c r="L93" s="49">
        <v>8</v>
      </c>
      <c r="M93" s="50" t="s">
        <v>159</v>
      </c>
      <c r="N93" s="50" t="s">
        <v>244</v>
      </c>
      <c r="O93" s="50" t="s">
        <v>160</v>
      </c>
      <c r="P93" s="50" t="s">
        <v>177</v>
      </c>
      <c r="Q93" s="53">
        <v>0.09</v>
      </c>
      <c r="R93" s="49">
        <v>64</v>
      </c>
      <c r="S93" s="49">
        <v>0</v>
      </c>
      <c r="T93" s="54">
        <f t="shared" si="238"/>
        <v>64</v>
      </c>
      <c r="U93" s="55">
        <v>53720</v>
      </c>
      <c r="V93" s="49">
        <v>1.62</v>
      </c>
      <c r="W93" s="56">
        <f t="shared" si="177"/>
        <v>39.506172839506171</v>
      </c>
      <c r="X93" s="49" t="s">
        <v>163</v>
      </c>
      <c r="Y93" s="57" t="s">
        <v>162</v>
      </c>
      <c r="Z93" s="58">
        <v>2845610</v>
      </c>
      <c r="AA93" s="114">
        <v>0.05</v>
      </c>
      <c r="AB93" s="59">
        <v>18</v>
      </c>
      <c r="AC93" s="60">
        <v>35</v>
      </c>
      <c r="AD93" s="61">
        <v>0.05</v>
      </c>
      <c r="AE93" s="62">
        <v>2845000</v>
      </c>
      <c r="AF93" s="63">
        <v>1.1499999999999999</v>
      </c>
      <c r="AG93" s="59"/>
      <c r="AH93" s="60"/>
      <c r="AI93" s="61"/>
      <c r="AJ93" s="64"/>
      <c r="AK93" s="65">
        <f t="shared" si="178"/>
        <v>2845000</v>
      </c>
      <c r="AL93" s="62">
        <v>610</v>
      </c>
      <c r="AM93" s="49" t="s">
        <v>163</v>
      </c>
      <c r="AN93" s="67">
        <v>0.89</v>
      </c>
      <c r="AO93" s="62">
        <v>10230870</v>
      </c>
      <c r="AP93" s="62">
        <v>0</v>
      </c>
      <c r="AQ93" s="68">
        <v>384567</v>
      </c>
      <c r="AR93" s="69">
        <f t="shared" si="179"/>
        <v>44453.125</v>
      </c>
      <c r="AS93" s="70" t="str">
        <f>IFERROR(IF(#REF!&gt;0,#REF!/T93,""),"")</f>
        <v/>
      </c>
      <c r="AT93" s="70">
        <f t="shared" si="180"/>
        <v>159857.34375</v>
      </c>
      <c r="AU93" s="70">
        <f t="shared" si="181"/>
        <v>9.53125</v>
      </c>
      <c r="AV93" s="71">
        <f t="shared" si="182"/>
        <v>6008.859375</v>
      </c>
      <c r="AW93" s="115">
        <f t="shared" si="183"/>
        <v>110127.609375</v>
      </c>
      <c r="AX93" s="116">
        <f t="shared" si="184"/>
        <v>131.20191734921818</v>
      </c>
      <c r="AY93" s="72">
        <f t="shared" si="185"/>
        <v>132552.6875</v>
      </c>
      <c r="AZ93" s="73">
        <f t="shared" si="186"/>
        <v>157.91831720029782</v>
      </c>
      <c r="BA93" s="66">
        <v>1350000</v>
      </c>
      <c r="BB93" s="62">
        <v>1158250</v>
      </c>
      <c r="BC93" s="62">
        <v>5889917</v>
      </c>
      <c r="BD93" s="62">
        <v>393388</v>
      </c>
      <c r="BE93" s="62">
        <v>1041817</v>
      </c>
      <c r="BF93" s="62">
        <v>854064</v>
      </c>
      <c r="BG93" s="62">
        <v>812862</v>
      </c>
      <c r="BH93" s="62">
        <v>1465585</v>
      </c>
      <c r="BI93" s="62">
        <v>110097</v>
      </c>
      <c r="BJ93" s="47">
        <f t="shared" si="187"/>
        <v>13075980</v>
      </c>
      <c r="BK93" s="69">
        <f t="shared" si="165"/>
        <v>21093.75</v>
      </c>
      <c r="BL93" s="70">
        <f t="shared" si="166"/>
        <v>18097.65625</v>
      </c>
      <c r="BM93" s="70">
        <f t="shared" si="167"/>
        <v>92029.953125</v>
      </c>
      <c r="BN93" s="70">
        <f t="shared" si="168"/>
        <v>6146.6875</v>
      </c>
      <c r="BO93" s="70">
        <f t="shared" si="169"/>
        <v>16278.390625</v>
      </c>
      <c r="BP93" s="70">
        <f t="shared" si="175"/>
        <v>13344.75</v>
      </c>
      <c r="BQ93" s="70">
        <f t="shared" si="188"/>
        <v>12700.96875</v>
      </c>
      <c r="BR93" s="70">
        <f t="shared" si="159"/>
        <v>22899.765625</v>
      </c>
      <c r="BS93" s="70">
        <f t="shared" si="160"/>
        <v>1720.265625</v>
      </c>
      <c r="BT93" s="71">
        <f t="shared" si="161"/>
        <v>204312.1875</v>
      </c>
      <c r="BU93" s="65">
        <f t="shared" si="170"/>
        <v>25.130305286671632</v>
      </c>
      <c r="BV93" s="48">
        <f t="shared" si="171"/>
        <v>21.560871183916603</v>
      </c>
      <c r="BW93" s="48">
        <f t="shared" si="172"/>
        <v>109.64104616530156</v>
      </c>
      <c r="BX93" s="48">
        <f t="shared" si="173"/>
        <v>7.3229337304542073</v>
      </c>
      <c r="BY93" s="48">
        <f t="shared" si="174"/>
        <v>19.393466120625465</v>
      </c>
      <c r="BZ93" s="48">
        <f t="shared" si="176"/>
        <v>15.898436336559941</v>
      </c>
      <c r="CA93" s="48">
        <f t="shared" si="189"/>
        <v>15.131459419210723</v>
      </c>
      <c r="CB93" s="48">
        <f t="shared" si="162"/>
        <v>27.281924795234548</v>
      </c>
      <c r="CC93" s="48">
        <f t="shared" si="163"/>
        <v>2.0494601638123604</v>
      </c>
      <c r="CD93" s="47">
        <f t="shared" si="164"/>
        <v>243.40990320178705</v>
      </c>
      <c r="CE93" s="66">
        <v>539352</v>
      </c>
      <c r="CF93" s="62">
        <v>15360</v>
      </c>
      <c r="CG93" s="74">
        <v>-41603</v>
      </c>
      <c r="CH93" s="75">
        <f t="shared" si="190"/>
        <v>513109</v>
      </c>
      <c r="CI93" s="62">
        <f>19850+2560</f>
        <v>22410</v>
      </c>
      <c r="CJ93" s="62">
        <v>30720</v>
      </c>
      <c r="CK93" s="62">
        <v>69574</v>
      </c>
      <c r="CL93" s="62">
        <f>600+46200</f>
        <v>46800</v>
      </c>
      <c r="CM93" s="62">
        <f>800+12000+36500</f>
        <v>49300</v>
      </c>
      <c r="CN93" s="62">
        <v>28800</v>
      </c>
      <c r="CO93" s="62">
        <v>51200</v>
      </c>
      <c r="CP93" s="75">
        <f t="shared" si="239"/>
        <v>298804</v>
      </c>
      <c r="CQ93" s="62">
        <v>16000</v>
      </c>
      <c r="CR93" s="75">
        <f t="shared" si="240"/>
        <v>314804</v>
      </c>
      <c r="CS93" s="75">
        <f t="shared" si="191"/>
        <v>214305</v>
      </c>
      <c r="CT93" s="62">
        <v>172300</v>
      </c>
      <c r="CU93" s="47">
        <f t="shared" si="192"/>
        <v>42005</v>
      </c>
      <c r="CV93" s="76">
        <f t="shared" si="193"/>
        <v>0.41765979548205157</v>
      </c>
      <c r="CW93" s="75">
        <f t="shared" si="194"/>
        <v>4918.8125</v>
      </c>
      <c r="CX93" s="77">
        <f t="shared" si="195"/>
        <v>0.61352266282602719</v>
      </c>
      <c r="CY93" s="75">
        <f t="shared" si="196"/>
        <v>656.328125</v>
      </c>
      <c r="CZ93" s="77">
        <f t="shared" si="197"/>
        <v>8.1863697576928102E-2</v>
      </c>
      <c r="DA93" s="77">
        <f t="shared" si="198"/>
        <v>0.33579609790512349</v>
      </c>
      <c r="DB93" s="47">
        <f t="shared" si="199"/>
        <v>44453.125</v>
      </c>
      <c r="DC93" s="69">
        <f t="shared" si="200"/>
        <v>8427.375</v>
      </c>
      <c r="DD93" s="70">
        <f t="shared" si="201"/>
        <v>240</v>
      </c>
      <c r="DE93" s="70">
        <f t="shared" si="202"/>
        <v>-650.046875</v>
      </c>
      <c r="DF93" s="70">
        <f t="shared" si="203"/>
        <v>8017.328125</v>
      </c>
      <c r="DG93" s="70">
        <f t="shared" si="204"/>
        <v>350.15625</v>
      </c>
      <c r="DH93" s="70">
        <f t="shared" si="205"/>
        <v>480</v>
      </c>
      <c r="DI93" s="70">
        <f t="shared" si="206"/>
        <v>1087.09375</v>
      </c>
      <c r="DJ93" s="70">
        <f t="shared" si="207"/>
        <v>731.25</v>
      </c>
      <c r="DK93" s="70">
        <f t="shared" si="208"/>
        <v>770.3125</v>
      </c>
      <c r="DL93" s="70">
        <f t="shared" si="209"/>
        <v>450</v>
      </c>
      <c r="DM93" s="70">
        <f t="shared" si="210"/>
        <v>800</v>
      </c>
      <c r="DN93" s="70">
        <f t="shared" si="211"/>
        <v>4668.8125</v>
      </c>
      <c r="DO93" s="70">
        <f t="shared" si="212"/>
        <v>250</v>
      </c>
      <c r="DP93" s="70">
        <f t="shared" si="213"/>
        <v>4918.8125</v>
      </c>
      <c r="DQ93" s="70">
        <f t="shared" si="214"/>
        <v>3348.515625</v>
      </c>
      <c r="DR93" s="70">
        <f t="shared" si="215"/>
        <v>2692.1875</v>
      </c>
      <c r="DS93" s="71">
        <f t="shared" si="216"/>
        <v>656.328125</v>
      </c>
      <c r="DT93" s="106">
        <f t="shared" si="217"/>
        <v>1.051145078336182</v>
      </c>
      <c r="DU93" s="92">
        <f t="shared" si="218"/>
        <v>2.9935159975755639E-2</v>
      </c>
      <c r="DV93" s="92" t="str">
        <f t="shared" si="219"/>
        <v/>
      </c>
      <c r="DW93" s="92">
        <f t="shared" si="220"/>
        <v>1</v>
      </c>
      <c r="DX93" s="92">
        <f t="shared" si="221"/>
        <v>4.3674930667752854E-2</v>
      </c>
      <c r="DY93" s="92">
        <f t="shared" si="222"/>
        <v>5.9870319951511278E-2</v>
      </c>
      <c r="DZ93" s="92">
        <f t="shared" si="223"/>
        <v>0.13559302214539212</v>
      </c>
      <c r="EA93" s="92">
        <f t="shared" si="224"/>
        <v>9.1208690551130456E-2</v>
      </c>
      <c r="EB93" s="92">
        <f t="shared" si="225"/>
        <v>9.6080949661767778E-2</v>
      </c>
      <c r="EC93" s="92">
        <f t="shared" si="226"/>
        <v>5.6128424954541824E-2</v>
      </c>
      <c r="ED93" s="92">
        <f t="shared" si="227"/>
        <v>9.978386658585213E-2</v>
      </c>
      <c r="EE93" s="92">
        <f t="shared" si="228"/>
        <v>0.58234020451794843</v>
      </c>
      <c r="EF93" s="92">
        <f t="shared" si="229"/>
        <v>3.1182458308078791E-2</v>
      </c>
      <c r="EG93" s="92">
        <f t="shared" si="230"/>
        <v>0.61352266282602719</v>
      </c>
      <c r="EH93" s="92">
        <f t="shared" si="231"/>
        <v>0.41765979548205157</v>
      </c>
      <c r="EI93" s="92">
        <f t="shared" si="232"/>
        <v>0.33579609790512349</v>
      </c>
      <c r="EJ93" s="122">
        <f t="shared" si="233"/>
        <v>8.1863697576928102E-2</v>
      </c>
    </row>
    <row r="94" spans="2:140" ht="12" hidden="1" customHeight="1" outlineLevel="1">
      <c r="B94" s="121">
        <v>44978</v>
      </c>
      <c r="C94" s="117" t="s">
        <v>611</v>
      </c>
      <c r="D94" s="50" t="s">
        <v>612</v>
      </c>
      <c r="E94" s="50" t="s">
        <v>606</v>
      </c>
      <c r="F94" s="50" t="s">
        <v>607</v>
      </c>
      <c r="G94" s="50" t="s">
        <v>154</v>
      </c>
      <c r="H94" s="50" t="s">
        <v>608</v>
      </c>
      <c r="I94" s="50" t="s">
        <v>190</v>
      </c>
      <c r="J94" s="52" t="s">
        <v>613</v>
      </c>
      <c r="K94" s="50" t="s">
        <v>230</v>
      </c>
      <c r="L94" s="49">
        <v>3</v>
      </c>
      <c r="M94" s="50" t="s">
        <v>159</v>
      </c>
      <c r="N94" s="50" t="s">
        <v>244</v>
      </c>
      <c r="O94" s="50" t="s">
        <v>160</v>
      </c>
      <c r="P94" s="50" t="s">
        <v>177</v>
      </c>
      <c r="Q94" s="53">
        <v>0.09</v>
      </c>
      <c r="R94" s="49">
        <v>38</v>
      </c>
      <c r="S94" s="49">
        <v>0</v>
      </c>
      <c r="T94" s="54">
        <f t="shared" si="238"/>
        <v>38</v>
      </c>
      <c r="U94" s="55">
        <v>31880</v>
      </c>
      <c r="V94" s="49">
        <v>2.85</v>
      </c>
      <c r="W94" s="56">
        <f t="shared" si="177"/>
        <v>13.333333333333332</v>
      </c>
      <c r="X94" s="49" t="s">
        <v>163</v>
      </c>
      <c r="Y94" s="57" t="s">
        <v>162</v>
      </c>
      <c r="Z94" s="58">
        <v>2515610</v>
      </c>
      <c r="AA94" s="114">
        <v>0.05</v>
      </c>
      <c r="AB94" s="59">
        <v>18</v>
      </c>
      <c r="AC94" s="60">
        <v>35</v>
      </c>
      <c r="AD94" s="61">
        <v>0.05</v>
      </c>
      <c r="AE94" s="62">
        <v>2515000</v>
      </c>
      <c r="AF94" s="63">
        <v>1.1499999999999999</v>
      </c>
      <c r="AG94" s="59"/>
      <c r="AH94" s="60"/>
      <c r="AI94" s="61"/>
      <c r="AJ94" s="64"/>
      <c r="AK94" s="65">
        <f t="shared" si="178"/>
        <v>2515000</v>
      </c>
      <c r="AL94" s="62">
        <v>610</v>
      </c>
      <c r="AM94" s="49" t="s">
        <v>163</v>
      </c>
      <c r="AN94" s="67">
        <v>0.89</v>
      </c>
      <c r="AO94" s="62">
        <v>7324992</v>
      </c>
      <c r="AP94" s="62">
        <v>0</v>
      </c>
      <c r="AQ94" s="68">
        <v>366084</v>
      </c>
      <c r="AR94" s="69">
        <f t="shared" si="179"/>
        <v>66184.210526315786</v>
      </c>
      <c r="AS94" s="70" t="str">
        <f>IFERROR(IF(#REF!&gt;0,#REF!/T94,""),"")</f>
        <v/>
      </c>
      <c r="AT94" s="70">
        <f t="shared" si="180"/>
        <v>192762.94736842104</v>
      </c>
      <c r="AU94" s="70">
        <f t="shared" si="181"/>
        <v>16.05263157894737</v>
      </c>
      <c r="AV94" s="71">
        <f t="shared" si="182"/>
        <v>9633.78947368421</v>
      </c>
      <c r="AW94" s="115">
        <f t="shared" si="183"/>
        <v>130095.57894736843</v>
      </c>
      <c r="AX94" s="116">
        <f t="shared" si="184"/>
        <v>155.07001254705145</v>
      </c>
      <c r="AY94" s="72">
        <f t="shared" si="185"/>
        <v>156382.60526315792</v>
      </c>
      <c r="AZ94" s="73">
        <f t="shared" si="186"/>
        <v>186.40335633626097</v>
      </c>
      <c r="BA94" s="66">
        <v>1500000</v>
      </c>
      <c r="BB94" s="62">
        <v>1395104</v>
      </c>
      <c r="BC94" s="62">
        <v>3548528</v>
      </c>
      <c r="BD94" s="62">
        <v>269122</v>
      </c>
      <c r="BE94" s="62">
        <v>729785</v>
      </c>
      <c r="BF94" s="62">
        <v>797338</v>
      </c>
      <c r="BG94" s="62">
        <v>503704</v>
      </c>
      <c r="BH94" s="62">
        <v>1040503</v>
      </c>
      <c r="BI94" s="62">
        <v>56018</v>
      </c>
      <c r="BJ94" s="47">
        <f t="shared" si="187"/>
        <v>9840102</v>
      </c>
      <c r="BK94" s="69">
        <f t="shared" si="165"/>
        <v>39473.684210526313</v>
      </c>
      <c r="BL94" s="70">
        <f t="shared" si="166"/>
        <v>36713.26315789474</v>
      </c>
      <c r="BM94" s="70">
        <f t="shared" si="167"/>
        <v>93382.31578947368</v>
      </c>
      <c r="BN94" s="70">
        <f t="shared" si="168"/>
        <v>7082.1578947368425</v>
      </c>
      <c r="BO94" s="70">
        <f t="shared" si="169"/>
        <v>19204.86842105263</v>
      </c>
      <c r="BP94" s="70">
        <f t="shared" si="175"/>
        <v>20982.57894736842</v>
      </c>
      <c r="BQ94" s="70">
        <f t="shared" si="188"/>
        <v>13255.368421052632</v>
      </c>
      <c r="BR94" s="70">
        <f t="shared" ref="BR94:BR123" si="241">IFERROR(IF(BH94&gt;0,BH94/$T94,""),"")</f>
        <v>27381.657894736843</v>
      </c>
      <c r="BS94" s="70">
        <f t="shared" ref="BS94:BS123" si="242">IFERROR(IF(BI94&gt;0,BI94/$T94,""),"")</f>
        <v>1474.1578947368421</v>
      </c>
      <c r="BT94" s="71">
        <f t="shared" ref="BT94:BT123" si="243">IFERROR(IF(BJ94&gt;0,BJ94/$T94,""),"")</f>
        <v>258950.05263157896</v>
      </c>
      <c r="BU94" s="65">
        <f t="shared" si="170"/>
        <v>47.051442910915938</v>
      </c>
      <c r="BV94" s="48">
        <f t="shared" si="171"/>
        <v>43.761104140526975</v>
      </c>
      <c r="BW94" s="48">
        <f t="shared" si="172"/>
        <v>111.30890840652447</v>
      </c>
      <c r="BX94" s="48">
        <f t="shared" si="173"/>
        <v>8.4417189460476791</v>
      </c>
      <c r="BY94" s="48">
        <f t="shared" si="174"/>
        <v>22.891624843161857</v>
      </c>
      <c r="BZ94" s="48">
        <f t="shared" si="176"/>
        <v>25.010602258469259</v>
      </c>
      <c r="CA94" s="48">
        <f t="shared" si="189"/>
        <v>15.8</v>
      </c>
      <c r="CB94" s="48">
        <f t="shared" ref="CB94:CB123" si="244">IFERROR(IF(BH94&gt;0,BH94/$U94,""),"")</f>
        <v>32.638111668757844</v>
      </c>
      <c r="CC94" s="48">
        <f t="shared" ref="CC94:CC123" si="245">IFERROR(IF(BI94&gt;0,BI94/$U94,""),"")</f>
        <v>1.7571518193224591</v>
      </c>
      <c r="CD94" s="47">
        <f t="shared" ref="CD94:CD123" si="246">IFERROR(IF(BJ94&gt;0,BJ94/$U94,""),"")</f>
        <v>308.66066499372647</v>
      </c>
      <c r="CE94" s="66">
        <v>408996</v>
      </c>
      <c r="CF94" s="62">
        <v>9120</v>
      </c>
      <c r="CG94" s="74">
        <v>-31359</v>
      </c>
      <c r="CH94" s="75">
        <f t="shared" si="190"/>
        <v>386757</v>
      </c>
      <c r="CI94" s="62">
        <f>15850+1520</f>
        <v>17370</v>
      </c>
      <c r="CJ94" s="62">
        <v>18240</v>
      </c>
      <c r="CK94" s="62">
        <v>43472</v>
      </c>
      <c r="CL94" s="62">
        <f>600+26100</f>
        <v>26700</v>
      </c>
      <c r="CM94" s="62">
        <f>600+8000+22000</f>
        <v>30600</v>
      </c>
      <c r="CN94" s="62">
        <v>18150</v>
      </c>
      <c r="CO94" s="62">
        <v>47500</v>
      </c>
      <c r="CP94" s="75">
        <f t="shared" si="239"/>
        <v>202032</v>
      </c>
      <c r="CQ94" s="62">
        <v>9500</v>
      </c>
      <c r="CR94" s="75">
        <f t="shared" si="240"/>
        <v>211532</v>
      </c>
      <c r="CS94" s="75">
        <f t="shared" si="191"/>
        <v>184725</v>
      </c>
      <c r="CT94" s="62">
        <v>152315</v>
      </c>
      <c r="CU94" s="47">
        <f t="shared" si="192"/>
        <v>32410</v>
      </c>
      <c r="CV94" s="76">
        <f t="shared" si="193"/>
        <v>0.47762548577013475</v>
      </c>
      <c r="CW94" s="75">
        <f t="shared" si="194"/>
        <v>5566.6315789473683</v>
      </c>
      <c r="CX94" s="77">
        <f t="shared" si="195"/>
        <v>0.54693774126906558</v>
      </c>
      <c r="CY94" s="75">
        <f t="shared" si="196"/>
        <v>852.89473684210532</v>
      </c>
      <c r="CZ94" s="77">
        <f t="shared" si="197"/>
        <v>8.3799388246366582E-2</v>
      </c>
      <c r="DA94" s="77">
        <f t="shared" si="198"/>
        <v>0.39382609752376818</v>
      </c>
      <c r="DB94" s="47">
        <f t="shared" si="199"/>
        <v>66184.210526315786</v>
      </c>
      <c r="DC94" s="69">
        <f t="shared" si="200"/>
        <v>10763.052631578947</v>
      </c>
      <c r="DD94" s="70">
        <f t="shared" si="201"/>
        <v>240</v>
      </c>
      <c r="DE94" s="70">
        <f t="shared" si="202"/>
        <v>-825.23684210526312</v>
      </c>
      <c r="DF94" s="70">
        <f t="shared" si="203"/>
        <v>10177.815789473685</v>
      </c>
      <c r="DG94" s="70">
        <f t="shared" si="204"/>
        <v>457.10526315789474</v>
      </c>
      <c r="DH94" s="70">
        <f t="shared" si="205"/>
        <v>480</v>
      </c>
      <c r="DI94" s="70">
        <f t="shared" si="206"/>
        <v>1144</v>
      </c>
      <c r="DJ94" s="70">
        <f t="shared" si="207"/>
        <v>702.63157894736844</v>
      </c>
      <c r="DK94" s="70">
        <f t="shared" si="208"/>
        <v>805.26315789473688</v>
      </c>
      <c r="DL94" s="70">
        <f t="shared" si="209"/>
        <v>477.63157894736844</v>
      </c>
      <c r="DM94" s="70">
        <f t="shared" si="210"/>
        <v>1250</v>
      </c>
      <c r="DN94" s="70">
        <f t="shared" si="211"/>
        <v>5316.6315789473683</v>
      </c>
      <c r="DO94" s="70">
        <f t="shared" si="212"/>
        <v>250</v>
      </c>
      <c r="DP94" s="70">
        <f t="shared" si="213"/>
        <v>5566.6315789473683</v>
      </c>
      <c r="DQ94" s="70">
        <f t="shared" si="214"/>
        <v>4861.1842105263158</v>
      </c>
      <c r="DR94" s="70">
        <f t="shared" si="215"/>
        <v>4008.2894736842104</v>
      </c>
      <c r="DS94" s="71">
        <f t="shared" si="216"/>
        <v>852.89473684210532</v>
      </c>
      <c r="DT94" s="106">
        <f t="shared" si="217"/>
        <v>1.057501221697345</v>
      </c>
      <c r="DU94" s="92">
        <f t="shared" si="218"/>
        <v>2.3580697957632311E-2</v>
      </c>
      <c r="DV94" s="92" t="str">
        <f t="shared" si="219"/>
        <v/>
      </c>
      <c r="DW94" s="92">
        <f t="shared" si="220"/>
        <v>1</v>
      </c>
      <c r="DX94" s="92">
        <f t="shared" si="221"/>
        <v>4.4911921439043122E-2</v>
      </c>
      <c r="DY94" s="92">
        <f t="shared" si="222"/>
        <v>4.7161395915264623E-2</v>
      </c>
      <c r="DZ94" s="92">
        <f t="shared" si="223"/>
        <v>0.11240132693138069</v>
      </c>
      <c r="EA94" s="92">
        <f t="shared" si="224"/>
        <v>6.9035595994384066E-2</v>
      </c>
      <c r="EB94" s="92">
        <f t="shared" si="225"/>
        <v>7.9119447094687365E-2</v>
      </c>
      <c r="EC94" s="92">
        <f t="shared" si="226"/>
        <v>4.692869165910378E-2</v>
      </c>
      <c r="ED94" s="92">
        <f t="shared" si="227"/>
        <v>0.12281613519600162</v>
      </c>
      <c r="EE94" s="92">
        <f t="shared" si="228"/>
        <v>0.52237451422986525</v>
      </c>
      <c r="EF94" s="92">
        <f t="shared" si="229"/>
        <v>2.4563227039200324E-2</v>
      </c>
      <c r="EG94" s="92">
        <f t="shared" si="230"/>
        <v>0.54693774126906558</v>
      </c>
      <c r="EH94" s="92">
        <f t="shared" si="231"/>
        <v>0.47762548577013475</v>
      </c>
      <c r="EI94" s="92">
        <f t="shared" si="232"/>
        <v>0.39382609752376818</v>
      </c>
      <c r="EJ94" s="122">
        <f t="shared" si="233"/>
        <v>8.3799388246366582E-2</v>
      </c>
    </row>
    <row r="95" spans="2:140" ht="12" hidden="1" customHeight="1" outlineLevel="1">
      <c r="B95" s="121">
        <v>44978</v>
      </c>
      <c r="C95" s="117" t="s">
        <v>614</v>
      </c>
      <c r="D95" s="50" t="s">
        <v>615</v>
      </c>
      <c r="E95" s="50" t="s">
        <v>616</v>
      </c>
      <c r="F95" s="50" t="s">
        <v>617</v>
      </c>
      <c r="G95" s="50" t="s">
        <v>618</v>
      </c>
      <c r="H95" s="50" t="s">
        <v>619</v>
      </c>
      <c r="I95" s="50" t="s">
        <v>619</v>
      </c>
      <c r="J95" s="52" t="s">
        <v>588</v>
      </c>
      <c r="K95" s="50" t="s">
        <v>462</v>
      </c>
      <c r="L95" s="49">
        <v>3</v>
      </c>
      <c r="M95" s="50" t="s">
        <v>159</v>
      </c>
      <c r="N95" s="50" t="s">
        <v>244</v>
      </c>
      <c r="O95" s="50" t="s">
        <v>160</v>
      </c>
      <c r="P95" s="50" t="s">
        <v>177</v>
      </c>
      <c r="Q95" s="53">
        <v>0.09</v>
      </c>
      <c r="R95" s="49">
        <v>80</v>
      </c>
      <c r="S95" s="49">
        <v>20</v>
      </c>
      <c r="T95" s="54">
        <f t="shared" si="238"/>
        <v>100</v>
      </c>
      <c r="U95" s="55">
        <v>82000</v>
      </c>
      <c r="V95" s="49">
        <v>5</v>
      </c>
      <c r="W95" s="56">
        <f t="shared" si="177"/>
        <v>20</v>
      </c>
      <c r="X95" s="49" t="s">
        <v>163</v>
      </c>
      <c r="Y95" s="57" t="s">
        <v>162</v>
      </c>
      <c r="Z95" s="58">
        <v>7974639</v>
      </c>
      <c r="AA95" s="114">
        <v>4.4999999999999998E-2</v>
      </c>
      <c r="AB95" s="59">
        <v>15</v>
      </c>
      <c r="AC95" s="60">
        <v>35</v>
      </c>
      <c r="AD95" s="61">
        <v>4.4999999999999998E-2</v>
      </c>
      <c r="AE95" s="62">
        <v>7974139</v>
      </c>
      <c r="AF95" s="63">
        <v>1.17</v>
      </c>
      <c r="AG95" s="59"/>
      <c r="AH95" s="60"/>
      <c r="AI95" s="61"/>
      <c r="AJ95" s="64"/>
      <c r="AK95" s="65">
        <f t="shared" si="178"/>
        <v>7974139</v>
      </c>
      <c r="AL95" s="62">
        <v>500</v>
      </c>
      <c r="AM95" s="49" t="s">
        <v>163</v>
      </c>
      <c r="AN95" s="67">
        <v>0.93</v>
      </c>
      <c r="AO95" s="62">
        <v>13873967</v>
      </c>
      <c r="AP95" s="62">
        <v>0</v>
      </c>
      <c r="AQ95" s="68">
        <v>745404</v>
      </c>
      <c r="AR95" s="69">
        <f t="shared" si="179"/>
        <v>79741.39</v>
      </c>
      <c r="AS95" s="70" t="str">
        <f>IFERROR(IF(#REF!&gt;0,#REF!/T95,""),"")</f>
        <v/>
      </c>
      <c r="AT95" s="70">
        <f t="shared" si="180"/>
        <v>138739.67000000001</v>
      </c>
      <c r="AU95" s="70">
        <f t="shared" si="181"/>
        <v>5</v>
      </c>
      <c r="AV95" s="71">
        <f t="shared" si="182"/>
        <v>7454.04</v>
      </c>
      <c r="AW95" s="115">
        <f t="shared" si="183"/>
        <v>100940</v>
      </c>
      <c r="AX95" s="116">
        <f t="shared" si="184"/>
        <v>123.09756097560975</v>
      </c>
      <c r="AY95" s="72">
        <f t="shared" si="185"/>
        <v>123126.61</v>
      </c>
      <c r="AZ95" s="73">
        <f t="shared" si="186"/>
        <v>150.15440243902441</v>
      </c>
      <c r="BA95" s="66">
        <v>3717700</v>
      </c>
      <c r="BB95" s="62">
        <v>2140000</v>
      </c>
      <c r="BC95" s="62">
        <v>7954000</v>
      </c>
      <c r="BD95" s="62">
        <v>706580</v>
      </c>
      <c r="BE95" s="62">
        <v>1512081</v>
      </c>
      <c r="BF95" s="62">
        <v>1080450</v>
      </c>
      <c r="BG95" s="62">
        <v>1816713</v>
      </c>
      <c r="BH95" s="62">
        <v>2138505</v>
      </c>
      <c r="BI95" s="62">
        <v>782577</v>
      </c>
      <c r="BJ95" s="47">
        <f t="shared" si="187"/>
        <v>21848606</v>
      </c>
      <c r="BK95" s="69">
        <f t="shared" ref="BK95:BK124" si="247">IFERROR(IF(BA95&gt;0,BA95/$T95,""),"")</f>
        <v>37177</v>
      </c>
      <c r="BL95" s="70">
        <f t="shared" ref="BL95:BL124" si="248">IFERROR(IF(BB95&gt;0,BB95/$T95,""),"")</f>
        <v>21400</v>
      </c>
      <c r="BM95" s="70">
        <f t="shared" ref="BM95:BM124" si="249">IFERROR(IF(BC95&gt;0,BC95/$T95,""),"")</f>
        <v>79540</v>
      </c>
      <c r="BN95" s="70">
        <f t="shared" ref="BN95:BN124" si="250">IFERROR(IF(BD95&gt;0,BD95/$T95,""),"")</f>
        <v>7065.8</v>
      </c>
      <c r="BO95" s="70">
        <f t="shared" ref="BO95:BO124" si="251">IFERROR(IF(BE95&gt;0,BE95/$T95,""),"")</f>
        <v>15120.81</v>
      </c>
      <c r="BP95" s="70">
        <f t="shared" si="175"/>
        <v>10804.5</v>
      </c>
      <c r="BQ95" s="70">
        <f t="shared" si="188"/>
        <v>18167.13</v>
      </c>
      <c r="BR95" s="70">
        <f t="shared" si="241"/>
        <v>21385.05</v>
      </c>
      <c r="BS95" s="70">
        <f t="shared" si="242"/>
        <v>7825.77</v>
      </c>
      <c r="BT95" s="71">
        <f t="shared" si="243"/>
        <v>218486.06</v>
      </c>
      <c r="BU95" s="65">
        <f t="shared" ref="BU95:BU124" si="252">IFERROR(IF(BA95&gt;0,BA95/$U95,""),"")</f>
        <v>45.337804878048779</v>
      </c>
      <c r="BV95" s="48">
        <f t="shared" ref="BV95:BV124" si="253">IFERROR(IF(BB95&gt;0,BB95/$U95,""),"")</f>
        <v>26.097560975609756</v>
      </c>
      <c r="BW95" s="48">
        <f t="shared" ref="BW95:BW124" si="254">IFERROR(IF(BC95&gt;0,BC95/$U95,""),"")</f>
        <v>97</v>
      </c>
      <c r="BX95" s="48">
        <f t="shared" ref="BX95:BX124" si="255">IFERROR(IF(BD95&gt;0,BD95/$U95,""),"")</f>
        <v>8.6168292682926833</v>
      </c>
      <c r="BY95" s="48">
        <f t="shared" ref="BY95:BY124" si="256">IFERROR(IF(BE95&gt;0,BE95/$U95,""),"")</f>
        <v>18.440012195121952</v>
      </c>
      <c r="BZ95" s="48">
        <f t="shared" si="176"/>
        <v>13.176219512195122</v>
      </c>
      <c r="CA95" s="48">
        <f t="shared" si="189"/>
        <v>22.155036585365853</v>
      </c>
      <c r="CB95" s="48">
        <f t="shared" si="244"/>
        <v>26.079329268292682</v>
      </c>
      <c r="CC95" s="48">
        <f t="shared" si="245"/>
        <v>9.543621951219512</v>
      </c>
      <c r="CD95" s="47">
        <f t="shared" si="246"/>
        <v>266.44641463414632</v>
      </c>
      <c r="CE95" s="66">
        <v>1156692</v>
      </c>
      <c r="CF95" s="62">
        <v>24000</v>
      </c>
      <c r="CG95" s="74">
        <v>-88552</v>
      </c>
      <c r="CH95" s="75">
        <f t="shared" si="190"/>
        <v>1092140</v>
      </c>
      <c r="CI95" s="62">
        <f>38100+3200</f>
        <v>41300</v>
      </c>
      <c r="CJ95" s="62">
        <v>49146</v>
      </c>
      <c r="CK95" s="62">
        <v>127300</v>
      </c>
      <c r="CL95" s="62">
        <v>62500</v>
      </c>
      <c r="CM95" s="62">
        <f>16955+65045</f>
        <v>82000</v>
      </c>
      <c r="CN95" s="62">
        <v>54851</v>
      </c>
      <c r="CO95" s="62">
        <v>120199</v>
      </c>
      <c r="CP95" s="75">
        <f t="shared" si="239"/>
        <v>537296</v>
      </c>
      <c r="CQ95" s="62">
        <v>25000</v>
      </c>
      <c r="CR95" s="75">
        <f t="shared" si="240"/>
        <v>562296</v>
      </c>
      <c r="CS95" s="75">
        <f t="shared" si="191"/>
        <v>554844</v>
      </c>
      <c r="CT95" s="62">
        <v>452858</v>
      </c>
      <c r="CU95" s="47">
        <f t="shared" si="192"/>
        <v>101986</v>
      </c>
      <c r="CV95" s="76">
        <f t="shared" si="193"/>
        <v>0.5080337685644698</v>
      </c>
      <c r="CW95" s="75">
        <f t="shared" si="194"/>
        <v>5622.96</v>
      </c>
      <c r="CX95" s="77">
        <f t="shared" si="195"/>
        <v>0.51485706960646072</v>
      </c>
      <c r="CY95" s="75">
        <f t="shared" si="196"/>
        <v>1019.86</v>
      </c>
      <c r="CZ95" s="77">
        <f t="shared" si="197"/>
        <v>9.3381800868020587E-2</v>
      </c>
      <c r="DA95" s="77">
        <f t="shared" si="198"/>
        <v>0.41465196769644919</v>
      </c>
      <c r="DB95" s="47">
        <f t="shared" si="199"/>
        <v>79741.39</v>
      </c>
      <c r="DC95" s="69">
        <f t="shared" si="200"/>
        <v>11566.92</v>
      </c>
      <c r="DD95" s="70">
        <f t="shared" si="201"/>
        <v>240</v>
      </c>
      <c r="DE95" s="70">
        <f t="shared" si="202"/>
        <v>-885.52</v>
      </c>
      <c r="DF95" s="70">
        <f t="shared" si="203"/>
        <v>10921.4</v>
      </c>
      <c r="DG95" s="70">
        <f t="shared" si="204"/>
        <v>413</v>
      </c>
      <c r="DH95" s="70">
        <f t="shared" si="205"/>
        <v>491.46</v>
      </c>
      <c r="DI95" s="70">
        <f t="shared" si="206"/>
        <v>1273</v>
      </c>
      <c r="DJ95" s="70">
        <f t="shared" si="207"/>
        <v>625</v>
      </c>
      <c r="DK95" s="70">
        <f t="shared" si="208"/>
        <v>820</v>
      </c>
      <c r="DL95" s="70">
        <f t="shared" si="209"/>
        <v>548.51</v>
      </c>
      <c r="DM95" s="70">
        <f t="shared" si="210"/>
        <v>1201.99</v>
      </c>
      <c r="DN95" s="70">
        <f t="shared" si="211"/>
        <v>5372.96</v>
      </c>
      <c r="DO95" s="70">
        <f t="shared" si="212"/>
        <v>250</v>
      </c>
      <c r="DP95" s="70">
        <f t="shared" si="213"/>
        <v>5622.96</v>
      </c>
      <c r="DQ95" s="70">
        <f t="shared" si="214"/>
        <v>5548.44</v>
      </c>
      <c r="DR95" s="70">
        <f t="shared" si="215"/>
        <v>4528.58</v>
      </c>
      <c r="DS95" s="71">
        <f t="shared" si="216"/>
        <v>1019.86</v>
      </c>
      <c r="DT95" s="106">
        <f t="shared" si="217"/>
        <v>1.0591059754243961</v>
      </c>
      <c r="DU95" s="92">
        <f t="shared" si="218"/>
        <v>2.1975204644093249E-2</v>
      </c>
      <c r="DV95" s="92" t="str">
        <f t="shared" si="219"/>
        <v/>
      </c>
      <c r="DW95" s="92">
        <f t="shared" si="220"/>
        <v>1</v>
      </c>
      <c r="DX95" s="92">
        <f t="shared" si="221"/>
        <v>3.7815664658377129E-2</v>
      </c>
      <c r="DY95" s="92">
        <f t="shared" si="222"/>
        <v>4.4999725309941951E-2</v>
      </c>
      <c r="DZ95" s="92">
        <f t="shared" si="223"/>
        <v>0.11656014796637794</v>
      </c>
      <c r="EA95" s="92">
        <f t="shared" si="224"/>
        <v>5.7227095427326166E-2</v>
      </c>
      <c r="EB95" s="92">
        <f t="shared" si="225"/>
        <v>7.5081949200651935E-2</v>
      </c>
      <c r="EC95" s="92">
        <f t="shared" si="226"/>
        <v>5.0223414580548284E-2</v>
      </c>
      <c r="ED95" s="92">
        <f t="shared" si="227"/>
        <v>0.11005823429230685</v>
      </c>
      <c r="EE95" s="92">
        <f t="shared" si="228"/>
        <v>0.49196623143553025</v>
      </c>
      <c r="EF95" s="92">
        <f t="shared" si="229"/>
        <v>2.2890838170930468E-2</v>
      </c>
      <c r="EG95" s="92">
        <f t="shared" si="230"/>
        <v>0.51485706960646072</v>
      </c>
      <c r="EH95" s="92">
        <f t="shared" si="231"/>
        <v>0.5080337685644698</v>
      </c>
      <c r="EI95" s="92">
        <f t="shared" si="232"/>
        <v>0.41465196769644919</v>
      </c>
      <c r="EJ95" s="122">
        <f t="shared" si="233"/>
        <v>9.3381800868020587E-2</v>
      </c>
    </row>
    <row r="96" spans="2:140" ht="12" hidden="1" customHeight="1" outlineLevel="1">
      <c r="B96" s="121">
        <v>44978</v>
      </c>
      <c r="C96" s="117" t="s">
        <v>620</v>
      </c>
      <c r="D96" s="50" t="s">
        <v>621</v>
      </c>
      <c r="E96" s="50" t="s">
        <v>622</v>
      </c>
      <c r="F96" s="50" t="s">
        <v>623</v>
      </c>
      <c r="G96" s="50" t="s">
        <v>154</v>
      </c>
      <c r="H96" s="50" t="s">
        <v>608</v>
      </c>
      <c r="I96" s="50" t="s">
        <v>270</v>
      </c>
      <c r="J96" s="52" t="s">
        <v>624</v>
      </c>
      <c r="K96" s="50" t="s">
        <v>625</v>
      </c>
      <c r="L96" s="49">
        <v>3</v>
      </c>
      <c r="M96" s="50" t="s">
        <v>159</v>
      </c>
      <c r="N96" s="50" t="s">
        <v>244</v>
      </c>
      <c r="O96" s="50" t="s">
        <v>626</v>
      </c>
      <c r="P96" s="50" t="s">
        <v>161</v>
      </c>
      <c r="Q96" s="53">
        <v>0.09</v>
      </c>
      <c r="R96" s="49">
        <v>36</v>
      </c>
      <c r="S96" s="49">
        <v>0</v>
      </c>
      <c r="T96" s="54">
        <f t="shared" si="238"/>
        <v>36</v>
      </c>
      <c r="U96" s="55">
        <v>24516</v>
      </c>
      <c r="V96" s="49">
        <v>2.59</v>
      </c>
      <c r="W96" s="56">
        <f t="shared" si="177"/>
        <v>13.8996138996139</v>
      </c>
      <c r="X96" s="49">
        <v>1994</v>
      </c>
      <c r="Y96" s="57" t="s">
        <v>162</v>
      </c>
      <c r="Z96" s="58">
        <v>1404163</v>
      </c>
      <c r="AA96" s="114">
        <f>(((550000*0.05)/(Z96))+((853913*0.01)/(Z96))+((250*0)/(Z96)))</f>
        <v>2.5665916278950523E-2</v>
      </c>
      <c r="AB96" s="59">
        <v>15</v>
      </c>
      <c r="AC96" s="60">
        <v>40</v>
      </c>
      <c r="AD96" s="61">
        <v>0.05</v>
      </c>
      <c r="AE96" s="62">
        <v>550000</v>
      </c>
      <c r="AF96" s="63">
        <v>1.96</v>
      </c>
      <c r="AG96" s="59">
        <v>30</v>
      </c>
      <c r="AH96" s="60">
        <v>50</v>
      </c>
      <c r="AI96" s="61">
        <v>0.01</v>
      </c>
      <c r="AJ96" s="64">
        <v>853913</v>
      </c>
      <c r="AK96" s="65">
        <f t="shared" si="178"/>
        <v>1403913</v>
      </c>
      <c r="AL96" s="62">
        <v>250</v>
      </c>
      <c r="AM96" s="49" t="s">
        <v>163</v>
      </c>
      <c r="AN96" s="67">
        <v>0.85</v>
      </c>
      <c r="AO96" s="62">
        <v>3359568</v>
      </c>
      <c r="AP96" s="62">
        <v>0</v>
      </c>
      <c r="AQ96" s="68">
        <v>3380</v>
      </c>
      <c r="AR96" s="69">
        <f t="shared" si="179"/>
        <v>38997.583333333336</v>
      </c>
      <c r="AS96" s="70" t="str">
        <f>IFERROR(IF(#REF!&gt;0,#REF!/T96,""),"")</f>
        <v/>
      </c>
      <c r="AT96" s="70">
        <f t="shared" si="180"/>
        <v>93321.333333333328</v>
      </c>
      <c r="AU96" s="70">
        <f t="shared" si="181"/>
        <v>6.9444444444444446</v>
      </c>
      <c r="AV96" s="71">
        <f t="shared" si="182"/>
        <v>93.888888888888886</v>
      </c>
      <c r="AW96" s="115">
        <f t="shared" si="183"/>
        <v>50000</v>
      </c>
      <c r="AX96" s="116">
        <f t="shared" si="184"/>
        <v>73.421439060205586</v>
      </c>
      <c r="AY96" s="72">
        <f t="shared" si="185"/>
        <v>63888.888888888891</v>
      </c>
      <c r="AZ96" s="73">
        <f t="shared" si="186"/>
        <v>93.816283243596018</v>
      </c>
      <c r="BA96" s="66">
        <v>1000000</v>
      </c>
      <c r="BB96" s="62">
        <v>119500</v>
      </c>
      <c r="BC96" s="62">
        <v>1680500</v>
      </c>
      <c r="BD96" s="62">
        <v>180000</v>
      </c>
      <c r="BE96" s="62">
        <v>320000</v>
      </c>
      <c r="BF96" s="62">
        <v>231355</v>
      </c>
      <c r="BG96" s="62">
        <v>333195</v>
      </c>
      <c r="BH96" s="62">
        <v>608501</v>
      </c>
      <c r="BI96" s="62">
        <v>247000</v>
      </c>
      <c r="BJ96" s="47">
        <f t="shared" si="187"/>
        <v>4720051</v>
      </c>
      <c r="BK96" s="69">
        <f t="shared" si="247"/>
        <v>27777.777777777777</v>
      </c>
      <c r="BL96" s="70">
        <f t="shared" si="248"/>
        <v>3319.4444444444443</v>
      </c>
      <c r="BM96" s="70">
        <f t="shared" si="249"/>
        <v>46680.555555555555</v>
      </c>
      <c r="BN96" s="70">
        <f t="shared" si="250"/>
        <v>5000</v>
      </c>
      <c r="BO96" s="70">
        <f t="shared" si="251"/>
        <v>8888.8888888888887</v>
      </c>
      <c r="BP96" s="70">
        <f t="shared" si="175"/>
        <v>6426.5277777777774</v>
      </c>
      <c r="BQ96" s="70">
        <f t="shared" si="188"/>
        <v>9255.4166666666661</v>
      </c>
      <c r="BR96" s="70">
        <f t="shared" si="241"/>
        <v>16902.805555555555</v>
      </c>
      <c r="BS96" s="70">
        <f t="shared" si="242"/>
        <v>6861.1111111111113</v>
      </c>
      <c r="BT96" s="71">
        <f t="shared" si="243"/>
        <v>131112.52777777778</v>
      </c>
      <c r="BU96" s="65">
        <f t="shared" si="252"/>
        <v>40.789688366780879</v>
      </c>
      <c r="BV96" s="48">
        <f t="shared" si="253"/>
        <v>4.8743677598303146</v>
      </c>
      <c r="BW96" s="48">
        <f t="shared" si="254"/>
        <v>68.547071300375265</v>
      </c>
      <c r="BX96" s="48">
        <f t="shared" si="255"/>
        <v>7.3421439060205582</v>
      </c>
      <c r="BY96" s="48">
        <f t="shared" si="256"/>
        <v>13.052700277369881</v>
      </c>
      <c r="BZ96" s="48">
        <f t="shared" si="176"/>
        <v>9.4368983520965894</v>
      </c>
      <c r="CA96" s="48">
        <f t="shared" si="189"/>
        <v>13.590920215369554</v>
      </c>
      <c r="CB96" s="48">
        <f t="shared" si="244"/>
        <v>24.820566160874531</v>
      </c>
      <c r="CC96" s="48">
        <f t="shared" si="245"/>
        <v>10.075053026594876</v>
      </c>
      <c r="CD96" s="47">
        <f t="shared" si="246"/>
        <v>192.52940936531246</v>
      </c>
      <c r="CE96" s="66">
        <v>216000</v>
      </c>
      <c r="CF96" s="62">
        <v>276</v>
      </c>
      <c r="CG96" s="74">
        <v>-15139</v>
      </c>
      <c r="CH96" s="75">
        <f t="shared" si="190"/>
        <v>201137</v>
      </c>
      <c r="CI96" s="62">
        <f>8090+1440</f>
        <v>9530</v>
      </c>
      <c r="CJ96" s="62">
        <v>28944</v>
      </c>
      <c r="CK96" s="62">
        <v>27887</v>
      </c>
      <c r="CL96" s="62">
        <v>24300</v>
      </c>
      <c r="CM96" s="62">
        <f>3200+7010</f>
        <v>10210</v>
      </c>
      <c r="CN96" s="62">
        <v>16000</v>
      </c>
      <c r="CO96" s="62">
        <v>11000</v>
      </c>
      <c r="CP96" s="75">
        <f t="shared" si="239"/>
        <v>127871</v>
      </c>
      <c r="CQ96" s="62">
        <v>10800</v>
      </c>
      <c r="CR96" s="75">
        <f t="shared" si="240"/>
        <v>138671</v>
      </c>
      <c r="CS96" s="75">
        <f t="shared" si="191"/>
        <v>73266</v>
      </c>
      <c r="CT96" s="62">
        <v>53534</v>
      </c>
      <c r="CU96" s="47">
        <f t="shared" si="192"/>
        <v>19732</v>
      </c>
      <c r="CV96" s="76">
        <f t="shared" si="193"/>
        <v>0.36425918652460759</v>
      </c>
      <c r="CW96" s="75">
        <f t="shared" si="194"/>
        <v>3851.9722222222222</v>
      </c>
      <c r="CX96" s="77">
        <f t="shared" si="195"/>
        <v>0.68943555884794938</v>
      </c>
      <c r="CY96" s="75">
        <f t="shared" si="196"/>
        <v>548.11111111111109</v>
      </c>
      <c r="CZ96" s="77">
        <f t="shared" si="197"/>
        <v>9.8102288489934728E-2</v>
      </c>
      <c r="DA96" s="77">
        <f t="shared" si="198"/>
        <v>0.26615689803467291</v>
      </c>
      <c r="DB96" s="47">
        <f t="shared" si="199"/>
        <v>38997.583333333336</v>
      </c>
      <c r="DC96" s="69">
        <f t="shared" si="200"/>
        <v>6000</v>
      </c>
      <c r="DD96" s="70">
        <f t="shared" si="201"/>
        <v>7.666666666666667</v>
      </c>
      <c r="DE96" s="70">
        <f t="shared" si="202"/>
        <v>-420.52777777777777</v>
      </c>
      <c r="DF96" s="70">
        <f t="shared" si="203"/>
        <v>5587.1388888888887</v>
      </c>
      <c r="DG96" s="70">
        <f t="shared" si="204"/>
        <v>264.72222222222223</v>
      </c>
      <c r="DH96" s="70">
        <f t="shared" si="205"/>
        <v>804</v>
      </c>
      <c r="DI96" s="70">
        <f t="shared" si="206"/>
        <v>774.63888888888891</v>
      </c>
      <c r="DJ96" s="70">
        <f t="shared" si="207"/>
        <v>675</v>
      </c>
      <c r="DK96" s="70">
        <f t="shared" si="208"/>
        <v>283.61111111111109</v>
      </c>
      <c r="DL96" s="70">
        <f t="shared" si="209"/>
        <v>444.44444444444446</v>
      </c>
      <c r="DM96" s="70">
        <f t="shared" si="210"/>
        <v>305.55555555555554</v>
      </c>
      <c r="DN96" s="70">
        <f t="shared" si="211"/>
        <v>3551.9722222222222</v>
      </c>
      <c r="DO96" s="70">
        <f t="shared" si="212"/>
        <v>300</v>
      </c>
      <c r="DP96" s="70">
        <f t="shared" si="213"/>
        <v>3851.9722222222222</v>
      </c>
      <c r="DQ96" s="70">
        <f t="shared" si="214"/>
        <v>2035.1666666666667</v>
      </c>
      <c r="DR96" s="70">
        <f t="shared" si="215"/>
        <v>1487.0555555555557</v>
      </c>
      <c r="DS96" s="71">
        <f t="shared" si="216"/>
        <v>548.11111111111109</v>
      </c>
      <c r="DT96" s="106">
        <f t="shared" si="217"/>
        <v>1.0738949074511404</v>
      </c>
      <c r="DU96" s="92">
        <f t="shared" si="218"/>
        <v>1.3721990484097904E-3</v>
      </c>
      <c r="DV96" s="92" t="str">
        <f t="shared" si="219"/>
        <v/>
      </c>
      <c r="DW96" s="92">
        <f t="shared" si="220"/>
        <v>1</v>
      </c>
      <c r="DX96" s="92">
        <f t="shared" si="221"/>
        <v>4.7380641055598922E-2</v>
      </c>
      <c r="DY96" s="92">
        <f t="shared" si="222"/>
        <v>0.14390191759845281</v>
      </c>
      <c r="DZ96" s="92">
        <f t="shared" si="223"/>
        <v>0.13864679298189792</v>
      </c>
      <c r="EA96" s="92">
        <f t="shared" si="224"/>
        <v>0.12081317708825327</v>
      </c>
      <c r="EB96" s="92">
        <f t="shared" si="225"/>
        <v>5.0761421319796954E-2</v>
      </c>
      <c r="EC96" s="92">
        <f t="shared" si="226"/>
        <v>7.9547770922306693E-2</v>
      </c>
      <c r="ED96" s="92">
        <f t="shared" si="227"/>
        <v>5.4689092509085845E-2</v>
      </c>
      <c r="EE96" s="92">
        <f t="shared" si="228"/>
        <v>0.63574081347539235</v>
      </c>
      <c r="EF96" s="92">
        <f t="shared" si="229"/>
        <v>5.3694745372557015E-2</v>
      </c>
      <c r="EG96" s="92">
        <f t="shared" si="230"/>
        <v>0.68943555884794938</v>
      </c>
      <c r="EH96" s="92">
        <f t="shared" si="231"/>
        <v>0.36425918652460759</v>
      </c>
      <c r="EI96" s="92">
        <f t="shared" si="232"/>
        <v>0.26615689803467291</v>
      </c>
      <c r="EJ96" s="122">
        <f t="shared" si="233"/>
        <v>9.8102288489934728E-2</v>
      </c>
    </row>
    <row r="97" spans="2:140" ht="12" hidden="1" customHeight="1" outlineLevel="1">
      <c r="B97" s="121">
        <v>44978</v>
      </c>
      <c r="C97" s="117" t="s">
        <v>627</v>
      </c>
      <c r="D97" s="50" t="s">
        <v>628</v>
      </c>
      <c r="E97" s="50" t="s">
        <v>629</v>
      </c>
      <c r="F97" s="50" t="s">
        <v>630</v>
      </c>
      <c r="G97" s="50" t="s">
        <v>629</v>
      </c>
      <c r="H97" s="50" t="s">
        <v>433</v>
      </c>
      <c r="I97" s="50" t="s">
        <v>321</v>
      </c>
      <c r="J97" s="52" t="s">
        <v>631</v>
      </c>
      <c r="K97" s="50" t="s">
        <v>632</v>
      </c>
      <c r="L97" s="49">
        <v>11</v>
      </c>
      <c r="M97" s="50" t="s">
        <v>283</v>
      </c>
      <c r="N97" s="50" t="s">
        <v>160</v>
      </c>
      <c r="O97" s="50" t="s">
        <v>160</v>
      </c>
      <c r="P97" s="50" t="s">
        <v>177</v>
      </c>
      <c r="Q97" s="53">
        <v>0.09</v>
      </c>
      <c r="R97" s="49">
        <v>48</v>
      </c>
      <c r="S97" s="49">
        <v>0</v>
      </c>
      <c r="T97" s="54">
        <f t="shared" si="238"/>
        <v>48</v>
      </c>
      <c r="U97" s="55">
        <v>55404</v>
      </c>
      <c r="V97" s="49">
        <v>3</v>
      </c>
      <c r="W97" s="56">
        <f t="shared" si="177"/>
        <v>16</v>
      </c>
      <c r="X97" s="49" t="s">
        <v>163</v>
      </c>
      <c r="Y97" s="57" t="s">
        <v>162</v>
      </c>
      <c r="Z97" s="58">
        <v>1758250</v>
      </c>
      <c r="AA97" s="114">
        <v>4.9299999999999997E-2</v>
      </c>
      <c r="AB97" s="59">
        <v>16</v>
      </c>
      <c r="AC97" s="60">
        <v>40</v>
      </c>
      <c r="AD97" s="61">
        <v>4.9299999999999997E-2</v>
      </c>
      <c r="AE97" s="62">
        <v>1758000</v>
      </c>
      <c r="AF97" s="63">
        <v>1.24</v>
      </c>
      <c r="AG97" s="59"/>
      <c r="AH97" s="60"/>
      <c r="AI97" s="61"/>
      <c r="AJ97" s="64"/>
      <c r="AK97" s="65">
        <f t="shared" si="178"/>
        <v>1758000</v>
      </c>
      <c r="AL97" s="62">
        <v>250</v>
      </c>
      <c r="AM97" s="49" t="s">
        <v>163</v>
      </c>
      <c r="AN97" s="67">
        <v>0.85</v>
      </c>
      <c r="AO97" s="62">
        <v>8460242</v>
      </c>
      <c r="AP97" s="62">
        <v>0</v>
      </c>
      <c r="AQ97" s="68">
        <v>967455</v>
      </c>
      <c r="AR97" s="69">
        <f t="shared" si="179"/>
        <v>36625</v>
      </c>
      <c r="AS97" s="70" t="str">
        <f>IFERROR(IF(#REF!&gt;0,#REF!/T97,""),"")</f>
        <v/>
      </c>
      <c r="AT97" s="70">
        <f t="shared" si="180"/>
        <v>176255.04166666666</v>
      </c>
      <c r="AU97" s="70">
        <f t="shared" si="181"/>
        <v>5.208333333333333</v>
      </c>
      <c r="AV97" s="71">
        <f t="shared" si="182"/>
        <v>20155.3125</v>
      </c>
      <c r="AW97" s="115">
        <f t="shared" si="183"/>
        <v>123981.66666666667</v>
      </c>
      <c r="AX97" s="116">
        <f t="shared" si="184"/>
        <v>107.4131831636705</v>
      </c>
      <c r="AY97" s="72">
        <f t="shared" si="185"/>
        <v>148398.33333333334</v>
      </c>
      <c r="AZ97" s="73">
        <f t="shared" si="186"/>
        <v>128.56689047722188</v>
      </c>
      <c r="BA97" s="66">
        <v>530000</v>
      </c>
      <c r="BB97" s="62">
        <v>767120</v>
      </c>
      <c r="BC97" s="62">
        <v>5184000</v>
      </c>
      <c r="BD97" s="62">
        <v>339000</v>
      </c>
      <c r="BE97" s="62">
        <v>833000</v>
      </c>
      <c r="BF97" s="62">
        <v>449731</v>
      </c>
      <c r="BG97" s="62">
        <v>382988</v>
      </c>
      <c r="BH97" s="62">
        <v>1542000</v>
      </c>
      <c r="BI97" s="62">
        <v>190653</v>
      </c>
      <c r="BJ97" s="47">
        <f t="shared" si="187"/>
        <v>10218492</v>
      </c>
      <c r="BK97" s="69">
        <f t="shared" si="247"/>
        <v>11041.666666666666</v>
      </c>
      <c r="BL97" s="70">
        <f t="shared" si="248"/>
        <v>15981.666666666666</v>
      </c>
      <c r="BM97" s="70">
        <f t="shared" si="249"/>
        <v>108000</v>
      </c>
      <c r="BN97" s="70">
        <f t="shared" si="250"/>
        <v>7062.5</v>
      </c>
      <c r="BO97" s="70">
        <f t="shared" si="251"/>
        <v>17354.166666666668</v>
      </c>
      <c r="BP97" s="70">
        <f t="shared" ref="BP97:BP126" si="257">IFERROR(IF(BF97&gt;0,BF97/$T97,""),"")</f>
        <v>9369.3958333333339</v>
      </c>
      <c r="BQ97" s="70">
        <f t="shared" si="188"/>
        <v>7978.916666666667</v>
      </c>
      <c r="BR97" s="70">
        <f t="shared" si="241"/>
        <v>32125</v>
      </c>
      <c r="BS97" s="70">
        <f t="shared" si="242"/>
        <v>3971.9375</v>
      </c>
      <c r="BT97" s="71">
        <f t="shared" si="243"/>
        <v>212885.25</v>
      </c>
      <c r="BU97" s="65">
        <f t="shared" si="252"/>
        <v>9.5660963107356878</v>
      </c>
      <c r="BV97" s="48">
        <f t="shared" si="253"/>
        <v>13.84593170168219</v>
      </c>
      <c r="BW97" s="48">
        <f t="shared" si="254"/>
        <v>93.567251461988306</v>
      </c>
      <c r="BX97" s="48">
        <f t="shared" si="255"/>
        <v>6.1186917912064107</v>
      </c>
      <c r="BY97" s="48">
        <f t="shared" si="256"/>
        <v>15.035015522344956</v>
      </c>
      <c r="BZ97" s="48">
        <f t="shared" ref="BZ97:BZ126" si="258">IFERROR(IF(BF97&gt;0,BF97/$U97,""),"")</f>
        <v>8.1173019998556057</v>
      </c>
      <c r="CA97" s="48">
        <f t="shared" si="189"/>
        <v>6.9126416865208284</v>
      </c>
      <c r="CB97" s="48">
        <f t="shared" si="244"/>
        <v>27.831925492744205</v>
      </c>
      <c r="CC97" s="48">
        <f t="shared" si="245"/>
        <v>3.4411414338314925</v>
      </c>
      <c r="CD97" s="47">
        <f t="shared" si="246"/>
        <v>184.43599740090968</v>
      </c>
      <c r="CE97" s="66">
        <v>367560</v>
      </c>
      <c r="CF97" s="62">
        <v>5760</v>
      </c>
      <c r="CG97" s="74">
        <v>-27999</v>
      </c>
      <c r="CH97" s="75">
        <f t="shared" si="190"/>
        <v>345321</v>
      </c>
      <c r="CI97" s="62">
        <f>19877+5000+1920</f>
        <v>26797</v>
      </c>
      <c r="CJ97" s="62">
        <v>13813</v>
      </c>
      <c r="CK97" s="62">
        <v>67392</v>
      </c>
      <c r="CL97" s="62">
        <v>24100</v>
      </c>
      <c r="CM97" s="62">
        <f>4800+10500</f>
        <v>15300</v>
      </c>
      <c r="CN97" s="62">
        <v>33600</v>
      </c>
      <c r="CO97" s="62">
        <v>27504</v>
      </c>
      <c r="CP97" s="75">
        <f t="shared" si="239"/>
        <v>208506</v>
      </c>
      <c r="CQ97" s="62">
        <v>12000</v>
      </c>
      <c r="CR97" s="75">
        <f t="shared" si="240"/>
        <v>220506</v>
      </c>
      <c r="CS97" s="75">
        <f t="shared" si="191"/>
        <v>136815</v>
      </c>
      <c r="CT97" s="62">
        <v>100691</v>
      </c>
      <c r="CU97" s="47">
        <f t="shared" si="192"/>
        <v>36124</v>
      </c>
      <c r="CV97" s="76">
        <f t="shared" si="193"/>
        <v>0.39619658231037208</v>
      </c>
      <c r="CW97" s="75">
        <f t="shared" si="194"/>
        <v>4593.875</v>
      </c>
      <c r="CX97" s="77">
        <f t="shared" si="195"/>
        <v>0.63855369351994229</v>
      </c>
      <c r="CY97" s="75">
        <f t="shared" si="196"/>
        <v>752.58333333333337</v>
      </c>
      <c r="CZ97" s="77">
        <f t="shared" si="197"/>
        <v>0.10460991367452313</v>
      </c>
      <c r="DA97" s="77">
        <f t="shared" si="198"/>
        <v>0.29158666863584898</v>
      </c>
      <c r="DB97" s="47">
        <f t="shared" si="199"/>
        <v>36625</v>
      </c>
      <c r="DC97" s="69">
        <f t="shared" si="200"/>
        <v>7657.5</v>
      </c>
      <c r="DD97" s="70">
        <f t="shared" si="201"/>
        <v>120</v>
      </c>
      <c r="DE97" s="70">
        <f t="shared" si="202"/>
        <v>-583.3125</v>
      </c>
      <c r="DF97" s="70">
        <f t="shared" si="203"/>
        <v>7194.1875</v>
      </c>
      <c r="DG97" s="70">
        <f t="shared" si="204"/>
        <v>558.27083333333337</v>
      </c>
      <c r="DH97" s="70">
        <f t="shared" si="205"/>
        <v>287.77083333333331</v>
      </c>
      <c r="DI97" s="70">
        <f t="shared" si="206"/>
        <v>1404</v>
      </c>
      <c r="DJ97" s="70">
        <f t="shared" si="207"/>
        <v>502.08333333333331</v>
      </c>
      <c r="DK97" s="70">
        <f t="shared" si="208"/>
        <v>318.75</v>
      </c>
      <c r="DL97" s="70">
        <f t="shared" si="209"/>
        <v>700</v>
      </c>
      <c r="DM97" s="70">
        <f t="shared" si="210"/>
        <v>573</v>
      </c>
      <c r="DN97" s="70">
        <f t="shared" si="211"/>
        <v>4343.875</v>
      </c>
      <c r="DO97" s="70">
        <f t="shared" si="212"/>
        <v>250</v>
      </c>
      <c r="DP97" s="70">
        <f t="shared" si="213"/>
        <v>4593.875</v>
      </c>
      <c r="DQ97" s="70">
        <f t="shared" si="214"/>
        <v>2850.3125</v>
      </c>
      <c r="DR97" s="70">
        <f t="shared" si="215"/>
        <v>2097.7291666666665</v>
      </c>
      <c r="DS97" s="71">
        <f t="shared" si="216"/>
        <v>752.58333333333337</v>
      </c>
      <c r="DT97" s="106">
        <f t="shared" si="217"/>
        <v>1.0644009486825301</v>
      </c>
      <c r="DU97" s="92">
        <f t="shared" si="218"/>
        <v>1.6680132398550915E-2</v>
      </c>
      <c r="DV97" s="92" t="str">
        <f t="shared" si="219"/>
        <v/>
      </c>
      <c r="DW97" s="92">
        <f t="shared" si="220"/>
        <v>1</v>
      </c>
      <c r="DX97" s="92">
        <f t="shared" si="221"/>
        <v>7.7600261785411254E-2</v>
      </c>
      <c r="DY97" s="92">
        <f t="shared" si="222"/>
        <v>4.0000463337011072E-2</v>
      </c>
      <c r="DZ97" s="92">
        <f t="shared" si="223"/>
        <v>0.19515754906304569</v>
      </c>
      <c r="EA97" s="92">
        <f t="shared" si="224"/>
        <v>6.9790137292548099E-2</v>
      </c>
      <c r="EB97" s="92">
        <f t="shared" si="225"/>
        <v>4.4306601683650866E-2</v>
      </c>
      <c r="EC97" s="92">
        <f t="shared" si="226"/>
        <v>9.7300772324880325E-2</v>
      </c>
      <c r="ED97" s="92">
        <f t="shared" si="227"/>
        <v>7.9647632203080618E-2</v>
      </c>
      <c r="EE97" s="92">
        <f t="shared" si="228"/>
        <v>0.60380341768962786</v>
      </c>
      <c r="EF97" s="92">
        <f t="shared" si="229"/>
        <v>3.4750275830314405E-2</v>
      </c>
      <c r="EG97" s="92">
        <f t="shared" si="230"/>
        <v>0.63855369351994229</v>
      </c>
      <c r="EH97" s="92">
        <f t="shared" si="231"/>
        <v>0.39619658231037208</v>
      </c>
      <c r="EI97" s="92">
        <f t="shared" si="232"/>
        <v>0.29158666863584898</v>
      </c>
      <c r="EJ97" s="122">
        <f t="shared" si="233"/>
        <v>0.10460991367452313</v>
      </c>
    </row>
    <row r="98" spans="2:140" ht="12" hidden="1" customHeight="1" outlineLevel="1">
      <c r="B98" s="121">
        <v>44978</v>
      </c>
      <c r="C98" s="117" t="s">
        <v>633</v>
      </c>
      <c r="D98" s="50" t="s">
        <v>634</v>
      </c>
      <c r="E98" s="50" t="s">
        <v>635</v>
      </c>
      <c r="F98" s="50" t="s">
        <v>636</v>
      </c>
      <c r="G98" s="50" t="s">
        <v>162</v>
      </c>
      <c r="H98" s="50" t="s">
        <v>637</v>
      </c>
      <c r="I98" s="50" t="s">
        <v>215</v>
      </c>
      <c r="J98" s="52" t="s">
        <v>638</v>
      </c>
      <c r="K98" s="50" t="s">
        <v>230</v>
      </c>
      <c r="L98" s="49">
        <v>3</v>
      </c>
      <c r="M98" s="50" t="s">
        <v>159</v>
      </c>
      <c r="N98" s="50" t="s">
        <v>160</v>
      </c>
      <c r="O98" s="50" t="s">
        <v>160</v>
      </c>
      <c r="P98" s="50" t="s">
        <v>177</v>
      </c>
      <c r="Q98" s="53">
        <v>0.09</v>
      </c>
      <c r="R98" s="49">
        <v>76</v>
      </c>
      <c r="S98" s="49">
        <v>0</v>
      </c>
      <c r="T98" s="54">
        <f t="shared" si="238"/>
        <v>76</v>
      </c>
      <c r="U98" s="55">
        <v>79975</v>
      </c>
      <c r="V98" s="49">
        <v>4.24</v>
      </c>
      <c r="W98" s="56">
        <f t="shared" ref="W98:W127" si="259">IFERROR(IF(T98&gt;0,T98/V98,""),"")</f>
        <v>17.924528301886792</v>
      </c>
      <c r="X98" s="49" t="s">
        <v>163</v>
      </c>
      <c r="Y98" s="57" t="s">
        <v>162</v>
      </c>
      <c r="Z98" s="58">
        <v>5350500</v>
      </c>
      <c r="AA98" s="114">
        <v>5.2499999999999998E-2</v>
      </c>
      <c r="AB98" s="59">
        <v>15</v>
      </c>
      <c r="AC98" s="60">
        <v>35</v>
      </c>
      <c r="AD98" s="61">
        <v>5.2499999999999998E-2</v>
      </c>
      <c r="AE98" s="62">
        <v>5350000</v>
      </c>
      <c r="AF98" s="63">
        <v>1.21</v>
      </c>
      <c r="AG98" s="59"/>
      <c r="AH98" s="60"/>
      <c r="AI98" s="61"/>
      <c r="AJ98" s="64"/>
      <c r="AK98" s="65">
        <f t="shared" ref="AK98:AK127" si="260">IFERROR(IF(AE98&gt;0,AJ98+AE98,""),"")</f>
        <v>5350000</v>
      </c>
      <c r="AL98" s="62">
        <v>500</v>
      </c>
      <c r="AM98" s="49" t="s">
        <v>163</v>
      </c>
      <c r="AN98" s="67">
        <v>0.88</v>
      </c>
      <c r="AO98" s="62">
        <v>13667144</v>
      </c>
      <c r="AP98" s="62">
        <v>0</v>
      </c>
      <c r="AQ98" s="68">
        <v>468464</v>
      </c>
      <c r="AR98" s="69">
        <f t="shared" ref="AR98:AR127" si="261">IFERROR(IF(AK98&gt;0,AK98/T98,""),"")</f>
        <v>70394.736842105267</v>
      </c>
      <c r="AS98" s="70" t="str">
        <f>IFERROR(IF(#REF!&gt;0,#REF!/T98,""),"")</f>
        <v/>
      </c>
      <c r="AT98" s="70">
        <f t="shared" ref="AT98:AT127" si="262">IFERROR(IF(AO98&gt;0,AO98/T98,""),"")</f>
        <v>179830.84210526315</v>
      </c>
      <c r="AU98" s="70">
        <f t="shared" ref="AU98:AU130" si="263">IFERROR(IF(AL98&gt;0,AL98/T98,""),"")</f>
        <v>6.5789473684210522</v>
      </c>
      <c r="AV98" s="71">
        <f t="shared" ref="AV98:AV127" si="264">IFERROR(IF(AQ98&gt;0,AQ98/T98,""),"")</f>
        <v>6164</v>
      </c>
      <c r="AW98" s="115">
        <f t="shared" ref="AW98:AW127" si="265">IFERROR(IF(SUM(BB98:BC98)&gt;0,SUM(BB98:BC98)/T98,""),"")</f>
        <v>123329.27631578948</v>
      </c>
      <c r="AX98" s="116">
        <f t="shared" ref="AX98:AX127" si="266">IFERROR(IF(SUM(BB98:BC98)&gt;0,SUM(BB98:BC98)/U98,""),"")</f>
        <v>117.1994373241638</v>
      </c>
      <c r="AY98" s="72">
        <f t="shared" ref="AY98:AY127" si="267">IFERROR(IF(SUM(BL98:BO98)&gt;0,SUM(BL98:BO98),""),"")</f>
        <v>148789.38157894736</v>
      </c>
      <c r="AZ98" s="73">
        <f t="shared" ref="AZ98:AZ127" si="268">IFERROR(IF(SUM(BV98:BY98)&gt;0,SUM(BV98:BY98),""),"")</f>
        <v>141.39409815567365</v>
      </c>
      <c r="BA98" s="66">
        <v>3030000</v>
      </c>
      <c r="BB98" s="62">
        <v>1371800</v>
      </c>
      <c r="BC98" s="62">
        <v>8001225</v>
      </c>
      <c r="BD98" s="62">
        <v>557135</v>
      </c>
      <c r="BE98" s="62">
        <v>1377833</v>
      </c>
      <c r="BF98" s="62">
        <v>1085386</v>
      </c>
      <c r="BG98" s="62">
        <v>1207552</v>
      </c>
      <c r="BH98" s="62">
        <v>1948983</v>
      </c>
      <c r="BI98" s="62">
        <v>437730</v>
      </c>
      <c r="BJ98" s="47">
        <f t="shared" ref="BJ98:BJ127" si="269">IFERROR(IF(SUM(BA98:BI98)&gt;0,SUM(BA98:BI98),""),"")</f>
        <v>19017644</v>
      </c>
      <c r="BK98" s="69">
        <f t="shared" si="247"/>
        <v>39868.42105263158</v>
      </c>
      <c r="BL98" s="70">
        <f t="shared" si="248"/>
        <v>18050</v>
      </c>
      <c r="BM98" s="70">
        <f t="shared" si="249"/>
        <v>105279.27631578948</v>
      </c>
      <c r="BN98" s="70">
        <f t="shared" si="250"/>
        <v>7330.7236842105267</v>
      </c>
      <c r="BO98" s="70">
        <f t="shared" si="251"/>
        <v>18129.38157894737</v>
      </c>
      <c r="BP98" s="70">
        <f t="shared" si="257"/>
        <v>14281.394736842105</v>
      </c>
      <c r="BQ98" s="70">
        <f t="shared" ref="BQ98:BQ127" si="270">IFERROR(IF(BG98&gt;0,BG98/$T98,""),"")</f>
        <v>15888.842105263158</v>
      </c>
      <c r="BR98" s="70">
        <f t="shared" si="241"/>
        <v>25644.513157894737</v>
      </c>
      <c r="BS98" s="70">
        <f t="shared" si="242"/>
        <v>5759.605263157895</v>
      </c>
      <c r="BT98" s="71">
        <f t="shared" si="243"/>
        <v>250232.15789473685</v>
      </c>
      <c r="BU98" s="65">
        <f t="shared" si="252"/>
        <v>37.886839637386686</v>
      </c>
      <c r="BV98" s="48">
        <f t="shared" si="253"/>
        <v>17.152860268834011</v>
      </c>
      <c r="BW98" s="48">
        <f t="shared" si="254"/>
        <v>100.04657705532979</v>
      </c>
      <c r="BX98" s="48">
        <f t="shared" si="255"/>
        <v>6.9663644889027818</v>
      </c>
      <c r="BY98" s="48">
        <f t="shared" si="256"/>
        <v>17.228296342607063</v>
      </c>
      <c r="BZ98" s="48">
        <f t="shared" si="258"/>
        <v>13.571566114410754</v>
      </c>
      <c r="CA98" s="48">
        <f t="shared" ref="CA98:CA127" si="271">IFERROR(IF(BG98&gt;0,BG98/$U98,""),"")</f>
        <v>15.099118474523289</v>
      </c>
      <c r="CB98" s="48">
        <f t="shared" si="244"/>
        <v>24.369903094717099</v>
      </c>
      <c r="CC98" s="48">
        <f t="shared" si="245"/>
        <v>5.4733354173179123</v>
      </c>
      <c r="CD98" s="47">
        <f t="shared" si="246"/>
        <v>237.7948608940294</v>
      </c>
      <c r="CE98" s="66">
        <v>903228</v>
      </c>
      <c r="CF98" s="62">
        <v>13680</v>
      </c>
      <c r="CG98" s="74">
        <v>-68768</v>
      </c>
      <c r="CH98" s="75">
        <f t="shared" ref="CH98:CH127" si="272">IFERROR(IF(SUM(CE98:CG98)&gt;0,SUM(CE98:CG98),""),"")</f>
        <v>848140</v>
      </c>
      <c r="CI98" s="62">
        <f>25000+3040</f>
        <v>28040</v>
      </c>
      <c r="CJ98" s="62">
        <v>42407</v>
      </c>
      <c r="CK98" s="62">
        <v>112552</v>
      </c>
      <c r="CL98" s="62">
        <v>37500</v>
      </c>
      <c r="CM98" s="62">
        <f>13254+52000</f>
        <v>65254</v>
      </c>
      <c r="CN98" s="62">
        <v>19000</v>
      </c>
      <c r="CO98" s="62">
        <v>120847</v>
      </c>
      <c r="CP98" s="75">
        <f t="shared" si="239"/>
        <v>425600</v>
      </c>
      <c r="CQ98" s="62">
        <v>19000</v>
      </c>
      <c r="CR98" s="75">
        <f t="shared" si="240"/>
        <v>444600</v>
      </c>
      <c r="CS98" s="75">
        <f t="shared" ref="CS98:CS127" si="273">IFERROR(IF(CH98-CR98&gt;0,CH98-CP98,""),"")</f>
        <v>422540</v>
      </c>
      <c r="CT98" s="62">
        <v>332861</v>
      </c>
      <c r="CU98" s="47">
        <f t="shared" ref="CU98:CU127" si="274">IFERROR(IF(CS98-CT98&gt;0,CS98-CT98,""),"")</f>
        <v>89679</v>
      </c>
      <c r="CV98" s="76">
        <f t="shared" ref="CV98:CV127" si="275">IFERROR(IF(CU98&gt;0,CS98/CH98,""),"")</f>
        <v>0.49819605253849603</v>
      </c>
      <c r="CW98" s="75">
        <f t="shared" ref="CW98:CW127" si="276">IFERROR(IF(CU98&gt;0,CR98/T98,""),"")</f>
        <v>5850</v>
      </c>
      <c r="CX98" s="77">
        <f t="shared" ref="CX98:CX127" si="277">IFERROR(IF(CU98&gt;0,CR98/CH98,""),"")</f>
        <v>0.52420590940174971</v>
      </c>
      <c r="CY98" s="75">
        <f t="shared" ref="CY98:CY127" si="278">IFERROR(IF(CU98&gt;0,CU98/T98,""),"")</f>
        <v>1179.9868421052631</v>
      </c>
      <c r="CZ98" s="77">
        <f t="shared" ref="CZ98:CZ127" si="279">IFERROR(IF(CU98&gt;0,CU98/CH98,""),"")</f>
        <v>0.10573608130733134</v>
      </c>
      <c r="DA98" s="77">
        <f t="shared" ref="DA98:DA127" si="280">IFERROR(IF(CT98&gt;0,CT98/CH98,""),"")</f>
        <v>0.39245997123116466</v>
      </c>
      <c r="DB98" s="47">
        <f t="shared" ref="DB98:DB127" si="281">IFERROR(IF(AR98&gt;0,AR98,""),"")</f>
        <v>70394.736842105267</v>
      </c>
      <c r="DC98" s="69">
        <f t="shared" ref="DC98:DC127" si="282">IFERROR(IF(ABS(CE98)&gt;0,CE98/$T98,""),"")</f>
        <v>11884.578947368422</v>
      </c>
      <c r="DD98" s="70">
        <f t="shared" ref="DD98:DD127" si="283">IFERROR(IF(ABS(CF98)&gt;0,CF98/$T98,""),"")</f>
        <v>180</v>
      </c>
      <c r="DE98" s="70">
        <f t="shared" ref="DE98:DE127" si="284">IFERROR(IF(ABS(CG98)&gt;0,CG98/$T98,""),"")</f>
        <v>-904.84210526315792</v>
      </c>
      <c r="DF98" s="70">
        <f t="shared" ref="DF98:DF127" si="285">IFERROR(IF(ABS(CH98)&gt;0,CH98/$T98,""),"")</f>
        <v>11159.736842105263</v>
      </c>
      <c r="DG98" s="70">
        <f t="shared" ref="DG98:DG127" si="286">IFERROR(IF(ABS(CI98)&gt;0,CI98/$T98,""),"")</f>
        <v>368.94736842105266</v>
      </c>
      <c r="DH98" s="70">
        <f t="shared" ref="DH98:DH127" si="287">IFERROR(IF(ABS(CJ98)&gt;0,CJ98/$T98,""),"")</f>
        <v>557.98684210526312</v>
      </c>
      <c r="DI98" s="70">
        <f t="shared" ref="DI98:DI127" si="288">IFERROR(IF(ABS(CK98)&gt;0,CK98/$T98,""),"")</f>
        <v>1480.9473684210527</v>
      </c>
      <c r="DJ98" s="70">
        <f t="shared" ref="DJ98:DJ127" si="289">IFERROR(IF(ABS(CL98)&gt;0,CL98/$T98,""),"")</f>
        <v>493.42105263157896</v>
      </c>
      <c r="DK98" s="70">
        <f t="shared" ref="DK98:DK127" si="290">IFERROR(IF(ABS(CM98)&gt;0,CM98/$T98,""),"")</f>
        <v>858.60526315789468</v>
      </c>
      <c r="DL98" s="70">
        <f t="shared" ref="DL98:DL127" si="291">IFERROR(IF(ABS(CN98)&gt;0,CN98/$T98,""),"")</f>
        <v>250</v>
      </c>
      <c r="DM98" s="70">
        <f t="shared" ref="DM98:DM127" si="292">IFERROR(IF(ABS(CO98)&gt;0,CO98/$T98,""),"")</f>
        <v>1590.0921052631579</v>
      </c>
      <c r="DN98" s="70">
        <f t="shared" ref="DN98:DN127" si="293">IFERROR(IF(ABS(CP98)&gt;0,CP98/$T98,""),"")</f>
        <v>5600</v>
      </c>
      <c r="DO98" s="70">
        <f t="shared" ref="DO98:DO127" si="294">IFERROR(IF(ABS(CQ98)&gt;0,CQ98/$T98,""),"")</f>
        <v>250</v>
      </c>
      <c r="DP98" s="70">
        <f t="shared" ref="DP98:DP127" si="295">IFERROR(IF(ABS(CR98)&gt;0,CR98/$T98,""),"")</f>
        <v>5850</v>
      </c>
      <c r="DQ98" s="70">
        <f t="shared" ref="DQ98:DQ127" si="296">IFERROR(IF(ABS(CS98)&gt;0,CS98/$T98,""),"")</f>
        <v>5559.7368421052633</v>
      </c>
      <c r="DR98" s="70">
        <f t="shared" ref="DR98:DR127" si="297">IFERROR(IF(ABS(CT98)&gt;0,CT98/$T98,""),"")</f>
        <v>4379.75</v>
      </c>
      <c r="DS98" s="71">
        <f t="shared" ref="DS98:DS127" si="298">IFERROR(IF(ABS(CU98)&gt;0,CU98/$T98,""),"")</f>
        <v>1179.9868421052631</v>
      </c>
      <c r="DT98" s="106">
        <f t="shared" ref="DT98:DT127" si="299">IFERROR(IF(ABS(CE98&gt;0),CE98/$CH98,""),"")</f>
        <v>1.0649515410191714</v>
      </c>
      <c r="DU98" s="92">
        <f t="shared" ref="DU98:DU127" si="300">IFERROR(IF(ABS(CF98&gt;0),CF98/$CH98,""),"")</f>
        <v>1.6129412596976915E-2</v>
      </c>
      <c r="DV98" s="92" t="str">
        <f t="shared" ref="DV98:DV127" si="301">IFERROR(IF(ABS(CG98&gt;0),CG98/$CH98,""),"")</f>
        <v/>
      </c>
      <c r="DW98" s="92">
        <f t="shared" ref="DW98:DW127" si="302">IFERROR(IF(ABS(CH98&gt;0),CH98/$CH98,""),"")</f>
        <v>1</v>
      </c>
      <c r="DX98" s="92">
        <f t="shared" ref="DX98:DX127" si="303">IFERROR(IF(ABS(CI98&gt;0),CI98/$CH98,""),"")</f>
        <v>3.3060579621288937E-2</v>
      </c>
      <c r="DY98" s="92">
        <f t="shared" ref="DY98:DY127" si="304">IFERROR(IF(ABS(CJ98&gt;0),CJ98/$CH98,""),"")</f>
        <v>0.05</v>
      </c>
      <c r="DZ98" s="92">
        <f t="shared" ref="DZ98:DZ127" si="305">IFERROR(IF(ABS(CK98&gt;0),CK98/$CH98,""),"")</f>
        <v>0.13270450633150188</v>
      </c>
      <c r="EA98" s="92">
        <f t="shared" ref="EA98:EA127" si="306">IFERROR(IF(ABS(CL98&gt;0),CL98/$CH98,""),"")</f>
        <v>4.4214398566274439E-2</v>
      </c>
      <c r="EB98" s="92">
        <f t="shared" ref="EB98:EB127" si="307">IFERROR(IF(ABS(CM98&gt;0),CM98/$CH98,""),"")</f>
        <v>7.6937769707831255E-2</v>
      </c>
      <c r="EC98" s="92">
        <f t="shared" ref="EC98:EC127" si="308">IFERROR(IF(ABS(CN98&gt;0),CN98/$CH98,""),"")</f>
        <v>2.2401961940245713E-2</v>
      </c>
      <c r="ED98" s="92">
        <f t="shared" ref="ED98:ED127" si="309">IFERROR(IF(ABS(CO98&gt;0),CO98/$CH98,""),"")</f>
        <v>0.14248473129436179</v>
      </c>
      <c r="EE98" s="92">
        <f t="shared" ref="EE98:EE127" si="310">IFERROR(IF(ABS(CP98&gt;0),CP98/$CH98,""),"")</f>
        <v>0.50180394746150403</v>
      </c>
      <c r="EF98" s="92">
        <f t="shared" ref="EF98:EF127" si="311">IFERROR(IF(ABS(CQ98&gt;0),CQ98/$CH98,""),"")</f>
        <v>2.2401961940245713E-2</v>
      </c>
      <c r="EG98" s="92">
        <f t="shared" ref="EG98:EG127" si="312">IFERROR(IF(ABS(CR98&gt;0),CR98/$CH98,""),"")</f>
        <v>0.52420590940174971</v>
      </c>
      <c r="EH98" s="92">
        <f t="shared" ref="EH98:EH127" si="313">IFERROR(IF(ABS(CS98&gt;0),CS98/$CH98,""),"")</f>
        <v>0.49819605253849603</v>
      </c>
      <c r="EI98" s="92">
        <f t="shared" ref="EI98:EI127" si="314">IFERROR(IF(ABS(CT98&gt;0),CT98/$CH98,""),"")</f>
        <v>0.39245997123116466</v>
      </c>
      <c r="EJ98" s="122">
        <f t="shared" ref="EJ98:EJ127" si="315">IFERROR(IF(ABS(CU98&gt;0),CU98/$CH98,""),"")</f>
        <v>0.10573608130733134</v>
      </c>
    </row>
    <row r="99" spans="2:140" ht="12" hidden="1" customHeight="1" outlineLevel="1">
      <c r="B99" s="121">
        <v>44979</v>
      </c>
      <c r="C99" s="117" t="s">
        <v>639</v>
      </c>
      <c r="D99" s="50" t="s">
        <v>640</v>
      </c>
      <c r="E99" s="50" t="s">
        <v>641</v>
      </c>
      <c r="F99" s="50" t="s">
        <v>642</v>
      </c>
      <c r="G99" s="50" t="s">
        <v>162</v>
      </c>
      <c r="H99" s="50" t="s">
        <v>433</v>
      </c>
      <c r="I99" s="50" t="s">
        <v>321</v>
      </c>
      <c r="J99" s="52" t="s">
        <v>541</v>
      </c>
      <c r="K99" s="50" t="s">
        <v>542</v>
      </c>
      <c r="L99" s="49">
        <v>11</v>
      </c>
      <c r="M99" s="50" t="s">
        <v>159</v>
      </c>
      <c r="N99" s="50" t="s">
        <v>160</v>
      </c>
      <c r="O99" s="50" t="s">
        <v>160</v>
      </c>
      <c r="P99" s="50" t="s">
        <v>177</v>
      </c>
      <c r="Q99" s="53">
        <v>0.09</v>
      </c>
      <c r="R99" s="49">
        <f>98-7</f>
        <v>91</v>
      </c>
      <c r="S99" s="49">
        <v>7</v>
      </c>
      <c r="T99" s="54">
        <f t="shared" si="238"/>
        <v>98</v>
      </c>
      <c r="U99" s="55">
        <v>89796</v>
      </c>
      <c r="V99" s="49">
        <v>4.4800000000000004</v>
      </c>
      <c r="W99" s="56">
        <f t="shared" si="259"/>
        <v>21.874999999999996</v>
      </c>
      <c r="X99" s="49" t="s">
        <v>163</v>
      </c>
      <c r="Y99" s="57" t="s">
        <v>162</v>
      </c>
      <c r="Z99" s="58">
        <v>3300500</v>
      </c>
      <c r="AA99" s="114">
        <v>5.2499999999999998E-2</v>
      </c>
      <c r="AB99" s="59">
        <v>15</v>
      </c>
      <c r="AC99" s="60">
        <v>40</v>
      </c>
      <c r="AD99" s="61">
        <v>5.2499999999999998E-2</v>
      </c>
      <c r="AE99" s="62">
        <v>3300000</v>
      </c>
      <c r="AF99" s="63">
        <v>1.21</v>
      </c>
      <c r="AG99" s="59"/>
      <c r="AH99" s="60"/>
      <c r="AI99" s="61"/>
      <c r="AJ99" s="64"/>
      <c r="AK99" s="65">
        <f t="shared" si="260"/>
        <v>3300000</v>
      </c>
      <c r="AL99" s="62">
        <v>500</v>
      </c>
      <c r="AM99" s="49" t="s">
        <v>163</v>
      </c>
      <c r="AN99" s="67">
        <v>0.87</v>
      </c>
      <c r="AO99" s="62">
        <v>13470119</v>
      </c>
      <c r="AP99" s="62">
        <v>0</v>
      </c>
      <c r="AQ99" s="68">
        <v>421424</v>
      </c>
      <c r="AR99" s="69">
        <f t="shared" si="261"/>
        <v>33673.469387755104</v>
      </c>
      <c r="AS99" s="70" t="str">
        <f>IFERROR(IF(#REF!&gt;0,#REF!/T99,""),"")</f>
        <v/>
      </c>
      <c r="AT99" s="70">
        <f t="shared" si="262"/>
        <v>137450.19387755101</v>
      </c>
      <c r="AU99" s="70">
        <f t="shared" si="263"/>
        <v>5.1020408163265305</v>
      </c>
      <c r="AV99" s="71">
        <f t="shared" si="264"/>
        <v>4300.2448979591836</v>
      </c>
      <c r="AW99" s="115">
        <f t="shared" si="265"/>
        <v>98626.908163265311</v>
      </c>
      <c r="AX99" s="116">
        <f t="shared" si="266"/>
        <v>107.63772328388792</v>
      </c>
      <c r="AY99" s="72">
        <f t="shared" si="267"/>
        <v>116740.02040816327</v>
      </c>
      <c r="AZ99" s="73">
        <f t="shared" si="268"/>
        <v>127.40569735845693</v>
      </c>
      <c r="BA99" s="66">
        <v>1565600</v>
      </c>
      <c r="BB99" s="62">
        <v>1559879</v>
      </c>
      <c r="BC99" s="62">
        <v>8105558</v>
      </c>
      <c r="BD99" s="62">
        <v>544787</v>
      </c>
      <c r="BE99" s="62">
        <v>1230298</v>
      </c>
      <c r="BF99" s="62">
        <v>998071</v>
      </c>
      <c r="BG99" s="62">
        <v>755494</v>
      </c>
      <c r="BH99" s="62">
        <v>1698933</v>
      </c>
      <c r="BI99" s="62">
        <v>312000</v>
      </c>
      <c r="BJ99" s="47">
        <f t="shared" si="269"/>
        <v>16770620</v>
      </c>
      <c r="BK99" s="69">
        <f t="shared" si="247"/>
        <v>15975.510204081633</v>
      </c>
      <c r="BL99" s="70">
        <f t="shared" si="248"/>
        <v>15917.132653061224</v>
      </c>
      <c r="BM99" s="70">
        <f t="shared" si="249"/>
        <v>82709.775510204083</v>
      </c>
      <c r="BN99" s="70">
        <f t="shared" si="250"/>
        <v>5559.0510204081629</v>
      </c>
      <c r="BO99" s="70">
        <f t="shared" si="251"/>
        <v>12554.061224489797</v>
      </c>
      <c r="BP99" s="70">
        <f t="shared" si="257"/>
        <v>10184.397959183674</v>
      </c>
      <c r="BQ99" s="70">
        <f t="shared" si="270"/>
        <v>7709.1224489795923</v>
      </c>
      <c r="BR99" s="70">
        <f t="shared" si="241"/>
        <v>17336.051020408162</v>
      </c>
      <c r="BS99" s="70">
        <f t="shared" si="242"/>
        <v>3183.6734693877552</v>
      </c>
      <c r="BT99" s="71">
        <f t="shared" si="243"/>
        <v>171128.77551020408</v>
      </c>
      <c r="BU99" s="65">
        <f t="shared" si="252"/>
        <v>17.435075059022672</v>
      </c>
      <c r="BV99" s="48">
        <f t="shared" si="253"/>
        <v>17.371363980578199</v>
      </c>
      <c r="BW99" s="48">
        <f t="shared" si="254"/>
        <v>90.266359303309727</v>
      </c>
      <c r="BX99" s="48">
        <f t="shared" si="255"/>
        <v>6.0669406209630719</v>
      </c>
      <c r="BY99" s="48">
        <f t="shared" si="256"/>
        <v>13.701033453605952</v>
      </c>
      <c r="BZ99" s="48">
        <f t="shared" si="258"/>
        <v>11.114871486480467</v>
      </c>
      <c r="CA99" s="48">
        <f t="shared" si="271"/>
        <v>8.4134482605015819</v>
      </c>
      <c r="CB99" s="48">
        <f t="shared" si="244"/>
        <v>18.919918481892289</v>
      </c>
      <c r="CC99" s="48">
        <f t="shared" si="245"/>
        <v>3.47454229587064</v>
      </c>
      <c r="CD99" s="47">
        <f t="shared" si="246"/>
        <v>186.76355294222461</v>
      </c>
      <c r="CE99" s="66">
        <v>662640</v>
      </c>
      <c r="CF99" s="62">
        <v>21120</v>
      </c>
      <c r="CG99" s="74">
        <v>-51282</v>
      </c>
      <c r="CH99" s="75">
        <f t="shared" si="272"/>
        <v>632478</v>
      </c>
      <c r="CI99" s="62">
        <f>26150+37949+6850</f>
        <v>70949</v>
      </c>
      <c r="CJ99" s="62">
        <v>37949</v>
      </c>
      <c r="CK99" s="62">
        <v>105260</v>
      </c>
      <c r="CL99" s="62">
        <v>50300</v>
      </c>
      <c r="CM99" s="62">
        <f>17260+11280</f>
        <v>28540</v>
      </c>
      <c r="CN99" s="62">
        <v>46910</v>
      </c>
      <c r="CO99" s="62">
        <v>66509</v>
      </c>
      <c r="CP99" s="75">
        <f t="shared" si="239"/>
        <v>406417</v>
      </c>
      <c r="CQ99" s="62">
        <v>22000</v>
      </c>
      <c r="CR99" s="75">
        <f t="shared" si="240"/>
        <v>428417</v>
      </c>
      <c r="CS99" s="75">
        <f t="shared" si="273"/>
        <v>226061</v>
      </c>
      <c r="CT99" s="62">
        <v>197553</v>
      </c>
      <c r="CU99" s="47">
        <f t="shared" si="274"/>
        <v>28508</v>
      </c>
      <c r="CV99" s="76">
        <f t="shared" si="275"/>
        <v>0.35742112769139794</v>
      </c>
      <c r="CW99" s="75">
        <f t="shared" si="276"/>
        <v>4371.6020408163267</v>
      </c>
      <c r="CX99" s="77">
        <f t="shared" si="277"/>
        <v>0.67736269087620438</v>
      </c>
      <c r="CY99" s="75">
        <f t="shared" si="278"/>
        <v>290.89795918367349</v>
      </c>
      <c r="CZ99" s="77">
        <f t="shared" si="279"/>
        <v>4.5073504532963993E-2</v>
      </c>
      <c r="DA99" s="77">
        <f t="shared" si="280"/>
        <v>0.31234762315843395</v>
      </c>
      <c r="DB99" s="47">
        <f t="shared" si="281"/>
        <v>33673.469387755104</v>
      </c>
      <c r="DC99" s="69">
        <f t="shared" si="282"/>
        <v>6761.6326530612241</v>
      </c>
      <c r="DD99" s="70">
        <f t="shared" si="283"/>
        <v>215.51020408163265</v>
      </c>
      <c r="DE99" s="70">
        <f t="shared" si="284"/>
        <v>-523.28571428571433</v>
      </c>
      <c r="DF99" s="70">
        <f t="shared" si="285"/>
        <v>6453.8571428571431</v>
      </c>
      <c r="DG99" s="70">
        <f t="shared" si="286"/>
        <v>723.96938775510205</v>
      </c>
      <c r="DH99" s="70">
        <f t="shared" si="287"/>
        <v>387.23469387755102</v>
      </c>
      <c r="DI99" s="70">
        <f t="shared" si="288"/>
        <v>1074.0816326530612</v>
      </c>
      <c r="DJ99" s="70">
        <f t="shared" si="289"/>
        <v>513.26530612244903</v>
      </c>
      <c r="DK99" s="70">
        <f t="shared" si="290"/>
        <v>291.22448979591837</v>
      </c>
      <c r="DL99" s="70">
        <f t="shared" si="291"/>
        <v>478.67346938775512</v>
      </c>
      <c r="DM99" s="70">
        <f t="shared" si="292"/>
        <v>678.66326530612241</v>
      </c>
      <c r="DN99" s="70">
        <f t="shared" si="293"/>
        <v>4147.1122448979595</v>
      </c>
      <c r="DO99" s="70">
        <f t="shared" si="294"/>
        <v>224.48979591836735</v>
      </c>
      <c r="DP99" s="70">
        <f t="shared" si="295"/>
        <v>4371.6020408163267</v>
      </c>
      <c r="DQ99" s="70">
        <f t="shared" si="296"/>
        <v>2306.7448979591836</v>
      </c>
      <c r="DR99" s="70">
        <f t="shared" si="297"/>
        <v>2015.8469387755101</v>
      </c>
      <c r="DS99" s="71">
        <f t="shared" si="298"/>
        <v>290.89795918367349</v>
      </c>
      <c r="DT99" s="106">
        <f t="shared" si="299"/>
        <v>1.0476886152561828</v>
      </c>
      <c r="DU99" s="92">
        <f t="shared" si="300"/>
        <v>3.3392465824898257E-2</v>
      </c>
      <c r="DV99" s="92" t="str">
        <f t="shared" si="301"/>
        <v/>
      </c>
      <c r="DW99" s="92">
        <f t="shared" si="302"/>
        <v>1</v>
      </c>
      <c r="DX99" s="92">
        <f t="shared" si="303"/>
        <v>0.11217623379785542</v>
      </c>
      <c r="DY99" s="92">
        <f t="shared" si="304"/>
        <v>6.0000505946451892E-2</v>
      </c>
      <c r="DZ99" s="92">
        <f t="shared" si="305"/>
        <v>0.1664247610193556</v>
      </c>
      <c r="EA99" s="92">
        <f t="shared" si="306"/>
        <v>7.9528457906836283E-2</v>
      </c>
      <c r="EB99" s="92">
        <f t="shared" si="307"/>
        <v>4.5124099178153229E-2</v>
      </c>
      <c r="EC99" s="92">
        <f t="shared" si="308"/>
        <v>7.4168587682101189E-2</v>
      </c>
      <c r="ED99" s="92">
        <f t="shared" si="309"/>
        <v>0.1051562267778484</v>
      </c>
      <c r="EE99" s="92">
        <f t="shared" si="310"/>
        <v>0.642578872308602</v>
      </c>
      <c r="EF99" s="92">
        <f t="shared" si="311"/>
        <v>3.4783818567602348E-2</v>
      </c>
      <c r="EG99" s="92">
        <f t="shared" si="312"/>
        <v>0.67736269087620438</v>
      </c>
      <c r="EH99" s="92">
        <f t="shared" si="313"/>
        <v>0.35742112769139794</v>
      </c>
      <c r="EI99" s="92">
        <f t="shared" si="314"/>
        <v>0.31234762315843395</v>
      </c>
      <c r="EJ99" s="122">
        <f t="shared" si="315"/>
        <v>4.5073504532963993E-2</v>
      </c>
    </row>
    <row r="100" spans="2:140" ht="12" hidden="1" customHeight="1" outlineLevel="1">
      <c r="B100" s="121">
        <v>44979</v>
      </c>
      <c r="C100" s="117" t="s">
        <v>643</v>
      </c>
      <c r="D100" s="50" t="s">
        <v>644</v>
      </c>
      <c r="E100" s="50" t="s">
        <v>645</v>
      </c>
      <c r="F100" s="50" t="s">
        <v>646</v>
      </c>
      <c r="G100" s="50" t="s">
        <v>291</v>
      </c>
      <c r="H100" s="50" t="s">
        <v>310</v>
      </c>
      <c r="I100" s="50" t="s">
        <v>215</v>
      </c>
      <c r="J100" s="52" t="s">
        <v>360</v>
      </c>
      <c r="K100" s="50" t="s">
        <v>294</v>
      </c>
      <c r="L100" s="49">
        <v>7</v>
      </c>
      <c r="M100" s="50" t="s">
        <v>159</v>
      </c>
      <c r="N100" s="50" t="s">
        <v>160</v>
      </c>
      <c r="O100" s="50" t="s">
        <v>160</v>
      </c>
      <c r="P100" s="50" t="s">
        <v>177</v>
      </c>
      <c r="Q100" s="53">
        <v>0.09</v>
      </c>
      <c r="R100" s="49">
        <f>116-34</f>
        <v>82</v>
      </c>
      <c r="S100" s="49">
        <v>34</v>
      </c>
      <c r="T100" s="54">
        <f t="shared" si="238"/>
        <v>116</v>
      </c>
      <c r="U100" s="55">
        <v>96052</v>
      </c>
      <c r="V100" s="49">
        <v>1.71</v>
      </c>
      <c r="W100" s="56">
        <f t="shared" si="259"/>
        <v>67.836257309941516</v>
      </c>
      <c r="X100" s="49" t="s">
        <v>163</v>
      </c>
      <c r="Y100" s="57" t="s">
        <v>162</v>
      </c>
      <c r="Z100" s="58">
        <v>16400500</v>
      </c>
      <c r="AA100" s="114">
        <v>4.4999999999999998E-2</v>
      </c>
      <c r="AB100" s="59">
        <v>15</v>
      </c>
      <c r="AC100" s="60">
        <v>35</v>
      </c>
      <c r="AD100" s="61">
        <v>4.4999999999999998E-2</v>
      </c>
      <c r="AE100" s="62">
        <v>13200000</v>
      </c>
      <c r="AF100" s="63">
        <v>1.18</v>
      </c>
      <c r="AG100" s="59"/>
      <c r="AH100" s="60"/>
      <c r="AI100" s="61"/>
      <c r="AJ100" s="64"/>
      <c r="AK100" s="65">
        <f t="shared" si="260"/>
        <v>13200000</v>
      </c>
      <c r="AL100" s="62">
        <v>3200500</v>
      </c>
      <c r="AM100" s="49" t="s">
        <v>163</v>
      </c>
      <c r="AN100" s="67">
        <v>0.91</v>
      </c>
      <c r="AO100" s="62">
        <v>14539263</v>
      </c>
      <c r="AP100" s="62">
        <v>0</v>
      </c>
      <c r="AQ100" s="68">
        <v>891493</v>
      </c>
      <c r="AR100" s="69">
        <f t="shared" si="261"/>
        <v>113793.10344827586</v>
      </c>
      <c r="AS100" s="70" t="str">
        <f>IFERROR(IF(#REF!&gt;0,#REF!/T100,""),"")</f>
        <v/>
      </c>
      <c r="AT100" s="70">
        <f t="shared" si="262"/>
        <v>125338.47413793103</v>
      </c>
      <c r="AU100" s="70">
        <f t="shared" si="263"/>
        <v>27590.517241379312</v>
      </c>
      <c r="AV100" s="71">
        <f t="shared" si="264"/>
        <v>7685.2844827586205</v>
      </c>
      <c r="AW100" s="115">
        <f t="shared" si="265"/>
        <v>109266.68965517242</v>
      </c>
      <c r="AX100" s="116">
        <f t="shared" si="266"/>
        <v>131.9591054845292</v>
      </c>
      <c r="AY100" s="72">
        <f t="shared" si="267"/>
        <v>133283.50862068965</v>
      </c>
      <c r="AZ100" s="73">
        <f t="shared" si="268"/>
        <v>160.96371756964982</v>
      </c>
      <c r="BA100" s="66">
        <v>7200000</v>
      </c>
      <c r="BB100" s="62">
        <v>1830000</v>
      </c>
      <c r="BC100" s="62">
        <v>10844936</v>
      </c>
      <c r="BD100" s="62">
        <v>887246</v>
      </c>
      <c r="BE100" s="62">
        <v>1898705</v>
      </c>
      <c r="BF100" s="62">
        <v>2064259</v>
      </c>
      <c r="BG100" s="62">
        <v>2594347</v>
      </c>
      <c r="BH100" s="62">
        <v>2834150</v>
      </c>
      <c r="BI100" s="62">
        <v>785620</v>
      </c>
      <c r="BJ100" s="47">
        <f t="shared" si="269"/>
        <v>30939263</v>
      </c>
      <c r="BK100" s="69">
        <f t="shared" si="247"/>
        <v>62068.965517241377</v>
      </c>
      <c r="BL100" s="70">
        <f t="shared" si="248"/>
        <v>15775.862068965518</v>
      </c>
      <c r="BM100" s="70">
        <f t="shared" si="249"/>
        <v>93490.827586206899</v>
      </c>
      <c r="BN100" s="70">
        <f t="shared" si="250"/>
        <v>7648.6724137931033</v>
      </c>
      <c r="BO100" s="70">
        <f t="shared" si="251"/>
        <v>16368.146551724138</v>
      </c>
      <c r="BP100" s="70">
        <f t="shared" si="257"/>
        <v>17795.336206896551</v>
      </c>
      <c r="BQ100" s="70">
        <f t="shared" si="270"/>
        <v>22365.060344827587</v>
      </c>
      <c r="BR100" s="70">
        <f t="shared" si="241"/>
        <v>24432.327586206895</v>
      </c>
      <c r="BS100" s="70">
        <f t="shared" si="242"/>
        <v>6772.5862068965516</v>
      </c>
      <c r="BT100" s="71">
        <f t="shared" si="243"/>
        <v>266717.78448275861</v>
      </c>
      <c r="BU100" s="65">
        <f t="shared" si="252"/>
        <v>74.9593969932953</v>
      </c>
      <c r="BV100" s="48">
        <f t="shared" si="253"/>
        <v>19.052180069129221</v>
      </c>
      <c r="BW100" s="48">
        <f t="shared" si="254"/>
        <v>112.9069254154</v>
      </c>
      <c r="BX100" s="48">
        <f t="shared" si="255"/>
        <v>9.2371423812101785</v>
      </c>
      <c r="BY100" s="48">
        <f t="shared" si="256"/>
        <v>19.767469703910383</v>
      </c>
      <c r="BZ100" s="48">
        <f t="shared" si="258"/>
        <v>21.491056927497606</v>
      </c>
      <c r="CA100" s="48">
        <f t="shared" si="271"/>
        <v>27.009817598800648</v>
      </c>
      <c r="CB100" s="48">
        <f t="shared" si="244"/>
        <v>29.50641319285387</v>
      </c>
      <c r="CC100" s="48">
        <f t="shared" si="245"/>
        <v>8.1791113147045351</v>
      </c>
      <c r="CD100" s="47">
        <f t="shared" si="246"/>
        <v>322.10951359680172</v>
      </c>
      <c r="CE100" s="66">
        <v>1606884</v>
      </c>
      <c r="CF100" s="62">
        <v>20880</v>
      </c>
      <c r="CG100" s="74">
        <v>-122082</v>
      </c>
      <c r="CH100" s="75">
        <f t="shared" si="272"/>
        <v>1505682</v>
      </c>
      <c r="CI100" s="62">
        <f>58400+15000+3280</f>
        <v>76680</v>
      </c>
      <c r="CJ100" s="62">
        <v>75284</v>
      </c>
      <c r="CK100" s="62">
        <v>197260</v>
      </c>
      <c r="CL100" s="62">
        <v>73897</v>
      </c>
      <c r="CM100" s="62">
        <f>29000+74800</f>
        <v>103800</v>
      </c>
      <c r="CN100" s="62">
        <v>49880</v>
      </c>
      <c r="CO100" s="62">
        <v>10000</v>
      </c>
      <c r="CP100" s="75">
        <f t="shared" si="239"/>
        <v>586801</v>
      </c>
      <c r="CQ100" s="62">
        <v>34800</v>
      </c>
      <c r="CR100" s="75">
        <f t="shared" si="240"/>
        <v>621601</v>
      </c>
      <c r="CS100" s="75">
        <f t="shared" si="273"/>
        <v>918881</v>
      </c>
      <c r="CT100" s="62">
        <v>749639</v>
      </c>
      <c r="CU100" s="47">
        <f t="shared" si="274"/>
        <v>169242</v>
      </c>
      <c r="CV100" s="76">
        <f t="shared" si="275"/>
        <v>0.61027560932520941</v>
      </c>
      <c r="CW100" s="75">
        <f t="shared" si="276"/>
        <v>5358.6293103448279</v>
      </c>
      <c r="CX100" s="77">
        <f t="shared" si="277"/>
        <v>0.41283684071404186</v>
      </c>
      <c r="CY100" s="75">
        <f t="shared" si="278"/>
        <v>1458.9827586206898</v>
      </c>
      <c r="CZ100" s="77">
        <f t="shared" si="279"/>
        <v>0.11240222038916584</v>
      </c>
      <c r="DA100" s="77">
        <f t="shared" si="280"/>
        <v>0.4978733889360436</v>
      </c>
      <c r="DB100" s="47">
        <f t="shared" si="281"/>
        <v>113793.10344827586</v>
      </c>
      <c r="DC100" s="69">
        <f t="shared" si="282"/>
        <v>13852.448275862069</v>
      </c>
      <c r="DD100" s="70">
        <f t="shared" si="283"/>
        <v>180</v>
      </c>
      <c r="DE100" s="70">
        <f t="shared" si="284"/>
        <v>-1052.4310344827586</v>
      </c>
      <c r="DF100" s="70">
        <f t="shared" si="285"/>
        <v>12980.01724137931</v>
      </c>
      <c r="DG100" s="70">
        <f t="shared" si="286"/>
        <v>661.0344827586207</v>
      </c>
      <c r="DH100" s="70">
        <f t="shared" si="287"/>
        <v>649</v>
      </c>
      <c r="DI100" s="70">
        <f t="shared" si="288"/>
        <v>1700.5172413793102</v>
      </c>
      <c r="DJ100" s="70">
        <f t="shared" si="289"/>
        <v>637.04310344827582</v>
      </c>
      <c r="DK100" s="70">
        <f t="shared" si="290"/>
        <v>894.82758620689651</v>
      </c>
      <c r="DL100" s="70">
        <f t="shared" si="291"/>
        <v>430</v>
      </c>
      <c r="DM100" s="70">
        <f t="shared" si="292"/>
        <v>86.206896551724142</v>
      </c>
      <c r="DN100" s="70">
        <f t="shared" si="293"/>
        <v>5058.6293103448279</v>
      </c>
      <c r="DO100" s="70">
        <f t="shared" si="294"/>
        <v>300</v>
      </c>
      <c r="DP100" s="70">
        <f t="shared" si="295"/>
        <v>5358.6293103448279</v>
      </c>
      <c r="DQ100" s="70">
        <f t="shared" si="296"/>
        <v>7921.3879310344828</v>
      </c>
      <c r="DR100" s="70">
        <f t="shared" si="297"/>
        <v>6462.4051724137935</v>
      </c>
      <c r="DS100" s="71">
        <f t="shared" si="298"/>
        <v>1458.9827586206898</v>
      </c>
      <c r="DT100" s="106">
        <f t="shared" si="299"/>
        <v>1.0672133956572503</v>
      </c>
      <c r="DU100" s="92">
        <f t="shared" si="300"/>
        <v>1.386747002355079E-2</v>
      </c>
      <c r="DV100" s="92" t="str">
        <f t="shared" si="301"/>
        <v/>
      </c>
      <c r="DW100" s="92">
        <f t="shared" si="302"/>
        <v>1</v>
      </c>
      <c r="DX100" s="92">
        <f t="shared" si="303"/>
        <v>5.092708818993652E-2</v>
      </c>
      <c r="DY100" s="92">
        <f t="shared" si="304"/>
        <v>4.9999933584913683E-2</v>
      </c>
      <c r="DZ100" s="92">
        <f t="shared" si="305"/>
        <v>0.13101039927421593</v>
      </c>
      <c r="EA100" s="92">
        <f t="shared" si="306"/>
        <v>4.907875633765961E-2</v>
      </c>
      <c r="EB100" s="92">
        <f t="shared" si="307"/>
        <v>6.8938859599835825E-2</v>
      </c>
      <c r="EC100" s="92">
        <f t="shared" si="308"/>
        <v>3.3127845056260222E-2</v>
      </c>
      <c r="ED100" s="92">
        <f t="shared" si="309"/>
        <v>6.6415086319687689E-3</v>
      </c>
      <c r="EE100" s="92">
        <f t="shared" si="310"/>
        <v>0.38972439067479053</v>
      </c>
      <c r="EF100" s="92">
        <f t="shared" si="311"/>
        <v>2.3112450039251317E-2</v>
      </c>
      <c r="EG100" s="92">
        <f t="shared" si="312"/>
        <v>0.41283684071404186</v>
      </c>
      <c r="EH100" s="92">
        <f t="shared" si="313"/>
        <v>0.61027560932520941</v>
      </c>
      <c r="EI100" s="92">
        <f t="shared" si="314"/>
        <v>0.4978733889360436</v>
      </c>
      <c r="EJ100" s="122">
        <f t="shared" si="315"/>
        <v>0.11240222038916584</v>
      </c>
    </row>
    <row r="101" spans="2:140" ht="12" hidden="1" customHeight="1" outlineLevel="1">
      <c r="B101" s="121">
        <v>44979</v>
      </c>
      <c r="C101" s="117" t="s">
        <v>647</v>
      </c>
      <c r="D101" s="50" t="s">
        <v>648</v>
      </c>
      <c r="E101" s="50" t="s">
        <v>649</v>
      </c>
      <c r="F101" s="50" t="s">
        <v>650</v>
      </c>
      <c r="G101" s="50" t="s">
        <v>291</v>
      </c>
      <c r="H101" s="50" t="s">
        <v>651</v>
      </c>
      <c r="I101" s="50" t="s">
        <v>652</v>
      </c>
      <c r="J101" s="52" t="s">
        <v>360</v>
      </c>
      <c r="K101" s="50" t="s">
        <v>294</v>
      </c>
      <c r="L101" s="49">
        <v>7</v>
      </c>
      <c r="M101" s="50" t="s">
        <v>159</v>
      </c>
      <c r="N101" s="50" t="s">
        <v>160</v>
      </c>
      <c r="O101" s="50" t="s">
        <v>160</v>
      </c>
      <c r="P101" s="50" t="s">
        <v>177</v>
      </c>
      <c r="Q101" s="53">
        <v>0.09</v>
      </c>
      <c r="R101" s="49">
        <v>80</v>
      </c>
      <c r="S101" s="49">
        <v>0</v>
      </c>
      <c r="T101" s="54">
        <f t="shared" si="238"/>
        <v>80</v>
      </c>
      <c r="U101" s="55">
        <v>60448</v>
      </c>
      <c r="V101" s="49">
        <v>1.1299999999999999</v>
      </c>
      <c r="W101" s="56">
        <f t="shared" si="259"/>
        <v>70.796460176991161</v>
      </c>
      <c r="X101" s="49" t="s">
        <v>163</v>
      </c>
      <c r="Y101" s="57" t="s">
        <v>162</v>
      </c>
      <c r="Z101" s="58">
        <v>6700500</v>
      </c>
      <c r="AA101" s="114">
        <v>4.4999999999999998E-2</v>
      </c>
      <c r="AB101" s="59">
        <v>15</v>
      </c>
      <c r="AC101" s="60">
        <v>35</v>
      </c>
      <c r="AD101" s="61">
        <v>4.4999999999999998E-2</v>
      </c>
      <c r="AE101" s="62">
        <v>5300000</v>
      </c>
      <c r="AF101" s="63">
        <v>1.3</v>
      </c>
      <c r="AG101" s="59"/>
      <c r="AH101" s="60"/>
      <c r="AI101" s="61"/>
      <c r="AJ101" s="64"/>
      <c r="AK101" s="65">
        <f t="shared" si="260"/>
        <v>5300000</v>
      </c>
      <c r="AL101" s="62">
        <v>1400500</v>
      </c>
      <c r="AM101" s="49" t="s">
        <v>163</v>
      </c>
      <c r="AN101" s="67">
        <v>0.89</v>
      </c>
      <c r="AO101" s="62">
        <v>13881868</v>
      </c>
      <c r="AP101" s="62">
        <v>0</v>
      </c>
      <c r="AQ101" s="68">
        <v>382718</v>
      </c>
      <c r="AR101" s="69">
        <f t="shared" si="261"/>
        <v>66250</v>
      </c>
      <c r="AS101" s="70" t="str">
        <f>IFERROR(IF(#REF!&gt;0,#REF!/T101,""),"")</f>
        <v/>
      </c>
      <c r="AT101" s="70">
        <f t="shared" si="262"/>
        <v>173523.35</v>
      </c>
      <c r="AU101" s="70">
        <f t="shared" si="263"/>
        <v>17506.25</v>
      </c>
      <c r="AV101" s="71">
        <f t="shared" si="264"/>
        <v>4783.9750000000004</v>
      </c>
      <c r="AW101" s="115">
        <f t="shared" si="265"/>
        <v>98432.024999999994</v>
      </c>
      <c r="AX101" s="116">
        <f t="shared" si="266"/>
        <v>130.2700172048703</v>
      </c>
      <c r="AY101" s="72">
        <f t="shared" si="267"/>
        <v>121089.45</v>
      </c>
      <c r="AZ101" s="73">
        <f t="shared" si="268"/>
        <v>160.25602170460562</v>
      </c>
      <c r="BA101" s="66">
        <v>4000000</v>
      </c>
      <c r="BB101" s="62">
        <v>1380000</v>
      </c>
      <c r="BC101" s="62">
        <v>6494562</v>
      </c>
      <c r="BD101" s="62">
        <v>577259</v>
      </c>
      <c r="BE101" s="62">
        <v>1235335</v>
      </c>
      <c r="BF101" s="62">
        <v>2026305</v>
      </c>
      <c r="BG101" s="62">
        <v>1994214</v>
      </c>
      <c r="BH101" s="62">
        <v>1990509</v>
      </c>
      <c r="BI101" s="62">
        <v>511684</v>
      </c>
      <c r="BJ101" s="47">
        <f t="shared" si="269"/>
        <v>20209868</v>
      </c>
      <c r="BK101" s="69">
        <f t="shared" si="247"/>
        <v>50000</v>
      </c>
      <c r="BL101" s="70">
        <f t="shared" si="248"/>
        <v>17250</v>
      </c>
      <c r="BM101" s="70">
        <f t="shared" si="249"/>
        <v>81182.024999999994</v>
      </c>
      <c r="BN101" s="70">
        <f t="shared" si="250"/>
        <v>7215.7375000000002</v>
      </c>
      <c r="BO101" s="70">
        <f t="shared" si="251"/>
        <v>15441.6875</v>
      </c>
      <c r="BP101" s="70">
        <f t="shared" si="257"/>
        <v>25328.8125</v>
      </c>
      <c r="BQ101" s="70">
        <f t="shared" si="270"/>
        <v>24927.674999999999</v>
      </c>
      <c r="BR101" s="70">
        <f t="shared" si="241"/>
        <v>24881.362499999999</v>
      </c>
      <c r="BS101" s="70">
        <f t="shared" si="242"/>
        <v>6396.05</v>
      </c>
      <c r="BT101" s="71">
        <f t="shared" si="243"/>
        <v>252623.35</v>
      </c>
      <c r="BU101" s="65">
        <f t="shared" si="252"/>
        <v>66.172578083642136</v>
      </c>
      <c r="BV101" s="48">
        <f t="shared" si="253"/>
        <v>22.829539438856539</v>
      </c>
      <c r="BW101" s="48">
        <f t="shared" si="254"/>
        <v>107.44047776601376</v>
      </c>
      <c r="BX101" s="48">
        <f t="shared" si="255"/>
        <v>9.5496790629962938</v>
      </c>
      <c r="BY101" s="48">
        <f t="shared" si="256"/>
        <v>20.436325436739015</v>
      </c>
      <c r="BZ101" s="48">
        <f t="shared" si="258"/>
        <v>33.521456458443623</v>
      </c>
      <c r="CA101" s="48">
        <f t="shared" si="271"/>
        <v>32.990570407623082</v>
      </c>
      <c r="CB101" s="48">
        <f t="shared" si="244"/>
        <v>32.929278057173107</v>
      </c>
      <c r="CC101" s="48">
        <f t="shared" si="245"/>
        <v>8.4648623610375857</v>
      </c>
      <c r="CD101" s="47">
        <f t="shared" si="246"/>
        <v>334.33476707252515</v>
      </c>
      <c r="CE101" s="66">
        <v>972240</v>
      </c>
      <c r="CF101" s="62">
        <v>14400</v>
      </c>
      <c r="CG101" s="74">
        <v>-73998</v>
      </c>
      <c r="CH101" s="75">
        <f t="shared" si="272"/>
        <v>912642</v>
      </c>
      <c r="CI101" s="62">
        <f>44000+15000+3200</f>
        <v>62200</v>
      </c>
      <c r="CJ101" s="62">
        <v>45632</v>
      </c>
      <c r="CK101" s="62">
        <v>119260</v>
      </c>
      <c r="CL101" s="62">
        <v>52084</v>
      </c>
      <c r="CM101" s="62">
        <f>20000+56800</f>
        <v>76800</v>
      </c>
      <c r="CN101" s="62">
        <v>34400</v>
      </c>
      <c r="CO101" s="62">
        <v>108000</v>
      </c>
      <c r="CP101" s="75">
        <f t="shared" si="239"/>
        <v>498376</v>
      </c>
      <c r="CQ101" s="62">
        <v>24000</v>
      </c>
      <c r="CR101" s="75">
        <f t="shared" si="240"/>
        <v>522376</v>
      </c>
      <c r="CS101" s="75">
        <f t="shared" si="273"/>
        <v>414266</v>
      </c>
      <c r="CT101" s="62">
        <v>300991</v>
      </c>
      <c r="CU101" s="47">
        <f t="shared" si="274"/>
        <v>113275</v>
      </c>
      <c r="CV101" s="76">
        <f t="shared" si="275"/>
        <v>0.45391949965046535</v>
      </c>
      <c r="CW101" s="75">
        <f t="shared" si="276"/>
        <v>6529.7</v>
      </c>
      <c r="CX101" s="77">
        <f t="shared" si="277"/>
        <v>0.57237777792387379</v>
      </c>
      <c r="CY101" s="75">
        <f t="shared" si="278"/>
        <v>1415.9375</v>
      </c>
      <c r="CZ101" s="77">
        <f t="shared" si="279"/>
        <v>0.12411767155138598</v>
      </c>
      <c r="DA101" s="77">
        <f t="shared" si="280"/>
        <v>0.32980182809907937</v>
      </c>
      <c r="DB101" s="47">
        <f t="shared" si="281"/>
        <v>66250</v>
      </c>
      <c r="DC101" s="69">
        <f t="shared" si="282"/>
        <v>12153</v>
      </c>
      <c r="DD101" s="70">
        <f t="shared" si="283"/>
        <v>180</v>
      </c>
      <c r="DE101" s="70">
        <f t="shared" si="284"/>
        <v>-924.97500000000002</v>
      </c>
      <c r="DF101" s="70">
        <f t="shared" si="285"/>
        <v>11408.025</v>
      </c>
      <c r="DG101" s="70">
        <f t="shared" si="286"/>
        <v>777.5</v>
      </c>
      <c r="DH101" s="70">
        <f t="shared" si="287"/>
        <v>570.4</v>
      </c>
      <c r="DI101" s="70">
        <f t="shared" si="288"/>
        <v>1490.75</v>
      </c>
      <c r="DJ101" s="70">
        <f t="shared" si="289"/>
        <v>651.04999999999995</v>
      </c>
      <c r="DK101" s="70">
        <f t="shared" si="290"/>
        <v>960</v>
      </c>
      <c r="DL101" s="70">
        <f t="shared" si="291"/>
        <v>430</v>
      </c>
      <c r="DM101" s="70">
        <f t="shared" si="292"/>
        <v>1350</v>
      </c>
      <c r="DN101" s="70">
        <f t="shared" si="293"/>
        <v>6229.7</v>
      </c>
      <c r="DO101" s="70">
        <f t="shared" si="294"/>
        <v>300</v>
      </c>
      <c r="DP101" s="70">
        <f t="shared" si="295"/>
        <v>6529.7</v>
      </c>
      <c r="DQ101" s="70">
        <f t="shared" si="296"/>
        <v>5178.3249999999998</v>
      </c>
      <c r="DR101" s="70">
        <f t="shared" si="297"/>
        <v>3762.3874999999998</v>
      </c>
      <c r="DS101" s="71">
        <f t="shared" si="298"/>
        <v>1415.9375</v>
      </c>
      <c r="DT101" s="106">
        <f t="shared" si="299"/>
        <v>1.0653027145364775</v>
      </c>
      <c r="DU101" s="92">
        <f t="shared" si="300"/>
        <v>1.5778366544603468E-2</v>
      </c>
      <c r="DV101" s="92" t="str">
        <f t="shared" si="301"/>
        <v/>
      </c>
      <c r="DW101" s="92">
        <f t="shared" si="302"/>
        <v>1</v>
      </c>
      <c r="DX101" s="92">
        <f t="shared" si="303"/>
        <v>6.8153777713495539E-2</v>
      </c>
      <c r="DY101" s="92">
        <f t="shared" si="304"/>
        <v>4.9999890428010105E-2</v>
      </c>
      <c r="DZ101" s="92">
        <f t="shared" si="305"/>
        <v>0.13067555514648679</v>
      </c>
      <c r="EA101" s="92">
        <f t="shared" si="306"/>
        <v>5.7069475215911609E-2</v>
      </c>
      <c r="EB101" s="92">
        <f t="shared" si="307"/>
        <v>8.4151288237885175E-2</v>
      </c>
      <c r="EC101" s="92">
        <f t="shared" si="308"/>
        <v>3.7692764523219402E-2</v>
      </c>
      <c r="ED101" s="92">
        <f t="shared" si="309"/>
        <v>0.11833774908452603</v>
      </c>
      <c r="EE101" s="92">
        <f t="shared" si="310"/>
        <v>0.5460805003495347</v>
      </c>
      <c r="EF101" s="92">
        <f t="shared" si="311"/>
        <v>2.6297277574339115E-2</v>
      </c>
      <c r="EG101" s="92">
        <f t="shared" si="312"/>
        <v>0.57237777792387379</v>
      </c>
      <c r="EH101" s="92">
        <f t="shared" si="313"/>
        <v>0.45391949965046535</v>
      </c>
      <c r="EI101" s="92">
        <f t="shared" si="314"/>
        <v>0.32980182809907937</v>
      </c>
      <c r="EJ101" s="122">
        <f t="shared" si="315"/>
        <v>0.12411767155138598</v>
      </c>
    </row>
    <row r="102" spans="2:140" ht="12" hidden="1" customHeight="1" outlineLevel="1">
      <c r="B102" s="121">
        <v>44979</v>
      </c>
      <c r="C102" s="117" t="s">
        <v>653</v>
      </c>
      <c r="D102" s="50" t="s">
        <v>654</v>
      </c>
      <c r="E102" s="50" t="s">
        <v>649</v>
      </c>
      <c r="F102" s="50" t="s">
        <v>650</v>
      </c>
      <c r="G102" s="50" t="s">
        <v>291</v>
      </c>
      <c r="H102" s="50" t="s">
        <v>651</v>
      </c>
      <c r="I102" s="50" t="s">
        <v>652</v>
      </c>
      <c r="J102" s="52" t="s">
        <v>230</v>
      </c>
      <c r="K102" s="50" t="s">
        <v>230</v>
      </c>
      <c r="L102" s="49">
        <v>3</v>
      </c>
      <c r="M102" s="50" t="s">
        <v>159</v>
      </c>
      <c r="N102" s="50" t="s">
        <v>160</v>
      </c>
      <c r="O102" s="50" t="s">
        <v>160</v>
      </c>
      <c r="P102" s="50" t="s">
        <v>177</v>
      </c>
      <c r="Q102" s="53">
        <v>0.09</v>
      </c>
      <c r="R102" s="49">
        <f>87-16</f>
        <v>71</v>
      </c>
      <c r="S102" s="49">
        <v>16</v>
      </c>
      <c r="T102" s="54">
        <f t="shared" si="238"/>
        <v>87</v>
      </c>
      <c r="U102" s="55">
        <v>75618</v>
      </c>
      <c r="V102" s="49">
        <v>2.5</v>
      </c>
      <c r="W102" s="56">
        <f t="shared" si="259"/>
        <v>34.799999999999997</v>
      </c>
      <c r="X102" s="49" t="s">
        <v>163</v>
      </c>
      <c r="Y102" s="57" t="s">
        <v>162</v>
      </c>
      <c r="Z102" s="58">
        <v>8400000</v>
      </c>
      <c r="AA102" s="114">
        <v>4.4999999999999998E-2</v>
      </c>
      <c r="AB102" s="59">
        <v>15</v>
      </c>
      <c r="AC102" s="60">
        <v>35</v>
      </c>
      <c r="AD102" s="61">
        <v>4.4999999999999998E-2</v>
      </c>
      <c r="AE102" s="62">
        <v>5900000</v>
      </c>
      <c r="AF102" s="63">
        <v>1.22</v>
      </c>
      <c r="AG102" s="59"/>
      <c r="AH102" s="60"/>
      <c r="AI102" s="61"/>
      <c r="AJ102" s="64"/>
      <c r="AK102" s="65">
        <f t="shared" si="260"/>
        <v>5900000</v>
      </c>
      <c r="AL102" s="62">
        <v>2500000</v>
      </c>
      <c r="AM102" s="49" t="s">
        <v>163</v>
      </c>
      <c r="AN102" s="67">
        <v>0.89</v>
      </c>
      <c r="AO102" s="62">
        <v>14300159</v>
      </c>
      <c r="AP102" s="62">
        <v>0</v>
      </c>
      <c r="AQ102" s="68">
        <v>801509</v>
      </c>
      <c r="AR102" s="69">
        <f t="shared" si="261"/>
        <v>67816.091954022995</v>
      </c>
      <c r="AS102" s="70" t="str">
        <f>IFERROR(IF(#REF!&gt;0,#REF!/T102,""),"")</f>
        <v/>
      </c>
      <c r="AT102" s="70">
        <f t="shared" si="262"/>
        <v>164369.64367816091</v>
      </c>
      <c r="AU102" s="70">
        <f t="shared" si="263"/>
        <v>28735.632183908045</v>
      </c>
      <c r="AV102" s="71">
        <f t="shared" si="264"/>
        <v>9212.7471264367814</v>
      </c>
      <c r="AW102" s="115">
        <f t="shared" si="265"/>
        <v>112889.93103448275</v>
      </c>
      <c r="AX102" s="116">
        <f t="shared" si="266"/>
        <v>129.88209156550028</v>
      </c>
      <c r="AY102" s="72">
        <f t="shared" si="267"/>
        <v>137703.13793103446</v>
      </c>
      <c r="AZ102" s="73">
        <f t="shared" si="268"/>
        <v>158.4301753550742</v>
      </c>
      <c r="BA102" s="66">
        <v>3270120</v>
      </c>
      <c r="BB102" s="62">
        <v>2059700</v>
      </c>
      <c r="BC102" s="62">
        <v>7761724</v>
      </c>
      <c r="BD102" s="62">
        <v>687500</v>
      </c>
      <c r="BE102" s="62">
        <v>1471249</v>
      </c>
      <c r="BF102" s="62">
        <v>2278302</v>
      </c>
      <c r="BG102" s="62">
        <v>2277035</v>
      </c>
      <c r="BH102" s="62">
        <v>2352120</v>
      </c>
      <c r="BI102" s="62">
        <v>542411</v>
      </c>
      <c r="BJ102" s="47">
        <f t="shared" si="269"/>
        <v>22700161</v>
      </c>
      <c r="BK102" s="69">
        <f t="shared" si="247"/>
        <v>37587.586206896551</v>
      </c>
      <c r="BL102" s="70">
        <f t="shared" si="248"/>
        <v>23674.712643678162</v>
      </c>
      <c r="BM102" s="70">
        <f t="shared" si="249"/>
        <v>89215.218390804599</v>
      </c>
      <c r="BN102" s="70">
        <f t="shared" si="250"/>
        <v>7902.2988505747126</v>
      </c>
      <c r="BO102" s="70">
        <f t="shared" si="251"/>
        <v>16910.908045977012</v>
      </c>
      <c r="BP102" s="70">
        <f t="shared" si="257"/>
        <v>26187.379310344826</v>
      </c>
      <c r="BQ102" s="70">
        <f t="shared" si="270"/>
        <v>26172.816091954024</v>
      </c>
      <c r="BR102" s="70">
        <f t="shared" si="241"/>
        <v>27035.862068965518</v>
      </c>
      <c r="BS102" s="70">
        <f t="shared" si="242"/>
        <v>6234.6091954022986</v>
      </c>
      <c r="BT102" s="71">
        <f t="shared" si="243"/>
        <v>260921.3908045977</v>
      </c>
      <c r="BU102" s="65">
        <f t="shared" si="252"/>
        <v>43.245259065301916</v>
      </c>
      <c r="BV102" s="48">
        <f t="shared" si="253"/>
        <v>27.238223703351053</v>
      </c>
      <c r="BW102" s="48">
        <f t="shared" si="254"/>
        <v>102.64386786214922</v>
      </c>
      <c r="BX102" s="48">
        <f t="shared" si="255"/>
        <v>9.0917506413816813</v>
      </c>
      <c r="BY102" s="48">
        <f t="shared" si="256"/>
        <v>19.456333148192229</v>
      </c>
      <c r="BZ102" s="48">
        <f t="shared" si="258"/>
        <v>30.129096246925336</v>
      </c>
      <c r="CA102" s="48">
        <f t="shared" si="271"/>
        <v>30.112340977016054</v>
      </c>
      <c r="CB102" s="48">
        <f t="shared" si="244"/>
        <v>31.105292390700626</v>
      </c>
      <c r="CC102" s="48">
        <f t="shared" si="245"/>
        <v>7.1730408103890611</v>
      </c>
      <c r="CD102" s="47">
        <f t="shared" si="246"/>
        <v>300.1952048454072</v>
      </c>
      <c r="CE102" s="66">
        <v>1021824</v>
      </c>
      <c r="CF102" s="62">
        <v>15660</v>
      </c>
      <c r="CG102" s="74">
        <v>-77811</v>
      </c>
      <c r="CH102" s="75">
        <f t="shared" si="272"/>
        <v>959673</v>
      </c>
      <c r="CI102" s="62">
        <f>38100</f>
        <v>38100</v>
      </c>
      <c r="CJ102" s="62">
        <v>47984</v>
      </c>
      <c r="CK102" s="62">
        <v>112760</v>
      </c>
      <c r="CL102" s="62">
        <v>56673</v>
      </c>
      <c r="CM102" s="62">
        <f>21750+46140</f>
        <v>67890</v>
      </c>
      <c r="CN102" s="62">
        <v>37410</v>
      </c>
      <c r="CO102" s="62">
        <v>160000</v>
      </c>
      <c r="CP102" s="75">
        <f t="shared" si="239"/>
        <v>520817</v>
      </c>
      <c r="CQ102" s="62">
        <v>26100</v>
      </c>
      <c r="CR102" s="75">
        <f t="shared" si="240"/>
        <v>546917</v>
      </c>
      <c r="CS102" s="75">
        <f t="shared" si="273"/>
        <v>438856</v>
      </c>
      <c r="CT102" s="62">
        <v>335066</v>
      </c>
      <c r="CU102" s="47">
        <f t="shared" si="274"/>
        <v>103790</v>
      </c>
      <c r="CV102" s="76">
        <f t="shared" si="275"/>
        <v>0.45729743360498837</v>
      </c>
      <c r="CW102" s="75">
        <f t="shared" si="276"/>
        <v>6286.4022988505749</v>
      </c>
      <c r="CX102" s="77">
        <f t="shared" si="277"/>
        <v>0.56989933029271433</v>
      </c>
      <c r="CY102" s="75">
        <f t="shared" si="278"/>
        <v>1192.9885057471265</v>
      </c>
      <c r="CZ102" s="77">
        <f t="shared" si="279"/>
        <v>0.10815142241159229</v>
      </c>
      <c r="DA102" s="77">
        <f t="shared" si="280"/>
        <v>0.34914601119339611</v>
      </c>
      <c r="DB102" s="47">
        <f t="shared" si="281"/>
        <v>67816.091954022995</v>
      </c>
      <c r="DC102" s="69">
        <f t="shared" si="282"/>
        <v>11745.103448275862</v>
      </c>
      <c r="DD102" s="70">
        <f t="shared" si="283"/>
        <v>180</v>
      </c>
      <c r="DE102" s="70">
        <f t="shared" si="284"/>
        <v>-894.37931034482756</v>
      </c>
      <c r="DF102" s="70">
        <f t="shared" si="285"/>
        <v>11030.724137931034</v>
      </c>
      <c r="DG102" s="70">
        <f t="shared" si="286"/>
        <v>437.93103448275861</v>
      </c>
      <c r="DH102" s="70">
        <f t="shared" si="287"/>
        <v>551.54022988505744</v>
      </c>
      <c r="DI102" s="70">
        <f t="shared" si="288"/>
        <v>1296.0919540229886</v>
      </c>
      <c r="DJ102" s="70">
        <f t="shared" si="289"/>
        <v>651.41379310344826</v>
      </c>
      <c r="DK102" s="70">
        <f t="shared" si="290"/>
        <v>780.34482758620686</v>
      </c>
      <c r="DL102" s="70">
        <f t="shared" si="291"/>
        <v>430</v>
      </c>
      <c r="DM102" s="70">
        <f t="shared" si="292"/>
        <v>1839.0804597701149</v>
      </c>
      <c r="DN102" s="70">
        <f t="shared" si="293"/>
        <v>5986.4022988505749</v>
      </c>
      <c r="DO102" s="70">
        <f t="shared" si="294"/>
        <v>300</v>
      </c>
      <c r="DP102" s="70">
        <f t="shared" si="295"/>
        <v>6286.4022988505749</v>
      </c>
      <c r="DQ102" s="70">
        <f t="shared" si="296"/>
        <v>5044.3218390804595</v>
      </c>
      <c r="DR102" s="70">
        <f t="shared" si="297"/>
        <v>3851.3333333333335</v>
      </c>
      <c r="DS102" s="71">
        <f t="shared" si="298"/>
        <v>1192.9885057471265</v>
      </c>
      <c r="DT102" s="106">
        <f t="shared" si="299"/>
        <v>1.0647626847895064</v>
      </c>
      <c r="DU102" s="92">
        <f t="shared" si="300"/>
        <v>1.6318058338621592E-2</v>
      </c>
      <c r="DV102" s="92" t="str">
        <f t="shared" si="301"/>
        <v/>
      </c>
      <c r="DW102" s="92">
        <f t="shared" si="302"/>
        <v>1</v>
      </c>
      <c r="DX102" s="92">
        <f t="shared" si="303"/>
        <v>3.9701023161014218E-2</v>
      </c>
      <c r="DY102" s="92">
        <f t="shared" si="304"/>
        <v>5.0000364707561848E-2</v>
      </c>
      <c r="DZ102" s="92">
        <f t="shared" si="305"/>
        <v>0.11749835621091767</v>
      </c>
      <c r="EA102" s="92">
        <f t="shared" si="306"/>
        <v>5.9054490435804699E-2</v>
      </c>
      <c r="EB102" s="92">
        <f t="shared" si="307"/>
        <v>7.0742846782185176E-2</v>
      </c>
      <c r="EC102" s="92">
        <f t="shared" si="308"/>
        <v>3.8982028253373803E-2</v>
      </c>
      <c r="ED102" s="92">
        <f t="shared" si="309"/>
        <v>0.16672345684415421</v>
      </c>
      <c r="EE102" s="92">
        <f t="shared" si="310"/>
        <v>0.54270256639501169</v>
      </c>
      <c r="EF102" s="92">
        <f t="shared" si="311"/>
        <v>2.7196763897702654E-2</v>
      </c>
      <c r="EG102" s="92">
        <f t="shared" si="312"/>
        <v>0.56989933029271433</v>
      </c>
      <c r="EH102" s="92">
        <f t="shared" si="313"/>
        <v>0.45729743360498837</v>
      </c>
      <c r="EI102" s="92">
        <f t="shared" si="314"/>
        <v>0.34914601119339611</v>
      </c>
      <c r="EJ102" s="122">
        <f t="shared" si="315"/>
        <v>0.10815142241159229</v>
      </c>
    </row>
    <row r="103" spans="2:140" ht="12" hidden="1" customHeight="1" outlineLevel="1">
      <c r="B103" s="121">
        <v>44979</v>
      </c>
      <c r="C103" s="117" t="s">
        <v>655</v>
      </c>
      <c r="D103" s="50" t="s">
        <v>656</v>
      </c>
      <c r="E103" s="50" t="s">
        <v>657</v>
      </c>
      <c r="F103" s="50" t="s">
        <v>658</v>
      </c>
      <c r="G103" s="50" t="s">
        <v>291</v>
      </c>
      <c r="H103" s="50" t="s">
        <v>163</v>
      </c>
      <c r="I103" s="50" t="s">
        <v>321</v>
      </c>
      <c r="J103" s="52" t="s">
        <v>609</v>
      </c>
      <c r="K103" s="50" t="s">
        <v>610</v>
      </c>
      <c r="L103" s="49">
        <v>8</v>
      </c>
      <c r="M103" s="50" t="s">
        <v>159</v>
      </c>
      <c r="N103" s="50" t="s">
        <v>361</v>
      </c>
      <c r="O103" s="50" t="s">
        <v>318</v>
      </c>
      <c r="P103" s="50" t="s">
        <v>273</v>
      </c>
      <c r="Q103" s="53">
        <v>0.09</v>
      </c>
      <c r="R103" s="49">
        <v>34</v>
      </c>
      <c r="S103" s="49">
        <v>0</v>
      </c>
      <c r="T103" s="54">
        <f t="shared" si="238"/>
        <v>34</v>
      </c>
      <c r="U103" s="55">
        <v>16046</v>
      </c>
      <c r="V103" s="49">
        <v>3.41</v>
      </c>
      <c r="W103" s="56">
        <f t="shared" si="259"/>
        <v>9.9706744868035191</v>
      </c>
      <c r="X103" s="49">
        <v>1932</v>
      </c>
      <c r="Y103" s="57" t="s">
        <v>162</v>
      </c>
      <c r="Z103" s="58" t="s">
        <v>163</v>
      </c>
      <c r="AA103" s="114" t="s">
        <v>163</v>
      </c>
      <c r="AB103" s="59"/>
      <c r="AC103" s="60"/>
      <c r="AD103" s="61"/>
      <c r="AE103" s="62"/>
      <c r="AF103" s="63"/>
      <c r="AG103" s="59"/>
      <c r="AH103" s="60"/>
      <c r="AI103" s="61"/>
      <c r="AJ103" s="64"/>
      <c r="AK103" s="65" t="str">
        <f t="shared" si="260"/>
        <v/>
      </c>
      <c r="AL103" s="62">
        <v>500</v>
      </c>
      <c r="AM103" s="49" t="s">
        <v>163</v>
      </c>
      <c r="AN103" s="67">
        <v>0.85</v>
      </c>
      <c r="AO103" s="62">
        <v>5057465</v>
      </c>
      <c r="AP103" s="62">
        <v>0</v>
      </c>
      <c r="AQ103" s="68">
        <v>370597</v>
      </c>
      <c r="AR103" s="69" t="str">
        <f t="shared" si="261"/>
        <v/>
      </c>
      <c r="AS103" s="70" t="str">
        <f>IFERROR(IF(#REF!&gt;0,#REF!/T103,""),"")</f>
        <v/>
      </c>
      <c r="AT103" s="70">
        <f t="shared" si="262"/>
        <v>148748.9705882353</v>
      </c>
      <c r="AU103" s="70">
        <f t="shared" si="263"/>
        <v>14.705882352941176</v>
      </c>
      <c r="AV103" s="71">
        <f t="shared" si="264"/>
        <v>10899.911764705883</v>
      </c>
      <c r="AW103" s="115">
        <f t="shared" si="265"/>
        <v>70068.23529411765</v>
      </c>
      <c r="AX103" s="116">
        <f t="shared" si="266"/>
        <v>148.46815405708588</v>
      </c>
      <c r="AY103" s="72">
        <f t="shared" si="267"/>
        <v>86633.882352941175</v>
      </c>
      <c r="AZ103" s="73">
        <f t="shared" si="268"/>
        <v>183.56923843948647</v>
      </c>
      <c r="BA103" s="66">
        <v>0</v>
      </c>
      <c r="BB103" s="62">
        <v>526150</v>
      </c>
      <c r="BC103" s="62">
        <v>1856170</v>
      </c>
      <c r="BD103" s="62">
        <v>238232</v>
      </c>
      <c r="BE103" s="62">
        <v>325000</v>
      </c>
      <c r="BF103" s="62">
        <v>791895</v>
      </c>
      <c r="BG103" s="62">
        <v>383750</v>
      </c>
      <c r="BH103" s="62">
        <v>800000</v>
      </c>
      <c r="BI103" s="62">
        <v>110000</v>
      </c>
      <c r="BJ103" s="47">
        <f t="shared" si="269"/>
        <v>5031197</v>
      </c>
      <c r="BK103" s="69" t="str">
        <f t="shared" si="247"/>
        <v/>
      </c>
      <c r="BL103" s="70">
        <f t="shared" si="248"/>
        <v>15475</v>
      </c>
      <c r="BM103" s="70">
        <f t="shared" si="249"/>
        <v>54593.23529411765</v>
      </c>
      <c r="BN103" s="70">
        <f t="shared" si="250"/>
        <v>7006.8235294117649</v>
      </c>
      <c r="BO103" s="70">
        <f t="shared" si="251"/>
        <v>9558.823529411764</v>
      </c>
      <c r="BP103" s="70">
        <f t="shared" si="257"/>
        <v>23291.029411764706</v>
      </c>
      <c r="BQ103" s="70">
        <f t="shared" si="270"/>
        <v>11286.764705882353</v>
      </c>
      <c r="BR103" s="70">
        <f t="shared" si="241"/>
        <v>23529.411764705881</v>
      </c>
      <c r="BS103" s="70">
        <f t="shared" si="242"/>
        <v>3235.294117647059</v>
      </c>
      <c r="BT103" s="71">
        <f t="shared" si="243"/>
        <v>147976.38235294117</v>
      </c>
      <c r="BU103" s="65" t="str">
        <f t="shared" si="252"/>
        <v/>
      </c>
      <c r="BV103" s="48">
        <f t="shared" si="253"/>
        <v>32.790103452573852</v>
      </c>
      <c r="BW103" s="48">
        <f t="shared" si="254"/>
        <v>115.67805060451202</v>
      </c>
      <c r="BX103" s="48">
        <f t="shared" si="255"/>
        <v>14.846815405708588</v>
      </c>
      <c r="BY103" s="48">
        <f t="shared" si="256"/>
        <v>20.254268976692011</v>
      </c>
      <c r="BZ103" s="48">
        <f t="shared" si="258"/>
        <v>49.35155178860775</v>
      </c>
      <c r="CA103" s="48">
        <f t="shared" si="271"/>
        <v>23.91561759940172</v>
      </c>
      <c r="CB103" s="48">
        <f t="shared" si="244"/>
        <v>49.85666209647264</v>
      </c>
      <c r="CC103" s="48">
        <f t="shared" si="245"/>
        <v>6.8552910382649879</v>
      </c>
      <c r="CD103" s="47">
        <f t="shared" si="246"/>
        <v>313.54836096223357</v>
      </c>
      <c r="CE103" s="66">
        <v>279888</v>
      </c>
      <c r="CF103" s="62">
        <v>2040</v>
      </c>
      <c r="CG103" s="74">
        <v>-21145</v>
      </c>
      <c r="CH103" s="75">
        <f t="shared" si="272"/>
        <v>260783</v>
      </c>
      <c r="CI103" s="62">
        <f>12840+24000+1360</f>
        <v>38200</v>
      </c>
      <c r="CJ103" s="62">
        <v>13300</v>
      </c>
      <c r="CK103" s="62">
        <v>64000</v>
      </c>
      <c r="CL103" s="62">
        <v>22600</v>
      </c>
      <c r="CM103" s="62">
        <f>15400+17700+1500</f>
        <v>34600</v>
      </c>
      <c r="CN103" s="62">
        <v>24000</v>
      </c>
      <c r="CO103" s="62">
        <v>6800</v>
      </c>
      <c r="CP103" s="75">
        <f t="shared" si="239"/>
        <v>203500</v>
      </c>
      <c r="CQ103" s="62">
        <v>10200</v>
      </c>
      <c r="CR103" s="75">
        <f t="shared" si="240"/>
        <v>213700</v>
      </c>
      <c r="CS103" s="75">
        <f t="shared" si="273"/>
        <v>57283</v>
      </c>
      <c r="CT103" s="62">
        <v>0</v>
      </c>
      <c r="CU103" s="47">
        <f t="shared" si="274"/>
        <v>57283</v>
      </c>
      <c r="CV103" s="76">
        <f t="shared" si="275"/>
        <v>0.21965772308777795</v>
      </c>
      <c r="CW103" s="75">
        <f t="shared" si="276"/>
        <v>6285.2941176470586</v>
      </c>
      <c r="CX103" s="77">
        <f t="shared" si="277"/>
        <v>0.81945525590241697</v>
      </c>
      <c r="CY103" s="75">
        <f t="shared" si="278"/>
        <v>1684.7941176470588</v>
      </c>
      <c r="CZ103" s="77">
        <f t="shared" si="279"/>
        <v>0.21965772308777795</v>
      </c>
      <c r="DA103" s="77" t="str">
        <f t="shared" si="280"/>
        <v/>
      </c>
      <c r="DB103" s="47" t="str">
        <f t="shared" si="281"/>
        <v/>
      </c>
      <c r="DC103" s="69">
        <f t="shared" si="282"/>
        <v>8232</v>
      </c>
      <c r="DD103" s="70">
        <f t="shared" si="283"/>
        <v>60</v>
      </c>
      <c r="DE103" s="70">
        <f t="shared" si="284"/>
        <v>-621.91176470588232</v>
      </c>
      <c r="DF103" s="70">
        <f t="shared" si="285"/>
        <v>7670.088235294118</v>
      </c>
      <c r="DG103" s="70">
        <f t="shared" si="286"/>
        <v>1123.5294117647059</v>
      </c>
      <c r="DH103" s="70">
        <f t="shared" si="287"/>
        <v>391.1764705882353</v>
      </c>
      <c r="DI103" s="70">
        <f t="shared" si="288"/>
        <v>1882.3529411764705</v>
      </c>
      <c r="DJ103" s="70">
        <f t="shared" si="289"/>
        <v>664.70588235294122</v>
      </c>
      <c r="DK103" s="70">
        <f t="shared" si="290"/>
        <v>1017.6470588235294</v>
      </c>
      <c r="DL103" s="70">
        <f t="shared" si="291"/>
        <v>705.88235294117646</v>
      </c>
      <c r="DM103" s="70">
        <f t="shared" si="292"/>
        <v>200</v>
      </c>
      <c r="DN103" s="70">
        <f t="shared" si="293"/>
        <v>5985.2941176470586</v>
      </c>
      <c r="DO103" s="70">
        <f t="shared" si="294"/>
        <v>300</v>
      </c>
      <c r="DP103" s="70">
        <f t="shared" si="295"/>
        <v>6285.2941176470586</v>
      </c>
      <c r="DQ103" s="70">
        <f t="shared" si="296"/>
        <v>1684.7941176470588</v>
      </c>
      <c r="DR103" s="70" t="str">
        <f t="shared" si="297"/>
        <v/>
      </c>
      <c r="DS103" s="71">
        <f t="shared" si="298"/>
        <v>1684.7941176470588</v>
      </c>
      <c r="DT103" s="106">
        <f t="shared" si="299"/>
        <v>1.0732601434909483</v>
      </c>
      <c r="DU103" s="92">
        <f t="shared" si="300"/>
        <v>7.822595798038982E-3</v>
      </c>
      <c r="DV103" s="92" t="str">
        <f t="shared" si="301"/>
        <v/>
      </c>
      <c r="DW103" s="92">
        <f t="shared" si="302"/>
        <v>1</v>
      </c>
      <c r="DX103" s="92">
        <f t="shared" si="303"/>
        <v>0.1464819409240633</v>
      </c>
      <c r="DY103" s="92">
        <f t="shared" si="304"/>
        <v>5.1000256918587485E-2</v>
      </c>
      <c r="DZ103" s="92">
        <f t="shared" si="305"/>
        <v>0.24541477013455631</v>
      </c>
      <c r="EA103" s="92">
        <f t="shared" si="306"/>
        <v>8.6662090703765196E-2</v>
      </c>
      <c r="EB103" s="92">
        <f t="shared" si="307"/>
        <v>0.1326773601039945</v>
      </c>
      <c r="EC103" s="92">
        <f t="shared" si="308"/>
        <v>9.2030538800458625E-2</v>
      </c>
      <c r="ED103" s="92">
        <f t="shared" si="309"/>
        <v>2.607531932679661E-2</v>
      </c>
      <c r="EE103" s="92">
        <f t="shared" si="310"/>
        <v>0.78034227691222202</v>
      </c>
      <c r="EF103" s="92">
        <f t="shared" si="311"/>
        <v>3.9112978990194912E-2</v>
      </c>
      <c r="EG103" s="92">
        <f t="shared" si="312"/>
        <v>0.81945525590241697</v>
      </c>
      <c r="EH103" s="92">
        <f t="shared" si="313"/>
        <v>0.21965772308777795</v>
      </c>
      <c r="EI103" s="92" t="str">
        <f t="shared" si="314"/>
        <v/>
      </c>
      <c r="EJ103" s="122">
        <f t="shared" si="315"/>
        <v>0.21965772308777795</v>
      </c>
    </row>
    <row r="104" spans="2:140" ht="12" hidden="1" customHeight="1" outlineLevel="1">
      <c r="B104" s="121">
        <v>44980</v>
      </c>
      <c r="C104" s="117" t="s">
        <v>659</v>
      </c>
      <c r="D104" s="50" t="s">
        <v>660</v>
      </c>
      <c r="E104" s="50" t="s">
        <v>661</v>
      </c>
      <c r="F104" s="50" t="s">
        <v>662</v>
      </c>
      <c r="G104" s="50" t="s">
        <v>154</v>
      </c>
      <c r="H104" s="50" t="s">
        <v>651</v>
      </c>
      <c r="I104" s="50" t="s">
        <v>226</v>
      </c>
      <c r="J104" s="52" t="s">
        <v>175</v>
      </c>
      <c r="K104" s="50" t="s">
        <v>176</v>
      </c>
      <c r="L104" s="49">
        <v>6</v>
      </c>
      <c r="M104" s="50" t="s">
        <v>159</v>
      </c>
      <c r="N104" s="50" t="s">
        <v>244</v>
      </c>
      <c r="O104" s="50" t="s">
        <v>160</v>
      </c>
      <c r="P104" s="50" t="s">
        <v>177</v>
      </c>
      <c r="Q104" s="53">
        <v>0.09</v>
      </c>
      <c r="R104" s="49">
        <f>90-11</f>
        <v>79</v>
      </c>
      <c r="S104" s="49">
        <v>11</v>
      </c>
      <c r="T104" s="54">
        <f t="shared" si="238"/>
        <v>90</v>
      </c>
      <c r="U104" s="55">
        <v>75307</v>
      </c>
      <c r="V104" s="49">
        <v>2.4500000000000002</v>
      </c>
      <c r="W104" s="56">
        <f t="shared" si="259"/>
        <v>36.734693877551017</v>
      </c>
      <c r="X104" s="49" t="s">
        <v>163</v>
      </c>
      <c r="Y104" s="57" t="s">
        <v>162</v>
      </c>
      <c r="Z104" s="58">
        <v>3750500</v>
      </c>
      <c r="AA104" s="114">
        <v>4.3999999999999997E-2</v>
      </c>
      <c r="AB104" s="59">
        <v>15</v>
      </c>
      <c r="AC104" s="60">
        <v>35</v>
      </c>
      <c r="AD104" s="61">
        <v>4.3999999999999997E-2</v>
      </c>
      <c r="AE104" s="62">
        <v>3750000</v>
      </c>
      <c r="AF104" s="63">
        <v>1.33</v>
      </c>
      <c r="AG104" s="59"/>
      <c r="AH104" s="60"/>
      <c r="AI104" s="61"/>
      <c r="AJ104" s="64"/>
      <c r="AK104" s="65">
        <f t="shared" si="260"/>
        <v>3750000</v>
      </c>
      <c r="AL104" s="62">
        <v>500</v>
      </c>
      <c r="AM104" s="49" t="s">
        <v>163</v>
      </c>
      <c r="AN104" s="67">
        <v>0.94</v>
      </c>
      <c r="AO104" s="62">
        <v>14117006</v>
      </c>
      <c r="AP104" s="62">
        <v>0</v>
      </c>
      <c r="AQ104" s="68">
        <v>1052533</v>
      </c>
      <c r="AR104" s="69">
        <f t="shared" si="261"/>
        <v>41666.666666666664</v>
      </c>
      <c r="AS104" s="70" t="str">
        <f>IFERROR(IF(#REF!&gt;0,#REF!/T104,""),"")</f>
        <v/>
      </c>
      <c r="AT104" s="70">
        <f t="shared" si="262"/>
        <v>156855.62222222221</v>
      </c>
      <c r="AU104" s="70">
        <f t="shared" si="263"/>
        <v>5.5555555555555554</v>
      </c>
      <c r="AV104" s="71">
        <f t="shared" si="264"/>
        <v>11694.81111111111</v>
      </c>
      <c r="AW104" s="115">
        <f t="shared" si="265"/>
        <v>112695.74444444444</v>
      </c>
      <c r="AX104" s="116">
        <f t="shared" si="266"/>
        <v>134.6835885110282</v>
      </c>
      <c r="AY104" s="72">
        <f t="shared" si="267"/>
        <v>133947.74444444443</v>
      </c>
      <c r="AZ104" s="73">
        <f t="shared" si="268"/>
        <v>160.08202424741393</v>
      </c>
      <c r="BA104" s="66">
        <v>2200000</v>
      </c>
      <c r="BB104" s="62">
        <v>2763000</v>
      </c>
      <c r="BC104" s="62">
        <v>7379617</v>
      </c>
      <c r="BD104" s="62">
        <v>637560</v>
      </c>
      <c r="BE104" s="62">
        <v>1275120</v>
      </c>
      <c r="BF104" s="62">
        <v>1262500</v>
      </c>
      <c r="BG104" s="62">
        <v>1180789</v>
      </c>
      <c r="BH104" s="62">
        <v>1946319</v>
      </c>
      <c r="BI104" s="62">
        <v>256718</v>
      </c>
      <c r="BJ104" s="47">
        <f t="shared" si="269"/>
        <v>18901623</v>
      </c>
      <c r="BK104" s="69">
        <f t="shared" si="247"/>
        <v>24444.444444444445</v>
      </c>
      <c r="BL104" s="70">
        <f t="shared" si="248"/>
        <v>30700</v>
      </c>
      <c r="BM104" s="70">
        <f t="shared" si="249"/>
        <v>81995.744444444441</v>
      </c>
      <c r="BN104" s="70">
        <f t="shared" si="250"/>
        <v>7084</v>
      </c>
      <c r="BO104" s="70">
        <f t="shared" si="251"/>
        <v>14168</v>
      </c>
      <c r="BP104" s="70">
        <f t="shared" si="257"/>
        <v>14027.777777777777</v>
      </c>
      <c r="BQ104" s="70">
        <f t="shared" si="270"/>
        <v>13119.877777777778</v>
      </c>
      <c r="BR104" s="70">
        <f t="shared" si="241"/>
        <v>21625.766666666666</v>
      </c>
      <c r="BS104" s="70">
        <f t="shared" si="242"/>
        <v>2852.4222222222224</v>
      </c>
      <c r="BT104" s="71">
        <f t="shared" si="243"/>
        <v>210018.03333333333</v>
      </c>
      <c r="BU104" s="65">
        <f t="shared" si="252"/>
        <v>29.213751709668426</v>
      </c>
      <c r="BV104" s="48">
        <f t="shared" si="253"/>
        <v>36.689816351733569</v>
      </c>
      <c r="BW104" s="48">
        <f t="shared" si="254"/>
        <v>97.993772159294622</v>
      </c>
      <c r="BX104" s="48">
        <f t="shared" si="255"/>
        <v>8.4661452454619095</v>
      </c>
      <c r="BY104" s="48">
        <f t="shared" si="256"/>
        <v>16.932290490923819</v>
      </c>
      <c r="BZ104" s="48">
        <f t="shared" si="258"/>
        <v>16.76470978793472</v>
      </c>
      <c r="CA104" s="48">
        <f t="shared" si="271"/>
        <v>15.679671212503486</v>
      </c>
      <c r="CB104" s="48">
        <f t="shared" si="244"/>
        <v>25.845127279004608</v>
      </c>
      <c r="CC104" s="48">
        <f t="shared" si="245"/>
        <v>3.4089526870012086</v>
      </c>
      <c r="CD104" s="47">
        <f t="shared" si="246"/>
        <v>250.99423692352636</v>
      </c>
      <c r="CE104" s="66">
        <v>834816</v>
      </c>
      <c r="CF104" s="62">
        <f>8640+4320</f>
        <v>12960</v>
      </c>
      <c r="CG104" s="74">
        <v>-63583</v>
      </c>
      <c r="CH104" s="75">
        <f t="shared" si="272"/>
        <v>784193</v>
      </c>
      <c r="CI104" s="62">
        <f>41550+18000+3160</f>
        <v>62710</v>
      </c>
      <c r="CJ104" s="62">
        <v>39210</v>
      </c>
      <c r="CK104" s="62">
        <v>153750</v>
      </c>
      <c r="CL104" s="62">
        <v>55000</v>
      </c>
      <c r="CM104" s="62">
        <f>10000+38500</f>
        <v>48500</v>
      </c>
      <c r="CN104" s="62">
        <v>37500</v>
      </c>
      <c r="CO104" s="62">
        <v>84600</v>
      </c>
      <c r="CP104" s="75">
        <f t="shared" si="239"/>
        <v>481270</v>
      </c>
      <c r="CQ104" s="62">
        <v>22500</v>
      </c>
      <c r="CR104" s="75">
        <f t="shared" si="240"/>
        <v>503770</v>
      </c>
      <c r="CS104" s="75">
        <f t="shared" si="273"/>
        <v>302923</v>
      </c>
      <c r="CT104" s="62">
        <v>210188</v>
      </c>
      <c r="CU104" s="47">
        <f t="shared" si="274"/>
        <v>92735</v>
      </c>
      <c r="CV104" s="76">
        <f t="shared" si="275"/>
        <v>0.38628628411628257</v>
      </c>
      <c r="CW104" s="75">
        <f t="shared" si="276"/>
        <v>5597.4444444444443</v>
      </c>
      <c r="CX104" s="77">
        <f t="shared" si="277"/>
        <v>0.6424056322869498</v>
      </c>
      <c r="CY104" s="75">
        <f t="shared" si="278"/>
        <v>1030.3888888888889</v>
      </c>
      <c r="CZ104" s="77">
        <f t="shared" si="279"/>
        <v>0.11825532745127794</v>
      </c>
      <c r="DA104" s="77">
        <f t="shared" si="280"/>
        <v>0.26803095666500465</v>
      </c>
      <c r="DB104" s="47">
        <f t="shared" si="281"/>
        <v>41666.666666666664</v>
      </c>
      <c r="DC104" s="69">
        <f t="shared" si="282"/>
        <v>9275.7333333333336</v>
      </c>
      <c r="DD104" s="70">
        <f t="shared" si="283"/>
        <v>144</v>
      </c>
      <c r="DE104" s="70">
        <f t="shared" si="284"/>
        <v>-706.47777777777776</v>
      </c>
      <c r="DF104" s="70">
        <f t="shared" si="285"/>
        <v>8713.2555555555555</v>
      </c>
      <c r="DG104" s="70">
        <f t="shared" si="286"/>
        <v>696.77777777777783</v>
      </c>
      <c r="DH104" s="70">
        <f t="shared" si="287"/>
        <v>435.66666666666669</v>
      </c>
      <c r="DI104" s="70">
        <f t="shared" si="288"/>
        <v>1708.3333333333333</v>
      </c>
      <c r="DJ104" s="70">
        <f t="shared" si="289"/>
        <v>611.11111111111109</v>
      </c>
      <c r="DK104" s="70">
        <f t="shared" si="290"/>
        <v>538.88888888888891</v>
      </c>
      <c r="DL104" s="70">
        <f t="shared" si="291"/>
        <v>416.66666666666669</v>
      </c>
      <c r="DM104" s="70">
        <f t="shared" si="292"/>
        <v>940</v>
      </c>
      <c r="DN104" s="70">
        <f t="shared" si="293"/>
        <v>5347.4444444444443</v>
      </c>
      <c r="DO104" s="70">
        <f t="shared" si="294"/>
        <v>250</v>
      </c>
      <c r="DP104" s="70">
        <f t="shared" si="295"/>
        <v>5597.4444444444443</v>
      </c>
      <c r="DQ104" s="70">
        <f t="shared" si="296"/>
        <v>3365.8111111111111</v>
      </c>
      <c r="DR104" s="70">
        <f t="shared" si="297"/>
        <v>2335.4222222222224</v>
      </c>
      <c r="DS104" s="71">
        <f t="shared" si="298"/>
        <v>1030.3888888888889</v>
      </c>
      <c r="DT104" s="106">
        <f t="shared" si="299"/>
        <v>1.0645542615147037</v>
      </c>
      <c r="DU104" s="92">
        <f t="shared" si="300"/>
        <v>1.6526543848261844E-2</v>
      </c>
      <c r="DV104" s="92" t="str">
        <f t="shared" si="301"/>
        <v/>
      </c>
      <c r="DW104" s="92">
        <f t="shared" si="302"/>
        <v>1</v>
      </c>
      <c r="DX104" s="92">
        <f t="shared" si="303"/>
        <v>7.9967559006520084E-2</v>
      </c>
      <c r="DY104" s="92">
        <f t="shared" si="304"/>
        <v>5.0000446318699605E-2</v>
      </c>
      <c r="DZ104" s="92">
        <f t="shared" si="305"/>
        <v>0.19606142875542118</v>
      </c>
      <c r="EA104" s="92">
        <f t="shared" si="306"/>
        <v>7.0135795652345789E-2</v>
      </c>
      <c r="EB104" s="92">
        <f t="shared" si="307"/>
        <v>6.1847019802523107E-2</v>
      </c>
      <c r="EC104" s="92">
        <f t="shared" si="308"/>
        <v>4.7819860672053946E-2</v>
      </c>
      <c r="ED104" s="92">
        <f t="shared" si="309"/>
        <v>0.10788160567615371</v>
      </c>
      <c r="EE104" s="92">
        <f t="shared" si="310"/>
        <v>0.61371371588371737</v>
      </c>
      <c r="EF104" s="92">
        <f t="shared" si="311"/>
        <v>2.8691916403232369E-2</v>
      </c>
      <c r="EG104" s="92">
        <f t="shared" si="312"/>
        <v>0.6424056322869498</v>
      </c>
      <c r="EH104" s="92">
        <f t="shared" si="313"/>
        <v>0.38628628411628257</v>
      </c>
      <c r="EI104" s="92">
        <f t="shared" si="314"/>
        <v>0.26803095666500465</v>
      </c>
      <c r="EJ104" s="122">
        <f t="shared" si="315"/>
        <v>0.11825532745127794</v>
      </c>
    </row>
    <row r="105" spans="2:140" ht="12" hidden="1" customHeight="1" outlineLevel="1">
      <c r="B105" s="121">
        <v>44980</v>
      </c>
      <c r="C105" s="117" t="s">
        <v>663</v>
      </c>
      <c r="D105" s="50" t="s">
        <v>664</v>
      </c>
      <c r="E105" s="50" t="s">
        <v>665</v>
      </c>
      <c r="F105" s="50" t="s">
        <v>666</v>
      </c>
      <c r="G105" s="50" t="s">
        <v>154</v>
      </c>
      <c r="H105" s="50" t="s">
        <v>667</v>
      </c>
      <c r="I105" s="50" t="s">
        <v>668</v>
      </c>
      <c r="J105" s="52" t="s">
        <v>481</v>
      </c>
      <c r="K105" s="50" t="s">
        <v>481</v>
      </c>
      <c r="L105" s="49">
        <v>13</v>
      </c>
      <c r="M105" s="50" t="s">
        <v>159</v>
      </c>
      <c r="N105" s="50" t="s">
        <v>160</v>
      </c>
      <c r="O105" s="50" t="s">
        <v>318</v>
      </c>
      <c r="P105" s="50" t="s">
        <v>161</v>
      </c>
      <c r="Q105" s="53">
        <v>0.09</v>
      </c>
      <c r="R105" s="49">
        <v>146</v>
      </c>
      <c r="S105" s="49">
        <v>0</v>
      </c>
      <c r="T105" s="54">
        <f t="shared" si="238"/>
        <v>146</v>
      </c>
      <c r="U105" s="55">
        <v>159676</v>
      </c>
      <c r="V105" s="49">
        <v>10.210000000000001</v>
      </c>
      <c r="W105" s="56">
        <f t="shared" si="259"/>
        <v>14.299706170421155</v>
      </c>
      <c r="X105" s="49">
        <v>1973</v>
      </c>
      <c r="Y105" s="57" t="s">
        <v>162</v>
      </c>
      <c r="Z105" s="58">
        <v>15100000</v>
      </c>
      <c r="AA105" s="114">
        <f>(((11600000*0.045)/(Z105))+((3500000*0.03)/(Z105)))</f>
        <v>4.1523178807947016E-2</v>
      </c>
      <c r="AB105" s="59">
        <v>15</v>
      </c>
      <c r="AC105" s="60">
        <v>35</v>
      </c>
      <c r="AD105" s="61">
        <v>4.4499999999999998E-2</v>
      </c>
      <c r="AE105" s="62">
        <v>11600000</v>
      </c>
      <c r="AF105" s="63">
        <v>1.17</v>
      </c>
      <c r="AG105" s="59">
        <v>50</v>
      </c>
      <c r="AH105" s="60">
        <v>50</v>
      </c>
      <c r="AI105" s="61">
        <v>0.03</v>
      </c>
      <c r="AJ105" s="64">
        <v>3500000</v>
      </c>
      <c r="AK105" s="65">
        <f t="shared" si="260"/>
        <v>15100000</v>
      </c>
      <c r="AL105" s="62">
        <v>3500000</v>
      </c>
      <c r="AM105" s="49" t="s">
        <v>163</v>
      </c>
      <c r="AN105" s="67">
        <v>0.88</v>
      </c>
      <c r="AO105" s="62">
        <v>11471203</v>
      </c>
      <c r="AP105" s="62">
        <v>0</v>
      </c>
      <c r="AQ105" s="68">
        <v>616739</v>
      </c>
      <c r="AR105" s="69">
        <f t="shared" si="261"/>
        <v>103424.65753424658</v>
      </c>
      <c r="AS105" s="70" t="str">
        <f>IFERROR(IF(#REF!&gt;0,#REF!/T105,""),"")</f>
        <v/>
      </c>
      <c r="AT105" s="70">
        <f t="shared" si="262"/>
        <v>78569.88356164383</v>
      </c>
      <c r="AU105" s="70">
        <f t="shared" si="263"/>
        <v>23972.602739726026</v>
      </c>
      <c r="AV105" s="71">
        <f t="shared" si="264"/>
        <v>4224.2397260273974</v>
      </c>
      <c r="AW105" s="115">
        <f t="shared" si="265"/>
        <v>85391.684931506854</v>
      </c>
      <c r="AX105" s="116">
        <f t="shared" si="266"/>
        <v>78.07802049149528</v>
      </c>
      <c r="AY105" s="72">
        <f t="shared" si="267"/>
        <v>107081.17808219179</v>
      </c>
      <c r="AZ105" s="73">
        <f t="shared" si="268"/>
        <v>97.909842430922623</v>
      </c>
      <c r="BA105" s="66">
        <v>3500000</v>
      </c>
      <c r="BB105" s="62">
        <v>1596318</v>
      </c>
      <c r="BC105" s="62">
        <v>10870868</v>
      </c>
      <c r="BD105" s="62">
        <v>1246719</v>
      </c>
      <c r="BE105" s="62">
        <v>1919947</v>
      </c>
      <c r="BF105" s="62">
        <v>1618314</v>
      </c>
      <c r="BG105" s="62">
        <v>2118370</v>
      </c>
      <c r="BH105" s="62">
        <v>2987407</v>
      </c>
      <c r="BI105" s="62">
        <v>684961</v>
      </c>
      <c r="BJ105" s="47">
        <f t="shared" si="269"/>
        <v>26542904</v>
      </c>
      <c r="BK105" s="69">
        <f t="shared" si="247"/>
        <v>23972.602739726026</v>
      </c>
      <c r="BL105" s="70">
        <f t="shared" si="248"/>
        <v>10933.684931506848</v>
      </c>
      <c r="BM105" s="70">
        <f t="shared" si="249"/>
        <v>74458</v>
      </c>
      <c r="BN105" s="70">
        <f t="shared" si="250"/>
        <v>8539.1712328767117</v>
      </c>
      <c r="BO105" s="70">
        <f t="shared" si="251"/>
        <v>13150.32191780822</v>
      </c>
      <c r="BP105" s="70">
        <f t="shared" si="257"/>
        <v>11084.342465753425</v>
      </c>
      <c r="BQ105" s="70">
        <f t="shared" si="270"/>
        <v>14509.383561643835</v>
      </c>
      <c r="BR105" s="70">
        <f t="shared" si="241"/>
        <v>20461.691780821919</v>
      </c>
      <c r="BS105" s="70">
        <f t="shared" si="242"/>
        <v>4691.5136986301368</v>
      </c>
      <c r="BT105" s="71">
        <f t="shared" si="243"/>
        <v>181800.71232876711</v>
      </c>
      <c r="BU105" s="65">
        <f t="shared" si="252"/>
        <v>21.919386758185325</v>
      </c>
      <c r="BV105" s="48">
        <f t="shared" si="253"/>
        <v>9.9972318945865375</v>
      </c>
      <c r="BW105" s="48">
        <f t="shared" si="254"/>
        <v>68.080788596908747</v>
      </c>
      <c r="BX105" s="48">
        <f t="shared" si="255"/>
        <v>7.8078045542223</v>
      </c>
      <c r="BY105" s="48">
        <f t="shared" si="256"/>
        <v>12.02401738520504</v>
      </c>
      <c r="BZ105" s="48">
        <f t="shared" si="258"/>
        <v>10.134985846338836</v>
      </c>
      <c r="CA105" s="48">
        <f t="shared" si="271"/>
        <v>13.266677521982013</v>
      </c>
      <c r="CB105" s="48">
        <f t="shared" si="244"/>
        <v>18.709179839174329</v>
      </c>
      <c r="CC105" s="48">
        <f t="shared" si="245"/>
        <v>4.2896928780781085</v>
      </c>
      <c r="CD105" s="47">
        <f t="shared" si="246"/>
        <v>166.22976527468123</v>
      </c>
      <c r="CE105" s="66">
        <v>1448352</v>
      </c>
      <c r="CF105" s="62">
        <v>8760</v>
      </c>
      <c r="CG105" s="74">
        <v>-72856</v>
      </c>
      <c r="CH105" s="75">
        <f t="shared" si="272"/>
        <v>1384256</v>
      </c>
      <c r="CI105" s="62">
        <f>59452+17250+5840</f>
        <v>82542</v>
      </c>
      <c r="CJ105" s="62">
        <v>69213</v>
      </c>
      <c r="CK105" s="62">
        <v>147660</v>
      </c>
      <c r="CL105" s="62">
        <f>86996+6600</f>
        <v>93596</v>
      </c>
      <c r="CM105" s="62">
        <f>31226+62416</f>
        <v>93642</v>
      </c>
      <c r="CN105" s="62">
        <v>85000</v>
      </c>
      <c r="CO105" s="62">
        <v>0</v>
      </c>
      <c r="CP105" s="75">
        <f t="shared" si="239"/>
        <v>571653</v>
      </c>
      <c r="CQ105" s="62">
        <v>43800</v>
      </c>
      <c r="CR105" s="75">
        <f t="shared" si="240"/>
        <v>615453</v>
      </c>
      <c r="CS105" s="75">
        <f t="shared" si="273"/>
        <v>812603</v>
      </c>
      <c r="CT105" s="62">
        <v>654470</v>
      </c>
      <c r="CU105" s="47">
        <f t="shared" si="274"/>
        <v>158133</v>
      </c>
      <c r="CV105" s="76">
        <f t="shared" si="275"/>
        <v>0.58703231194229966</v>
      </c>
      <c r="CW105" s="75">
        <f t="shared" si="276"/>
        <v>4215.4315068493152</v>
      </c>
      <c r="CX105" s="77">
        <f t="shared" si="277"/>
        <v>0.44460923413010311</v>
      </c>
      <c r="CY105" s="75">
        <f t="shared" si="278"/>
        <v>1083.1027397260275</v>
      </c>
      <c r="CZ105" s="77">
        <f t="shared" si="279"/>
        <v>0.11423681746728928</v>
      </c>
      <c r="DA105" s="77">
        <f t="shared" si="280"/>
        <v>0.4727954944750104</v>
      </c>
      <c r="DB105" s="47">
        <f t="shared" si="281"/>
        <v>103424.65753424658</v>
      </c>
      <c r="DC105" s="69">
        <f t="shared" si="282"/>
        <v>9920.2191780821922</v>
      </c>
      <c r="DD105" s="70">
        <f t="shared" si="283"/>
        <v>60</v>
      </c>
      <c r="DE105" s="70">
        <f t="shared" si="284"/>
        <v>-499.01369863013701</v>
      </c>
      <c r="DF105" s="70">
        <f t="shared" si="285"/>
        <v>9481.2054794520554</v>
      </c>
      <c r="DG105" s="70">
        <f t="shared" si="286"/>
        <v>565.35616438356169</v>
      </c>
      <c r="DH105" s="70">
        <f t="shared" si="287"/>
        <v>474.06164383561645</v>
      </c>
      <c r="DI105" s="70">
        <f t="shared" si="288"/>
        <v>1011.3698630136986</v>
      </c>
      <c r="DJ105" s="70">
        <f t="shared" si="289"/>
        <v>641.06849315068496</v>
      </c>
      <c r="DK105" s="70">
        <f t="shared" si="290"/>
        <v>641.38356164383561</v>
      </c>
      <c r="DL105" s="70">
        <f t="shared" si="291"/>
        <v>582.19178082191786</v>
      </c>
      <c r="DM105" s="70" t="str">
        <f t="shared" si="292"/>
        <v/>
      </c>
      <c r="DN105" s="70">
        <f t="shared" si="293"/>
        <v>3915.4315068493152</v>
      </c>
      <c r="DO105" s="70">
        <f t="shared" si="294"/>
        <v>300</v>
      </c>
      <c r="DP105" s="70">
        <f t="shared" si="295"/>
        <v>4215.4315068493152</v>
      </c>
      <c r="DQ105" s="70">
        <f t="shared" si="296"/>
        <v>5565.7739726027394</v>
      </c>
      <c r="DR105" s="70">
        <f t="shared" si="297"/>
        <v>4482.6712328767126</v>
      </c>
      <c r="DS105" s="71">
        <f t="shared" si="298"/>
        <v>1083.1027397260275</v>
      </c>
      <c r="DT105" s="106">
        <f t="shared" si="299"/>
        <v>1.0463035739054047</v>
      </c>
      <c r="DU105" s="92">
        <f t="shared" si="300"/>
        <v>6.3283092144805582E-3</v>
      </c>
      <c r="DV105" s="92" t="str">
        <f t="shared" si="301"/>
        <v/>
      </c>
      <c r="DW105" s="92">
        <f t="shared" si="302"/>
        <v>1</v>
      </c>
      <c r="DX105" s="92">
        <f t="shared" si="303"/>
        <v>5.9629143742197972E-2</v>
      </c>
      <c r="DY105" s="92">
        <f t="shared" si="304"/>
        <v>5.0000144481945535E-2</v>
      </c>
      <c r="DZ105" s="92">
        <f t="shared" si="305"/>
        <v>0.10667102038929216</v>
      </c>
      <c r="EA105" s="92">
        <f t="shared" si="306"/>
        <v>6.7614660871977442E-2</v>
      </c>
      <c r="EB105" s="92">
        <f t="shared" si="307"/>
        <v>6.7647891719450737E-2</v>
      </c>
      <c r="EC105" s="92">
        <f t="shared" si="308"/>
        <v>6.1404826852836471E-2</v>
      </c>
      <c r="ED105" s="92" t="str">
        <f t="shared" si="309"/>
        <v/>
      </c>
      <c r="EE105" s="92">
        <f t="shared" si="310"/>
        <v>0.41296768805770029</v>
      </c>
      <c r="EF105" s="92">
        <f t="shared" si="311"/>
        <v>3.1641546072402792E-2</v>
      </c>
      <c r="EG105" s="92">
        <f t="shared" si="312"/>
        <v>0.44460923413010311</v>
      </c>
      <c r="EH105" s="92">
        <f t="shared" si="313"/>
        <v>0.58703231194229966</v>
      </c>
      <c r="EI105" s="92">
        <f t="shared" si="314"/>
        <v>0.4727954944750104</v>
      </c>
      <c r="EJ105" s="122">
        <f t="shared" si="315"/>
        <v>0.11423681746728928</v>
      </c>
    </row>
    <row r="106" spans="2:140" ht="12" hidden="1" customHeight="1" outlineLevel="1">
      <c r="B106" s="121">
        <v>44980</v>
      </c>
      <c r="C106" s="117" t="s">
        <v>669</v>
      </c>
      <c r="D106" s="50" t="s">
        <v>670</v>
      </c>
      <c r="E106" s="50" t="s">
        <v>671</v>
      </c>
      <c r="F106" s="50" t="s">
        <v>533</v>
      </c>
      <c r="G106" s="50" t="s">
        <v>154</v>
      </c>
      <c r="H106" s="50" t="s">
        <v>608</v>
      </c>
      <c r="I106" s="50" t="s">
        <v>672</v>
      </c>
      <c r="J106" s="52" t="s">
        <v>673</v>
      </c>
      <c r="K106" s="50" t="s">
        <v>410</v>
      </c>
      <c r="L106" s="49">
        <v>8</v>
      </c>
      <c r="M106" s="50" t="s">
        <v>283</v>
      </c>
      <c r="N106" s="50" t="s">
        <v>160</v>
      </c>
      <c r="O106" s="50" t="s">
        <v>626</v>
      </c>
      <c r="P106" s="50" t="s">
        <v>161</v>
      </c>
      <c r="Q106" s="53">
        <v>0.09</v>
      </c>
      <c r="R106" s="49">
        <v>80</v>
      </c>
      <c r="S106" s="49">
        <v>0</v>
      </c>
      <c r="T106" s="54">
        <f t="shared" si="238"/>
        <v>80</v>
      </c>
      <c r="U106" s="55">
        <v>60160</v>
      </c>
      <c r="V106" s="49">
        <v>4.0199999999999996</v>
      </c>
      <c r="W106" s="56">
        <f t="shared" si="259"/>
        <v>19.900497512437813</v>
      </c>
      <c r="X106" s="49">
        <v>1976</v>
      </c>
      <c r="Y106" s="57" t="s">
        <v>162</v>
      </c>
      <c r="Z106" s="58">
        <v>2052436</v>
      </c>
      <c r="AA106" s="114">
        <f>(((1545000*0.0575)/(Z106))+((437394*0.01)/(Z106))+((70042*0)/(Z106)))</f>
        <v>4.5415028775562305E-2</v>
      </c>
      <c r="AB106" s="59">
        <v>15</v>
      </c>
      <c r="AC106" s="60">
        <v>35</v>
      </c>
      <c r="AD106" s="61">
        <v>5.7500000000000002E-2</v>
      </c>
      <c r="AE106" s="62">
        <v>1545000</v>
      </c>
      <c r="AF106" s="63">
        <v>1.49</v>
      </c>
      <c r="AG106" s="59">
        <v>30</v>
      </c>
      <c r="AH106" s="60">
        <v>50</v>
      </c>
      <c r="AI106" s="61">
        <v>0.01</v>
      </c>
      <c r="AJ106" s="64">
        <v>437394</v>
      </c>
      <c r="AK106" s="65">
        <f t="shared" si="260"/>
        <v>1982394</v>
      </c>
      <c r="AL106" s="62">
        <v>70042</v>
      </c>
      <c r="AM106" s="49" t="s">
        <v>163</v>
      </c>
      <c r="AN106" s="67">
        <v>0.86</v>
      </c>
      <c r="AO106" s="62">
        <v>7166307</v>
      </c>
      <c r="AP106" s="62">
        <v>0</v>
      </c>
      <c r="AQ106" s="68" t="s">
        <v>163</v>
      </c>
      <c r="AR106" s="69">
        <f t="shared" si="261"/>
        <v>24779.924999999999</v>
      </c>
      <c r="AS106" s="70" t="str">
        <f>IFERROR(IF(#REF!&gt;0,#REF!/T106,""),"")</f>
        <v/>
      </c>
      <c r="AT106" s="70">
        <f t="shared" si="262"/>
        <v>89578.837499999994</v>
      </c>
      <c r="AU106" s="70">
        <f t="shared" si="263"/>
        <v>875.52499999999998</v>
      </c>
      <c r="AV106" s="71" t="str">
        <f t="shared" si="264"/>
        <v/>
      </c>
      <c r="AW106" s="115">
        <f t="shared" si="265"/>
        <v>52500</v>
      </c>
      <c r="AX106" s="116">
        <f t="shared" si="266"/>
        <v>69.813829787234042</v>
      </c>
      <c r="AY106" s="72">
        <f t="shared" si="267"/>
        <v>65835</v>
      </c>
      <c r="AZ106" s="73">
        <f t="shared" si="268"/>
        <v>87.546542553191486</v>
      </c>
      <c r="BA106" s="66">
        <v>677394</v>
      </c>
      <c r="BB106" s="62">
        <v>496000</v>
      </c>
      <c r="BC106" s="62">
        <v>3704000</v>
      </c>
      <c r="BD106" s="62">
        <v>420000</v>
      </c>
      <c r="BE106" s="62">
        <v>646800</v>
      </c>
      <c r="BF106" s="62">
        <v>602100</v>
      </c>
      <c r="BG106" s="62">
        <v>873786</v>
      </c>
      <c r="BH106" s="62">
        <v>925181</v>
      </c>
      <c r="BI106" s="62">
        <v>873482</v>
      </c>
      <c r="BJ106" s="47">
        <f t="shared" si="269"/>
        <v>9218743</v>
      </c>
      <c r="BK106" s="69">
        <f t="shared" si="247"/>
        <v>8467.4249999999993</v>
      </c>
      <c r="BL106" s="70">
        <f t="shared" si="248"/>
        <v>6200</v>
      </c>
      <c r="BM106" s="70">
        <f t="shared" si="249"/>
        <v>46300</v>
      </c>
      <c r="BN106" s="70">
        <f t="shared" si="250"/>
        <v>5250</v>
      </c>
      <c r="BO106" s="70">
        <f t="shared" si="251"/>
        <v>8085</v>
      </c>
      <c r="BP106" s="70">
        <f t="shared" si="257"/>
        <v>7526.25</v>
      </c>
      <c r="BQ106" s="70">
        <f t="shared" si="270"/>
        <v>10922.325000000001</v>
      </c>
      <c r="BR106" s="70">
        <f t="shared" si="241"/>
        <v>11564.762500000001</v>
      </c>
      <c r="BS106" s="70">
        <f t="shared" si="242"/>
        <v>10918.525</v>
      </c>
      <c r="BT106" s="71">
        <f t="shared" si="243"/>
        <v>115234.28750000001</v>
      </c>
      <c r="BU106" s="65">
        <f t="shared" si="252"/>
        <v>11.259873670212766</v>
      </c>
      <c r="BV106" s="48">
        <f t="shared" si="253"/>
        <v>8.2446808510638299</v>
      </c>
      <c r="BW106" s="48">
        <f t="shared" si="254"/>
        <v>61.569148936170215</v>
      </c>
      <c r="BX106" s="48">
        <f t="shared" si="255"/>
        <v>6.9813829787234045</v>
      </c>
      <c r="BY106" s="48">
        <f t="shared" si="256"/>
        <v>10.751329787234043</v>
      </c>
      <c r="BZ106" s="48">
        <f t="shared" si="258"/>
        <v>10.008311170212766</v>
      </c>
      <c r="CA106" s="48">
        <f t="shared" si="271"/>
        <v>14.52436835106383</v>
      </c>
      <c r="CB106" s="48">
        <f t="shared" si="244"/>
        <v>15.378673537234043</v>
      </c>
      <c r="CC106" s="48">
        <f t="shared" si="245"/>
        <v>14.519315159574468</v>
      </c>
      <c r="CD106" s="47">
        <f t="shared" si="246"/>
        <v>153.23708444148937</v>
      </c>
      <c r="CE106" s="66">
        <v>706176</v>
      </c>
      <c r="CF106" s="62">
        <v>12100</v>
      </c>
      <c r="CG106" s="74">
        <v>-50279</v>
      </c>
      <c r="CH106" s="75">
        <f t="shared" si="272"/>
        <v>667997</v>
      </c>
      <c r="CI106" s="62">
        <f>23110+3200</f>
        <v>26310</v>
      </c>
      <c r="CJ106" s="62">
        <v>60710</v>
      </c>
      <c r="CK106" s="62">
        <v>168040</v>
      </c>
      <c r="CL106" s="62">
        <v>53550</v>
      </c>
      <c r="CM106" s="62">
        <f>15700+66500</f>
        <v>82200</v>
      </c>
      <c r="CN106" s="62">
        <v>37731</v>
      </c>
      <c r="CO106" s="62">
        <v>62600</v>
      </c>
      <c r="CP106" s="75">
        <f t="shared" si="239"/>
        <v>491141</v>
      </c>
      <c r="CQ106" s="62">
        <v>24000</v>
      </c>
      <c r="CR106" s="75">
        <f t="shared" si="240"/>
        <v>515141</v>
      </c>
      <c r="CS106" s="75">
        <f t="shared" si="273"/>
        <v>176856</v>
      </c>
      <c r="CT106" s="62">
        <v>113739</v>
      </c>
      <c r="CU106" s="47">
        <f t="shared" si="274"/>
        <v>63117</v>
      </c>
      <c r="CV106" s="76">
        <f t="shared" si="275"/>
        <v>0.26475568004047922</v>
      </c>
      <c r="CW106" s="75">
        <f t="shared" si="276"/>
        <v>6439.2624999999998</v>
      </c>
      <c r="CX106" s="77">
        <f t="shared" si="277"/>
        <v>0.7711726250267591</v>
      </c>
      <c r="CY106" s="75">
        <f t="shared" si="278"/>
        <v>788.96249999999998</v>
      </c>
      <c r="CZ106" s="77">
        <f t="shared" si="279"/>
        <v>9.4486951288703394E-2</v>
      </c>
      <c r="DA106" s="77">
        <f t="shared" si="280"/>
        <v>0.17026872875177584</v>
      </c>
      <c r="DB106" s="47">
        <f t="shared" si="281"/>
        <v>24779.924999999999</v>
      </c>
      <c r="DC106" s="69">
        <f t="shared" si="282"/>
        <v>8827.2000000000007</v>
      </c>
      <c r="DD106" s="70">
        <f t="shared" si="283"/>
        <v>151.25</v>
      </c>
      <c r="DE106" s="70">
        <f t="shared" si="284"/>
        <v>-628.48749999999995</v>
      </c>
      <c r="DF106" s="70">
        <f t="shared" si="285"/>
        <v>8349.9624999999996</v>
      </c>
      <c r="DG106" s="70">
        <f t="shared" si="286"/>
        <v>328.875</v>
      </c>
      <c r="DH106" s="70">
        <f t="shared" si="287"/>
        <v>758.875</v>
      </c>
      <c r="DI106" s="70">
        <f t="shared" si="288"/>
        <v>2100.5</v>
      </c>
      <c r="DJ106" s="70">
        <f t="shared" si="289"/>
        <v>669.375</v>
      </c>
      <c r="DK106" s="70">
        <f t="shared" si="290"/>
        <v>1027.5</v>
      </c>
      <c r="DL106" s="70">
        <f t="shared" si="291"/>
        <v>471.63749999999999</v>
      </c>
      <c r="DM106" s="70">
        <f t="shared" si="292"/>
        <v>782.5</v>
      </c>
      <c r="DN106" s="70">
        <f t="shared" si="293"/>
        <v>6139.2624999999998</v>
      </c>
      <c r="DO106" s="70">
        <f t="shared" si="294"/>
        <v>300</v>
      </c>
      <c r="DP106" s="70">
        <f t="shared" si="295"/>
        <v>6439.2624999999998</v>
      </c>
      <c r="DQ106" s="70">
        <f t="shared" si="296"/>
        <v>2210.6999999999998</v>
      </c>
      <c r="DR106" s="70">
        <f t="shared" si="297"/>
        <v>1421.7375</v>
      </c>
      <c r="DS106" s="71">
        <f t="shared" si="298"/>
        <v>788.96249999999998</v>
      </c>
      <c r="DT106" s="106">
        <f t="shared" si="299"/>
        <v>1.0571544482984205</v>
      </c>
      <c r="DU106" s="92">
        <f t="shared" si="300"/>
        <v>1.8113853804732655E-2</v>
      </c>
      <c r="DV106" s="92" t="str">
        <f t="shared" si="301"/>
        <v/>
      </c>
      <c r="DW106" s="92">
        <f t="shared" si="302"/>
        <v>1</v>
      </c>
      <c r="DX106" s="92">
        <f t="shared" si="303"/>
        <v>3.9386404429960012E-2</v>
      </c>
      <c r="DY106" s="92">
        <f t="shared" si="304"/>
        <v>9.0883641693001616E-2</v>
      </c>
      <c r="DZ106" s="92">
        <f t="shared" si="305"/>
        <v>0.2515580159791137</v>
      </c>
      <c r="EA106" s="92">
        <f t="shared" si="306"/>
        <v>8.016503068127552E-2</v>
      </c>
      <c r="EB106" s="92">
        <f t="shared" si="307"/>
        <v>0.12305444485529127</v>
      </c>
      <c r="EC106" s="92">
        <f t="shared" si="308"/>
        <v>5.6483786603832055E-2</v>
      </c>
      <c r="ED106" s="92">
        <f t="shared" si="309"/>
        <v>9.3712995717046638E-2</v>
      </c>
      <c r="EE106" s="92">
        <f t="shared" si="310"/>
        <v>0.73524431995952078</v>
      </c>
      <c r="EF106" s="92">
        <f t="shared" si="311"/>
        <v>3.5928305067238327E-2</v>
      </c>
      <c r="EG106" s="92">
        <f t="shared" si="312"/>
        <v>0.7711726250267591</v>
      </c>
      <c r="EH106" s="92">
        <f t="shared" si="313"/>
        <v>0.26475568004047922</v>
      </c>
      <c r="EI106" s="92">
        <f t="shared" si="314"/>
        <v>0.17026872875177584</v>
      </c>
      <c r="EJ106" s="122">
        <f t="shared" si="315"/>
        <v>9.4486951288703394E-2</v>
      </c>
    </row>
    <row r="107" spans="2:140" ht="12" hidden="1" customHeight="1" outlineLevel="1">
      <c r="B107" s="121">
        <v>44980</v>
      </c>
      <c r="C107" s="117" t="s">
        <v>674</v>
      </c>
      <c r="D107" s="50" t="s">
        <v>675</v>
      </c>
      <c r="E107" s="50" t="s">
        <v>671</v>
      </c>
      <c r="F107" s="50" t="s">
        <v>533</v>
      </c>
      <c r="G107" s="50" t="s">
        <v>154</v>
      </c>
      <c r="H107" s="50" t="s">
        <v>608</v>
      </c>
      <c r="I107" s="50" t="s">
        <v>672</v>
      </c>
      <c r="J107" s="52" t="s">
        <v>676</v>
      </c>
      <c r="K107" s="50" t="s">
        <v>677</v>
      </c>
      <c r="L107" s="49">
        <v>8</v>
      </c>
      <c r="M107" s="50" t="s">
        <v>283</v>
      </c>
      <c r="N107" s="50" t="s">
        <v>160</v>
      </c>
      <c r="O107" s="50" t="s">
        <v>626</v>
      </c>
      <c r="P107" s="50" t="s">
        <v>161</v>
      </c>
      <c r="Q107" s="53">
        <v>0.09</v>
      </c>
      <c r="R107" s="49">
        <v>32</v>
      </c>
      <c r="S107" s="49">
        <v>0</v>
      </c>
      <c r="T107" s="54">
        <f t="shared" si="238"/>
        <v>32</v>
      </c>
      <c r="U107" s="55">
        <v>22308</v>
      </c>
      <c r="V107" s="49">
        <v>1.97</v>
      </c>
      <c r="W107" s="56">
        <f t="shared" si="259"/>
        <v>16.243654822335024</v>
      </c>
      <c r="X107" s="49" t="s">
        <v>678</v>
      </c>
      <c r="Y107" s="57" t="s">
        <v>249</v>
      </c>
      <c r="Z107" s="58">
        <v>1328733</v>
      </c>
      <c r="AA107" s="114">
        <f>(((475000*0.0575)/(Z107))+((258390*0.01)/(Z107))+((538102*0.01)/(Z107)))</f>
        <v>2.6549667991989361E-2</v>
      </c>
      <c r="AB107" s="59">
        <v>15</v>
      </c>
      <c r="AC107" s="60">
        <v>35</v>
      </c>
      <c r="AD107" s="61">
        <v>5.7500000000000002E-2</v>
      </c>
      <c r="AE107" s="62">
        <v>475000</v>
      </c>
      <c r="AF107" s="63">
        <v>2.0699999999999998</v>
      </c>
      <c r="AG107" s="59">
        <v>30</v>
      </c>
      <c r="AH107" s="60">
        <v>50</v>
      </c>
      <c r="AI107" s="61">
        <v>0.01</v>
      </c>
      <c r="AJ107" s="64">
        <f>258390+538102</f>
        <v>796492</v>
      </c>
      <c r="AK107" s="65">
        <f t="shared" si="260"/>
        <v>1271492</v>
      </c>
      <c r="AL107" s="62">
        <v>57241</v>
      </c>
      <c r="AM107" s="49" t="s">
        <v>163</v>
      </c>
      <c r="AN107" s="67">
        <v>0.86</v>
      </c>
      <c r="AO107" s="62">
        <v>3188518</v>
      </c>
      <c r="AP107" s="62">
        <v>0</v>
      </c>
      <c r="AQ107" s="68">
        <v>36775</v>
      </c>
      <c r="AR107" s="69">
        <f t="shared" si="261"/>
        <v>39734.125</v>
      </c>
      <c r="AS107" s="70" t="str">
        <f>IFERROR(IF(#REF!&gt;0,#REF!/T107,""),"")</f>
        <v/>
      </c>
      <c r="AT107" s="70">
        <f t="shared" si="262"/>
        <v>99641.1875</v>
      </c>
      <c r="AU107" s="70">
        <f t="shared" si="263"/>
        <v>1788.78125</v>
      </c>
      <c r="AV107" s="71">
        <f t="shared" si="264"/>
        <v>1149.21875</v>
      </c>
      <c r="AW107" s="115">
        <f t="shared" si="265"/>
        <v>52500</v>
      </c>
      <c r="AX107" s="116">
        <f t="shared" si="266"/>
        <v>75.309306078536849</v>
      </c>
      <c r="AY107" s="72">
        <f t="shared" si="267"/>
        <v>65835</v>
      </c>
      <c r="AZ107" s="73">
        <f t="shared" si="268"/>
        <v>94.437869822485212</v>
      </c>
      <c r="BA107" s="66">
        <v>892492</v>
      </c>
      <c r="BB107" s="62">
        <v>265800</v>
      </c>
      <c r="BC107" s="62">
        <v>1414200</v>
      </c>
      <c r="BD107" s="62">
        <v>168000</v>
      </c>
      <c r="BE107" s="62">
        <v>258720</v>
      </c>
      <c r="BF107" s="62">
        <v>258400</v>
      </c>
      <c r="BG107" s="62">
        <v>363252</v>
      </c>
      <c r="BH107" s="62">
        <v>502036</v>
      </c>
      <c r="BI107" s="62">
        <v>394353</v>
      </c>
      <c r="BJ107" s="47">
        <f t="shared" si="269"/>
        <v>4517253</v>
      </c>
      <c r="BK107" s="69">
        <f t="shared" si="247"/>
        <v>27890.375</v>
      </c>
      <c r="BL107" s="70">
        <f t="shared" si="248"/>
        <v>8306.25</v>
      </c>
      <c r="BM107" s="70">
        <f t="shared" si="249"/>
        <v>44193.75</v>
      </c>
      <c r="BN107" s="70">
        <f t="shared" si="250"/>
        <v>5250</v>
      </c>
      <c r="BO107" s="70">
        <f t="shared" si="251"/>
        <v>8085</v>
      </c>
      <c r="BP107" s="70">
        <f t="shared" si="257"/>
        <v>8075</v>
      </c>
      <c r="BQ107" s="70">
        <f t="shared" si="270"/>
        <v>11351.625</v>
      </c>
      <c r="BR107" s="70">
        <f t="shared" si="241"/>
        <v>15688.625</v>
      </c>
      <c r="BS107" s="70">
        <f t="shared" si="242"/>
        <v>12323.53125</v>
      </c>
      <c r="BT107" s="71">
        <f t="shared" si="243"/>
        <v>141164.15625</v>
      </c>
      <c r="BU107" s="65">
        <f t="shared" si="252"/>
        <v>40.007710238479469</v>
      </c>
      <c r="BV107" s="48">
        <f t="shared" si="253"/>
        <v>11.915008068854222</v>
      </c>
      <c r="BW107" s="48">
        <f t="shared" si="254"/>
        <v>63.394298009682622</v>
      </c>
      <c r="BX107" s="48">
        <f t="shared" si="255"/>
        <v>7.5309306078536844</v>
      </c>
      <c r="BY107" s="48">
        <f t="shared" si="256"/>
        <v>11.597633136094675</v>
      </c>
      <c r="BZ107" s="48">
        <f t="shared" si="258"/>
        <v>11.583288506365429</v>
      </c>
      <c r="CA107" s="48">
        <f t="shared" si="271"/>
        <v>16.283485745024208</v>
      </c>
      <c r="CB107" s="48">
        <f t="shared" si="244"/>
        <v>22.504751658597812</v>
      </c>
      <c r="CC107" s="48">
        <f t="shared" si="245"/>
        <v>17.677649273803119</v>
      </c>
      <c r="CD107" s="47">
        <f t="shared" si="246"/>
        <v>202.49475524475525</v>
      </c>
      <c r="CE107" s="66">
        <v>249346</v>
      </c>
      <c r="CF107" s="62">
        <v>3120</v>
      </c>
      <c r="CG107" s="74">
        <v>-17673</v>
      </c>
      <c r="CH107" s="75">
        <f t="shared" si="272"/>
        <v>234793</v>
      </c>
      <c r="CI107" s="62">
        <f>8925+1280</f>
        <v>10205</v>
      </c>
      <c r="CJ107" s="62">
        <v>24284</v>
      </c>
      <c r="CK107" s="62">
        <v>33840</v>
      </c>
      <c r="CL107" s="62">
        <v>23750</v>
      </c>
      <c r="CM107" s="62">
        <f>5188+32836</f>
        <v>38024</v>
      </c>
      <c r="CN107" s="62">
        <v>14020</v>
      </c>
      <c r="CO107" s="62">
        <v>15700</v>
      </c>
      <c r="CP107" s="75">
        <f t="shared" si="239"/>
        <v>159823</v>
      </c>
      <c r="CQ107" s="62">
        <v>9600</v>
      </c>
      <c r="CR107" s="75">
        <f t="shared" si="240"/>
        <v>169423</v>
      </c>
      <c r="CS107" s="75">
        <f t="shared" si="273"/>
        <v>74970</v>
      </c>
      <c r="CT107" s="62">
        <v>51799</v>
      </c>
      <c r="CU107" s="47">
        <f t="shared" si="274"/>
        <v>23171</v>
      </c>
      <c r="CV107" s="76">
        <f t="shared" si="275"/>
        <v>0.31930253457300684</v>
      </c>
      <c r="CW107" s="75">
        <f t="shared" si="276"/>
        <v>5294.46875</v>
      </c>
      <c r="CX107" s="77">
        <f t="shared" si="277"/>
        <v>0.72158454468404087</v>
      </c>
      <c r="CY107" s="75">
        <f t="shared" si="278"/>
        <v>724.09375</v>
      </c>
      <c r="CZ107" s="77">
        <f t="shared" si="279"/>
        <v>9.8686928485942932E-2</v>
      </c>
      <c r="DA107" s="77">
        <f t="shared" si="280"/>
        <v>0.22061560608706393</v>
      </c>
      <c r="DB107" s="47">
        <f t="shared" si="281"/>
        <v>39734.125</v>
      </c>
      <c r="DC107" s="69">
        <f t="shared" si="282"/>
        <v>7792.0625</v>
      </c>
      <c r="DD107" s="70">
        <f t="shared" si="283"/>
        <v>97.5</v>
      </c>
      <c r="DE107" s="70">
        <f t="shared" si="284"/>
        <v>-552.28125</v>
      </c>
      <c r="DF107" s="70">
        <f t="shared" si="285"/>
        <v>7337.28125</v>
      </c>
      <c r="DG107" s="70">
        <f t="shared" si="286"/>
        <v>318.90625</v>
      </c>
      <c r="DH107" s="70">
        <f t="shared" si="287"/>
        <v>758.875</v>
      </c>
      <c r="DI107" s="70">
        <f t="shared" si="288"/>
        <v>1057.5</v>
      </c>
      <c r="DJ107" s="70">
        <f t="shared" si="289"/>
        <v>742.1875</v>
      </c>
      <c r="DK107" s="70">
        <f t="shared" si="290"/>
        <v>1188.25</v>
      </c>
      <c r="DL107" s="70">
        <f t="shared" si="291"/>
        <v>438.125</v>
      </c>
      <c r="DM107" s="70">
        <f t="shared" si="292"/>
        <v>490.625</v>
      </c>
      <c r="DN107" s="70">
        <f t="shared" si="293"/>
        <v>4994.46875</v>
      </c>
      <c r="DO107" s="70">
        <f t="shared" si="294"/>
        <v>300</v>
      </c>
      <c r="DP107" s="70">
        <f t="shared" si="295"/>
        <v>5294.46875</v>
      </c>
      <c r="DQ107" s="70">
        <f t="shared" si="296"/>
        <v>2342.8125</v>
      </c>
      <c r="DR107" s="70">
        <f t="shared" si="297"/>
        <v>1618.71875</v>
      </c>
      <c r="DS107" s="71">
        <f t="shared" si="298"/>
        <v>724.09375</v>
      </c>
      <c r="DT107" s="106">
        <f t="shared" si="299"/>
        <v>1.0619822567112307</v>
      </c>
      <c r="DU107" s="92">
        <f t="shared" si="300"/>
        <v>1.3288300758540502E-2</v>
      </c>
      <c r="DV107" s="92" t="str">
        <f t="shared" si="301"/>
        <v/>
      </c>
      <c r="DW107" s="92">
        <f t="shared" si="302"/>
        <v>1</v>
      </c>
      <c r="DX107" s="92">
        <f t="shared" si="303"/>
        <v>4.3463817064392889E-2</v>
      </c>
      <c r="DY107" s="92">
        <f t="shared" si="304"/>
        <v>0.10342727423730691</v>
      </c>
      <c r="DZ107" s="92">
        <f t="shared" si="305"/>
        <v>0.14412695438109313</v>
      </c>
      <c r="EA107" s="92">
        <f t="shared" si="306"/>
        <v>0.10115293045363363</v>
      </c>
      <c r="EB107" s="92">
        <f t="shared" si="307"/>
        <v>0.16194690642395643</v>
      </c>
      <c r="EC107" s="92">
        <f t="shared" si="308"/>
        <v>5.9712171998313406E-2</v>
      </c>
      <c r="ED107" s="92">
        <f t="shared" si="309"/>
        <v>6.6867410868296756E-2</v>
      </c>
      <c r="EE107" s="92">
        <f t="shared" si="310"/>
        <v>0.68069746542699316</v>
      </c>
      <c r="EF107" s="92">
        <f t="shared" si="311"/>
        <v>4.0887079257047695E-2</v>
      </c>
      <c r="EG107" s="92">
        <f t="shared" si="312"/>
        <v>0.72158454468404087</v>
      </c>
      <c r="EH107" s="92">
        <f t="shared" si="313"/>
        <v>0.31930253457300684</v>
      </c>
      <c r="EI107" s="92">
        <f t="shared" si="314"/>
        <v>0.22061560608706393</v>
      </c>
      <c r="EJ107" s="122">
        <f t="shared" si="315"/>
        <v>9.8686928485942932E-2</v>
      </c>
    </row>
    <row r="108" spans="2:140" ht="12" hidden="1" customHeight="1" outlineLevel="1">
      <c r="B108" s="121">
        <v>44980</v>
      </c>
      <c r="C108" s="117" t="s">
        <v>679</v>
      </c>
      <c r="D108" s="50" t="s">
        <v>680</v>
      </c>
      <c r="E108" s="50" t="s">
        <v>681</v>
      </c>
      <c r="F108" s="50" t="s">
        <v>682</v>
      </c>
      <c r="G108" s="50" t="s">
        <v>154</v>
      </c>
      <c r="H108" s="50" t="s">
        <v>182</v>
      </c>
      <c r="I108" s="50" t="s">
        <v>182</v>
      </c>
      <c r="J108" s="52" t="s">
        <v>683</v>
      </c>
      <c r="K108" s="50" t="s">
        <v>684</v>
      </c>
      <c r="L108" s="49">
        <v>4</v>
      </c>
      <c r="M108" s="50" t="s">
        <v>283</v>
      </c>
      <c r="N108" s="50" t="s">
        <v>244</v>
      </c>
      <c r="O108" s="50" t="s">
        <v>283</v>
      </c>
      <c r="P108" s="50" t="s">
        <v>177</v>
      </c>
      <c r="Q108" s="53">
        <v>0.09</v>
      </c>
      <c r="R108" s="49">
        <v>44</v>
      </c>
      <c r="S108" s="49">
        <v>4</v>
      </c>
      <c r="T108" s="54">
        <f t="shared" si="238"/>
        <v>48</v>
      </c>
      <c r="U108" s="55">
        <v>43392</v>
      </c>
      <c r="V108" s="49">
        <v>11.9</v>
      </c>
      <c r="W108" s="56">
        <f t="shared" si="259"/>
        <v>4.0336134453781511</v>
      </c>
      <c r="X108" s="49" t="s">
        <v>163</v>
      </c>
      <c r="Y108" s="57" t="s">
        <v>162</v>
      </c>
      <c r="Z108" s="58">
        <v>2371771</v>
      </c>
      <c r="AA108" s="114">
        <v>4.4999999999999998E-2</v>
      </c>
      <c r="AB108" s="59">
        <v>15</v>
      </c>
      <c r="AC108" s="60">
        <v>35</v>
      </c>
      <c r="AD108" s="61">
        <v>4.4999999999999998E-2</v>
      </c>
      <c r="AE108" s="62">
        <v>2371521</v>
      </c>
      <c r="AF108" s="63">
        <v>1.2</v>
      </c>
      <c r="AG108" s="59"/>
      <c r="AH108" s="60"/>
      <c r="AI108" s="61"/>
      <c r="AJ108" s="64"/>
      <c r="AK108" s="65">
        <f t="shared" si="260"/>
        <v>2371521</v>
      </c>
      <c r="AL108" s="62">
        <v>250</v>
      </c>
      <c r="AM108" s="49" t="s">
        <v>163</v>
      </c>
      <c r="AN108" s="67">
        <v>0.87</v>
      </c>
      <c r="AO108" s="62">
        <v>9546919</v>
      </c>
      <c r="AP108" s="62">
        <v>0</v>
      </c>
      <c r="AQ108" s="68">
        <v>490145</v>
      </c>
      <c r="AR108" s="69">
        <f t="shared" si="261"/>
        <v>49406.6875</v>
      </c>
      <c r="AS108" s="70" t="str">
        <f>IFERROR(IF(#REF!&gt;0,#REF!/T108,""),"")</f>
        <v/>
      </c>
      <c r="AT108" s="70">
        <f t="shared" si="262"/>
        <v>198894.14583333334</v>
      </c>
      <c r="AU108" s="70">
        <f t="shared" si="263"/>
        <v>5.208333333333333</v>
      </c>
      <c r="AV108" s="71">
        <f t="shared" si="264"/>
        <v>10211.354166666666</v>
      </c>
      <c r="AW108" s="115">
        <f t="shared" si="265"/>
        <v>145170.16666666666</v>
      </c>
      <c r="AX108" s="116">
        <f t="shared" si="266"/>
        <v>160.58646755162241</v>
      </c>
      <c r="AY108" s="72">
        <f t="shared" si="267"/>
        <v>171412.79166666669</v>
      </c>
      <c r="AZ108" s="73">
        <f t="shared" si="268"/>
        <v>189.61591998525077</v>
      </c>
      <c r="BA108" s="66">
        <v>755000</v>
      </c>
      <c r="BB108" s="62">
        <v>2385114</v>
      </c>
      <c r="BC108" s="62">
        <v>4583054</v>
      </c>
      <c r="BD108" s="62">
        <v>401161</v>
      </c>
      <c r="BE108" s="62">
        <v>858485</v>
      </c>
      <c r="BF108" s="62">
        <v>465391</v>
      </c>
      <c r="BG108" s="62">
        <v>717905</v>
      </c>
      <c r="BH108" s="62">
        <v>1617891</v>
      </c>
      <c r="BI108" s="62">
        <v>134689</v>
      </c>
      <c r="BJ108" s="47">
        <f t="shared" si="269"/>
        <v>11918690</v>
      </c>
      <c r="BK108" s="69">
        <f t="shared" si="247"/>
        <v>15729.166666666666</v>
      </c>
      <c r="BL108" s="70">
        <f t="shared" si="248"/>
        <v>49689.875</v>
      </c>
      <c r="BM108" s="70">
        <f t="shared" si="249"/>
        <v>95480.291666666672</v>
      </c>
      <c r="BN108" s="70">
        <f t="shared" si="250"/>
        <v>8357.5208333333339</v>
      </c>
      <c r="BO108" s="70">
        <f t="shared" si="251"/>
        <v>17885.104166666668</v>
      </c>
      <c r="BP108" s="70">
        <f t="shared" si="257"/>
        <v>9695.6458333333339</v>
      </c>
      <c r="BQ108" s="70">
        <f t="shared" si="270"/>
        <v>14956.354166666666</v>
      </c>
      <c r="BR108" s="70">
        <f t="shared" si="241"/>
        <v>33706.0625</v>
      </c>
      <c r="BS108" s="70">
        <f t="shared" si="242"/>
        <v>2806.0208333333335</v>
      </c>
      <c r="BT108" s="71">
        <f t="shared" si="243"/>
        <v>248306.04166666666</v>
      </c>
      <c r="BU108" s="65">
        <f t="shared" si="252"/>
        <v>17.399520648967552</v>
      </c>
      <c r="BV108" s="48">
        <f t="shared" si="253"/>
        <v>54.966675884955755</v>
      </c>
      <c r="BW108" s="48">
        <f t="shared" si="254"/>
        <v>105.61979166666667</v>
      </c>
      <c r="BX108" s="48">
        <f t="shared" si="255"/>
        <v>9.2450451696165192</v>
      </c>
      <c r="BY108" s="48">
        <f t="shared" si="256"/>
        <v>19.784407264011801</v>
      </c>
      <c r="BZ108" s="48">
        <f t="shared" si="258"/>
        <v>10.725271939528023</v>
      </c>
      <c r="CA108" s="48">
        <f t="shared" si="271"/>
        <v>16.544639564896755</v>
      </c>
      <c r="CB108" s="48">
        <f t="shared" si="244"/>
        <v>37.285467367256636</v>
      </c>
      <c r="CC108" s="48">
        <f t="shared" si="245"/>
        <v>3.1040053466076696</v>
      </c>
      <c r="CD108" s="47">
        <f t="shared" si="246"/>
        <v>274.67482485250736</v>
      </c>
      <c r="CE108" s="66">
        <v>388380</v>
      </c>
      <c r="CF108" s="62">
        <v>8640</v>
      </c>
      <c r="CG108" s="74">
        <v>-29777</v>
      </c>
      <c r="CH108" s="75">
        <f t="shared" si="272"/>
        <v>367243</v>
      </c>
      <c r="CI108" s="62">
        <f>18480+1760</f>
        <v>20240</v>
      </c>
      <c r="CJ108" s="62">
        <v>18362</v>
      </c>
      <c r="CK108" s="62">
        <v>48000</v>
      </c>
      <c r="CL108" s="62">
        <v>28800</v>
      </c>
      <c r="CM108" s="62">
        <f>6000+19200</f>
        <v>25200</v>
      </c>
      <c r="CN108" s="62">
        <v>18225</v>
      </c>
      <c r="CO108" s="62">
        <v>34800</v>
      </c>
      <c r="CP108" s="75">
        <f t="shared" si="239"/>
        <v>193627</v>
      </c>
      <c r="CQ108" s="62">
        <v>12000</v>
      </c>
      <c r="CR108" s="75">
        <f t="shared" si="240"/>
        <v>205627</v>
      </c>
      <c r="CS108" s="75">
        <f t="shared" si="273"/>
        <v>173616</v>
      </c>
      <c r="CT108" s="62">
        <v>134284</v>
      </c>
      <c r="CU108" s="47">
        <f t="shared" si="274"/>
        <v>39332</v>
      </c>
      <c r="CV108" s="76">
        <f t="shared" si="275"/>
        <v>0.47275509676154481</v>
      </c>
      <c r="CW108" s="75">
        <f t="shared" si="276"/>
        <v>4283.895833333333</v>
      </c>
      <c r="CX108" s="77">
        <f t="shared" si="277"/>
        <v>0.55992081537292748</v>
      </c>
      <c r="CY108" s="75">
        <f t="shared" si="278"/>
        <v>819.41666666666663</v>
      </c>
      <c r="CZ108" s="77">
        <f t="shared" si="279"/>
        <v>0.10710074800608861</v>
      </c>
      <c r="DA108" s="77">
        <f t="shared" si="280"/>
        <v>0.36565434875545622</v>
      </c>
      <c r="DB108" s="47">
        <f t="shared" si="281"/>
        <v>49406.6875</v>
      </c>
      <c r="DC108" s="69">
        <f t="shared" si="282"/>
        <v>8091.25</v>
      </c>
      <c r="DD108" s="70">
        <f t="shared" si="283"/>
        <v>180</v>
      </c>
      <c r="DE108" s="70">
        <f t="shared" si="284"/>
        <v>-620.35416666666663</v>
      </c>
      <c r="DF108" s="70">
        <f t="shared" si="285"/>
        <v>7650.895833333333</v>
      </c>
      <c r="DG108" s="70">
        <f t="shared" si="286"/>
        <v>421.66666666666669</v>
      </c>
      <c r="DH108" s="70">
        <f t="shared" si="287"/>
        <v>382.54166666666669</v>
      </c>
      <c r="DI108" s="70">
        <f t="shared" si="288"/>
        <v>1000</v>
      </c>
      <c r="DJ108" s="70">
        <f t="shared" si="289"/>
        <v>600</v>
      </c>
      <c r="DK108" s="70">
        <f t="shared" si="290"/>
        <v>525</v>
      </c>
      <c r="DL108" s="70">
        <f t="shared" si="291"/>
        <v>379.6875</v>
      </c>
      <c r="DM108" s="70">
        <f t="shared" si="292"/>
        <v>725</v>
      </c>
      <c r="DN108" s="70">
        <f t="shared" si="293"/>
        <v>4033.8958333333335</v>
      </c>
      <c r="DO108" s="70">
        <f t="shared" si="294"/>
        <v>250</v>
      </c>
      <c r="DP108" s="70">
        <f t="shared" si="295"/>
        <v>4283.895833333333</v>
      </c>
      <c r="DQ108" s="70">
        <f t="shared" si="296"/>
        <v>3617</v>
      </c>
      <c r="DR108" s="70">
        <f t="shared" si="297"/>
        <v>2797.5833333333335</v>
      </c>
      <c r="DS108" s="71">
        <f t="shared" si="298"/>
        <v>819.41666666666663</v>
      </c>
      <c r="DT108" s="106">
        <f t="shared" si="299"/>
        <v>1.0575558962321949</v>
      </c>
      <c r="DU108" s="92">
        <f t="shared" si="300"/>
        <v>2.3526656736820035E-2</v>
      </c>
      <c r="DV108" s="92" t="str">
        <f t="shared" si="301"/>
        <v/>
      </c>
      <c r="DW108" s="92">
        <f t="shared" si="302"/>
        <v>1</v>
      </c>
      <c r="DX108" s="92">
        <f t="shared" si="303"/>
        <v>5.5113371800143231E-2</v>
      </c>
      <c r="DY108" s="92">
        <f t="shared" si="304"/>
        <v>4.9999591551098316E-2</v>
      </c>
      <c r="DZ108" s="92">
        <f t="shared" si="305"/>
        <v>0.13070364853788907</v>
      </c>
      <c r="EA108" s="92">
        <f t="shared" si="306"/>
        <v>7.8422189122733452E-2</v>
      </c>
      <c r="EB108" s="92">
        <f t="shared" si="307"/>
        <v>6.8619415482391768E-2</v>
      </c>
      <c r="EC108" s="92">
        <f t="shared" si="308"/>
        <v>4.9626541554229762E-2</v>
      </c>
      <c r="ED108" s="92">
        <f t="shared" si="309"/>
        <v>9.4760145189969586E-2</v>
      </c>
      <c r="EE108" s="92">
        <f t="shared" si="310"/>
        <v>0.52724490323845519</v>
      </c>
      <c r="EF108" s="92">
        <f t="shared" si="311"/>
        <v>3.2675912134472268E-2</v>
      </c>
      <c r="EG108" s="92">
        <f t="shared" si="312"/>
        <v>0.55992081537292748</v>
      </c>
      <c r="EH108" s="92">
        <f t="shared" si="313"/>
        <v>0.47275509676154481</v>
      </c>
      <c r="EI108" s="92">
        <f t="shared" si="314"/>
        <v>0.36565434875545622</v>
      </c>
      <c r="EJ108" s="122">
        <f t="shared" si="315"/>
        <v>0.10710074800608861</v>
      </c>
    </row>
    <row r="109" spans="2:140" ht="12" hidden="1" customHeight="1" outlineLevel="1">
      <c r="B109" s="121">
        <v>44981</v>
      </c>
      <c r="C109" s="117" t="s">
        <v>685</v>
      </c>
      <c r="D109" s="50" t="s">
        <v>686</v>
      </c>
      <c r="E109" s="50" t="s">
        <v>687</v>
      </c>
      <c r="F109" s="50" t="s">
        <v>688</v>
      </c>
      <c r="G109" s="50" t="s">
        <v>687</v>
      </c>
      <c r="H109" s="50" t="s">
        <v>424</v>
      </c>
      <c r="I109" s="50" t="s">
        <v>391</v>
      </c>
      <c r="J109" s="52" t="s">
        <v>175</v>
      </c>
      <c r="K109" s="50" t="s">
        <v>176</v>
      </c>
      <c r="L109" s="49">
        <v>6</v>
      </c>
      <c r="M109" s="50" t="s">
        <v>159</v>
      </c>
      <c r="N109" s="50" t="s">
        <v>160</v>
      </c>
      <c r="O109" s="50" t="s">
        <v>160</v>
      </c>
      <c r="P109" s="50" t="s">
        <v>177</v>
      </c>
      <c r="Q109" s="53">
        <v>0.09</v>
      </c>
      <c r="R109" s="49">
        <f>130-21</f>
        <v>109</v>
      </c>
      <c r="S109" s="49">
        <v>21</v>
      </c>
      <c r="T109" s="54">
        <f t="shared" si="238"/>
        <v>130</v>
      </c>
      <c r="U109" s="55">
        <v>105174</v>
      </c>
      <c r="V109" s="49">
        <v>5.44</v>
      </c>
      <c r="W109" s="56">
        <f t="shared" si="259"/>
        <v>23.897058823529409</v>
      </c>
      <c r="X109" s="49" t="s">
        <v>163</v>
      </c>
      <c r="Y109" s="57" t="s">
        <v>162</v>
      </c>
      <c r="Z109" s="58">
        <v>19500500</v>
      </c>
      <c r="AA109" s="114">
        <f>(((6500000*0.0475)/(Z109))+((13000000*0.01)/(Z109))+((500*0)/(Z109)))</f>
        <v>2.2499423091715598E-2</v>
      </c>
      <c r="AB109" s="59">
        <v>18</v>
      </c>
      <c r="AC109" s="60">
        <v>35</v>
      </c>
      <c r="AD109" s="61">
        <v>4.7500000000000001E-2</v>
      </c>
      <c r="AE109" s="62">
        <v>6500000</v>
      </c>
      <c r="AF109" s="63">
        <v>1.2</v>
      </c>
      <c r="AG109" s="59">
        <v>40</v>
      </c>
      <c r="AH109" s="60">
        <v>0</v>
      </c>
      <c r="AI109" s="61">
        <v>0.01</v>
      </c>
      <c r="AJ109" s="64">
        <v>13000000</v>
      </c>
      <c r="AK109" s="65">
        <f t="shared" si="260"/>
        <v>19500000</v>
      </c>
      <c r="AL109" s="62">
        <v>13000500</v>
      </c>
      <c r="AM109" s="49" t="s">
        <v>163</v>
      </c>
      <c r="AN109" s="67">
        <v>0.91</v>
      </c>
      <c r="AO109" s="62">
        <v>13775599</v>
      </c>
      <c r="AP109" s="62">
        <v>0</v>
      </c>
      <c r="AQ109" s="68">
        <v>126964</v>
      </c>
      <c r="AR109" s="69">
        <f t="shared" si="261"/>
        <v>150000</v>
      </c>
      <c r="AS109" s="70" t="str">
        <f>IFERROR(IF(#REF!&gt;0,#REF!/T109,""),"")</f>
        <v/>
      </c>
      <c r="AT109" s="70">
        <f t="shared" si="262"/>
        <v>105966.14615384616</v>
      </c>
      <c r="AU109" s="70">
        <f t="shared" si="263"/>
        <v>100003.84615384616</v>
      </c>
      <c r="AV109" s="71">
        <f t="shared" si="264"/>
        <v>976.64615384615388</v>
      </c>
      <c r="AW109" s="115">
        <f t="shared" si="265"/>
        <v>135203.9846153846</v>
      </c>
      <c r="AX109" s="116">
        <f t="shared" si="266"/>
        <v>167.11847034438168</v>
      </c>
      <c r="AY109" s="72">
        <f t="shared" si="267"/>
        <v>163840.06923076921</v>
      </c>
      <c r="AZ109" s="73">
        <f t="shared" si="268"/>
        <v>202.51401487059539</v>
      </c>
      <c r="BA109" s="66">
        <v>3760000</v>
      </c>
      <c r="BB109" s="62">
        <v>2465591</v>
      </c>
      <c r="BC109" s="62">
        <v>15110927</v>
      </c>
      <c r="BD109" s="62">
        <v>1254832</v>
      </c>
      <c r="BE109" s="62">
        <v>2467859</v>
      </c>
      <c r="BF109" s="62">
        <v>2355171</v>
      </c>
      <c r="BG109" s="62">
        <v>1311780</v>
      </c>
      <c r="BH109" s="62">
        <v>3562225</v>
      </c>
      <c r="BI109" s="62">
        <v>638064</v>
      </c>
      <c r="BJ109" s="47">
        <f t="shared" si="269"/>
        <v>32926449</v>
      </c>
      <c r="BK109" s="69">
        <f t="shared" si="247"/>
        <v>28923.076923076922</v>
      </c>
      <c r="BL109" s="70">
        <f t="shared" si="248"/>
        <v>18966.084615384614</v>
      </c>
      <c r="BM109" s="70">
        <f t="shared" si="249"/>
        <v>116237.9</v>
      </c>
      <c r="BN109" s="70">
        <f t="shared" si="250"/>
        <v>9652.5538461538454</v>
      </c>
      <c r="BO109" s="70">
        <f t="shared" si="251"/>
        <v>18983.530769230769</v>
      </c>
      <c r="BP109" s="70">
        <f t="shared" si="257"/>
        <v>18116.7</v>
      </c>
      <c r="BQ109" s="70">
        <f t="shared" si="270"/>
        <v>10090.615384615385</v>
      </c>
      <c r="BR109" s="70">
        <f t="shared" si="241"/>
        <v>27401.73076923077</v>
      </c>
      <c r="BS109" s="70">
        <f t="shared" si="242"/>
        <v>4908.1846153846154</v>
      </c>
      <c r="BT109" s="71">
        <f t="shared" si="243"/>
        <v>253280.37692307692</v>
      </c>
      <c r="BU109" s="65">
        <f t="shared" si="252"/>
        <v>35.750280487572972</v>
      </c>
      <c r="BV109" s="48">
        <f t="shared" si="253"/>
        <v>23.442970696179664</v>
      </c>
      <c r="BW109" s="48">
        <f t="shared" si="254"/>
        <v>143.67549964820202</v>
      </c>
      <c r="BX109" s="48">
        <f t="shared" si="255"/>
        <v>11.931009565101641</v>
      </c>
      <c r="BY109" s="48">
        <f t="shared" si="256"/>
        <v>23.464534961112061</v>
      </c>
      <c r="BZ109" s="48">
        <f t="shared" si="258"/>
        <v>22.393091448456843</v>
      </c>
      <c r="CA109" s="48">
        <f t="shared" si="271"/>
        <v>12.472474185635233</v>
      </c>
      <c r="CB109" s="48">
        <f t="shared" si="244"/>
        <v>33.86982524197996</v>
      </c>
      <c r="CC109" s="48">
        <f t="shared" si="245"/>
        <v>6.0667465343145643</v>
      </c>
      <c r="CD109" s="47">
        <f t="shared" si="246"/>
        <v>313.06643276855499</v>
      </c>
      <c r="CE109" s="66">
        <v>1284504</v>
      </c>
      <c r="CF109" s="62">
        <v>15600</v>
      </c>
      <c r="CG109" s="74">
        <v>-97508</v>
      </c>
      <c r="CH109" s="75">
        <f t="shared" si="272"/>
        <v>1202596</v>
      </c>
      <c r="CI109" s="62">
        <f>54700+6000+4360</f>
        <v>65060</v>
      </c>
      <c r="CJ109" s="62">
        <v>48104</v>
      </c>
      <c r="CK109" s="62">
        <v>192510</v>
      </c>
      <c r="CL109" s="62">
        <f>91650+12000</f>
        <v>103650</v>
      </c>
      <c r="CM109" s="62">
        <f>26650+81640</f>
        <v>108290</v>
      </c>
      <c r="CN109" s="62">
        <v>75212</v>
      </c>
      <c r="CO109" s="62">
        <v>111033</v>
      </c>
      <c r="CP109" s="75">
        <f t="shared" si="239"/>
        <v>703859</v>
      </c>
      <c r="CQ109" s="62">
        <v>39000</v>
      </c>
      <c r="CR109" s="75">
        <f t="shared" si="240"/>
        <v>742859</v>
      </c>
      <c r="CS109" s="75">
        <f t="shared" si="273"/>
        <v>498737</v>
      </c>
      <c r="CT109" s="62">
        <f>3270+380000</f>
        <v>383270</v>
      </c>
      <c r="CU109" s="47">
        <f t="shared" si="274"/>
        <v>115467</v>
      </c>
      <c r="CV109" s="76">
        <f t="shared" si="275"/>
        <v>0.41471699556625835</v>
      </c>
      <c r="CW109" s="75">
        <f t="shared" si="276"/>
        <v>5714.3</v>
      </c>
      <c r="CX109" s="77">
        <f t="shared" si="277"/>
        <v>0.61771284787243597</v>
      </c>
      <c r="CY109" s="75">
        <f t="shared" si="278"/>
        <v>888.20769230769235</v>
      </c>
      <c r="CZ109" s="77">
        <f t="shared" si="279"/>
        <v>9.6014788008608049E-2</v>
      </c>
      <c r="DA109" s="77">
        <f t="shared" si="280"/>
        <v>0.31870220755765027</v>
      </c>
      <c r="DB109" s="47">
        <f t="shared" si="281"/>
        <v>150000</v>
      </c>
      <c r="DC109" s="69">
        <f t="shared" si="282"/>
        <v>9880.7999999999993</v>
      </c>
      <c r="DD109" s="70">
        <f t="shared" si="283"/>
        <v>120</v>
      </c>
      <c r="DE109" s="70">
        <f t="shared" si="284"/>
        <v>-750.06153846153848</v>
      </c>
      <c r="DF109" s="70">
        <f t="shared" si="285"/>
        <v>9250.7384615384617</v>
      </c>
      <c r="DG109" s="70">
        <f t="shared" si="286"/>
        <v>500.46153846153845</v>
      </c>
      <c r="DH109" s="70">
        <f t="shared" si="287"/>
        <v>370.03076923076924</v>
      </c>
      <c r="DI109" s="70">
        <f t="shared" si="288"/>
        <v>1480.8461538461538</v>
      </c>
      <c r="DJ109" s="70">
        <f t="shared" si="289"/>
        <v>797.30769230769226</v>
      </c>
      <c r="DK109" s="70">
        <f t="shared" si="290"/>
        <v>833</v>
      </c>
      <c r="DL109" s="70">
        <f t="shared" si="291"/>
        <v>578.55384615384617</v>
      </c>
      <c r="DM109" s="70">
        <f t="shared" si="292"/>
        <v>854.1</v>
      </c>
      <c r="DN109" s="70">
        <f t="shared" si="293"/>
        <v>5414.3</v>
      </c>
      <c r="DO109" s="70">
        <f t="shared" si="294"/>
        <v>300</v>
      </c>
      <c r="DP109" s="70">
        <f t="shared" si="295"/>
        <v>5714.3</v>
      </c>
      <c r="DQ109" s="70">
        <f t="shared" si="296"/>
        <v>3836.4384615384615</v>
      </c>
      <c r="DR109" s="70">
        <f t="shared" si="297"/>
        <v>2948.2307692307691</v>
      </c>
      <c r="DS109" s="71">
        <f t="shared" si="298"/>
        <v>888.20769230769235</v>
      </c>
      <c r="DT109" s="106">
        <f t="shared" si="299"/>
        <v>1.0681093234968351</v>
      </c>
      <c r="DU109" s="92">
        <f t="shared" si="300"/>
        <v>1.2971937375477716E-2</v>
      </c>
      <c r="DV109" s="92" t="str">
        <f t="shared" si="301"/>
        <v/>
      </c>
      <c r="DW109" s="92">
        <f t="shared" si="302"/>
        <v>1</v>
      </c>
      <c r="DX109" s="92">
        <f t="shared" si="303"/>
        <v>5.4099631131319249E-2</v>
      </c>
      <c r="DY109" s="92">
        <f t="shared" si="304"/>
        <v>4.0000133045511546E-2</v>
      </c>
      <c r="DZ109" s="92">
        <f t="shared" si="305"/>
        <v>0.16007869642007791</v>
      </c>
      <c r="EA109" s="92">
        <f t="shared" si="306"/>
        <v>8.6188545446683668E-2</v>
      </c>
      <c r="EB109" s="92">
        <f t="shared" si="307"/>
        <v>9.0046865281441152E-2</v>
      </c>
      <c r="EC109" s="92">
        <f t="shared" si="308"/>
        <v>6.2541368838745517E-2</v>
      </c>
      <c r="ED109" s="92">
        <f t="shared" si="309"/>
        <v>9.2327764269962642E-2</v>
      </c>
      <c r="EE109" s="92">
        <f t="shared" si="310"/>
        <v>0.5852830044337417</v>
      </c>
      <c r="EF109" s="92">
        <f t="shared" si="311"/>
        <v>3.2429843438694289E-2</v>
      </c>
      <c r="EG109" s="92">
        <f t="shared" si="312"/>
        <v>0.61771284787243597</v>
      </c>
      <c r="EH109" s="92">
        <f t="shared" si="313"/>
        <v>0.41471699556625835</v>
      </c>
      <c r="EI109" s="92">
        <f t="shared" si="314"/>
        <v>0.31870220755765027</v>
      </c>
      <c r="EJ109" s="122">
        <f t="shared" si="315"/>
        <v>9.6014788008608049E-2</v>
      </c>
    </row>
    <row r="110" spans="2:140" ht="12" hidden="1" customHeight="1" outlineLevel="1">
      <c r="B110" s="121">
        <v>44981</v>
      </c>
      <c r="C110" s="117" t="s">
        <v>689</v>
      </c>
      <c r="D110" s="50" t="s">
        <v>690</v>
      </c>
      <c r="E110" s="50" t="s">
        <v>691</v>
      </c>
      <c r="F110" s="50" t="s">
        <v>180</v>
      </c>
      <c r="G110" s="50" t="s">
        <v>154</v>
      </c>
      <c r="H110" s="50" t="s">
        <v>573</v>
      </c>
      <c r="I110" s="50" t="s">
        <v>573</v>
      </c>
      <c r="J110" s="52" t="s">
        <v>183</v>
      </c>
      <c r="K110" s="50" t="s">
        <v>184</v>
      </c>
      <c r="L110" s="49">
        <v>9</v>
      </c>
      <c r="M110" s="50" t="s">
        <v>159</v>
      </c>
      <c r="N110" s="50" t="s">
        <v>160</v>
      </c>
      <c r="O110" s="50" t="s">
        <v>318</v>
      </c>
      <c r="P110" s="50" t="s">
        <v>177</v>
      </c>
      <c r="Q110" s="53">
        <v>0.09</v>
      </c>
      <c r="R110" s="49">
        <v>80</v>
      </c>
      <c r="S110" s="49">
        <v>12</v>
      </c>
      <c r="T110" s="54">
        <f t="shared" si="238"/>
        <v>92</v>
      </c>
      <c r="U110" s="55">
        <v>91128</v>
      </c>
      <c r="V110" s="49">
        <v>6.19</v>
      </c>
      <c r="W110" s="56">
        <f t="shared" si="259"/>
        <v>14.862681744749596</v>
      </c>
      <c r="X110" s="49" t="s">
        <v>163</v>
      </c>
      <c r="Y110" s="57" t="s">
        <v>162</v>
      </c>
      <c r="Z110" s="58">
        <v>5750500</v>
      </c>
      <c r="AA110" s="114">
        <v>4.4299999999999999E-2</v>
      </c>
      <c r="AB110" s="59">
        <v>18</v>
      </c>
      <c r="AC110" s="60">
        <v>35</v>
      </c>
      <c r="AD110" s="61">
        <v>4.4299999999999999E-2</v>
      </c>
      <c r="AE110" s="62">
        <v>5750000</v>
      </c>
      <c r="AF110" s="63">
        <v>1.1599999999999999</v>
      </c>
      <c r="AG110" s="59"/>
      <c r="AH110" s="60"/>
      <c r="AI110" s="61"/>
      <c r="AJ110" s="64"/>
      <c r="AK110" s="65">
        <f t="shared" si="260"/>
        <v>5750000</v>
      </c>
      <c r="AL110" s="62">
        <v>500</v>
      </c>
      <c r="AM110" s="49" t="s">
        <v>163</v>
      </c>
      <c r="AN110" s="67">
        <v>0.93</v>
      </c>
      <c r="AO110" s="62">
        <v>14433480</v>
      </c>
      <c r="AP110" s="62">
        <v>0</v>
      </c>
      <c r="AQ110" s="68">
        <v>484875</v>
      </c>
      <c r="AR110" s="69">
        <f t="shared" si="261"/>
        <v>62500</v>
      </c>
      <c r="AS110" s="70" t="str">
        <f>IFERROR(IF(#REF!&gt;0,#REF!/T110,""),"")</f>
        <v/>
      </c>
      <c r="AT110" s="70">
        <f t="shared" si="262"/>
        <v>156885.65217391305</v>
      </c>
      <c r="AU110" s="70">
        <f t="shared" si="263"/>
        <v>5.4347826086956523</v>
      </c>
      <c r="AV110" s="71">
        <f t="shared" si="264"/>
        <v>5270.380434782609</v>
      </c>
      <c r="AW110" s="115">
        <f t="shared" si="265"/>
        <v>111193.22826086957</v>
      </c>
      <c r="AX110" s="116">
        <f t="shared" si="266"/>
        <v>112.2572315863401</v>
      </c>
      <c r="AY110" s="72">
        <f t="shared" si="267"/>
        <v>135633.47826086957</v>
      </c>
      <c r="AZ110" s="73">
        <f t="shared" si="268"/>
        <v>136.93134931085945</v>
      </c>
      <c r="BA110" s="66">
        <v>2041875</v>
      </c>
      <c r="BB110" s="62">
        <v>2178920</v>
      </c>
      <c r="BC110" s="62">
        <v>8050857</v>
      </c>
      <c r="BD110" s="62">
        <v>716084</v>
      </c>
      <c r="BE110" s="62">
        <v>1532419</v>
      </c>
      <c r="BF110" s="62">
        <v>1908500</v>
      </c>
      <c r="BG110" s="62">
        <v>1032078</v>
      </c>
      <c r="BH110" s="62">
        <v>2263247</v>
      </c>
      <c r="BI110" s="62">
        <v>460000</v>
      </c>
      <c r="BJ110" s="47">
        <f t="shared" si="269"/>
        <v>20183980</v>
      </c>
      <c r="BK110" s="69">
        <f t="shared" si="247"/>
        <v>22194.293478260868</v>
      </c>
      <c r="BL110" s="70">
        <f t="shared" si="248"/>
        <v>23683.91304347826</v>
      </c>
      <c r="BM110" s="70">
        <f t="shared" si="249"/>
        <v>87509.315217391311</v>
      </c>
      <c r="BN110" s="70">
        <f t="shared" si="250"/>
        <v>7783.521739130435</v>
      </c>
      <c r="BO110" s="70">
        <f t="shared" si="251"/>
        <v>16656.728260869564</v>
      </c>
      <c r="BP110" s="70">
        <f t="shared" si="257"/>
        <v>20744.565217391304</v>
      </c>
      <c r="BQ110" s="70">
        <f t="shared" si="270"/>
        <v>11218.239130434782</v>
      </c>
      <c r="BR110" s="70">
        <f t="shared" si="241"/>
        <v>24600.510869565216</v>
      </c>
      <c r="BS110" s="70">
        <f t="shared" si="242"/>
        <v>5000</v>
      </c>
      <c r="BT110" s="71">
        <f t="shared" si="243"/>
        <v>219391.08695652173</v>
      </c>
      <c r="BU110" s="65">
        <f t="shared" si="252"/>
        <v>22.406669739267844</v>
      </c>
      <c r="BV110" s="48">
        <f t="shared" si="253"/>
        <v>23.910543411465191</v>
      </c>
      <c r="BW110" s="48">
        <f t="shared" si="254"/>
        <v>88.346688174874899</v>
      </c>
      <c r="BX110" s="48">
        <f t="shared" si="255"/>
        <v>7.8580019313493112</v>
      </c>
      <c r="BY110" s="48">
        <f t="shared" si="256"/>
        <v>16.816115793170045</v>
      </c>
      <c r="BZ110" s="48">
        <f t="shared" si="258"/>
        <v>20.943069089632164</v>
      </c>
      <c r="CA110" s="48">
        <f t="shared" si="271"/>
        <v>11.325585988938636</v>
      </c>
      <c r="CB110" s="48">
        <f t="shared" si="244"/>
        <v>24.835912123606356</v>
      </c>
      <c r="CC110" s="48">
        <f t="shared" si="245"/>
        <v>5.047844789746291</v>
      </c>
      <c r="CD110" s="47">
        <f t="shared" si="246"/>
        <v>221.49043104205074</v>
      </c>
      <c r="CE110" s="66">
        <v>866364</v>
      </c>
      <c r="CF110" s="62">
        <v>16560</v>
      </c>
      <c r="CG110" s="74">
        <v>-66219</v>
      </c>
      <c r="CH110" s="75">
        <f t="shared" si="272"/>
        <v>816705</v>
      </c>
      <c r="CI110" s="62">
        <f>39500+13200</f>
        <v>52700</v>
      </c>
      <c r="CJ110" s="62">
        <v>40916</v>
      </c>
      <c r="CK110" s="62">
        <v>119000</v>
      </c>
      <c r="CL110" s="62">
        <f>61500</f>
        <v>61500</v>
      </c>
      <c r="CM110" s="62">
        <f>20000+36000</f>
        <v>56000</v>
      </c>
      <c r="CN110" s="62">
        <v>40000</v>
      </c>
      <c r="CO110" s="62">
        <v>48500</v>
      </c>
      <c r="CP110" s="75">
        <f t="shared" si="239"/>
        <v>418616</v>
      </c>
      <c r="CQ110" s="62">
        <v>23000</v>
      </c>
      <c r="CR110" s="75">
        <f t="shared" si="240"/>
        <v>441616</v>
      </c>
      <c r="CS110" s="75">
        <f t="shared" si="273"/>
        <v>398089</v>
      </c>
      <c r="CT110" s="62">
        <v>323562</v>
      </c>
      <c r="CU110" s="47">
        <f t="shared" si="274"/>
        <v>74527</v>
      </c>
      <c r="CV110" s="76">
        <f t="shared" si="275"/>
        <v>0.48743303885735978</v>
      </c>
      <c r="CW110" s="75">
        <f t="shared" si="276"/>
        <v>4800.173913043478</v>
      </c>
      <c r="CX110" s="77">
        <f t="shared" si="277"/>
        <v>0.54072890456162259</v>
      </c>
      <c r="CY110" s="75">
        <f t="shared" si="278"/>
        <v>810.07608695652175</v>
      </c>
      <c r="CZ110" s="77">
        <f t="shared" si="279"/>
        <v>9.125326770376084E-2</v>
      </c>
      <c r="DA110" s="77">
        <f t="shared" si="280"/>
        <v>0.39617977115359893</v>
      </c>
      <c r="DB110" s="47">
        <f t="shared" si="281"/>
        <v>62500</v>
      </c>
      <c r="DC110" s="69">
        <f t="shared" si="282"/>
        <v>9417</v>
      </c>
      <c r="DD110" s="70">
        <f t="shared" si="283"/>
        <v>180</v>
      </c>
      <c r="DE110" s="70">
        <f t="shared" si="284"/>
        <v>-719.77173913043475</v>
      </c>
      <c r="DF110" s="70">
        <f t="shared" si="285"/>
        <v>8877.2282608695659</v>
      </c>
      <c r="DG110" s="70">
        <f t="shared" si="286"/>
        <v>572.82608695652175</v>
      </c>
      <c r="DH110" s="70">
        <f t="shared" si="287"/>
        <v>444.73913043478262</v>
      </c>
      <c r="DI110" s="70">
        <f t="shared" si="288"/>
        <v>1293.4782608695652</v>
      </c>
      <c r="DJ110" s="70">
        <f t="shared" si="289"/>
        <v>668.47826086956525</v>
      </c>
      <c r="DK110" s="70">
        <f t="shared" si="290"/>
        <v>608.695652173913</v>
      </c>
      <c r="DL110" s="70">
        <f t="shared" si="291"/>
        <v>434.78260869565219</v>
      </c>
      <c r="DM110" s="70">
        <f t="shared" si="292"/>
        <v>527.17391304347825</v>
      </c>
      <c r="DN110" s="70">
        <f t="shared" si="293"/>
        <v>4550.173913043478</v>
      </c>
      <c r="DO110" s="70">
        <f t="shared" si="294"/>
        <v>250</v>
      </c>
      <c r="DP110" s="70">
        <f t="shared" si="295"/>
        <v>4800.173913043478</v>
      </c>
      <c r="DQ110" s="70">
        <f t="shared" si="296"/>
        <v>4327.054347826087</v>
      </c>
      <c r="DR110" s="70">
        <f t="shared" si="297"/>
        <v>3516.978260869565</v>
      </c>
      <c r="DS110" s="71">
        <f t="shared" si="298"/>
        <v>810.07608695652175</v>
      </c>
      <c r="DT110" s="106">
        <f t="shared" si="299"/>
        <v>1.0608040847062281</v>
      </c>
      <c r="DU110" s="92">
        <f t="shared" si="300"/>
        <v>2.0276599261667309E-2</v>
      </c>
      <c r="DV110" s="92" t="str">
        <f t="shared" si="301"/>
        <v/>
      </c>
      <c r="DW110" s="92">
        <f t="shared" si="302"/>
        <v>1</v>
      </c>
      <c r="DX110" s="92">
        <f t="shared" si="303"/>
        <v>6.4527583399146576E-2</v>
      </c>
      <c r="DY110" s="92">
        <f t="shared" si="304"/>
        <v>5.0098872910047082E-2</v>
      </c>
      <c r="DZ110" s="92">
        <f t="shared" si="305"/>
        <v>0.14570744638516966</v>
      </c>
      <c r="EA110" s="92">
        <f t="shared" si="306"/>
        <v>7.5302587837713736E-2</v>
      </c>
      <c r="EB110" s="92">
        <f t="shared" si="307"/>
        <v>6.8568210063609261E-2</v>
      </c>
      <c r="EC110" s="92">
        <f t="shared" si="308"/>
        <v>4.8977292902578046E-2</v>
      </c>
      <c r="ED110" s="92">
        <f t="shared" si="309"/>
        <v>5.9384967644375876E-2</v>
      </c>
      <c r="EE110" s="92">
        <f t="shared" si="310"/>
        <v>0.51256696114264022</v>
      </c>
      <c r="EF110" s="92">
        <f t="shared" si="311"/>
        <v>2.8161943418982375E-2</v>
      </c>
      <c r="EG110" s="92">
        <f t="shared" si="312"/>
        <v>0.54072890456162259</v>
      </c>
      <c r="EH110" s="92">
        <f t="shared" si="313"/>
        <v>0.48743303885735978</v>
      </c>
      <c r="EI110" s="92">
        <f t="shared" si="314"/>
        <v>0.39617977115359893</v>
      </c>
      <c r="EJ110" s="122">
        <f t="shared" si="315"/>
        <v>9.125326770376084E-2</v>
      </c>
    </row>
    <row r="111" spans="2:140" ht="12" hidden="1" customHeight="1" outlineLevel="1">
      <c r="B111" s="121">
        <v>44981</v>
      </c>
      <c r="C111" s="117" t="s">
        <v>692</v>
      </c>
      <c r="D111" s="50" t="s">
        <v>693</v>
      </c>
      <c r="E111" s="50" t="s">
        <v>583</v>
      </c>
      <c r="F111" s="50" t="s">
        <v>584</v>
      </c>
      <c r="G111" s="50" t="s">
        <v>585</v>
      </c>
      <c r="H111" s="50" t="s">
        <v>694</v>
      </c>
      <c r="I111" s="50" t="s">
        <v>547</v>
      </c>
      <c r="J111" s="52" t="s">
        <v>409</v>
      </c>
      <c r="K111" s="50" t="s">
        <v>410</v>
      </c>
      <c r="L111" s="49">
        <v>8</v>
      </c>
      <c r="M111" s="50" t="s">
        <v>159</v>
      </c>
      <c r="N111" s="50" t="s">
        <v>160</v>
      </c>
      <c r="O111" s="50" t="s">
        <v>160</v>
      </c>
      <c r="P111" s="50" t="s">
        <v>177</v>
      </c>
      <c r="Q111" s="53">
        <v>0.09</v>
      </c>
      <c r="R111" s="49">
        <v>90</v>
      </c>
      <c r="S111" s="49">
        <v>90</v>
      </c>
      <c r="T111" s="54">
        <f t="shared" si="238"/>
        <v>180</v>
      </c>
      <c r="U111" s="55">
        <v>166770</v>
      </c>
      <c r="V111" s="49">
        <v>9.92</v>
      </c>
      <c r="W111" s="56">
        <f t="shared" si="259"/>
        <v>18.14516129032258</v>
      </c>
      <c r="X111" s="49" t="s">
        <v>163</v>
      </c>
      <c r="Y111" s="57" t="s">
        <v>162</v>
      </c>
      <c r="Z111" s="58">
        <v>15600000</v>
      </c>
      <c r="AA111" s="114">
        <v>4.3999999999999997E-2</v>
      </c>
      <c r="AB111" s="59">
        <v>15</v>
      </c>
      <c r="AC111" s="60">
        <v>35</v>
      </c>
      <c r="AD111" s="61">
        <v>4.3999999999999997E-2</v>
      </c>
      <c r="AE111" s="62">
        <v>15600000</v>
      </c>
      <c r="AF111" s="63">
        <v>1.18</v>
      </c>
      <c r="AG111" s="59"/>
      <c r="AH111" s="60"/>
      <c r="AI111" s="61"/>
      <c r="AJ111" s="64"/>
      <c r="AK111" s="65">
        <f t="shared" si="260"/>
        <v>15600000</v>
      </c>
      <c r="AL111" s="62">
        <v>0</v>
      </c>
      <c r="AM111" s="49" t="s">
        <v>163</v>
      </c>
      <c r="AN111" s="67">
        <v>0.92</v>
      </c>
      <c r="AO111" s="62">
        <v>15380791</v>
      </c>
      <c r="AP111" s="62">
        <v>0</v>
      </c>
      <c r="AQ111" s="68">
        <v>1582171</v>
      </c>
      <c r="AR111" s="69">
        <f t="shared" si="261"/>
        <v>86666.666666666672</v>
      </c>
      <c r="AS111" s="70" t="str">
        <f>IFERROR(IF(#REF!&gt;0,#REF!/T111,""),"")</f>
        <v/>
      </c>
      <c r="AT111" s="70">
        <f t="shared" si="262"/>
        <v>85448.838888888888</v>
      </c>
      <c r="AU111" s="70" t="str">
        <f t="shared" si="263"/>
        <v/>
      </c>
      <c r="AV111" s="71">
        <f t="shared" si="264"/>
        <v>8789.8388888888894</v>
      </c>
      <c r="AW111" s="115">
        <f t="shared" si="265"/>
        <v>100478.66666666667</v>
      </c>
      <c r="AX111" s="116">
        <f t="shared" si="266"/>
        <v>108.44972117287281</v>
      </c>
      <c r="AY111" s="72">
        <f t="shared" si="267"/>
        <v>120272.96111111112</v>
      </c>
      <c r="AZ111" s="73">
        <f t="shared" si="268"/>
        <v>129.81431312586196</v>
      </c>
      <c r="BA111" s="66">
        <v>2010000</v>
      </c>
      <c r="BB111" s="62">
        <v>2793000</v>
      </c>
      <c r="BC111" s="62">
        <v>15293160</v>
      </c>
      <c r="BD111" s="62">
        <v>904308</v>
      </c>
      <c r="BE111" s="62">
        <v>2658665</v>
      </c>
      <c r="BF111" s="62">
        <v>1338831</v>
      </c>
      <c r="BG111" s="62">
        <v>1551567</v>
      </c>
      <c r="BH111" s="62">
        <v>3526551</v>
      </c>
      <c r="BI111" s="62">
        <v>904709</v>
      </c>
      <c r="BJ111" s="47">
        <f t="shared" si="269"/>
        <v>30980791</v>
      </c>
      <c r="BK111" s="69">
        <f t="shared" si="247"/>
        <v>11166.666666666666</v>
      </c>
      <c r="BL111" s="70">
        <f t="shared" si="248"/>
        <v>15516.666666666666</v>
      </c>
      <c r="BM111" s="70">
        <f t="shared" si="249"/>
        <v>84962</v>
      </c>
      <c r="BN111" s="70">
        <f t="shared" si="250"/>
        <v>5023.9333333333334</v>
      </c>
      <c r="BO111" s="70">
        <f t="shared" si="251"/>
        <v>14770.361111111111</v>
      </c>
      <c r="BP111" s="70">
        <f t="shared" si="257"/>
        <v>7437.95</v>
      </c>
      <c r="BQ111" s="70">
        <f t="shared" si="270"/>
        <v>8619.8166666666675</v>
      </c>
      <c r="BR111" s="70">
        <f t="shared" si="241"/>
        <v>19591.95</v>
      </c>
      <c r="BS111" s="70">
        <f t="shared" si="242"/>
        <v>5026.1611111111115</v>
      </c>
      <c r="BT111" s="71">
        <f t="shared" si="243"/>
        <v>172115.50555555554</v>
      </c>
      <c r="BU111" s="65">
        <f t="shared" si="252"/>
        <v>12.052527432991544</v>
      </c>
      <c r="BV111" s="48">
        <f t="shared" si="253"/>
        <v>16.747616477783772</v>
      </c>
      <c r="BW111" s="48">
        <f t="shared" si="254"/>
        <v>91.702104695089048</v>
      </c>
      <c r="BX111" s="48">
        <f t="shared" si="255"/>
        <v>5.4224860586436412</v>
      </c>
      <c r="BY111" s="48">
        <f t="shared" si="256"/>
        <v>15.942105894345506</v>
      </c>
      <c r="BZ111" s="48">
        <f t="shared" si="258"/>
        <v>8.02800863464652</v>
      </c>
      <c r="CA111" s="48">
        <f t="shared" si="271"/>
        <v>9.3036337470768125</v>
      </c>
      <c r="CB111" s="48">
        <f t="shared" si="244"/>
        <v>21.146195358877495</v>
      </c>
      <c r="CC111" s="48">
        <f t="shared" si="245"/>
        <v>5.4248905678479344</v>
      </c>
      <c r="CD111" s="47">
        <f t="shared" si="246"/>
        <v>185.76956886730227</v>
      </c>
      <c r="CE111" s="66">
        <v>1979376</v>
      </c>
      <c r="CF111" s="62">
        <v>43200</v>
      </c>
      <c r="CG111" s="74">
        <v>-151693</v>
      </c>
      <c r="CH111" s="75">
        <f t="shared" si="272"/>
        <v>1870883</v>
      </c>
      <c r="CI111" s="62">
        <f>67024+2050+4320</f>
        <v>73394</v>
      </c>
      <c r="CJ111" s="62">
        <v>74800</v>
      </c>
      <c r="CK111" s="62">
        <v>211000</v>
      </c>
      <c r="CL111" s="62">
        <f>75870+8000</f>
        <v>83870</v>
      </c>
      <c r="CM111" s="62">
        <f>30000+97000+1200</f>
        <v>128200</v>
      </c>
      <c r="CN111" s="62">
        <v>72000</v>
      </c>
      <c r="CO111" s="62">
        <v>154865</v>
      </c>
      <c r="CP111" s="75">
        <f t="shared" si="239"/>
        <v>798129</v>
      </c>
      <c r="CQ111" s="62">
        <v>45000</v>
      </c>
      <c r="CR111" s="75">
        <f t="shared" si="240"/>
        <v>843129</v>
      </c>
      <c r="CS111" s="75">
        <f t="shared" si="273"/>
        <v>1072754</v>
      </c>
      <c r="CT111" s="62">
        <v>874379</v>
      </c>
      <c r="CU111" s="47">
        <f t="shared" si="274"/>
        <v>198375</v>
      </c>
      <c r="CV111" s="76">
        <f t="shared" si="275"/>
        <v>0.57339448805724358</v>
      </c>
      <c r="CW111" s="75">
        <f t="shared" si="276"/>
        <v>4684.05</v>
      </c>
      <c r="CX111" s="77">
        <f t="shared" si="277"/>
        <v>0.45065832550726048</v>
      </c>
      <c r="CY111" s="75">
        <f t="shared" si="278"/>
        <v>1102.0833333333333</v>
      </c>
      <c r="CZ111" s="77">
        <f t="shared" si="279"/>
        <v>0.10603281979685528</v>
      </c>
      <c r="DA111" s="77">
        <f t="shared" si="280"/>
        <v>0.46736166826038827</v>
      </c>
      <c r="DB111" s="47">
        <f t="shared" si="281"/>
        <v>86666.666666666672</v>
      </c>
      <c r="DC111" s="69">
        <f t="shared" si="282"/>
        <v>10996.533333333333</v>
      </c>
      <c r="DD111" s="70">
        <f t="shared" si="283"/>
        <v>240</v>
      </c>
      <c r="DE111" s="70">
        <f t="shared" si="284"/>
        <v>-842.73888888888894</v>
      </c>
      <c r="DF111" s="70">
        <f t="shared" si="285"/>
        <v>10393.794444444444</v>
      </c>
      <c r="DG111" s="70">
        <f t="shared" si="286"/>
        <v>407.74444444444447</v>
      </c>
      <c r="DH111" s="70">
        <f t="shared" si="287"/>
        <v>415.55555555555554</v>
      </c>
      <c r="DI111" s="70">
        <f t="shared" si="288"/>
        <v>1172.2222222222222</v>
      </c>
      <c r="DJ111" s="70">
        <f t="shared" si="289"/>
        <v>465.94444444444446</v>
      </c>
      <c r="DK111" s="70">
        <f t="shared" si="290"/>
        <v>712.22222222222217</v>
      </c>
      <c r="DL111" s="70">
        <f t="shared" si="291"/>
        <v>400</v>
      </c>
      <c r="DM111" s="70">
        <f t="shared" si="292"/>
        <v>860.36111111111109</v>
      </c>
      <c r="DN111" s="70">
        <f t="shared" si="293"/>
        <v>4434.05</v>
      </c>
      <c r="DO111" s="70">
        <f t="shared" si="294"/>
        <v>250</v>
      </c>
      <c r="DP111" s="70">
        <f t="shared" si="295"/>
        <v>4684.05</v>
      </c>
      <c r="DQ111" s="70">
        <f t="shared" si="296"/>
        <v>5959.7444444444445</v>
      </c>
      <c r="DR111" s="70">
        <f t="shared" si="297"/>
        <v>4857.6611111111115</v>
      </c>
      <c r="DS111" s="71">
        <f t="shared" si="298"/>
        <v>1102.0833333333333</v>
      </c>
      <c r="DT111" s="106">
        <f t="shared" si="299"/>
        <v>1.0579902644900829</v>
      </c>
      <c r="DU111" s="92">
        <f t="shared" si="300"/>
        <v>2.3090701021923871E-2</v>
      </c>
      <c r="DV111" s="92" t="str">
        <f t="shared" si="301"/>
        <v/>
      </c>
      <c r="DW111" s="92">
        <f t="shared" si="302"/>
        <v>1</v>
      </c>
      <c r="DX111" s="92">
        <f t="shared" si="303"/>
        <v>3.9229604416737979E-2</v>
      </c>
      <c r="DY111" s="92">
        <f t="shared" si="304"/>
        <v>3.9981121213886701E-2</v>
      </c>
      <c r="DZ111" s="92">
        <f t="shared" si="305"/>
        <v>0.11278097026911892</v>
      </c>
      <c r="EA111" s="92">
        <f t="shared" si="306"/>
        <v>4.482909941455452E-2</v>
      </c>
      <c r="EB111" s="92">
        <f t="shared" si="307"/>
        <v>6.8523793310431486E-2</v>
      </c>
      <c r="EC111" s="92">
        <f t="shared" si="308"/>
        <v>3.8484501703206456E-2</v>
      </c>
      <c r="ED111" s="92">
        <f t="shared" si="309"/>
        <v>8.2776421614820378E-2</v>
      </c>
      <c r="EE111" s="92">
        <f t="shared" si="310"/>
        <v>0.42660551194275642</v>
      </c>
      <c r="EF111" s="92">
        <f t="shared" si="311"/>
        <v>2.4052813564504033E-2</v>
      </c>
      <c r="EG111" s="92">
        <f t="shared" si="312"/>
        <v>0.45065832550726048</v>
      </c>
      <c r="EH111" s="92">
        <f t="shared" si="313"/>
        <v>0.57339448805724358</v>
      </c>
      <c r="EI111" s="92">
        <f t="shared" si="314"/>
        <v>0.46736166826038827</v>
      </c>
      <c r="EJ111" s="122">
        <f t="shared" si="315"/>
        <v>0.10603281979685528</v>
      </c>
    </row>
    <row r="112" spans="2:140" ht="12" hidden="1" customHeight="1" outlineLevel="1">
      <c r="B112" s="121">
        <v>44981</v>
      </c>
      <c r="C112" s="117" t="s">
        <v>695</v>
      </c>
      <c r="D112" s="50" t="s">
        <v>696</v>
      </c>
      <c r="E112" s="50" t="s">
        <v>697</v>
      </c>
      <c r="F112" s="50" t="s">
        <v>698</v>
      </c>
      <c r="G112" s="50" t="s">
        <v>291</v>
      </c>
      <c r="H112" s="50" t="s">
        <v>699</v>
      </c>
      <c r="I112" s="50" t="s">
        <v>174</v>
      </c>
      <c r="J112" s="52" t="s">
        <v>175</v>
      </c>
      <c r="K112" s="50" t="s">
        <v>176</v>
      </c>
      <c r="L112" s="49">
        <v>6</v>
      </c>
      <c r="M112" s="50" t="s">
        <v>159</v>
      </c>
      <c r="N112" s="50" t="s">
        <v>185</v>
      </c>
      <c r="O112" s="50" t="s">
        <v>160</v>
      </c>
      <c r="P112" s="50" t="s">
        <v>177</v>
      </c>
      <c r="Q112" s="53">
        <v>0.09</v>
      </c>
      <c r="R112" s="49">
        <f>117-24</f>
        <v>93</v>
      </c>
      <c r="S112" s="49">
        <v>24</v>
      </c>
      <c r="T112" s="54">
        <f t="shared" si="238"/>
        <v>117</v>
      </c>
      <c r="U112" s="55">
        <v>95889</v>
      </c>
      <c r="V112" s="49">
        <v>3</v>
      </c>
      <c r="W112" s="56">
        <f t="shared" si="259"/>
        <v>39</v>
      </c>
      <c r="X112" s="49" t="s">
        <v>163</v>
      </c>
      <c r="Y112" s="57" t="s">
        <v>162</v>
      </c>
      <c r="Z112" s="58">
        <v>9439500</v>
      </c>
      <c r="AA112" s="114">
        <v>3.2500000000000001E-2</v>
      </c>
      <c r="AB112" s="59">
        <v>40</v>
      </c>
      <c r="AC112" s="60">
        <v>40</v>
      </c>
      <c r="AD112" s="61">
        <v>3.2500000000000001E-2</v>
      </c>
      <c r="AE112" s="62">
        <v>9439000</v>
      </c>
      <c r="AF112" s="63">
        <v>1.24</v>
      </c>
      <c r="AG112" s="59"/>
      <c r="AH112" s="60"/>
      <c r="AI112" s="61"/>
      <c r="AJ112" s="64"/>
      <c r="AK112" s="65">
        <f t="shared" si="260"/>
        <v>9439000</v>
      </c>
      <c r="AL112" s="62">
        <v>500</v>
      </c>
      <c r="AM112" s="49" t="s">
        <v>163</v>
      </c>
      <c r="AN112" s="67">
        <v>0.92</v>
      </c>
      <c r="AO112" s="62">
        <v>14481909</v>
      </c>
      <c r="AP112" s="62">
        <v>0</v>
      </c>
      <c r="AQ112" s="68">
        <v>688289</v>
      </c>
      <c r="AR112" s="69">
        <f t="shared" si="261"/>
        <v>80675.213675213672</v>
      </c>
      <c r="AS112" s="70" t="str">
        <f>IFERROR(IF(#REF!&gt;0,#REF!/T112,""),"")</f>
        <v/>
      </c>
      <c r="AT112" s="70">
        <f t="shared" si="262"/>
        <v>123777</v>
      </c>
      <c r="AU112" s="70">
        <f t="shared" si="263"/>
        <v>4.2735042735042734</v>
      </c>
      <c r="AV112" s="71">
        <f t="shared" si="264"/>
        <v>5882.8119658119658</v>
      </c>
      <c r="AW112" s="115">
        <f t="shared" si="265"/>
        <v>87483.666666666672</v>
      </c>
      <c r="AX112" s="116">
        <f t="shared" si="266"/>
        <v>106.74414166379877</v>
      </c>
      <c r="AY112" s="72">
        <f t="shared" si="267"/>
        <v>105406.28205128203</v>
      </c>
      <c r="AZ112" s="73">
        <f t="shared" si="268"/>
        <v>128.61261458561461</v>
      </c>
      <c r="BA112" s="66">
        <v>6534000</v>
      </c>
      <c r="BB112" s="62">
        <v>2356297</v>
      </c>
      <c r="BC112" s="62">
        <v>7879292</v>
      </c>
      <c r="BD112" s="62">
        <v>642264</v>
      </c>
      <c r="BE112" s="62">
        <v>1454682</v>
      </c>
      <c r="BF112" s="62">
        <v>1495150</v>
      </c>
      <c r="BG112" s="62">
        <v>971393</v>
      </c>
      <c r="BH112" s="62">
        <v>2138331</v>
      </c>
      <c r="BI112" s="62">
        <v>450000</v>
      </c>
      <c r="BJ112" s="47">
        <f t="shared" si="269"/>
        <v>23921409</v>
      </c>
      <c r="BK112" s="69">
        <f t="shared" si="247"/>
        <v>55846.153846153844</v>
      </c>
      <c r="BL112" s="70">
        <f t="shared" si="248"/>
        <v>20139.290598290598</v>
      </c>
      <c r="BM112" s="70">
        <f t="shared" si="249"/>
        <v>67344.376068376063</v>
      </c>
      <c r="BN112" s="70">
        <f t="shared" si="250"/>
        <v>5489.4358974358975</v>
      </c>
      <c r="BO112" s="70">
        <f t="shared" si="251"/>
        <v>12433.179487179486</v>
      </c>
      <c r="BP112" s="70">
        <f t="shared" si="257"/>
        <v>12779.059829059828</v>
      </c>
      <c r="BQ112" s="70">
        <f t="shared" si="270"/>
        <v>8302.5042735042734</v>
      </c>
      <c r="BR112" s="70">
        <f t="shared" si="241"/>
        <v>18276.333333333332</v>
      </c>
      <c r="BS112" s="70">
        <f t="shared" si="242"/>
        <v>3846.1538461538462</v>
      </c>
      <c r="BT112" s="71">
        <f t="shared" si="243"/>
        <v>204456.48717948719</v>
      </c>
      <c r="BU112" s="65">
        <f t="shared" si="252"/>
        <v>68.141288364671652</v>
      </c>
      <c r="BV112" s="48">
        <f t="shared" si="253"/>
        <v>24.573173148119178</v>
      </c>
      <c r="BW112" s="48">
        <f t="shared" si="254"/>
        <v>82.17096851567959</v>
      </c>
      <c r="BX112" s="48">
        <f t="shared" si="255"/>
        <v>6.6979945562056127</v>
      </c>
      <c r="BY112" s="48">
        <f t="shared" si="256"/>
        <v>15.170478365610236</v>
      </c>
      <c r="BZ112" s="48">
        <f t="shared" si="258"/>
        <v>15.592508004046346</v>
      </c>
      <c r="CA112" s="48">
        <f t="shared" si="271"/>
        <v>10.130390347172252</v>
      </c>
      <c r="CB112" s="48">
        <f t="shared" si="244"/>
        <v>22.300065700966744</v>
      </c>
      <c r="CC112" s="48">
        <f t="shared" si="245"/>
        <v>4.6929261959140254</v>
      </c>
      <c r="CD112" s="47">
        <f t="shared" si="246"/>
        <v>249.46979319838564</v>
      </c>
      <c r="CE112" s="66">
        <v>1227468</v>
      </c>
      <c r="CF112" s="62">
        <v>21060</v>
      </c>
      <c r="CG112" s="74">
        <v>-93640</v>
      </c>
      <c r="CH112" s="75">
        <f t="shared" si="272"/>
        <v>1154888</v>
      </c>
      <c r="CI112" s="62">
        <f>30000+13720</f>
        <v>43720</v>
      </c>
      <c r="CJ112" s="62">
        <v>57744</v>
      </c>
      <c r="CK112" s="62">
        <v>189750</v>
      </c>
      <c r="CL112" s="62">
        <f>63000+8000</f>
        <v>71000</v>
      </c>
      <c r="CM112" s="62">
        <f>42000+50000</f>
        <v>92000</v>
      </c>
      <c r="CN112" s="62">
        <v>43150</v>
      </c>
      <c r="CO112" s="62">
        <v>105274</v>
      </c>
      <c r="CP112" s="75">
        <f t="shared" si="239"/>
        <v>602638</v>
      </c>
      <c r="CQ112" s="62">
        <v>29250</v>
      </c>
      <c r="CR112" s="75">
        <f t="shared" si="240"/>
        <v>631888</v>
      </c>
      <c r="CS112" s="75">
        <f t="shared" si="273"/>
        <v>552250</v>
      </c>
      <c r="CT112" s="62">
        <v>421970</v>
      </c>
      <c r="CU112" s="47">
        <f t="shared" si="274"/>
        <v>130280</v>
      </c>
      <c r="CV112" s="76">
        <f t="shared" si="275"/>
        <v>0.47818489758314225</v>
      </c>
      <c r="CW112" s="75">
        <f t="shared" si="276"/>
        <v>5400.7521367521367</v>
      </c>
      <c r="CX112" s="77">
        <f t="shared" si="277"/>
        <v>0.5471422337057793</v>
      </c>
      <c r="CY112" s="75">
        <f t="shared" si="278"/>
        <v>1113.5042735042734</v>
      </c>
      <c r="CZ112" s="77">
        <f t="shared" si="279"/>
        <v>0.11280747570327165</v>
      </c>
      <c r="DA112" s="77">
        <f t="shared" si="280"/>
        <v>0.3653774218798706</v>
      </c>
      <c r="DB112" s="47">
        <f t="shared" si="281"/>
        <v>80675.213675213672</v>
      </c>
      <c r="DC112" s="69">
        <f t="shared" si="282"/>
        <v>10491.179487179486</v>
      </c>
      <c r="DD112" s="70">
        <f t="shared" si="283"/>
        <v>180</v>
      </c>
      <c r="DE112" s="70">
        <f t="shared" si="284"/>
        <v>-800.34188034188037</v>
      </c>
      <c r="DF112" s="70">
        <f t="shared" si="285"/>
        <v>9870.8376068376074</v>
      </c>
      <c r="DG112" s="70">
        <f t="shared" si="286"/>
        <v>373.67521367521368</v>
      </c>
      <c r="DH112" s="70">
        <f t="shared" si="287"/>
        <v>493.53846153846155</v>
      </c>
      <c r="DI112" s="70">
        <f t="shared" si="288"/>
        <v>1621.7948717948718</v>
      </c>
      <c r="DJ112" s="70">
        <f t="shared" si="289"/>
        <v>606.83760683760681</v>
      </c>
      <c r="DK112" s="70">
        <f t="shared" si="290"/>
        <v>786.32478632478637</v>
      </c>
      <c r="DL112" s="70">
        <f t="shared" si="291"/>
        <v>368.80341880341882</v>
      </c>
      <c r="DM112" s="70">
        <f t="shared" si="292"/>
        <v>899.77777777777783</v>
      </c>
      <c r="DN112" s="70">
        <f t="shared" si="293"/>
        <v>5150.7521367521367</v>
      </c>
      <c r="DO112" s="70">
        <f t="shared" si="294"/>
        <v>250</v>
      </c>
      <c r="DP112" s="70">
        <f t="shared" si="295"/>
        <v>5400.7521367521367</v>
      </c>
      <c r="DQ112" s="70">
        <f t="shared" si="296"/>
        <v>4720.0854700854698</v>
      </c>
      <c r="DR112" s="70">
        <f t="shared" si="297"/>
        <v>3606.5811965811968</v>
      </c>
      <c r="DS112" s="71">
        <f t="shared" si="298"/>
        <v>1113.5042735042734</v>
      </c>
      <c r="DT112" s="106">
        <f t="shared" si="299"/>
        <v>1.062845920989741</v>
      </c>
      <c r="DU112" s="92">
        <f t="shared" si="300"/>
        <v>1.8235534528023498E-2</v>
      </c>
      <c r="DV112" s="92" t="str">
        <f t="shared" si="301"/>
        <v/>
      </c>
      <c r="DW112" s="92">
        <f t="shared" si="302"/>
        <v>1</v>
      </c>
      <c r="DX112" s="92">
        <f t="shared" si="303"/>
        <v>3.7856484784671761E-2</v>
      </c>
      <c r="DY112" s="92">
        <f t="shared" si="304"/>
        <v>4.9999653646067843E-2</v>
      </c>
      <c r="DZ112" s="92">
        <f t="shared" si="305"/>
        <v>0.16430164656659346</v>
      </c>
      <c r="EA112" s="92">
        <f t="shared" si="306"/>
        <v>6.147782295772404E-2</v>
      </c>
      <c r="EB112" s="92">
        <f t="shared" si="307"/>
        <v>7.9661404395924104E-2</v>
      </c>
      <c r="EC112" s="92">
        <f t="shared" si="308"/>
        <v>3.7362930431349188E-2</v>
      </c>
      <c r="ED112" s="92">
        <f t="shared" si="309"/>
        <v>9.1155159634527333E-2</v>
      </c>
      <c r="EE112" s="92">
        <f t="shared" si="310"/>
        <v>0.52181510241685769</v>
      </c>
      <c r="EF112" s="92">
        <f t="shared" si="311"/>
        <v>2.5327131288921525E-2</v>
      </c>
      <c r="EG112" s="92">
        <f t="shared" si="312"/>
        <v>0.5471422337057793</v>
      </c>
      <c r="EH112" s="92">
        <f t="shared" si="313"/>
        <v>0.47818489758314225</v>
      </c>
      <c r="EI112" s="92">
        <f t="shared" si="314"/>
        <v>0.3653774218798706</v>
      </c>
      <c r="EJ112" s="122">
        <f t="shared" si="315"/>
        <v>0.11280747570327165</v>
      </c>
    </row>
    <row r="113" spans="2:140" ht="12" hidden="1" customHeight="1" outlineLevel="1">
      <c r="B113" s="121">
        <v>44984</v>
      </c>
      <c r="C113" s="117" t="s">
        <v>700</v>
      </c>
      <c r="D113" s="50" t="s">
        <v>701</v>
      </c>
      <c r="E113" s="50" t="s">
        <v>702</v>
      </c>
      <c r="F113" s="50" t="s">
        <v>703</v>
      </c>
      <c r="G113" s="50" t="s">
        <v>291</v>
      </c>
      <c r="H113" s="50" t="s">
        <v>242</v>
      </c>
      <c r="I113" s="50" t="s">
        <v>321</v>
      </c>
      <c r="J113" s="52" t="s">
        <v>175</v>
      </c>
      <c r="K113" s="50" t="s">
        <v>176</v>
      </c>
      <c r="L113" s="49">
        <v>6</v>
      </c>
      <c r="M113" s="50" t="s">
        <v>159</v>
      </c>
      <c r="N113" s="50" t="s">
        <v>160</v>
      </c>
      <c r="O113" s="50" t="s">
        <v>160</v>
      </c>
      <c r="P113" s="50" t="s">
        <v>177</v>
      </c>
      <c r="Q113" s="53">
        <v>0.09</v>
      </c>
      <c r="R113" s="49">
        <f>101-16</f>
        <v>85</v>
      </c>
      <c r="S113" s="49">
        <v>16</v>
      </c>
      <c r="T113" s="54">
        <f t="shared" si="238"/>
        <v>101</v>
      </c>
      <c r="U113" s="55">
        <v>88073</v>
      </c>
      <c r="V113" s="49">
        <v>3.46</v>
      </c>
      <c r="W113" s="56">
        <f t="shared" si="259"/>
        <v>29.190751445086704</v>
      </c>
      <c r="X113" s="49" t="s">
        <v>163</v>
      </c>
      <c r="Y113" s="57" t="s">
        <v>162</v>
      </c>
      <c r="Z113" s="58">
        <v>7300500</v>
      </c>
      <c r="AA113" s="114">
        <v>4.3999999999999997E-2</v>
      </c>
      <c r="AB113" s="59">
        <v>18</v>
      </c>
      <c r="AC113" s="60">
        <v>35</v>
      </c>
      <c r="AD113" s="61">
        <v>4.3999999999999997E-2</v>
      </c>
      <c r="AE113" s="62">
        <v>7300000</v>
      </c>
      <c r="AF113" s="63">
        <v>1.19</v>
      </c>
      <c r="AG113" s="59"/>
      <c r="AH113" s="60"/>
      <c r="AI113" s="61"/>
      <c r="AJ113" s="64"/>
      <c r="AK113" s="65">
        <f t="shared" si="260"/>
        <v>7300000</v>
      </c>
      <c r="AL113" s="62">
        <v>500</v>
      </c>
      <c r="AM113" s="49" t="s">
        <v>163</v>
      </c>
      <c r="AN113" s="67">
        <v>0.94</v>
      </c>
      <c r="AO113" s="62">
        <v>14997843</v>
      </c>
      <c r="AP113" s="62">
        <v>0</v>
      </c>
      <c r="AQ113" s="68">
        <v>782833</v>
      </c>
      <c r="AR113" s="69">
        <f t="shared" si="261"/>
        <v>72277.227722772281</v>
      </c>
      <c r="AS113" s="70" t="str">
        <f>IFERROR(IF(#REF!&gt;0,#REF!/T113,""),"")</f>
        <v/>
      </c>
      <c r="AT113" s="70">
        <f t="shared" si="262"/>
        <v>148493.49504950494</v>
      </c>
      <c r="AU113" s="70">
        <f t="shared" si="263"/>
        <v>4.9504950495049505</v>
      </c>
      <c r="AV113" s="71">
        <f t="shared" si="264"/>
        <v>7750.8217821782182</v>
      </c>
      <c r="AW113" s="115">
        <f t="shared" si="265"/>
        <v>104009.90099009901</v>
      </c>
      <c r="AX113" s="116">
        <f t="shared" si="266"/>
        <v>119.27605509066343</v>
      </c>
      <c r="AY113" s="72">
        <f t="shared" si="267"/>
        <v>126871.27722772276</v>
      </c>
      <c r="AZ113" s="73">
        <f t="shared" si="268"/>
        <v>145.49293199959124</v>
      </c>
      <c r="BA113" s="66">
        <v>3300000</v>
      </c>
      <c r="BB113" s="62">
        <v>1855000</v>
      </c>
      <c r="BC113" s="62">
        <v>8650000</v>
      </c>
      <c r="BD113" s="62">
        <v>735350</v>
      </c>
      <c r="BE113" s="62">
        <v>1573649</v>
      </c>
      <c r="BF113" s="62">
        <v>1737000</v>
      </c>
      <c r="BG113" s="62">
        <v>1457799</v>
      </c>
      <c r="BH113" s="62">
        <v>2317990</v>
      </c>
      <c r="BI113" s="62">
        <v>556545</v>
      </c>
      <c r="BJ113" s="47">
        <f t="shared" si="269"/>
        <v>22183333</v>
      </c>
      <c r="BK113" s="69">
        <f t="shared" si="247"/>
        <v>32673.267326732672</v>
      </c>
      <c r="BL113" s="70">
        <f t="shared" si="248"/>
        <v>18366.336633663366</v>
      </c>
      <c r="BM113" s="70">
        <f t="shared" si="249"/>
        <v>85643.564356435643</v>
      </c>
      <c r="BN113" s="70">
        <f t="shared" si="250"/>
        <v>7280.6930693069307</v>
      </c>
      <c r="BO113" s="70">
        <f t="shared" si="251"/>
        <v>15580.683168316831</v>
      </c>
      <c r="BP113" s="70">
        <f t="shared" si="257"/>
        <v>17198.019801980197</v>
      </c>
      <c r="BQ113" s="70">
        <f t="shared" si="270"/>
        <v>14433.653465346535</v>
      </c>
      <c r="BR113" s="70">
        <f t="shared" si="241"/>
        <v>22950.396039603962</v>
      </c>
      <c r="BS113" s="70">
        <f t="shared" si="242"/>
        <v>5510.3465346534649</v>
      </c>
      <c r="BT113" s="71">
        <f t="shared" si="243"/>
        <v>219636.96039603959</v>
      </c>
      <c r="BU113" s="65">
        <f t="shared" si="252"/>
        <v>37.468917829527776</v>
      </c>
      <c r="BV113" s="48">
        <f t="shared" si="253"/>
        <v>21.06207350720425</v>
      </c>
      <c r="BW113" s="48">
        <f t="shared" si="254"/>
        <v>98.213981583459173</v>
      </c>
      <c r="BX113" s="48">
        <f t="shared" si="255"/>
        <v>8.3493238563464391</v>
      </c>
      <c r="BY113" s="48">
        <f t="shared" si="256"/>
        <v>17.867553052581382</v>
      </c>
      <c r="BZ113" s="48">
        <f t="shared" si="258"/>
        <v>19.722275839360531</v>
      </c>
      <c r="CA113" s="48">
        <f t="shared" si="271"/>
        <v>16.552166952414474</v>
      </c>
      <c r="CB113" s="48">
        <f t="shared" si="244"/>
        <v>26.318962678686997</v>
      </c>
      <c r="CC113" s="48">
        <f t="shared" si="245"/>
        <v>6.3191329919498598</v>
      </c>
      <c r="CD113" s="47">
        <f t="shared" si="246"/>
        <v>251.87438829153089</v>
      </c>
      <c r="CE113" s="66">
        <v>1130664</v>
      </c>
      <c r="CF113" s="62">
        <f>12120*2</f>
        <v>24240</v>
      </c>
      <c r="CG113" s="74">
        <v>-86618</v>
      </c>
      <c r="CH113" s="75">
        <f t="shared" si="272"/>
        <v>1068286</v>
      </c>
      <c r="CI113" s="62">
        <f>35200+12000+3400</f>
        <v>50600</v>
      </c>
      <c r="CJ113" s="62">
        <v>53414</v>
      </c>
      <c r="CK113" s="62">
        <v>146050</v>
      </c>
      <c r="CL113" s="62">
        <v>70000</v>
      </c>
      <c r="CM113" s="62">
        <f>24000+65000</f>
        <v>89000</v>
      </c>
      <c r="CN113" s="62">
        <v>43000</v>
      </c>
      <c r="CO113" s="62">
        <v>100000</v>
      </c>
      <c r="CP113" s="75">
        <f t="shared" si="239"/>
        <v>552064</v>
      </c>
      <c r="CQ113" s="62">
        <v>25250</v>
      </c>
      <c r="CR113" s="75">
        <f t="shared" si="240"/>
        <v>577314</v>
      </c>
      <c r="CS113" s="75">
        <f t="shared" si="273"/>
        <v>516222</v>
      </c>
      <c r="CT113" s="62">
        <v>410966</v>
      </c>
      <c r="CU113" s="47">
        <f t="shared" si="274"/>
        <v>105256</v>
      </c>
      <c r="CV113" s="76">
        <f t="shared" si="275"/>
        <v>0.48322452976075697</v>
      </c>
      <c r="CW113" s="75">
        <f t="shared" si="276"/>
        <v>5715.9801980198017</v>
      </c>
      <c r="CX113" s="77">
        <f t="shared" si="277"/>
        <v>0.54041146284796393</v>
      </c>
      <c r="CY113" s="75">
        <f t="shared" si="278"/>
        <v>1042.1386138613861</v>
      </c>
      <c r="CZ113" s="77">
        <f t="shared" si="279"/>
        <v>9.8527922297961409E-2</v>
      </c>
      <c r="DA113" s="77">
        <f t="shared" si="280"/>
        <v>0.38469660746279555</v>
      </c>
      <c r="DB113" s="47">
        <f t="shared" si="281"/>
        <v>72277.227722772281</v>
      </c>
      <c r="DC113" s="69">
        <f t="shared" si="282"/>
        <v>11194.69306930693</v>
      </c>
      <c r="DD113" s="70">
        <f t="shared" si="283"/>
        <v>240</v>
      </c>
      <c r="DE113" s="70">
        <f t="shared" si="284"/>
        <v>-857.60396039603961</v>
      </c>
      <c r="DF113" s="70">
        <f t="shared" si="285"/>
        <v>10577.089108910892</v>
      </c>
      <c r="DG113" s="70">
        <f t="shared" si="286"/>
        <v>500.99009900990097</v>
      </c>
      <c r="DH113" s="70">
        <f t="shared" si="287"/>
        <v>528.85148514851483</v>
      </c>
      <c r="DI113" s="70">
        <f t="shared" si="288"/>
        <v>1446.0396039603961</v>
      </c>
      <c r="DJ113" s="70">
        <f t="shared" si="289"/>
        <v>693.06930693069307</v>
      </c>
      <c r="DK113" s="70">
        <f t="shared" si="290"/>
        <v>881.18811881188117</v>
      </c>
      <c r="DL113" s="70">
        <f t="shared" si="291"/>
        <v>425.74257425742576</v>
      </c>
      <c r="DM113" s="70">
        <f t="shared" si="292"/>
        <v>990.09900990099015</v>
      </c>
      <c r="DN113" s="70">
        <f t="shared" si="293"/>
        <v>5465.9801980198017</v>
      </c>
      <c r="DO113" s="70">
        <f t="shared" si="294"/>
        <v>250</v>
      </c>
      <c r="DP113" s="70">
        <f t="shared" si="295"/>
        <v>5715.9801980198017</v>
      </c>
      <c r="DQ113" s="70">
        <f t="shared" si="296"/>
        <v>5111.1089108910892</v>
      </c>
      <c r="DR113" s="70">
        <f t="shared" si="297"/>
        <v>4068.970297029703</v>
      </c>
      <c r="DS113" s="71">
        <f t="shared" si="298"/>
        <v>1042.1386138613861</v>
      </c>
      <c r="DT113" s="106">
        <f t="shared" si="299"/>
        <v>1.0583907305721501</v>
      </c>
      <c r="DU113" s="92">
        <f t="shared" si="300"/>
        <v>2.2690552904372049E-2</v>
      </c>
      <c r="DV113" s="92" t="str">
        <f t="shared" si="301"/>
        <v/>
      </c>
      <c r="DW113" s="92">
        <f t="shared" si="302"/>
        <v>1</v>
      </c>
      <c r="DX113" s="92">
        <f t="shared" si="303"/>
        <v>4.7365593108961455E-2</v>
      </c>
      <c r="DY113" s="92">
        <f t="shared" si="304"/>
        <v>4.9999719176325438E-2</v>
      </c>
      <c r="DZ113" s="92">
        <f t="shared" si="305"/>
        <v>0.13671432556450239</v>
      </c>
      <c r="EA113" s="92">
        <f t="shared" si="306"/>
        <v>6.5525524063780677E-2</v>
      </c>
      <c r="EB113" s="92">
        <f t="shared" si="307"/>
        <v>8.3311023452521143E-2</v>
      </c>
      <c r="EC113" s="92">
        <f t="shared" si="308"/>
        <v>4.0251393353465267E-2</v>
      </c>
      <c r="ED113" s="92">
        <f t="shared" si="309"/>
        <v>9.3607891519686681E-2</v>
      </c>
      <c r="EE113" s="92">
        <f t="shared" si="310"/>
        <v>0.51677547023924308</v>
      </c>
      <c r="EF113" s="92">
        <f t="shared" si="311"/>
        <v>2.3635992608720884E-2</v>
      </c>
      <c r="EG113" s="92">
        <f t="shared" si="312"/>
        <v>0.54041146284796393</v>
      </c>
      <c r="EH113" s="92">
        <f t="shared" si="313"/>
        <v>0.48322452976075697</v>
      </c>
      <c r="EI113" s="92">
        <f t="shared" si="314"/>
        <v>0.38469660746279555</v>
      </c>
      <c r="EJ113" s="122">
        <f t="shared" si="315"/>
        <v>9.8527922297961409E-2</v>
      </c>
    </row>
    <row r="114" spans="2:140" ht="12" hidden="1" customHeight="1" outlineLevel="1">
      <c r="B114" s="121">
        <v>44984</v>
      </c>
      <c r="C114" s="117" t="s">
        <v>704</v>
      </c>
      <c r="D114" s="50" t="s">
        <v>705</v>
      </c>
      <c r="E114" s="50" t="s">
        <v>706</v>
      </c>
      <c r="F114" s="50" t="s">
        <v>707</v>
      </c>
      <c r="G114" s="50" t="s">
        <v>291</v>
      </c>
      <c r="H114" s="50" t="s">
        <v>708</v>
      </c>
      <c r="I114" s="50" t="s">
        <v>709</v>
      </c>
      <c r="J114" s="52" t="s">
        <v>175</v>
      </c>
      <c r="K114" s="50" t="s">
        <v>176</v>
      </c>
      <c r="L114" s="49">
        <v>6</v>
      </c>
      <c r="M114" s="50" t="s">
        <v>159</v>
      </c>
      <c r="N114" s="50" t="s">
        <v>160</v>
      </c>
      <c r="O114" s="50" t="s">
        <v>580</v>
      </c>
      <c r="P114" s="50" t="s">
        <v>177</v>
      </c>
      <c r="Q114" s="53">
        <v>0.09</v>
      </c>
      <c r="R114" s="49">
        <v>150</v>
      </c>
      <c r="S114" s="49">
        <v>0</v>
      </c>
      <c r="T114" s="54">
        <f t="shared" si="238"/>
        <v>150</v>
      </c>
      <c r="U114" s="55">
        <v>166320</v>
      </c>
      <c r="V114" s="49">
        <v>4.05</v>
      </c>
      <c r="W114" s="56">
        <f t="shared" si="259"/>
        <v>37.037037037037038</v>
      </c>
      <c r="X114" s="49" t="s">
        <v>163</v>
      </c>
      <c r="Y114" s="57" t="s">
        <v>162</v>
      </c>
      <c r="Z114" s="58">
        <v>31600500</v>
      </c>
      <c r="AA114" s="114">
        <v>5.5E-2</v>
      </c>
      <c r="AB114" s="59">
        <v>15</v>
      </c>
      <c r="AC114" s="60">
        <v>35</v>
      </c>
      <c r="AD114" s="61">
        <v>5.5E-2</v>
      </c>
      <c r="AE114" s="62">
        <v>31600000</v>
      </c>
      <c r="AF114" s="63">
        <v>1.25</v>
      </c>
      <c r="AG114" s="59"/>
      <c r="AH114" s="60"/>
      <c r="AI114" s="61"/>
      <c r="AJ114" s="64"/>
      <c r="AK114" s="65">
        <f t="shared" si="260"/>
        <v>31600000</v>
      </c>
      <c r="AL114" s="62">
        <v>500</v>
      </c>
      <c r="AM114" s="49" t="s">
        <v>163</v>
      </c>
      <c r="AN114" s="67">
        <v>0.88</v>
      </c>
      <c r="AO114" s="62">
        <v>17998200</v>
      </c>
      <c r="AP114" s="62">
        <v>0</v>
      </c>
      <c r="AQ114" s="68">
        <v>398200</v>
      </c>
      <c r="AR114" s="69">
        <f t="shared" si="261"/>
        <v>210666.66666666666</v>
      </c>
      <c r="AS114" s="70" t="str">
        <f>IFERROR(IF(#REF!&gt;0,#REF!/T114,""),"")</f>
        <v/>
      </c>
      <c r="AT114" s="70">
        <f t="shared" si="262"/>
        <v>119988</v>
      </c>
      <c r="AU114" s="70">
        <f t="shared" si="263"/>
        <v>3.3333333333333335</v>
      </c>
      <c r="AV114" s="71">
        <f t="shared" si="264"/>
        <v>2654.6666666666665</v>
      </c>
      <c r="AW114" s="115">
        <f t="shared" si="265"/>
        <v>137226.14666666667</v>
      </c>
      <c r="AX114" s="116">
        <f t="shared" si="266"/>
        <v>123.76095478595478</v>
      </c>
      <c r="AY114" s="72">
        <f t="shared" si="267"/>
        <v>162765.64000000001</v>
      </c>
      <c r="AZ114" s="73">
        <f t="shared" si="268"/>
        <v>146.79440836940836</v>
      </c>
      <c r="BA114" s="66">
        <v>13240679</v>
      </c>
      <c r="BB114" s="62">
        <v>2700493</v>
      </c>
      <c r="BC114" s="62">
        <v>17883429</v>
      </c>
      <c r="BD114" s="62">
        <v>1191361</v>
      </c>
      <c r="BE114" s="62">
        <v>2639563</v>
      </c>
      <c r="BF114" s="62">
        <v>3999425</v>
      </c>
      <c r="BG114" s="62">
        <v>2090068</v>
      </c>
      <c r="BH114" s="62">
        <v>4312000</v>
      </c>
      <c r="BI114" s="62">
        <v>1162954</v>
      </c>
      <c r="BJ114" s="47">
        <f t="shared" si="269"/>
        <v>49219972</v>
      </c>
      <c r="BK114" s="69">
        <f t="shared" si="247"/>
        <v>88271.193333333329</v>
      </c>
      <c r="BL114" s="70">
        <f t="shared" si="248"/>
        <v>18003.286666666667</v>
      </c>
      <c r="BM114" s="70">
        <f t="shared" si="249"/>
        <v>119222.86</v>
      </c>
      <c r="BN114" s="70">
        <f t="shared" si="250"/>
        <v>7942.4066666666668</v>
      </c>
      <c r="BO114" s="70">
        <f t="shared" si="251"/>
        <v>17597.086666666666</v>
      </c>
      <c r="BP114" s="70">
        <f t="shared" si="257"/>
        <v>26662.833333333332</v>
      </c>
      <c r="BQ114" s="70">
        <f t="shared" si="270"/>
        <v>13933.786666666667</v>
      </c>
      <c r="BR114" s="70">
        <f t="shared" si="241"/>
        <v>28746.666666666668</v>
      </c>
      <c r="BS114" s="70">
        <f t="shared" si="242"/>
        <v>7753.0266666666666</v>
      </c>
      <c r="BT114" s="71">
        <f t="shared" si="243"/>
        <v>328133.14666666667</v>
      </c>
      <c r="BU114" s="65">
        <f t="shared" si="252"/>
        <v>79.609662097162101</v>
      </c>
      <c r="BV114" s="48">
        <f t="shared" si="253"/>
        <v>16.2367303992304</v>
      </c>
      <c r="BW114" s="48">
        <f t="shared" si="254"/>
        <v>107.52422438672438</v>
      </c>
      <c r="BX114" s="48">
        <f t="shared" si="255"/>
        <v>7.1630651755651753</v>
      </c>
      <c r="BY114" s="48">
        <f t="shared" si="256"/>
        <v>15.870388407888408</v>
      </c>
      <c r="BZ114" s="48">
        <f t="shared" si="258"/>
        <v>24.046566859066861</v>
      </c>
      <c r="CA114" s="48">
        <f t="shared" si="271"/>
        <v>12.566546416546416</v>
      </c>
      <c r="CB114" s="48">
        <f t="shared" si="244"/>
        <v>25.925925925925927</v>
      </c>
      <c r="CC114" s="48">
        <f t="shared" si="245"/>
        <v>6.9922679172679176</v>
      </c>
      <c r="CD114" s="47">
        <f t="shared" si="246"/>
        <v>295.93537758537758</v>
      </c>
      <c r="CE114" s="66">
        <v>3949200</v>
      </c>
      <c r="CF114" s="62">
        <v>36000</v>
      </c>
      <c r="CG114" s="74">
        <v>-199260</v>
      </c>
      <c r="CH114" s="75">
        <f t="shared" si="272"/>
        <v>3785940</v>
      </c>
      <c r="CI114" s="62">
        <f>22500+6000</f>
        <v>28500</v>
      </c>
      <c r="CJ114" s="62">
        <v>151438</v>
      </c>
      <c r="CK114" s="62">
        <v>195000</v>
      </c>
      <c r="CL114" s="62">
        <f>120000</f>
        <v>120000</v>
      </c>
      <c r="CM114" s="62">
        <f>25100+61900</f>
        <v>87000</v>
      </c>
      <c r="CN114" s="62">
        <v>162233</v>
      </c>
      <c r="CO114" s="62">
        <v>546525</v>
      </c>
      <c r="CP114" s="75">
        <f t="shared" si="239"/>
        <v>1290696</v>
      </c>
      <c r="CQ114" s="62">
        <v>45000</v>
      </c>
      <c r="CR114" s="75">
        <f t="shared" si="240"/>
        <v>1335696</v>
      </c>
      <c r="CS114" s="75">
        <f t="shared" si="273"/>
        <v>2495244</v>
      </c>
      <c r="CT114" s="62">
        <v>1960196</v>
      </c>
      <c r="CU114" s="47">
        <f t="shared" si="274"/>
        <v>535048</v>
      </c>
      <c r="CV114" s="76">
        <f t="shared" si="275"/>
        <v>0.6590817604082474</v>
      </c>
      <c r="CW114" s="75">
        <f t="shared" si="276"/>
        <v>8904.64</v>
      </c>
      <c r="CX114" s="77">
        <f t="shared" si="277"/>
        <v>0.35280432336487105</v>
      </c>
      <c r="CY114" s="75">
        <f t="shared" si="278"/>
        <v>3566.9866666666667</v>
      </c>
      <c r="CZ114" s="77">
        <f t="shared" si="279"/>
        <v>0.14132500779198826</v>
      </c>
      <c r="DA114" s="77">
        <f t="shared" si="280"/>
        <v>0.51775675261625909</v>
      </c>
      <c r="DB114" s="47">
        <f t="shared" si="281"/>
        <v>210666.66666666666</v>
      </c>
      <c r="DC114" s="69">
        <f t="shared" si="282"/>
        <v>26328</v>
      </c>
      <c r="DD114" s="70">
        <f t="shared" si="283"/>
        <v>240</v>
      </c>
      <c r="DE114" s="70">
        <f t="shared" si="284"/>
        <v>-1328.4</v>
      </c>
      <c r="DF114" s="70">
        <f t="shared" si="285"/>
        <v>25239.599999999999</v>
      </c>
      <c r="DG114" s="70">
        <f t="shared" si="286"/>
        <v>190</v>
      </c>
      <c r="DH114" s="70">
        <f t="shared" si="287"/>
        <v>1009.5866666666667</v>
      </c>
      <c r="DI114" s="70">
        <f t="shared" si="288"/>
        <v>1300</v>
      </c>
      <c r="DJ114" s="70">
        <f t="shared" si="289"/>
        <v>800</v>
      </c>
      <c r="DK114" s="70">
        <f t="shared" si="290"/>
        <v>580</v>
      </c>
      <c r="DL114" s="70">
        <f t="shared" si="291"/>
        <v>1081.5533333333333</v>
      </c>
      <c r="DM114" s="70">
        <f t="shared" si="292"/>
        <v>3643.5</v>
      </c>
      <c r="DN114" s="70">
        <f t="shared" si="293"/>
        <v>8604.64</v>
      </c>
      <c r="DO114" s="70">
        <f t="shared" si="294"/>
        <v>300</v>
      </c>
      <c r="DP114" s="70">
        <f t="shared" si="295"/>
        <v>8904.64</v>
      </c>
      <c r="DQ114" s="70">
        <f t="shared" si="296"/>
        <v>16634.96</v>
      </c>
      <c r="DR114" s="70">
        <f t="shared" si="297"/>
        <v>13067.973333333333</v>
      </c>
      <c r="DS114" s="71">
        <f t="shared" si="298"/>
        <v>3566.9866666666667</v>
      </c>
      <c r="DT114" s="106">
        <f t="shared" si="299"/>
        <v>1.0431227119288737</v>
      </c>
      <c r="DU114" s="92">
        <f t="shared" si="300"/>
        <v>9.5088670184947464E-3</v>
      </c>
      <c r="DV114" s="92" t="str">
        <f t="shared" si="301"/>
        <v/>
      </c>
      <c r="DW114" s="92">
        <f t="shared" si="302"/>
        <v>1</v>
      </c>
      <c r="DX114" s="92">
        <f t="shared" si="303"/>
        <v>7.527853056308341E-3</v>
      </c>
      <c r="DY114" s="92">
        <f t="shared" si="304"/>
        <v>4.000010565407798E-2</v>
      </c>
      <c r="DZ114" s="92">
        <f t="shared" si="305"/>
        <v>5.1506363016846544E-2</v>
      </c>
      <c r="EA114" s="92">
        <f t="shared" si="306"/>
        <v>3.1696223394982487E-2</v>
      </c>
      <c r="EB114" s="92">
        <f t="shared" si="307"/>
        <v>2.2979761961362304E-2</v>
      </c>
      <c r="EC114" s="92">
        <f t="shared" si="308"/>
        <v>4.2851445083651615E-2</v>
      </c>
      <c r="ED114" s="92">
        <f t="shared" si="309"/>
        <v>0.14435648742452337</v>
      </c>
      <c r="EE114" s="92">
        <f t="shared" si="310"/>
        <v>0.34091823959175266</v>
      </c>
      <c r="EF114" s="92">
        <f t="shared" si="311"/>
        <v>1.1886083773118433E-2</v>
      </c>
      <c r="EG114" s="92">
        <f t="shared" si="312"/>
        <v>0.35280432336487105</v>
      </c>
      <c r="EH114" s="92">
        <f t="shared" si="313"/>
        <v>0.6590817604082474</v>
      </c>
      <c r="EI114" s="92">
        <f t="shared" si="314"/>
        <v>0.51775675261625909</v>
      </c>
      <c r="EJ114" s="122">
        <f t="shared" si="315"/>
        <v>0.14132500779198826</v>
      </c>
    </row>
    <row r="115" spans="2:140" ht="12" hidden="1" customHeight="1" outlineLevel="1">
      <c r="B115" s="121">
        <v>44984</v>
      </c>
      <c r="C115" s="117" t="s">
        <v>710</v>
      </c>
      <c r="D115" s="50" t="s">
        <v>711</v>
      </c>
      <c r="E115" s="50" t="s">
        <v>171</v>
      </c>
      <c r="F115" s="50" t="s">
        <v>484</v>
      </c>
      <c r="G115" s="50" t="s">
        <v>171</v>
      </c>
      <c r="H115" s="50" t="s">
        <v>310</v>
      </c>
      <c r="I115" s="50" t="s">
        <v>579</v>
      </c>
      <c r="J115" s="52" t="s">
        <v>191</v>
      </c>
      <c r="K115" s="50" t="s">
        <v>192</v>
      </c>
      <c r="L115" s="49">
        <v>3</v>
      </c>
      <c r="M115" s="50" t="s">
        <v>159</v>
      </c>
      <c r="N115" s="50" t="s">
        <v>160</v>
      </c>
      <c r="O115" s="50" t="s">
        <v>160</v>
      </c>
      <c r="P115" s="50" t="s">
        <v>177</v>
      </c>
      <c r="Q115" s="53">
        <v>0.09</v>
      </c>
      <c r="R115" s="49">
        <v>60</v>
      </c>
      <c r="S115" s="49">
        <v>7</v>
      </c>
      <c r="T115" s="54">
        <f t="shared" si="238"/>
        <v>67</v>
      </c>
      <c r="U115" s="55">
        <v>63670</v>
      </c>
      <c r="V115" s="49">
        <v>2.27</v>
      </c>
      <c r="W115" s="56">
        <f t="shared" si="259"/>
        <v>29.515418502202643</v>
      </c>
      <c r="X115" s="49" t="s">
        <v>163</v>
      </c>
      <c r="Y115" s="57" t="s">
        <v>162</v>
      </c>
      <c r="Z115" s="58">
        <v>3877500</v>
      </c>
      <c r="AA115" s="114">
        <v>4.2500000000000003E-2</v>
      </c>
      <c r="AB115" s="59">
        <v>15</v>
      </c>
      <c r="AC115" s="60">
        <v>35</v>
      </c>
      <c r="AD115" s="61">
        <v>4.2500000000000003E-2</v>
      </c>
      <c r="AE115" s="62">
        <v>3875000</v>
      </c>
      <c r="AF115" s="63">
        <v>1.1599999999999999</v>
      </c>
      <c r="AG115" s="59"/>
      <c r="AH115" s="60"/>
      <c r="AI115" s="61"/>
      <c r="AJ115" s="64"/>
      <c r="AK115" s="65">
        <f t="shared" si="260"/>
        <v>3875000</v>
      </c>
      <c r="AL115" s="62">
        <v>500</v>
      </c>
      <c r="AM115" s="49" t="s">
        <v>163</v>
      </c>
      <c r="AN115" s="67">
        <v>0.92</v>
      </c>
      <c r="AO115" s="62">
        <v>14087327</v>
      </c>
      <c r="AP115" s="62">
        <v>0</v>
      </c>
      <c r="AQ115" s="68">
        <v>288698</v>
      </c>
      <c r="AR115" s="69">
        <f t="shared" si="261"/>
        <v>57835.820895522389</v>
      </c>
      <c r="AS115" s="70" t="str">
        <f>IFERROR(IF(#REF!&gt;0,#REF!/T115,""),"")</f>
        <v/>
      </c>
      <c r="AT115" s="70">
        <f t="shared" si="262"/>
        <v>210258.61194029852</v>
      </c>
      <c r="AU115" s="70">
        <f t="shared" si="263"/>
        <v>7.4626865671641793</v>
      </c>
      <c r="AV115" s="71">
        <f t="shared" si="264"/>
        <v>4308.9253731343288</v>
      </c>
      <c r="AW115" s="115">
        <f t="shared" si="265"/>
        <v>134080.25373134328</v>
      </c>
      <c r="AX115" s="116">
        <f t="shared" si="266"/>
        <v>141.09277524736925</v>
      </c>
      <c r="AY115" s="72">
        <f t="shared" si="267"/>
        <v>160268.67164179106</v>
      </c>
      <c r="AZ115" s="73">
        <f t="shared" si="268"/>
        <v>168.65087168211087</v>
      </c>
      <c r="BA115" s="66">
        <v>203000</v>
      </c>
      <c r="BB115" s="62">
        <v>1966592</v>
      </c>
      <c r="BC115" s="62">
        <v>7016785</v>
      </c>
      <c r="BD115" s="62">
        <v>511669</v>
      </c>
      <c r="BE115" s="62">
        <v>1242955</v>
      </c>
      <c r="BF115" s="62">
        <v>3150125</v>
      </c>
      <c r="BG115" s="62">
        <v>1288676</v>
      </c>
      <c r="BH115" s="62">
        <v>1903000</v>
      </c>
      <c r="BI115" s="62">
        <v>432025</v>
      </c>
      <c r="BJ115" s="47">
        <f t="shared" si="269"/>
        <v>17714827</v>
      </c>
      <c r="BK115" s="69">
        <f t="shared" si="247"/>
        <v>3029.8507462686566</v>
      </c>
      <c r="BL115" s="70">
        <f t="shared" si="248"/>
        <v>29352.119402985074</v>
      </c>
      <c r="BM115" s="70">
        <f t="shared" si="249"/>
        <v>104728.13432835821</v>
      </c>
      <c r="BN115" s="70">
        <f t="shared" si="250"/>
        <v>7636.8507462686566</v>
      </c>
      <c r="BO115" s="70">
        <f t="shared" si="251"/>
        <v>18551.567164179105</v>
      </c>
      <c r="BP115" s="70">
        <f t="shared" si="257"/>
        <v>47016.791044776117</v>
      </c>
      <c r="BQ115" s="70">
        <f t="shared" si="270"/>
        <v>19233.970149253732</v>
      </c>
      <c r="BR115" s="70">
        <f t="shared" si="241"/>
        <v>28402.985074626864</v>
      </c>
      <c r="BS115" s="70">
        <f t="shared" si="242"/>
        <v>6448.1343283582091</v>
      </c>
      <c r="BT115" s="71">
        <f t="shared" si="243"/>
        <v>264400.40298507462</v>
      </c>
      <c r="BU115" s="65">
        <f t="shared" si="252"/>
        <v>3.1883147479189571</v>
      </c>
      <c r="BV115" s="48">
        <f t="shared" si="253"/>
        <v>30.887262446992303</v>
      </c>
      <c r="BW115" s="48">
        <f t="shared" si="254"/>
        <v>110.20551280037694</v>
      </c>
      <c r="BX115" s="48">
        <f t="shared" si="255"/>
        <v>8.0362651170095809</v>
      </c>
      <c r="BY115" s="48">
        <f t="shared" si="256"/>
        <v>19.521831317732055</v>
      </c>
      <c r="BZ115" s="48">
        <f t="shared" si="258"/>
        <v>49.475812784670957</v>
      </c>
      <c r="CA115" s="48">
        <f t="shared" si="271"/>
        <v>20.239924611276898</v>
      </c>
      <c r="CB115" s="48">
        <f t="shared" si="244"/>
        <v>29.888487513742735</v>
      </c>
      <c r="CC115" s="48">
        <f t="shared" si="245"/>
        <v>6.7853777289147166</v>
      </c>
      <c r="CD115" s="47">
        <f t="shared" si="246"/>
        <v>278.22878906863514</v>
      </c>
      <c r="CE115" s="66">
        <v>732120</v>
      </c>
      <c r="CF115" s="62">
        <v>16080</v>
      </c>
      <c r="CG115" s="74">
        <v>-56115</v>
      </c>
      <c r="CH115" s="75">
        <f t="shared" si="272"/>
        <v>692085</v>
      </c>
      <c r="CI115" s="62">
        <f>28475+32680</f>
        <v>61155</v>
      </c>
      <c r="CJ115" s="62">
        <v>41940</v>
      </c>
      <c r="CK115" s="62">
        <v>113900</v>
      </c>
      <c r="CL115" s="62">
        <v>60300</v>
      </c>
      <c r="CM115" s="62">
        <f>11390+17085</f>
        <v>28475</v>
      </c>
      <c r="CN115" s="62">
        <v>22110</v>
      </c>
      <c r="CO115" s="62">
        <v>0</v>
      </c>
      <c r="CP115" s="75">
        <f t="shared" si="239"/>
        <v>327880</v>
      </c>
      <c r="CQ115" s="62">
        <v>16750</v>
      </c>
      <c r="CR115" s="75">
        <f t="shared" si="240"/>
        <v>344630</v>
      </c>
      <c r="CS115" s="75">
        <f t="shared" si="273"/>
        <v>364205</v>
      </c>
      <c r="CT115" s="62">
        <f>100000+212921</f>
        <v>312921</v>
      </c>
      <c r="CU115" s="47">
        <f t="shared" si="274"/>
        <v>51284</v>
      </c>
      <c r="CV115" s="76">
        <f t="shared" si="275"/>
        <v>0.52624316377323599</v>
      </c>
      <c r="CW115" s="75">
        <f t="shared" si="276"/>
        <v>5143.7313432835817</v>
      </c>
      <c r="CX115" s="77">
        <f t="shared" si="277"/>
        <v>0.49795906572169601</v>
      </c>
      <c r="CY115" s="75">
        <f t="shared" si="278"/>
        <v>765.43283582089555</v>
      </c>
      <c r="CZ115" s="77">
        <f t="shared" si="279"/>
        <v>7.410072462197563E-2</v>
      </c>
      <c r="DA115" s="77">
        <f t="shared" si="280"/>
        <v>0.45214243915126034</v>
      </c>
      <c r="DB115" s="47">
        <f t="shared" si="281"/>
        <v>57835.820895522389</v>
      </c>
      <c r="DC115" s="69">
        <f t="shared" si="282"/>
        <v>10927.164179104477</v>
      </c>
      <c r="DD115" s="70">
        <f t="shared" si="283"/>
        <v>240</v>
      </c>
      <c r="DE115" s="70">
        <f t="shared" si="284"/>
        <v>-837.53731343283584</v>
      </c>
      <c r="DF115" s="70">
        <f t="shared" si="285"/>
        <v>10329.626865671642</v>
      </c>
      <c r="DG115" s="70">
        <f t="shared" si="286"/>
        <v>912.7611940298508</v>
      </c>
      <c r="DH115" s="70">
        <f t="shared" si="287"/>
        <v>625.97014925373139</v>
      </c>
      <c r="DI115" s="70">
        <f t="shared" si="288"/>
        <v>1700</v>
      </c>
      <c r="DJ115" s="70">
        <f t="shared" si="289"/>
        <v>900</v>
      </c>
      <c r="DK115" s="70">
        <f t="shared" si="290"/>
        <v>425</v>
      </c>
      <c r="DL115" s="70">
        <f t="shared" si="291"/>
        <v>330</v>
      </c>
      <c r="DM115" s="70" t="str">
        <f t="shared" si="292"/>
        <v/>
      </c>
      <c r="DN115" s="70">
        <f t="shared" si="293"/>
        <v>4893.7313432835817</v>
      </c>
      <c r="DO115" s="70">
        <f t="shared" si="294"/>
        <v>250</v>
      </c>
      <c r="DP115" s="70">
        <f t="shared" si="295"/>
        <v>5143.7313432835817</v>
      </c>
      <c r="DQ115" s="70">
        <f t="shared" si="296"/>
        <v>5435.8955223880594</v>
      </c>
      <c r="DR115" s="70">
        <f t="shared" si="297"/>
        <v>4670.4626865671644</v>
      </c>
      <c r="DS115" s="71">
        <f t="shared" si="298"/>
        <v>765.43283582089555</v>
      </c>
      <c r="DT115" s="106">
        <f t="shared" si="299"/>
        <v>1.0578469407659463</v>
      </c>
      <c r="DU115" s="92">
        <f t="shared" si="300"/>
        <v>2.32341403151347E-2</v>
      </c>
      <c r="DV115" s="92" t="str">
        <f t="shared" si="301"/>
        <v/>
      </c>
      <c r="DW115" s="92">
        <f t="shared" si="302"/>
        <v>1</v>
      </c>
      <c r="DX115" s="92">
        <f t="shared" si="303"/>
        <v>8.8363423567914351E-2</v>
      </c>
      <c r="DY115" s="92">
        <f t="shared" si="304"/>
        <v>6.0599492836862522E-2</v>
      </c>
      <c r="DZ115" s="92">
        <f t="shared" si="305"/>
        <v>0.16457516056553748</v>
      </c>
      <c r="EA115" s="92">
        <f t="shared" si="306"/>
        <v>8.7128026181755136E-2</v>
      </c>
      <c r="EB115" s="92">
        <f t="shared" si="307"/>
        <v>4.1143790141384369E-2</v>
      </c>
      <c r="EC115" s="92">
        <f t="shared" si="308"/>
        <v>3.1946942933310213E-2</v>
      </c>
      <c r="ED115" s="92" t="str">
        <f t="shared" si="309"/>
        <v/>
      </c>
      <c r="EE115" s="92">
        <f t="shared" si="310"/>
        <v>0.47375683622676407</v>
      </c>
      <c r="EF115" s="92">
        <f t="shared" si="311"/>
        <v>2.420222949493198E-2</v>
      </c>
      <c r="EG115" s="92">
        <f t="shared" si="312"/>
        <v>0.49795906572169601</v>
      </c>
      <c r="EH115" s="92">
        <f t="shared" si="313"/>
        <v>0.52624316377323599</v>
      </c>
      <c r="EI115" s="92">
        <f t="shared" si="314"/>
        <v>0.45214243915126034</v>
      </c>
      <c r="EJ115" s="122">
        <f t="shared" si="315"/>
        <v>7.410072462197563E-2</v>
      </c>
    </row>
    <row r="116" spans="2:140" ht="12" hidden="1" customHeight="1" outlineLevel="1">
      <c r="B116" s="121">
        <v>44985</v>
      </c>
      <c r="C116" s="117" t="s">
        <v>712</v>
      </c>
      <c r="D116" s="50" t="s">
        <v>713</v>
      </c>
      <c r="E116" s="50" t="s">
        <v>320</v>
      </c>
      <c r="F116" s="50" t="s">
        <v>714</v>
      </c>
      <c r="G116" s="50" t="s">
        <v>162</v>
      </c>
      <c r="H116" s="50" t="s">
        <v>561</v>
      </c>
      <c r="I116" s="50" t="s">
        <v>561</v>
      </c>
      <c r="J116" s="52" t="s">
        <v>715</v>
      </c>
      <c r="K116" s="50" t="s">
        <v>716</v>
      </c>
      <c r="L116" s="49">
        <v>5</v>
      </c>
      <c r="M116" s="50" t="s">
        <v>283</v>
      </c>
      <c r="N116" s="50" t="s">
        <v>160</v>
      </c>
      <c r="O116" s="50" t="s">
        <v>160</v>
      </c>
      <c r="P116" s="50" t="s">
        <v>177</v>
      </c>
      <c r="Q116" s="53">
        <v>0.09</v>
      </c>
      <c r="R116" s="49">
        <v>72</v>
      </c>
      <c r="S116" s="49">
        <v>8</v>
      </c>
      <c r="T116" s="54">
        <f t="shared" si="238"/>
        <v>80</v>
      </c>
      <c r="U116" s="55">
        <v>65336</v>
      </c>
      <c r="V116" s="49">
        <v>3.9</v>
      </c>
      <c r="W116" s="56">
        <f t="shared" si="259"/>
        <v>20.512820512820515</v>
      </c>
      <c r="X116" s="49" t="s">
        <v>163</v>
      </c>
      <c r="Y116" s="57" t="s">
        <v>162</v>
      </c>
      <c r="Z116" s="58">
        <v>3400250</v>
      </c>
      <c r="AA116" s="114">
        <v>4.2500000000000003E-2</v>
      </c>
      <c r="AB116" s="59">
        <v>15</v>
      </c>
      <c r="AC116" s="60">
        <v>35</v>
      </c>
      <c r="AD116" s="61">
        <v>4.2500000000000003E-2</v>
      </c>
      <c r="AE116" s="62">
        <v>3400000</v>
      </c>
      <c r="AF116" s="63">
        <v>1.17</v>
      </c>
      <c r="AG116" s="59"/>
      <c r="AH116" s="60"/>
      <c r="AI116" s="61"/>
      <c r="AJ116" s="64"/>
      <c r="AK116" s="65">
        <f t="shared" si="260"/>
        <v>3400000</v>
      </c>
      <c r="AL116" s="62">
        <v>250</v>
      </c>
      <c r="AM116" s="49" t="s">
        <v>163</v>
      </c>
      <c r="AN116" s="67">
        <v>0.88</v>
      </c>
      <c r="AO116" s="62">
        <v>9786990</v>
      </c>
      <c r="AP116" s="62">
        <v>0</v>
      </c>
      <c r="AQ116" s="68">
        <v>380361</v>
      </c>
      <c r="AR116" s="69">
        <f t="shared" si="261"/>
        <v>42500</v>
      </c>
      <c r="AS116" s="70" t="str">
        <f>IFERROR(IF(#REF!&gt;0,#REF!/T116,""),"")</f>
        <v/>
      </c>
      <c r="AT116" s="70">
        <f t="shared" si="262"/>
        <v>122337.375</v>
      </c>
      <c r="AU116" s="70">
        <f t="shared" si="263"/>
        <v>3.125</v>
      </c>
      <c r="AV116" s="71">
        <f t="shared" si="264"/>
        <v>4754.5124999999998</v>
      </c>
      <c r="AW116" s="115">
        <f t="shared" si="265"/>
        <v>92400</v>
      </c>
      <c r="AX116" s="116">
        <f t="shared" si="266"/>
        <v>113.1382392555406</v>
      </c>
      <c r="AY116" s="72">
        <f t="shared" si="267"/>
        <v>112709.52499999999</v>
      </c>
      <c r="AZ116" s="73">
        <f t="shared" si="268"/>
        <v>138.0060303661075</v>
      </c>
      <c r="BA116" s="66">
        <v>630192</v>
      </c>
      <c r="BB116" s="62">
        <v>1282000</v>
      </c>
      <c r="BC116" s="62">
        <v>6110000</v>
      </c>
      <c r="BD116" s="62">
        <v>517440</v>
      </c>
      <c r="BE116" s="62">
        <v>1107322</v>
      </c>
      <c r="BF116" s="62">
        <v>827084</v>
      </c>
      <c r="BG116" s="62">
        <v>880762</v>
      </c>
      <c r="BH116" s="62">
        <v>1560000</v>
      </c>
      <c r="BI116" s="62">
        <v>272441</v>
      </c>
      <c r="BJ116" s="47">
        <f t="shared" si="269"/>
        <v>13187241</v>
      </c>
      <c r="BK116" s="69">
        <f t="shared" si="247"/>
        <v>7877.4</v>
      </c>
      <c r="BL116" s="70">
        <f t="shared" si="248"/>
        <v>16025</v>
      </c>
      <c r="BM116" s="70">
        <f t="shared" si="249"/>
        <v>76375</v>
      </c>
      <c r="BN116" s="70">
        <f t="shared" si="250"/>
        <v>6468</v>
      </c>
      <c r="BO116" s="70">
        <f t="shared" si="251"/>
        <v>13841.525</v>
      </c>
      <c r="BP116" s="70">
        <f t="shared" si="257"/>
        <v>10338.549999999999</v>
      </c>
      <c r="BQ116" s="70">
        <f t="shared" si="270"/>
        <v>11009.525</v>
      </c>
      <c r="BR116" s="70">
        <f t="shared" si="241"/>
        <v>19500</v>
      </c>
      <c r="BS116" s="70">
        <f t="shared" si="242"/>
        <v>3405.5124999999998</v>
      </c>
      <c r="BT116" s="71">
        <f t="shared" si="243"/>
        <v>164840.51250000001</v>
      </c>
      <c r="BU116" s="65">
        <f t="shared" si="252"/>
        <v>9.6454022284804708</v>
      </c>
      <c r="BV116" s="48">
        <f t="shared" si="253"/>
        <v>19.621648095996083</v>
      </c>
      <c r="BW116" s="48">
        <f t="shared" si="254"/>
        <v>93.516591159544504</v>
      </c>
      <c r="BX116" s="48">
        <f t="shared" si="255"/>
        <v>7.9196767478878414</v>
      </c>
      <c r="BY116" s="48">
        <f t="shared" si="256"/>
        <v>16.948114362679075</v>
      </c>
      <c r="BZ116" s="48">
        <f t="shared" si="258"/>
        <v>12.658932288478022</v>
      </c>
      <c r="CA116" s="48">
        <f t="shared" si="271"/>
        <v>13.480500795885883</v>
      </c>
      <c r="CB116" s="48">
        <f t="shared" si="244"/>
        <v>23.876576466266684</v>
      </c>
      <c r="CC116" s="48">
        <f t="shared" si="245"/>
        <v>4.1698451083629235</v>
      </c>
      <c r="CD116" s="47">
        <f t="shared" si="246"/>
        <v>201.83728725358148</v>
      </c>
      <c r="CE116" s="66">
        <v>609156</v>
      </c>
      <c r="CF116" s="62">
        <v>14400</v>
      </c>
      <c r="CG116" s="74">
        <v>-46767</v>
      </c>
      <c r="CH116" s="75">
        <f t="shared" si="272"/>
        <v>576789</v>
      </c>
      <c r="CI116" s="62">
        <f>31000+8000+2880</f>
        <v>41880</v>
      </c>
      <c r="CJ116" s="62">
        <v>23072</v>
      </c>
      <c r="CK116" s="62">
        <v>89000</v>
      </c>
      <c r="CL116" s="62">
        <v>56110</v>
      </c>
      <c r="CM116" s="62">
        <f>16000+47000</f>
        <v>63000</v>
      </c>
      <c r="CN116" s="62">
        <v>33000</v>
      </c>
      <c r="CO116" s="62">
        <v>32000</v>
      </c>
      <c r="CP116" s="75">
        <f t="shared" si="239"/>
        <v>338062</v>
      </c>
      <c r="CQ116" s="62">
        <v>20000</v>
      </c>
      <c r="CR116" s="75">
        <f t="shared" si="240"/>
        <v>358062</v>
      </c>
      <c r="CS116" s="75">
        <f t="shared" si="273"/>
        <v>238727</v>
      </c>
      <c r="CT116" s="62">
        <v>186821</v>
      </c>
      <c r="CU116" s="47">
        <f t="shared" si="274"/>
        <v>51906</v>
      </c>
      <c r="CV116" s="76">
        <f t="shared" si="275"/>
        <v>0.4138896546224009</v>
      </c>
      <c r="CW116" s="75">
        <f t="shared" si="276"/>
        <v>4475.7749999999996</v>
      </c>
      <c r="CX116" s="77">
        <f t="shared" si="277"/>
        <v>0.62078507045037268</v>
      </c>
      <c r="CY116" s="75">
        <f t="shared" si="278"/>
        <v>648.82500000000005</v>
      </c>
      <c r="CZ116" s="77">
        <f t="shared" si="279"/>
        <v>8.9991313981369267E-2</v>
      </c>
      <c r="DA116" s="77">
        <f t="shared" si="280"/>
        <v>0.32389834064103162</v>
      </c>
      <c r="DB116" s="47">
        <f t="shared" si="281"/>
        <v>42500</v>
      </c>
      <c r="DC116" s="69">
        <f t="shared" si="282"/>
        <v>7614.45</v>
      </c>
      <c r="DD116" s="70">
        <f t="shared" si="283"/>
        <v>180</v>
      </c>
      <c r="DE116" s="70">
        <f t="shared" si="284"/>
        <v>-584.58749999999998</v>
      </c>
      <c r="DF116" s="70">
        <f t="shared" si="285"/>
        <v>7209.8625000000002</v>
      </c>
      <c r="DG116" s="70">
        <f t="shared" si="286"/>
        <v>523.5</v>
      </c>
      <c r="DH116" s="70">
        <f t="shared" si="287"/>
        <v>288.39999999999998</v>
      </c>
      <c r="DI116" s="70">
        <f t="shared" si="288"/>
        <v>1112.5</v>
      </c>
      <c r="DJ116" s="70">
        <f t="shared" si="289"/>
        <v>701.375</v>
      </c>
      <c r="DK116" s="70">
        <f t="shared" si="290"/>
        <v>787.5</v>
      </c>
      <c r="DL116" s="70">
        <f t="shared" si="291"/>
        <v>412.5</v>
      </c>
      <c r="DM116" s="70">
        <f t="shared" si="292"/>
        <v>400</v>
      </c>
      <c r="DN116" s="70">
        <f t="shared" si="293"/>
        <v>4225.7749999999996</v>
      </c>
      <c r="DO116" s="70">
        <f t="shared" si="294"/>
        <v>250</v>
      </c>
      <c r="DP116" s="70">
        <f t="shared" si="295"/>
        <v>4475.7749999999996</v>
      </c>
      <c r="DQ116" s="70">
        <f t="shared" si="296"/>
        <v>2984.0875000000001</v>
      </c>
      <c r="DR116" s="70">
        <f t="shared" si="297"/>
        <v>2335.2624999999998</v>
      </c>
      <c r="DS116" s="71">
        <f t="shared" si="298"/>
        <v>648.82500000000005</v>
      </c>
      <c r="DT116" s="106">
        <f t="shared" si="299"/>
        <v>1.056115841321523</v>
      </c>
      <c r="DU116" s="92">
        <f t="shared" si="300"/>
        <v>2.4965802052396978E-2</v>
      </c>
      <c r="DV116" s="92" t="str">
        <f t="shared" si="301"/>
        <v/>
      </c>
      <c r="DW116" s="92">
        <f t="shared" si="302"/>
        <v>1</v>
      </c>
      <c r="DX116" s="92">
        <f t="shared" si="303"/>
        <v>7.2608874302387869E-2</v>
      </c>
      <c r="DY116" s="92">
        <f t="shared" si="304"/>
        <v>4.0000762843951598E-2</v>
      </c>
      <c r="DZ116" s="92">
        <f t="shared" si="305"/>
        <v>0.15430252657384244</v>
      </c>
      <c r="EA116" s="92">
        <f t="shared" si="306"/>
        <v>9.7279941191666275E-2</v>
      </c>
      <c r="EB116" s="92">
        <f t="shared" si="307"/>
        <v>0.10922538397923677</v>
      </c>
      <c r="EC116" s="92">
        <f t="shared" si="308"/>
        <v>5.7213296370076404E-2</v>
      </c>
      <c r="ED116" s="92">
        <f t="shared" si="309"/>
        <v>5.5479560116437725E-2</v>
      </c>
      <c r="EE116" s="92">
        <f t="shared" si="310"/>
        <v>0.5861103453775991</v>
      </c>
      <c r="EF116" s="92">
        <f t="shared" si="311"/>
        <v>3.4674725072773582E-2</v>
      </c>
      <c r="EG116" s="92">
        <f t="shared" si="312"/>
        <v>0.62078507045037268</v>
      </c>
      <c r="EH116" s="92">
        <f t="shared" si="313"/>
        <v>0.4138896546224009</v>
      </c>
      <c r="EI116" s="92">
        <f t="shared" si="314"/>
        <v>0.32389834064103162</v>
      </c>
      <c r="EJ116" s="122">
        <f t="shared" si="315"/>
        <v>8.9991313981369267E-2</v>
      </c>
    </row>
    <row r="117" spans="2:140" ht="12" hidden="1" customHeight="1" outlineLevel="1">
      <c r="B117" s="121">
        <v>44985</v>
      </c>
      <c r="C117" s="117" t="s">
        <v>717</v>
      </c>
      <c r="D117" s="50" t="s">
        <v>718</v>
      </c>
      <c r="E117" s="50" t="s">
        <v>606</v>
      </c>
      <c r="F117" s="50" t="s">
        <v>607</v>
      </c>
      <c r="G117" s="50" t="s">
        <v>154</v>
      </c>
      <c r="H117" s="50" t="s">
        <v>608</v>
      </c>
      <c r="I117" s="50" t="s">
        <v>167</v>
      </c>
      <c r="J117" s="52" t="s">
        <v>719</v>
      </c>
      <c r="K117" s="50" t="s">
        <v>720</v>
      </c>
      <c r="L117" s="49">
        <v>2</v>
      </c>
      <c r="M117" s="50" t="s">
        <v>283</v>
      </c>
      <c r="N117" s="50" t="s">
        <v>244</v>
      </c>
      <c r="O117" s="50" t="s">
        <v>160</v>
      </c>
      <c r="P117" s="50" t="s">
        <v>177</v>
      </c>
      <c r="Q117" s="53">
        <v>0.09</v>
      </c>
      <c r="R117" s="49">
        <v>52</v>
      </c>
      <c r="S117" s="49">
        <v>0</v>
      </c>
      <c r="T117" s="54">
        <f t="shared" si="238"/>
        <v>52</v>
      </c>
      <c r="U117" s="55">
        <v>43680</v>
      </c>
      <c r="V117" s="49">
        <v>1.48</v>
      </c>
      <c r="W117" s="56">
        <f t="shared" si="259"/>
        <v>35.135135135135137</v>
      </c>
      <c r="X117" s="49" t="s">
        <v>163</v>
      </c>
      <c r="Y117" s="57" t="s">
        <v>162</v>
      </c>
      <c r="Z117" s="58">
        <v>1950360</v>
      </c>
      <c r="AA117" s="114">
        <v>0.05</v>
      </c>
      <c r="AB117" s="59">
        <v>18</v>
      </c>
      <c r="AC117" s="60">
        <v>35</v>
      </c>
      <c r="AD117" s="61">
        <v>0.05</v>
      </c>
      <c r="AE117" s="62">
        <v>1950000</v>
      </c>
      <c r="AF117" s="63">
        <v>1.19</v>
      </c>
      <c r="AG117" s="59"/>
      <c r="AH117" s="60"/>
      <c r="AI117" s="61"/>
      <c r="AJ117" s="64"/>
      <c r="AK117" s="65">
        <f t="shared" si="260"/>
        <v>1950000</v>
      </c>
      <c r="AL117" s="62">
        <v>360</v>
      </c>
      <c r="AM117" s="49" t="s">
        <v>163</v>
      </c>
      <c r="AN117" s="67">
        <v>0.88</v>
      </c>
      <c r="AO117" s="62">
        <v>8083491</v>
      </c>
      <c r="AP117" s="62">
        <v>0</v>
      </c>
      <c r="AQ117" s="68">
        <v>164825</v>
      </c>
      <c r="AR117" s="69">
        <f t="shared" si="261"/>
        <v>37500</v>
      </c>
      <c r="AS117" s="70" t="str">
        <f>IFERROR(IF(#REF!&gt;0,#REF!/T117,""),"")</f>
        <v/>
      </c>
      <c r="AT117" s="70">
        <f t="shared" si="262"/>
        <v>155451.75</v>
      </c>
      <c r="AU117" s="70">
        <f t="shared" si="263"/>
        <v>6.9230769230769234</v>
      </c>
      <c r="AV117" s="71">
        <f t="shared" si="264"/>
        <v>3169.7115384615386</v>
      </c>
      <c r="AW117" s="115">
        <f t="shared" si="265"/>
        <v>115479.63461538461</v>
      </c>
      <c r="AX117" s="116">
        <f t="shared" si="266"/>
        <v>137.47575549450551</v>
      </c>
      <c r="AY117" s="72">
        <f t="shared" si="267"/>
        <v>138751.90384615384</v>
      </c>
      <c r="AZ117" s="73">
        <f t="shared" si="268"/>
        <v>165.18083791208792</v>
      </c>
      <c r="BA117" s="66">
        <v>187000</v>
      </c>
      <c r="BB117" s="62">
        <v>1123605</v>
      </c>
      <c r="BC117" s="62">
        <v>4881336</v>
      </c>
      <c r="BD117" s="62">
        <v>324094</v>
      </c>
      <c r="BE117" s="62">
        <v>886064</v>
      </c>
      <c r="BF117" s="62">
        <v>731611</v>
      </c>
      <c r="BG117" s="62">
        <v>592766</v>
      </c>
      <c r="BH117" s="62">
        <v>1222347</v>
      </c>
      <c r="BI117" s="62">
        <v>84778</v>
      </c>
      <c r="BJ117" s="47">
        <f t="shared" si="269"/>
        <v>10033601</v>
      </c>
      <c r="BK117" s="69">
        <f t="shared" si="247"/>
        <v>3596.1538461538462</v>
      </c>
      <c r="BL117" s="70">
        <f t="shared" si="248"/>
        <v>21607.788461538461</v>
      </c>
      <c r="BM117" s="70">
        <f t="shared" si="249"/>
        <v>93871.846153846156</v>
      </c>
      <c r="BN117" s="70">
        <f t="shared" si="250"/>
        <v>6232.5769230769229</v>
      </c>
      <c r="BO117" s="70">
        <f t="shared" si="251"/>
        <v>17039.692307692309</v>
      </c>
      <c r="BP117" s="70">
        <f t="shared" si="257"/>
        <v>14069.442307692309</v>
      </c>
      <c r="BQ117" s="70">
        <f t="shared" si="270"/>
        <v>11399.346153846154</v>
      </c>
      <c r="BR117" s="70">
        <f t="shared" si="241"/>
        <v>23506.673076923078</v>
      </c>
      <c r="BS117" s="70">
        <f t="shared" si="242"/>
        <v>1630.3461538461538</v>
      </c>
      <c r="BT117" s="71">
        <f t="shared" si="243"/>
        <v>192953.86538461538</v>
      </c>
      <c r="BU117" s="65">
        <f t="shared" si="252"/>
        <v>4.281135531135531</v>
      </c>
      <c r="BV117" s="48">
        <f t="shared" si="253"/>
        <v>25.723557692307693</v>
      </c>
      <c r="BW117" s="48">
        <f t="shared" si="254"/>
        <v>111.7521978021978</v>
      </c>
      <c r="BX117" s="48">
        <f t="shared" si="255"/>
        <v>7.4197344322344323</v>
      </c>
      <c r="BY117" s="48">
        <f t="shared" si="256"/>
        <v>20.285347985347986</v>
      </c>
      <c r="BZ117" s="48">
        <f t="shared" si="258"/>
        <v>16.74933608058608</v>
      </c>
      <c r="CA117" s="48">
        <f t="shared" si="271"/>
        <v>13.570650183150184</v>
      </c>
      <c r="CB117" s="48">
        <f t="shared" si="244"/>
        <v>27.984134615384615</v>
      </c>
      <c r="CC117" s="48">
        <f t="shared" si="245"/>
        <v>1.9408882783882784</v>
      </c>
      <c r="CD117" s="47">
        <f t="shared" si="246"/>
        <v>229.7069826007326</v>
      </c>
      <c r="CE117" s="66">
        <v>419280</v>
      </c>
      <c r="CF117" s="62">
        <v>12480</v>
      </c>
      <c r="CG117" s="74">
        <v>-32382</v>
      </c>
      <c r="CH117" s="75">
        <f t="shared" si="272"/>
        <v>399378</v>
      </c>
      <c r="CI117" s="62">
        <f>21150+2080</f>
        <v>23230</v>
      </c>
      <c r="CJ117" s="62">
        <v>24960</v>
      </c>
      <c r="CK117" s="62">
        <v>59488</v>
      </c>
      <c r="CL117" s="62">
        <f>600+33800</f>
        <v>34400</v>
      </c>
      <c r="CM117" s="62">
        <v>41000</v>
      </c>
      <c r="CN117" s="62">
        <v>23100</v>
      </c>
      <c r="CO117" s="62">
        <v>39000</v>
      </c>
      <c r="CP117" s="75">
        <f t="shared" si="239"/>
        <v>245178</v>
      </c>
      <c r="CQ117" s="62">
        <v>13000</v>
      </c>
      <c r="CR117" s="75">
        <f t="shared" si="240"/>
        <v>258178</v>
      </c>
      <c r="CS117" s="75">
        <f t="shared" si="273"/>
        <v>154200</v>
      </c>
      <c r="CT117" s="62">
        <v>118097</v>
      </c>
      <c r="CU117" s="47">
        <f t="shared" si="274"/>
        <v>36103</v>
      </c>
      <c r="CV117" s="76">
        <f t="shared" si="275"/>
        <v>0.38610038610038611</v>
      </c>
      <c r="CW117" s="75">
        <f t="shared" si="276"/>
        <v>4964.9615384615381</v>
      </c>
      <c r="CX117" s="77">
        <f t="shared" si="277"/>
        <v>0.64645023010781766</v>
      </c>
      <c r="CY117" s="75">
        <f t="shared" si="278"/>
        <v>694.28846153846155</v>
      </c>
      <c r="CZ117" s="77">
        <f t="shared" si="279"/>
        <v>9.039806899729079E-2</v>
      </c>
      <c r="DA117" s="77">
        <f t="shared" si="280"/>
        <v>0.2957023171030953</v>
      </c>
      <c r="DB117" s="47">
        <f t="shared" si="281"/>
        <v>37500</v>
      </c>
      <c r="DC117" s="69">
        <f t="shared" si="282"/>
        <v>8063.0769230769229</v>
      </c>
      <c r="DD117" s="70">
        <f t="shared" si="283"/>
        <v>240</v>
      </c>
      <c r="DE117" s="70">
        <f t="shared" si="284"/>
        <v>-622.73076923076928</v>
      </c>
      <c r="DF117" s="70">
        <f t="shared" si="285"/>
        <v>7680.3461538461543</v>
      </c>
      <c r="DG117" s="70">
        <f t="shared" si="286"/>
        <v>446.73076923076923</v>
      </c>
      <c r="DH117" s="70">
        <f t="shared" si="287"/>
        <v>480</v>
      </c>
      <c r="DI117" s="70">
        <f t="shared" si="288"/>
        <v>1144</v>
      </c>
      <c r="DJ117" s="70">
        <f t="shared" si="289"/>
        <v>661.53846153846155</v>
      </c>
      <c r="DK117" s="70">
        <f t="shared" si="290"/>
        <v>788.46153846153845</v>
      </c>
      <c r="DL117" s="70">
        <f t="shared" si="291"/>
        <v>444.23076923076923</v>
      </c>
      <c r="DM117" s="70">
        <f t="shared" si="292"/>
        <v>750</v>
      </c>
      <c r="DN117" s="70">
        <f t="shared" si="293"/>
        <v>4714.9615384615381</v>
      </c>
      <c r="DO117" s="70">
        <f t="shared" si="294"/>
        <v>250</v>
      </c>
      <c r="DP117" s="70">
        <f t="shared" si="295"/>
        <v>4964.9615384615381</v>
      </c>
      <c r="DQ117" s="70">
        <f t="shared" si="296"/>
        <v>2965.3846153846152</v>
      </c>
      <c r="DR117" s="70">
        <f t="shared" si="297"/>
        <v>2271.0961538461538</v>
      </c>
      <c r="DS117" s="71">
        <f t="shared" si="298"/>
        <v>694.28846153846155</v>
      </c>
      <c r="DT117" s="106">
        <f t="shared" si="299"/>
        <v>1.0498324895212054</v>
      </c>
      <c r="DU117" s="92">
        <f t="shared" si="300"/>
        <v>3.1248591559875607E-2</v>
      </c>
      <c r="DV117" s="92" t="str">
        <f t="shared" si="301"/>
        <v/>
      </c>
      <c r="DW117" s="92">
        <f t="shared" si="302"/>
        <v>1</v>
      </c>
      <c r="DX117" s="92">
        <f t="shared" si="303"/>
        <v>5.8165447270505634E-2</v>
      </c>
      <c r="DY117" s="92">
        <f t="shared" si="304"/>
        <v>6.2497183119751214E-2</v>
      </c>
      <c r="DZ117" s="92">
        <f t="shared" si="305"/>
        <v>0.14895161976874038</v>
      </c>
      <c r="EA117" s="92">
        <f t="shared" si="306"/>
        <v>8.6133938274016095E-2</v>
      </c>
      <c r="EB117" s="92">
        <f t="shared" si="307"/>
        <v>0.10265963573356569</v>
      </c>
      <c r="EC117" s="92">
        <f t="shared" si="308"/>
        <v>5.7839941108423595E-2</v>
      </c>
      <c r="ED117" s="92">
        <f t="shared" si="309"/>
        <v>9.7651848624611265E-2</v>
      </c>
      <c r="EE117" s="92">
        <f t="shared" si="310"/>
        <v>0.61389961389961389</v>
      </c>
      <c r="EF117" s="92">
        <f t="shared" si="311"/>
        <v>3.2550616208203757E-2</v>
      </c>
      <c r="EG117" s="92">
        <f t="shared" si="312"/>
        <v>0.64645023010781766</v>
      </c>
      <c r="EH117" s="92">
        <f t="shared" si="313"/>
        <v>0.38610038610038611</v>
      </c>
      <c r="EI117" s="92">
        <f t="shared" si="314"/>
        <v>0.2957023171030953</v>
      </c>
      <c r="EJ117" s="122">
        <f t="shared" si="315"/>
        <v>9.039806899729079E-2</v>
      </c>
    </row>
    <row r="118" spans="2:140" ht="12" hidden="1" customHeight="1" outlineLevel="1">
      <c r="B118" s="121">
        <v>44985</v>
      </c>
      <c r="C118" s="117" t="s">
        <v>721</v>
      </c>
      <c r="D118" s="50" t="s">
        <v>722</v>
      </c>
      <c r="E118" s="50" t="s">
        <v>723</v>
      </c>
      <c r="F118" s="50" t="s">
        <v>723</v>
      </c>
      <c r="G118" s="50" t="s">
        <v>291</v>
      </c>
      <c r="H118" s="50" t="s">
        <v>724</v>
      </c>
      <c r="I118" s="50" t="s">
        <v>174</v>
      </c>
      <c r="J118" s="52" t="s">
        <v>183</v>
      </c>
      <c r="K118" s="50" t="s">
        <v>184</v>
      </c>
      <c r="L118" s="49">
        <v>9</v>
      </c>
      <c r="M118" s="50" t="s">
        <v>159</v>
      </c>
      <c r="N118" s="50" t="s">
        <v>244</v>
      </c>
      <c r="O118" s="50" t="s">
        <v>318</v>
      </c>
      <c r="P118" s="50" t="s">
        <v>177</v>
      </c>
      <c r="Q118" s="53">
        <v>0.09</v>
      </c>
      <c r="R118" s="49">
        <v>135</v>
      </c>
      <c r="S118" s="49">
        <v>0</v>
      </c>
      <c r="T118" s="54">
        <f t="shared" si="238"/>
        <v>135</v>
      </c>
      <c r="U118" s="55">
        <v>102557</v>
      </c>
      <c r="V118" s="49">
        <v>6.86</v>
      </c>
      <c r="W118" s="56">
        <f t="shared" si="259"/>
        <v>19.679300291545189</v>
      </c>
      <c r="X118" s="49" t="s">
        <v>163</v>
      </c>
      <c r="Y118" s="57" t="s">
        <v>162</v>
      </c>
      <c r="Z118" s="58">
        <v>8050500</v>
      </c>
      <c r="AA118" s="114">
        <v>4.2500000000000003E-2</v>
      </c>
      <c r="AB118" s="59">
        <v>15</v>
      </c>
      <c r="AC118" s="60">
        <v>35</v>
      </c>
      <c r="AD118" s="61">
        <v>4.2500000000000003E-2</v>
      </c>
      <c r="AE118" s="62">
        <v>8050000</v>
      </c>
      <c r="AF118" s="63">
        <v>1.1499999999999999</v>
      </c>
      <c r="AG118" s="59"/>
      <c r="AH118" s="60"/>
      <c r="AI118" s="61"/>
      <c r="AJ118" s="64"/>
      <c r="AK118" s="65">
        <f t="shared" si="260"/>
        <v>8050000</v>
      </c>
      <c r="AL118" s="62">
        <v>500</v>
      </c>
      <c r="AM118" s="49" t="s">
        <v>163</v>
      </c>
      <c r="AN118" s="67">
        <v>0.93</v>
      </c>
      <c r="AO118" s="62">
        <v>15282962</v>
      </c>
      <c r="AP118" s="62">
        <v>0</v>
      </c>
      <c r="AQ118" s="68">
        <v>1334357</v>
      </c>
      <c r="AR118" s="69">
        <f t="shared" si="261"/>
        <v>59629.629629629628</v>
      </c>
      <c r="AS118" s="70" t="str">
        <f>IFERROR(IF(#REF!&gt;0,#REF!/T118,""),"")</f>
        <v/>
      </c>
      <c r="AT118" s="70">
        <f t="shared" si="262"/>
        <v>113207.12592592592</v>
      </c>
      <c r="AU118" s="70">
        <f t="shared" si="263"/>
        <v>3.7037037037037037</v>
      </c>
      <c r="AV118" s="71">
        <f t="shared" si="264"/>
        <v>9884.1259259259259</v>
      </c>
      <c r="AW118" s="115">
        <f t="shared" si="265"/>
        <v>99453.46666666666</v>
      </c>
      <c r="AX118" s="116">
        <f t="shared" si="266"/>
        <v>130.91469134237545</v>
      </c>
      <c r="AY118" s="72">
        <f t="shared" si="267"/>
        <v>121251.1851851852</v>
      </c>
      <c r="AZ118" s="73">
        <f t="shared" si="268"/>
        <v>159.60792534883041</v>
      </c>
      <c r="BA118" s="66">
        <v>1224630</v>
      </c>
      <c r="BB118" s="62">
        <v>2117018</v>
      </c>
      <c r="BC118" s="62">
        <v>11309200</v>
      </c>
      <c r="BD118" s="62">
        <v>932475</v>
      </c>
      <c r="BE118" s="62">
        <v>2010217</v>
      </c>
      <c r="BF118" s="62">
        <v>1411713</v>
      </c>
      <c r="BG118" s="62">
        <v>1069527</v>
      </c>
      <c r="BH118" s="62">
        <v>2749000</v>
      </c>
      <c r="BI118" s="62">
        <v>509682</v>
      </c>
      <c r="BJ118" s="47">
        <f t="shared" si="269"/>
        <v>23333462</v>
      </c>
      <c r="BK118" s="69">
        <f t="shared" si="247"/>
        <v>9071.3333333333339</v>
      </c>
      <c r="BL118" s="70">
        <f t="shared" si="248"/>
        <v>15681.614814814815</v>
      </c>
      <c r="BM118" s="70">
        <f t="shared" si="249"/>
        <v>83771.851851851854</v>
      </c>
      <c r="BN118" s="70">
        <f t="shared" si="250"/>
        <v>6907.2222222222226</v>
      </c>
      <c r="BO118" s="70">
        <f t="shared" si="251"/>
        <v>14890.496296296296</v>
      </c>
      <c r="BP118" s="70">
        <f t="shared" si="257"/>
        <v>10457.133333333333</v>
      </c>
      <c r="BQ118" s="70">
        <f t="shared" si="270"/>
        <v>7922.4222222222224</v>
      </c>
      <c r="BR118" s="70">
        <f t="shared" si="241"/>
        <v>20362.962962962964</v>
      </c>
      <c r="BS118" s="70">
        <f t="shared" si="242"/>
        <v>3775.4222222222224</v>
      </c>
      <c r="BT118" s="71">
        <f t="shared" si="243"/>
        <v>172840.45925925925</v>
      </c>
      <c r="BU118" s="65">
        <f t="shared" si="252"/>
        <v>11.940969412131791</v>
      </c>
      <c r="BV118" s="48">
        <f t="shared" si="253"/>
        <v>20.64235498308258</v>
      </c>
      <c r="BW118" s="48">
        <f t="shared" si="254"/>
        <v>110.27233635929288</v>
      </c>
      <c r="BX118" s="48">
        <f t="shared" si="255"/>
        <v>9.0922608890665675</v>
      </c>
      <c r="BY118" s="48">
        <f t="shared" si="256"/>
        <v>19.600973117388378</v>
      </c>
      <c r="BZ118" s="48">
        <f t="shared" si="258"/>
        <v>13.765154986982848</v>
      </c>
      <c r="CA118" s="48">
        <f t="shared" si="271"/>
        <v>10.428610431272366</v>
      </c>
      <c r="CB118" s="48">
        <f t="shared" si="244"/>
        <v>26.804606218980663</v>
      </c>
      <c r="CC118" s="48">
        <f t="shared" si="245"/>
        <v>4.9697436547480915</v>
      </c>
      <c r="CD118" s="47">
        <f t="shared" si="246"/>
        <v>227.51701005294618</v>
      </c>
      <c r="CE118" s="66">
        <v>1150812</v>
      </c>
      <c r="CF118" s="62">
        <v>24300</v>
      </c>
      <c r="CG118" s="74">
        <v>-88133</v>
      </c>
      <c r="CH118" s="75">
        <f t="shared" si="272"/>
        <v>1086979</v>
      </c>
      <c r="CI118" s="62">
        <f>54650+6000+5400</f>
        <v>66050</v>
      </c>
      <c r="CJ118" s="62">
        <v>54349</v>
      </c>
      <c r="CK118" s="62">
        <v>181440</v>
      </c>
      <c r="CL118" s="62">
        <v>89200</v>
      </c>
      <c r="CM118" s="62">
        <f>30000+80250</f>
        <v>110250</v>
      </c>
      <c r="CN118" s="62">
        <v>42000</v>
      </c>
      <c r="CO118" s="62">
        <v>0</v>
      </c>
      <c r="CP118" s="75">
        <f t="shared" si="239"/>
        <v>543289</v>
      </c>
      <c r="CQ118" s="62">
        <v>33750</v>
      </c>
      <c r="CR118" s="75">
        <f t="shared" si="240"/>
        <v>577039</v>
      </c>
      <c r="CS118" s="75">
        <f t="shared" si="273"/>
        <v>543690</v>
      </c>
      <c r="CT118" s="62">
        <v>442326</v>
      </c>
      <c r="CU118" s="47">
        <f t="shared" si="274"/>
        <v>101364</v>
      </c>
      <c r="CV118" s="76">
        <f t="shared" si="275"/>
        <v>0.50018445618544605</v>
      </c>
      <c r="CW118" s="75">
        <f t="shared" si="276"/>
        <v>4274.3629629629631</v>
      </c>
      <c r="CX118" s="77">
        <f t="shared" si="277"/>
        <v>0.5308649017138326</v>
      </c>
      <c r="CY118" s="75">
        <f t="shared" si="278"/>
        <v>750.84444444444443</v>
      </c>
      <c r="CZ118" s="77">
        <f t="shared" si="279"/>
        <v>9.3252951528962374E-2</v>
      </c>
      <c r="DA118" s="77">
        <f t="shared" si="280"/>
        <v>0.4069315046564837</v>
      </c>
      <c r="DB118" s="47">
        <f t="shared" si="281"/>
        <v>59629.629629629628</v>
      </c>
      <c r="DC118" s="69">
        <f t="shared" si="282"/>
        <v>8524.5333333333328</v>
      </c>
      <c r="DD118" s="70">
        <f t="shared" si="283"/>
        <v>180</v>
      </c>
      <c r="DE118" s="70">
        <f t="shared" si="284"/>
        <v>-652.83703703703702</v>
      </c>
      <c r="DF118" s="70">
        <f t="shared" si="285"/>
        <v>8051.6962962962962</v>
      </c>
      <c r="DG118" s="70">
        <f t="shared" si="286"/>
        <v>489.25925925925924</v>
      </c>
      <c r="DH118" s="70">
        <f t="shared" si="287"/>
        <v>402.5851851851852</v>
      </c>
      <c r="DI118" s="70">
        <f t="shared" si="288"/>
        <v>1344</v>
      </c>
      <c r="DJ118" s="70">
        <f t="shared" si="289"/>
        <v>660.74074074074076</v>
      </c>
      <c r="DK118" s="70">
        <f t="shared" si="290"/>
        <v>816.66666666666663</v>
      </c>
      <c r="DL118" s="70">
        <f t="shared" si="291"/>
        <v>311.11111111111109</v>
      </c>
      <c r="DM118" s="70" t="str">
        <f t="shared" si="292"/>
        <v/>
      </c>
      <c r="DN118" s="70">
        <f t="shared" si="293"/>
        <v>4024.3629629629631</v>
      </c>
      <c r="DO118" s="70">
        <f t="shared" si="294"/>
        <v>250</v>
      </c>
      <c r="DP118" s="70">
        <f t="shared" si="295"/>
        <v>4274.3629629629631</v>
      </c>
      <c r="DQ118" s="70">
        <f t="shared" si="296"/>
        <v>4027.3333333333335</v>
      </c>
      <c r="DR118" s="70">
        <f t="shared" si="297"/>
        <v>3276.4888888888891</v>
      </c>
      <c r="DS118" s="71">
        <f t="shared" si="298"/>
        <v>750.84444444444443</v>
      </c>
      <c r="DT118" s="106">
        <f t="shared" si="299"/>
        <v>1.0587251455639897</v>
      </c>
      <c r="DU118" s="92">
        <f t="shared" si="300"/>
        <v>2.2355537687480623E-2</v>
      </c>
      <c r="DV118" s="92" t="str">
        <f t="shared" si="301"/>
        <v/>
      </c>
      <c r="DW118" s="92">
        <f t="shared" si="302"/>
        <v>1</v>
      </c>
      <c r="DX118" s="92">
        <f t="shared" si="303"/>
        <v>6.0764743385106797E-2</v>
      </c>
      <c r="DY118" s="92">
        <f t="shared" si="304"/>
        <v>5.0000045999048739E-2</v>
      </c>
      <c r="DZ118" s="92">
        <f t="shared" si="305"/>
        <v>0.16692134806652198</v>
      </c>
      <c r="EA118" s="92">
        <f t="shared" si="306"/>
        <v>8.2062302951574961E-2</v>
      </c>
      <c r="EB118" s="92">
        <f t="shared" si="307"/>
        <v>0.1014279024709769</v>
      </c>
      <c r="EC118" s="92">
        <f t="shared" si="308"/>
        <v>3.8639200941324531E-2</v>
      </c>
      <c r="ED118" s="92" t="str">
        <f t="shared" si="309"/>
        <v/>
      </c>
      <c r="EE118" s="92">
        <f t="shared" si="310"/>
        <v>0.4998155438145539</v>
      </c>
      <c r="EF118" s="92">
        <f t="shared" si="311"/>
        <v>3.1049357899278644E-2</v>
      </c>
      <c r="EG118" s="92">
        <f t="shared" si="312"/>
        <v>0.5308649017138326</v>
      </c>
      <c r="EH118" s="92">
        <f t="shared" si="313"/>
        <v>0.50018445618544605</v>
      </c>
      <c r="EI118" s="92">
        <f t="shared" si="314"/>
        <v>0.4069315046564837</v>
      </c>
      <c r="EJ118" s="122">
        <f t="shared" si="315"/>
        <v>9.3252951528962374E-2</v>
      </c>
    </row>
    <row r="119" spans="2:140" ht="12" hidden="1" customHeight="1" outlineLevel="1">
      <c r="B119" s="121">
        <v>44985</v>
      </c>
      <c r="C119" s="117" t="s">
        <v>725</v>
      </c>
      <c r="D119" s="50" t="s">
        <v>726</v>
      </c>
      <c r="E119" s="50" t="s">
        <v>598</v>
      </c>
      <c r="F119" s="50" t="s">
        <v>599</v>
      </c>
      <c r="G119" s="50" t="s">
        <v>162</v>
      </c>
      <c r="H119" s="50" t="s">
        <v>433</v>
      </c>
      <c r="I119" s="50" t="s">
        <v>321</v>
      </c>
      <c r="J119" s="52" t="s">
        <v>727</v>
      </c>
      <c r="K119" s="50" t="s">
        <v>728</v>
      </c>
      <c r="L119" s="49">
        <v>1</v>
      </c>
      <c r="M119" s="50" t="s">
        <v>283</v>
      </c>
      <c r="N119" s="50" t="s">
        <v>244</v>
      </c>
      <c r="O119" s="50" t="s">
        <v>160</v>
      </c>
      <c r="P119" s="50" t="s">
        <v>177</v>
      </c>
      <c r="Q119" s="53">
        <v>0.09</v>
      </c>
      <c r="R119" s="49">
        <f>72-7</f>
        <v>65</v>
      </c>
      <c r="S119" s="49">
        <v>7</v>
      </c>
      <c r="T119" s="54">
        <f t="shared" si="238"/>
        <v>72</v>
      </c>
      <c r="U119" s="55">
        <v>56070</v>
      </c>
      <c r="V119" s="49">
        <v>4.5999999999999996</v>
      </c>
      <c r="W119" s="56">
        <f t="shared" si="259"/>
        <v>15.65217391304348</v>
      </c>
      <c r="X119" s="49" t="s">
        <v>163</v>
      </c>
      <c r="Y119" s="57" t="s">
        <v>162</v>
      </c>
      <c r="Z119" s="58">
        <v>3500250</v>
      </c>
      <c r="AA119" s="114">
        <v>5.2499999999999998E-2</v>
      </c>
      <c r="AB119" s="59">
        <v>15</v>
      </c>
      <c r="AC119" s="60">
        <v>40</v>
      </c>
      <c r="AD119" s="61">
        <v>5.2499999999999998E-2</v>
      </c>
      <c r="AE119" s="62">
        <v>3500000</v>
      </c>
      <c r="AF119" s="63">
        <v>1.17</v>
      </c>
      <c r="AG119" s="59"/>
      <c r="AH119" s="60"/>
      <c r="AI119" s="61"/>
      <c r="AJ119" s="64"/>
      <c r="AK119" s="65">
        <f t="shared" si="260"/>
        <v>3500000</v>
      </c>
      <c r="AL119" s="62">
        <v>250</v>
      </c>
      <c r="AM119" s="49" t="s">
        <v>163</v>
      </c>
      <c r="AN119" s="67">
        <v>0.85</v>
      </c>
      <c r="AO119" s="62">
        <v>9241344</v>
      </c>
      <c r="AP119" s="62">
        <v>0</v>
      </c>
      <c r="AQ119" s="68">
        <v>65926</v>
      </c>
      <c r="AR119" s="69">
        <f t="shared" si="261"/>
        <v>48611.111111111109</v>
      </c>
      <c r="AS119" s="70" t="str">
        <f>IFERROR(IF(#REF!&gt;0,#REF!/T119,""),"")</f>
        <v/>
      </c>
      <c r="AT119" s="70">
        <f t="shared" si="262"/>
        <v>128352</v>
      </c>
      <c r="AU119" s="70">
        <f t="shared" si="263"/>
        <v>3.4722222222222223</v>
      </c>
      <c r="AV119" s="71">
        <f t="shared" si="264"/>
        <v>915.63888888888891</v>
      </c>
      <c r="AW119" s="115">
        <f t="shared" si="265"/>
        <v>97603.694444444438</v>
      </c>
      <c r="AX119" s="116">
        <f t="shared" si="266"/>
        <v>125.33379703941502</v>
      </c>
      <c r="AY119" s="72">
        <f t="shared" si="267"/>
        <v>116866.52777777777</v>
      </c>
      <c r="AZ119" s="73">
        <f t="shared" si="268"/>
        <v>150.06937756375959</v>
      </c>
      <c r="BA119" s="66">
        <v>700000</v>
      </c>
      <c r="BB119" s="62">
        <v>1471974</v>
      </c>
      <c r="BC119" s="62">
        <v>5555492</v>
      </c>
      <c r="BD119" s="62">
        <v>420048</v>
      </c>
      <c r="BE119" s="62">
        <v>966876</v>
      </c>
      <c r="BF119" s="62">
        <v>1245720</v>
      </c>
      <c r="BG119" s="62">
        <v>749156</v>
      </c>
      <c r="BH119" s="62">
        <v>1320728</v>
      </c>
      <c r="BI119" s="62">
        <v>311600</v>
      </c>
      <c r="BJ119" s="47">
        <f t="shared" si="269"/>
        <v>12741594</v>
      </c>
      <c r="BK119" s="69">
        <f t="shared" si="247"/>
        <v>9722.2222222222226</v>
      </c>
      <c r="BL119" s="70">
        <f t="shared" si="248"/>
        <v>20444.083333333332</v>
      </c>
      <c r="BM119" s="70">
        <f t="shared" si="249"/>
        <v>77159.611111111109</v>
      </c>
      <c r="BN119" s="70">
        <f t="shared" si="250"/>
        <v>5834</v>
      </c>
      <c r="BO119" s="70">
        <f t="shared" si="251"/>
        <v>13428.833333333334</v>
      </c>
      <c r="BP119" s="70">
        <f t="shared" si="257"/>
        <v>17301.666666666668</v>
      </c>
      <c r="BQ119" s="70">
        <f t="shared" si="270"/>
        <v>10404.944444444445</v>
      </c>
      <c r="BR119" s="70">
        <f t="shared" si="241"/>
        <v>18343.444444444445</v>
      </c>
      <c r="BS119" s="70">
        <f t="shared" si="242"/>
        <v>4327.7777777777774</v>
      </c>
      <c r="BT119" s="71">
        <f t="shared" si="243"/>
        <v>176966.58333333334</v>
      </c>
      <c r="BU119" s="65">
        <f t="shared" si="252"/>
        <v>12.484394506866417</v>
      </c>
      <c r="BV119" s="48">
        <f t="shared" si="253"/>
        <v>26.252434456928839</v>
      </c>
      <c r="BW119" s="48">
        <f t="shared" si="254"/>
        <v>99.081362582486179</v>
      </c>
      <c r="BX119" s="48">
        <f t="shared" si="255"/>
        <v>7.4914927768860355</v>
      </c>
      <c r="BY119" s="48">
        <f t="shared" si="256"/>
        <v>17.244087747458533</v>
      </c>
      <c r="BZ119" s="48">
        <f t="shared" si="258"/>
        <v>22.217228464419474</v>
      </c>
      <c r="CA119" s="48">
        <f t="shared" si="271"/>
        <v>13.361084358837168</v>
      </c>
      <c r="CB119" s="48">
        <f t="shared" si="244"/>
        <v>23.554984840378097</v>
      </c>
      <c r="CC119" s="48">
        <f t="shared" si="245"/>
        <v>5.5573390404851075</v>
      </c>
      <c r="CD119" s="47">
        <f t="shared" si="246"/>
        <v>227.24440877474586</v>
      </c>
      <c r="CE119" s="66">
        <v>652128</v>
      </c>
      <c r="CF119" s="62">
        <v>17280</v>
      </c>
      <c r="CG119" s="74">
        <v>-50206</v>
      </c>
      <c r="CH119" s="75">
        <f t="shared" si="272"/>
        <v>619202</v>
      </c>
      <c r="CI119" s="62">
        <f>31280+5400+2600</f>
        <v>39280</v>
      </c>
      <c r="CJ119" s="62">
        <v>37213</v>
      </c>
      <c r="CK119" s="62">
        <v>98040</v>
      </c>
      <c r="CL119" s="62">
        <v>43218</v>
      </c>
      <c r="CM119" s="62">
        <f>28910+23760</f>
        <v>52670</v>
      </c>
      <c r="CN119" s="62">
        <v>26553</v>
      </c>
      <c r="CO119" s="62">
        <v>56146</v>
      </c>
      <c r="CP119" s="75">
        <f t="shared" si="239"/>
        <v>353120</v>
      </c>
      <c r="CQ119" s="62">
        <v>21600</v>
      </c>
      <c r="CR119" s="75">
        <f t="shared" si="240"/>
        <v>374720</v>
      </c>
      <c r="CS119" s="75">
        <f t="shared" si="273"/>
        <v>266082</v>
      </c>
      <c r="CT119" s="62">
        <v>209526</v>
      </c>
      <c r="CU119" s="47">
        <f t="shared" si="274"/>
        <v>56556</v>
      </c>
      <c r="CV119" s="76">
        <f t="shared" si="275"/>
        <v>0.42971760427130401</v>
      </c>
      <c r="CW119" s="75">
        <f t="shared" si="276"/>
        <v>5204.4444444444443</v>
      </c>
      <c r="CX119" s="77">
        <f t="shared" si="277"/>
        <v>0.60516600398577525</v>
      </c>
      <c r="CY119" s="75">
        <f t="shared" si="278"/>
        <v>785.5</v>
      </c>
      <c r="CZ119" s="77">
        <f t="shared" si="279"/>
        <v>9.1336914286452561E-2</v>
      </c>
      <c r="DA119" s="77">
        <f t="shared" si="280"/>
        <v>0.33838068998485149</v>
      </c>
      <c r="DB119" s="47">
        <f t="shared" si="281"/>
        <v>48611.111111111109</v>
      </c>
      <c r="DC119" s="69">
        <f t="shared" si="282"/>
        <v>9057.3333333333339</v>
      </c>
      <c r="DD119" s="70">
        <f t="shared" si="283"/>
        <v>240</v>
      </c>
      <c r="DE119" s="70">
        <f t="shared" si="284"/>
        <v>-697.30555555555554</v>
      </c>
      <c r="DF119" s="70">
        <f t="shared" si="285"/>
        <v>8600.0277777777774</v>
      </c>
      <c r="DG119" s="70">
        <f t="shared" si="286"/>
        <v>545.55555555555554</v>
      </c>
      <c r="DH119" s="70">
        <f t="shared" si="287"/>
        <v>516.84722222222217</v>
      </c>
      <c r="DI119" s="70">
        <f t="shared" si="288"/>
        <v>1361.6666666666667</v>
      </c>
      <c r="DJ119" s="70">
        <f t="shared" si="289"/>
        <v>600.25</v>
      </c>
      <c r="DK119" s="70">
        <f t="shared" si="290"/>
        <v>731.52777777777783</v>
      </c>
      <c r="DL119" s="70">
        <f t="shared" si="291"/>
        <v>368.79166666666669</v>
      </c>
      <c r="DM119" s="70">
        <f t="shared" si="292"/>
        <v>779.80555555555554</v>
      </c>
      <c r="DN119" s="70">
        <f t="shared" si="293"/>
        <v>4904.4444444444443</v>
      </c>
      <c r="DO119" s="70">
        <f t="shared" si="294"/>
        <v>300</v>
      </c>
      <c r="DP119" s="70">
        <f t="shared" si="295"/>
        <v>5204.4444444444443</v>
      </c>
      <c r="DQ119" s="70">
        <f t="shared" si="296"/>
        <v>3695.5833333333335</v>
      </c>
      <c r="DR119" s="70">
        <f t="shared" si="297"/>
        <v>2910.0833333333335</v>
      </c>
      <c r="DS119" s="71">
        <f t="shared" si="298"/>
        <v>785.5</v>
      </c>
      <c r="DT119" s="106">
        <f t="shared" si="299"/>
        <v>1.0531748928459534</v>
      </c>
      <c r="DU119" s="92">
        <f t="shared" si="300"/>
        <v>2.7906886605663418E-2</v>
      </c>
      <c r="DV119" s="92" t="str">
        <f t="shared" si="301"/>
        <v/>
      </c>
      <c r="DW119" s="92">
        <f t="shared" si="302"/>
        <v>1</v>
      </c>
      <c r="DX119" s="92">
        <f t="shared" si="303"/>
        <v>6.3436487608244163E-2</v>
      </c>
      <c r="DY119" s="92">
        <f t="shared" si="304"/>
        <v>6.0098320095865326E-2</v>
      </c>
      <c r="DZ119" s="92">
        <f t="shared" si="305"/>
        <v>0.1583328219224098</v>
      </c>
      <c r="EA119" s="92">
        <f t="shared" si="306"/>
        <v>6.9796286187706114E-2</v>
      </c>
      <c r="EB119" s="92">
        <f t="shared" si="307"/>
        <v>8.5061094763905803E-2</v>
      </c>
      <c r="EC119" s="92">
        <f t="shared" si="308"/>
        <v>4.2882613428251198E-2</v>
      </c>
      <c r="ED119" s="92">
        <f t="shared" si="309"/>
        <v>9.0674771722313557E-2</v>
      </c>
      <c r="EE119" s="92">
        <f t="shared" si="310"/>
        <v>0.57028239572869599</v>
      </c>
      <c r="EF119" s="92">
        <f t="shared" si="311"/>
        <v>3.4883608257079271E-2</v>
      </c>
      <c r="EG119" s="92">
        <f t="shared" si="312"/>
        <v>0.60516600398577525</v>
      </c>
      <c r="EH119" s="92">
        <f t="shared" si="313"/>
        <v>0.42971760427130401</v>
      </c>
      <c r="EI119" s="92">
        <f t="shared" si="314"/>
        <v>0.33838068998485149</v>
      </c>
      <c r="EJ119" s="122">
        <f t="shared" si="315"/>
        <v>9.1336914286452561E-2</v>
      </c>
    </row>
    <row r="120" spans="2:140" ht="12" hidden="1" customHeight="1" outlineLevel="1">
      <c r="B120" s="121">
        <v>44985</v>
      </c>
      <c r="C120" s="117" t="s">
        <v>729</v>
      </c>
      <c r="D120" s="50" t="s">
        <v>730</v>
      </c>
      <c r="E120" s="50"/>
      <c r="F120" s="50"/>
      <c r="G120" s="50"/>
      <c r="H120" s="50" t="s">
        <v>731</v>
      </c>
      <c r="I120" s="50" t="s">
        <v>438</v>
      </c>
      <c r="J120" s="52" t="s">
        <v>732</v>
      </c>
      <c r="K120" s="50" t="s">
        <v>176</v>
      </c>
      <c r="L120" s="49">
        <v>6</v>
      </c>
      <c r="M120" s="50" t="s">
        <v>283</v>
      </c>
      <c r="N120" s="50" t="s">
        <v>244</v>
      </c>
      <c r="O120" s="50" t="s">
        <v>318</v>
      </c>
      <c r="P120" s="50" t="s">
        <v>177</v>
      </c>
      <c r="Q120" s="53">
        <v>0.09</v>
      </c>
      <c r="R120" s="49">
        <v>50</v>
      </c>
      <c r="S120" s="49">
        <v>9</v>
      </c>
      <c r="T120" s="54">
        <f t="shared" si="238"/>
        <v>59</v>
      </c>
      <c r="U120" s="55">
        <f>55542/1.18</f>
        <v>47069.491525423735</v>
      </c>
      <c r="V120" s="49"/>
      <c r="W120" s="56" t="str">
        <f t="shared" si="259"/>
        <v/>
      </c>
      <c r="X120" s="49" t="s">
        <v>163</v>
      </c>
      <c r="Y120" s="57"/>
      <c r="Z120" s="58">
        <v>3890250</v>
      </c>
      <c r="AA120" s="114">
        <v>5.7500000000000002E-2</v>
      </c>
      <c r="AB120" s="59">
        <v>15</v>
      </c>
      <c r="AC120" s="60">
        <v>40</v>
      </c>
      <c r="AD120" s="61">
        <v>5.7500000000000002E-2</v>
      </c>
      <c r="AE120" s="62">
        <v>3890000</v>
      </c>
      <c r="AF120" s="63">
        <v>1.1499999999999999</v>
      </c>
      <c r="AG120" s="59"/>
      <c r="AH120" s="60"/>
      <c r="AI120" s="61"/>
      <c r="AJ120" s="64"/>
      <c r="AK120" s="65">
        <f t="shared" si="260"/>
        <v>3890000</v>
      </c>
      <c r="AL120" s="62">
        <v>250</v>
      </c>
      <c r="AM120" s="49" t="s">
        <v>163</v>
      </c>
      <c r="AN120" s="67">
        <v>0.92</v>
      </c>
      <c r="AO120" s="62">
        <v>8789088</v>
      </c>
      <c r="AP120" s="62">
        <v>0</v>
      </c>
      <c r="AQ120" s="68">
        <v>1968457</v>
      </c>
      <c r="AR120" s="69">
        <f t="shared" si="261"/>
        <v>65932.203389830509</v>
      </c>
      <c r="AS120" s="70" t="str">
        <f>IFERROR(IF(#REF!&gt;0,#REF!/T120,""),"")</f>
        <v/>
      </c>
      <c r="AT120" s="70">
        <f t="shared" si="262"/>
        <v>148967.59322033898</v>
      </c>
      <c r="AU120" s="70">
        <f t="shared" si="263"/>
        <v>4.2372881355932206</v>
      </c>
      <c r="AV120" s="71">
        <f t="shared" si="264"/>
        <v>33363.677966101692</v>
      </c>
      <c r="AW120" s="115">
        <f t="shared" si="265"/>
        <v>121209.81355932204</v>
      </c>
      <c r="AX120" s="116">
        <f t="shared" si="266"/>
        <v>151.93236145619528</v>
      </c>
      <c r="AY120" s="72">
        <f t="shared" si="267"/>
        <v>141320.20338983051</v>
      </c>
      <c r="AZ120" s="73">
        <f t="shared" si="268"/>
        <v>177.14004825177341</v>
      </c>
      <c r="BA120" s="66">
        <v>1258013</v>
      </c>
      <c r="BB120" s="62">
        <v>884351</v>
      </c>
      <c r="BC120" s="62">
        <f>547279+5719749</f>
        <v>6267028</v>
      </c>
      <c r="BD120" s="62">
        <v>377870</v>
      </c>
      <c r="BE120" s="62">
        <v>808643</v>
      </c>
      <c r="BF120" s="62">
        <v>897257</v>
      </c>
      <c r="BG120" s="62">
        <v>686876</v>
      </c>
      <c r="BH120" s="62">
        <v>1203000</v>
      </c>
      <c r="BI120" s="62">
        <v>296300</v>
      </c>
      <c r="BJ120" s="47">
        <f t="shared" si="269"/>
        <v>12679338</v>
      </c>
      <c r="BK120" s="69">
        <f t="shared" si="247"/>
        <v>21322.254237288136</v>
      </c>
      <c r="BL120" s="70">
        <f t="shared" si="248"/>
        <v>14989</v>
      </c>
      <c r="BM120" s="70">
        <f t="shared" si="249"/>
        <v>106220.81355932204</v>
      </c>
      <c r="BN120" s="70">
        <f t="shared" si="250"/>
        <v>6404.5762711864409</v>
      </c>
      <c r="BO120" s="70">
        <f t="shared" si="251"/>
        <v>13705.813559322034</v>
      </c>
      <c r="BP120" s="70">
        <f t="shared" si="257"/>
        <v>15207.745762711864</v>
      </c>
      <c r="BQ120" s="70">
        <f t="shared" si="270"/>
        <v>11641.966101694916</v>
      </c>
      <c r="BR120" s="70">
        <f t="shared" si="241"/>
        <v>20389.830508474577</v>
      </c>
      <c r="BS120" s="70">
        <f t="shared" si="242"/>
        <v>5022.0338983050851</v>
      </c>
      <c r="BT120" s="71">
        <f t="shared" si="243"/>
        <v>214904.03389830509</v>
      </c>
      <c r="BU120" s="65">
        <f t="shared" si="252"/>
        <v>26.726717439055125</v>
      </c>
      <c r="BV120" s="48">
        <f t="shared" si="253"/>
        <v>18.788199560692807</v>
      </c>
      <c r="BW120" s="48">
        <f t="shared" si="254"/>
        <v>133.14416189550249</v>
      </c>
      <c r="BX120" s="48">
        <f t="shared" si="255"/>
        <v>8.0279176118973012</v>
      </c>
      <c r="BY120" s="48">
        <f t="shared" si="256"/>
        <v>17.179769183680815</v>
      </c>
      <c r="BZ120" s="48">
        <f t="shared" si="258"/>
        <v>19.062389903136364</v>
      </c>
      <c r="CA120" s="48">
        <f t="shared" si="271"/>
        <v>14.592806884879909</v>
      </c>
      <c r="CB120" s="48">
        <f t="shared" si="244"/>
        <v>25.557956141298472</v>
      </c>
      <c r="CC120" s="48">
        <f t="shared" si="245"/>
        <v>6.2949479673040214</v>
      </c>
      <c r="CD120" s="47">
        <f t="shared" si="246"/>
        <v>269.37486658744729</v>
      </c>
      <c r="CE120" s="66">
        <v>666504</v>
      </c>
      <c r="CF120" s="62">
        <v>14160</v>
      </c>
      <c r="CG120" s="74">
        <v>-51050</v>
      </c>
      <c r="CH120" s="75">
        <f t="shared" si="272"/>
        <v>629614</v>
      </c>
      <c r="CI120" s="62">
        <f>26550+2000</f>
        <v>28550</v>
      </c>
      <c r="CJ120" s="62">
        <v>31497</v>
      </c>
      <c r="CK120" s="62">
        <v>88500</v>
      </c>
      <c r="CL120" s="62">
        <v>41300</v>
      </c>
      <c r="CM120" s="62">
        <f>14235+35390</f>
        <v>49625</v>
      </c>
      <c r="CN120" s="62">
        <v>23925</v>
      </c>
      <c r="CO120" s="62">
        <v>65381</v>
      </c>
      <c r="CP120" s="75">
        <f t="shared" si="239"/>
        <v>328778</v>
      </c>
      <c r="CQ120" s="62">
        <v>14750</v>
      </c>
      <c r="CR120" s="75">
        <f t="shared" si="240"/>
        <v>343528</v>
      </c>
      <c r="CS120" s="75">
        <f t="shared" si="273"/>
        <v>300836</v>
      </c>
      <c r="CT120" s="62">
        <v>248752</v>
      </c>
      <c r="CU120" s="47">
        <f t="shared" si="274"/>
        <v>52084</v>
      </c>
      <c r="CV120" s="76">
        <f t="shared" si="275"/>
        <v>0.4778102138770739</v>
      </c>
      <c r="CW120" s="75">
        <f t="shared" si="276"/>
        <v>5822.5084745762715</v>
      </c>
      <c r="CX120" s="77">
        <f t="shared" si="277"/>
        <v>0.545616838253279</v>
      </c>
      <c r="CY120" s="75">
        <f t="shared" si="278"/>
        <v>882.77966101694915</v>
      </c>
      <c r="CZ120" s="77">
        <f t="shared" si="279"/>
        <v>8.2723700553037252E-2</v>
      </c>
      <c r="DA120" s="77">
        <f t="shared" si="280"/>
        <v>0.39508651332403666</v>
      </c>
      <c r="DB120" s="47">
        <f t="shared" si="281"/>
        <v>65932.203389830509</v>
      </c>
      <c r="DC120" s="69">
        <f t="shared" si="282"/>
        <v>11296.677966101695</v>
      </c>
      <c r="DD120" s="70">
        <f t="shared" si="283"/>
        <v>240</v>
      </c>
      <c r="DE120" s="70">
        <f t="shared" si="284"/>
        <v>-865.25423728813564</v>
      </c>
      <c r="DF120" s="70">
        <f t="shared" si="285"/>
        <v>10671.423728813559</v>
      </c>
      <c r="DG120" s="70">
        <f t="shared" si="286"/>
        <v>483.89830508474574</v>
      </c>
      <c r="DH120" s="70">
        <f t="shared" si="287"/>
        <v>533.84745762711862</v>
      </c>
      <c r="DI120" s="70">
        <f t="shared" si="288"/>
        <v>1500</v>
      </c>
      <c r="DJ120" s="70">
        <f t="shared" si="289"/>
        <v>700</v>
      </c>
      <c r="DK120" s="70">
        <f t="shared" si="290"/>
        <v>841.10169491525426</v>
      </c>
      <c r="DL120" s="70">
        <f t="shared" si="291"/>
        <v>405.50847457627117</v>
      </c>
      <c r="DM120" s="70">
        <f t="shared" si="292"/>
        <v>1108.1525423728813</v>
      </c>
      <c r="DN120" s="70">
        <f t="shared" si="293"/>
        <v>5572.5084745762715</v>
      </c>
      <c r="DO120" s="70">
        <f t="shared" si="294"/>
        <v>250</v>
      </c>
      <c r="DP120" s="70">
        <f t="shared" si="295"/>
        <v>5822.5084745762715</v>
      </c>
      <c r="DQ120" s="70">
        <f t="shared" si="296"/>
        <v>5098.9152542372885</v>
      </c>
      <c r="DR120" s="70">
        <f t="shared" si="297"/>
        <v>4216.1355932203387</v>
      </c>
      <c r="DS120" s="71">
        <f t="shared" si="298"/>
        <v>882.77966101694915</v>
      </c>
      <c r="DT120" s="106">
        <f t="shared" si="299"/>
        <v>1.0585914544466928</v>
      </c>
      <c r="DU120" s="92">
        <f t="shared" si="300"/>
        <v>2.2489970045138769E-2</v>
      </c>
      <c r="DV120" s="92" t="str">
        <f t="shared" si="301"/>
        <v/>
      </c>
      <c r="DW120" s="92">
        <f t="shared" si="302"/>
        <v>1</v>
      </c>
      <c r="DX120" s="92">
        <f t="shared" si="303"/>
        <v>4.534524327603897E-2</v>
      </c>
      <c r="DY120" s="92">
        <f t="shared" si="304"/>
        <v>5.0025888877947441E-2</v>
      </c>
      <c r="DZ120" s="92">
        <f t="shared" si="305"/>
        <v>0.14056231278211731</v>
      </c>
      <c r="EA120" s="92">
        <f t="shared" si="306"/>
        <v>6.5595745964988073E-2</v>
      </c>
      <c r="EB120" s="92">
        <f t="shared" si="307"/>
        <v>7.8818133014831315E-2</v>
      </c>
      <c r="EC120" s="92">
        <f t="shared" si="308"/>
        <v>3.7999472692792725E-2</v>
      </c>
      <c r="ED120" s="92">
        <f t="shared" si="309"/>
        <v>0.1038429895142103</v>
      </c>
      <c r="EE120" s="92">
        <f t="shared" si="310"/>
        <v>0.5221897861229261</v>
      </c>
      <c r="EF120" s="92">
        <f t="shared" si="311"/>
        <v>2.3427052130352882E-2</v>
      </c>
      <c r="EG120" s="92">
        <f t="shared" si="312"/>
        <v>0.545616838253279</v>
      </c>
      <c r="EH120" s="92">
        <f t="shared" si="313"/>
        <v>0.4778102138770739</v>
      </c>
      <c r="EI120" s="92">
        <f t="shared" si="314"/>
        <v>0.39508651332403666</v>
      </c>
      <c r="EJ120" s="122">
        <f t="shared" si="315"/>
        <v>8.2723700553037252E-2</v>
      </c>
    </row>
    <row r="121" spans="2:140" ht="12" hidden="1" customHeight="1" outlineLevel="1">
      <c r="B121" s="121">
        <v>44986</v>
      </c>
      <c r="C121" s="117" t="s">
        <v>733</v>
      </c>
      <c r="D121" s="50" t="s">
        <v>734</v>
      </c>
      <c r="E121" s="50" t="s">
        <v>735</v>
      </c>
      <c r="F121" s="50" t="s">
        <v>571</v>
      </c>
      <c r="G121" s="50" t="s">
        <v>162</v>
      </c>
      <c r="H121" s="50" t="s">
        <v>736</v>
      </c>
      <c r="I121" s="50" t="s">
        <v>573</v>
      </c>
      <c r="J121" s="52" t="s">
        <v>737</v>
      </c>
      <c r="K121" s="50" t="s">
        <v>548</v>
      </c>
      <c r="L121" s="49">
        <v>11</v>
      </c>
      <c r="M121" s="50" t="s">
        <v>159</v>
      </c>
      <c r="N121" s="50" t="s">
        <v>160</v>
      </c>
      <c r="O121" s="50" t="s">
        <v>580</v>
      </c>
      <c r="P121" s="50" t="s">
        <v>231</v>
      </c>
      <c r="Q121" s="53">
        <v>0.09</v>
      </c>
      <c r="R121" s="49">
        <v>44</v>
      </c>
      <c r="S121" s="49">
        <v>6</v>
      </c>
      <c r="T121" s="54">
        <f t="shared" si="238"/>
        <v>50</v>
      </c>
      <c r="U121" s="55">
        <v>51428</v>
      </c>
      <c r="V121" s="49">
        <v>6.67</v>
      </c>
      <c r="W121" s="56">
        <f t="shared" si="259"/>
        <v>7.4962518740629687</v>
      </c>
      <c r="X121" s="49" t="s">
        <v>163</v>
      </c>
      <c r="Y121" s="57" t="s">
        <v>162</v>
      </c>
      <c r="Z121" s="58">
        <v>4850500</v>
      </c>
      <c r="AA121" s="114">
        <v>3.4000000000000002E-2</v>
      </c>
      <c r="AB121" s="59">
        <v>40</v>
      </c>
      <c r="AC121" s="60">
        <v>40</v>
      </c>
      <c r="AD121" s="61">
        <v>3.4000000000000002E-2</v>
      </c>
      <c r="AE121" s="62">
        <v>4850000</v>
      </c>
      <c r="AF121" s="63">
        <v>1.1100000000000001</v>
      </c>
      <c r="AG121" s="59"/>
      <c r="AH121" s="60"/>
      <c r="AI121" s="61"/>
      <c r="AJ121" s="64"/>
      <c r="AK121" s="65">
        <f t="shared" si="260"/>
        <v>4850000</v>
      </c>
      <c r="AL121" s="62">
        <v>500</v>
      </c>
      <c r="AM121" s="49" t="s">
        <v>163</v>
      </c>
      <c r="AN121" s="67">
        <v>0.89</v>
      </c>
      <c r="AO121" s="62">
        <v>10902377</v>
      </c>
      <c r="AP121" s="62">
        <v>0</v>
      </c>
      <c r="AQ121" s="68">
        <v>178865</v>
      </c>
      <c r="AR121" s="69">
        <f t="shared" si="261"/>
        <v>97000</v>
      </c>
      <c r="AS121" s="70" t="str">
        <f>IFERROR(IF(#REF!&gt;0,#REF!/T121,""),"")</f>
        <v/>
      </c>
      <c r="AT121" s="70">
        <f t="shared" si="262"/>
        <v>218047.54</v>
      </c>
      <c r="AU121" s="70">
        <f t="shared" si="263"/>
        <v>10</v>
      </c>
      <c r="AV121" s="71">
        <f t="shared" si="264"/>
        <v>3577.3</v>
      </c>
      <c r="AW121" s="115">
        <f t="shared" si="265"/>
        <v>129194.1</v>
      </c>
      <c r="AX121" s="116">
        <f t="shared" si="266"/>
        <v>125.60677063078478</v>
      </c>
      <c r="AY121" s="72">
        <f t="shared" si="267"/>
        <v>159608.38</v>
      </c>
      <c r="AZ121" s="73">
        <f t="shared" si="268"/>
        <v>155.17653807264523</v>
      </c>
      <c r="BA121" s="66">
        <v>1400000</v>
      </c>
      <c r="BB121" s="62">
        <v>1831644</v>
      </c>
      <c r="BC121" s="62">
        <v>4628061</v>
      </c>
      <c r="BD121" s="62">
        <v>484304</v>
      </c>
      <c r="BE121" s="62">
        <v>1036410</v>
      </c>
      <c r="BF121" s="62">
        <v>2383000</v>
      </c>
      <c r="BG121" s="62">
        <v>1188212</v>
      </c>
      <c r="BH121" s="62">
        <v>1662325</v>
      </c>
      <c r="BI121" s="62">
        <v>554403</v>
      </c>
      <c r="BJ121" s="47">
        <f t="shared" si="269"/>
        <v>15168359</v>
      </c>
      <c r="BK121" s="69">
        <f t="shared" si="247"/>
        <v>28000</v>
      </c>
      <c r="BL121" s="70">
        <f t="shared" si="248"/>
        <v>36632.879999999997</v>
      </c>
      <c r="BM121" s="70">
        <f t="shared" si="249"/>
        <v>92561.22</v>
      </c>
      <c r="BN121" s="70">
        <f t="shared" si="250"/>
        <v>9686.08</v>
      </c>
      <c r="BO121" s="70">
        <f t="shared" si="251"/>
        <v>20728.2</v>
      </c>
      <c r="BP121" s="70">
        <f t="shared" si="257"/>
        <v>47660</v>
      </c>
      <c r="BQ121" s="70">
        <f t="shared" si="270"/>
        <v>23764.240000000002</v>
      </c>
      <c r="BR121" s="70">
        <f t="shared" si="241"/>
        <v>33246.5</v>
      </c>
      <c r="BS121" s="70">
        <f t="shared" si="242"/>
        <v>11088.06</v>
      </c>
      <c r="BT121" s="71">
        <f t="shared" si="243"/>
        <v>303367.18</v>
      </c>
      <c r="BU121" s="65">
        <f t="shared" si="252"/>
        <v>27.222524694718832</v>
      </c>
      <c r="BV121" s="48">
        <f t="shared" si="253"/>
        <v>35.615695729952556</v>
      </c>
      <c r="BW121" s="48">
        <f t="shared" si="254"/>
        <v>89.991074900832231</v>
      </c>
      <c r="BX121" s="48">
        <f t="shared" si="255"/>
        <v>9.4171268569650781</v>
      </c>
      <c r="BY121" s="48">
        <f t="shared" si="256"/>
        <v>20.152640584895387</v>
      </c>
      <c r="BZ121" s="48">
        <f t="shared" si="258"/>
        <v>46.336625962510695</v>
      </c>
      <c r="CA121" s="48">
        <f t="shared" si="271"/>
        <v>23.10437893754375</v>
      </c>
      <c r="CB121" s="48">
        <f t="shared" si="244"/>
        <v>32.323345259391772</v>
      </c>
      <c r="CC121" s="48">
        <f t="shared" si="245"/>
        <v>10.780178113090145</v>
      </c>
      <c r="CD121" s="47">
        <f t="shared" si="246"/>
        <v>294.94359103990047</v>
      </c>
      <c r="CE121" s="66">
        <v>628104</v>
      </c>
      <c r="CF121" s="62">
        <v>9000</v>
      </c>
      <c r="CG121" s="74">
        <v>-47783</v>
      </c>
      <c r="CH121" s="75">
        <f t="shared" si="272"/>
        <v>589321</v>
      </c>
      <c r="CI121" s="62">
        <f>26500+11760</f>
        <v>38260</v>
      </c>
      <c r="CJ121" s="62">
        <v>30060</v>
      </c>
      <c r="CK121" s="62">
        <v>100000</v>
      </c>
      <c r="CL121" s="62">
        <v>40500</v>
      </c>
      <c r="CM121" s="62">
        <f>52500</f>
        <v>52500</v>
      </c>
      <c r="CN121" s="62">
        <v>25000</v>
      </c>
      <c r="CO121" s="62">
        <v>25000</v>
      </c>
      <c r="CP121" s="75">
        <f t="shared" si="239"/>
        <v>311320</v>
      </c>
      <c r="CQ121" s="62">
        <v>12500</v>
      </c>
      <c r="CR121" s="75">
        <f t="shared" si="240"/>
        <v>323820</v>
      </c>
      <c r="CS121" s="75">
        <f t="shared" si="273"/>
        <v>278001</v>
      </c>
      <c r="CT121" s="62">
        <v>238959</v>
      </c>
      <c r="CU121" s="47">
        <f t="shared" si="274"/>
        <v>39042</v>
      </c>
      <c r="CV121" s="76">
        <f t="shared" si="275"/>
        <v>0.47173102604522832</v>
      </c>
      <c r="CW121" s="75">
        <f t="shared" si="276"/>
        <v>6476.4</v>
      </c>
      <c r="CX121" s="77">
        <f t="shared" si="277"/>
        <v>0.54947982508683724</v>
      </c>
      <c r="CY121" s="75">
        <f t="shared" si="278"/>
        <v>780.84</v>
      </c>
      <c r="CZ121" s="77">
        <f t="shared" si="279"/>
        <v>6.6249123991848249E-2</v>
      </c>
      <c r="DA121" s="77">
        <f t="shared" si="280"/>
        <v>0.40548190205338008</v>
      </c>
      <c r="DB121" s="47">
        <f t="shared" si="281"/>
        <v>97000</v>
      </c>
      <c r="DC121" s="69">
        <f t="shared" si="282"/>
        <v>12562.08</v>
      </c>
      <c r="DD121" s="70">
        <f t="shared" si="283"/>
        <v>180</v>
      </c>
      <c r="DE121" s="70">
        <f t="shared" si="284"/>
        <v>-955.66</v>
      </c>
      <c r="DF121" s="70">
        <f t="shared" si="285"/>
        <v>11786.42</v>
      </c>
      <c r="DG121" s="70">
        <f t="shared" si="286"/>
        <v>765.2</v>
      </c>
      <c r="DH121" s="70">
        <f t="shared" si="287"/>
        <v>601.20000000000005</v>
      </c>
      <c r="DI121" s="70">
        <f t="shared" si="288"/>
        <v>2000</v>
      </c>
      <c r="DJ121" s="70">
        <f t="shared" si="289"/>
        <v>810</v>
      </c>
      <c r="DK121" s="70">
        <f t="shared" si="290"/>
        <v>1050</v>
      </c>
      <c r="DL121" s="70">
        <f t="shared" si="291"/>
        <v>500</v>
      </c>
      <c r="DM121" s="70">
        <f t="shared" si="292"/>
        <v>500</v>
      </c>
      <c r="DN121" s="70">
        <f t="shared" si="293"/>
        <v>6226.4</v>
      </c>
      <c r="DO121" s="70">
        <f t="shared" si="294"/>
        <v>250</v>
      </c>
      <c r="DP121" s="70">
        <f t="shared" si="295"/>
        <v>6476.4</v>
      </c>
      <c r="DQ121" s="70">
        <f t="shared" si="296"/>
        <v>5560.02</v>
      </c>
      <c r="DR121" s="70">
        <f t="shared" si="297"/>
        <v>4779.18</v>
      </c>
      <c r="DS121" s="71">
        <f t="shared" si="298"/>
        <v>780.84</v>
      </c>
      <c r="DT121" s="106">
        <f t="shared" si="299"/>
        <v>1.0658096351563919</v>
      </c>
      <c r="DU121" s="92">
        <f t="shared" si="300"/>
        <v>1.5271812815087193E-2</v>
      </c>
      <c r="DV121" s="92" t="str">
        <f t="shared" si="301"/>
        <v/>
      </c>
      <c r="DW121" s="92">
        <f t="shared" si="302"/>
        <v>1</v>
      </c>
      <c r="DX121" s="92">
        <f t="shared" si="303"/>
        <v>6.4922173145026227E-2</v>
      </c>
      <c r="DY121" s="92">
        <f t="shared" si="304"/>
        <v>5.1007854802391228E-2</v>
      </c>
      <c r="DZ121" s="92">
        <f t="shared" si="305"/>
        <v>0.16968680905652436</v>
      </c>
      <c r="EA121" s="92">
        <f t="shared" si="306"/>
        <v>6.8723157667892373E-2</v>
      </c>
      <c r="EB121" s="92">
        <f t="shared" si="307"/>
        <v>8.9085574754675295E-2</v>
      </c>
      <c r="EC121" s="92">
        <f t="shared" si="308"/>
        <v>4.2421702264131091E-2</v>
      </c>
      <c r="ED121" s="92">
        <f t="shared" si="309"/>
        <v>4.2421702264131091E-2</v>
      </c>
      <c r="EE121" s="92">
        <f t="shared" si="310"/>
        <v>0.52826897395477168</v>
      </c>
      <c r="EF121" s="92">
        <f t="shared" si="311"/>
        <v>2.1210851132065545E-2</v>
      </c>
      <c r="EG121" s="92">
        <f t="shared" si="312"/>
        <v>0.54947982508683724</v>
      </c>
      <c r="EH121" s="92">
        <f t="shared" si="313"/>
        <v>0.47173102604522832</v>
      </c>
      <c r="EI121" s="92">
        <f t="shared" si="314"/>
        <v>0.40548190205338008</v>
      </c>
      <c r="EJ121" s="122">
        <f t="shared" si="315"/>
        <v>6.6249123991848249E-2</v>
      </c>
    </row>
    <row r="122" spans="2:140" ht="12" hidden="1" customHeight="1" outlineLevel="1">
      <c r="B122" s="121">
        <v>44994</v>
      </c>
      <c r="C122" s="117" t="s">
        <v>738</v>
      </c>
      <c r="D122" s="50" t="s">
        <v>739</v>
      </c>
      <c r="E122" s="50" t="s">
        <v>740</v>
      </c>
      <c r="F122" s="50" t="s">
        <v>741</v>
      </c>
      <c r="G122" s="50" t="s">
        <v>154</v>
      </c>
      <c r="H122" s="50" t="s">
        <v>573</v>
      </c>
      <c r="I122" s="50" t="s">
        <v>742</v>
      </c>
      <c r="J122" s="52" t="s">
        <v>743</v>
      </c>
      <c r="K122" s="50" t="s">
        <v>481</v>
      </c>
      <c r="L122" s="49">
        <v>13</v>
      </c>
      <c r="M122" s="50" t="s">
        <v>283</v>
      </c>
      <c r="N122" s="50" t="s">
        <v>160</v>
      </c>
      <c r="O122" s="50" t="s">
        <v>160</v>
      </c>
      <c r="P122" s="50" t="s">
        <v>177</v>
      </c>
      <c r="Q122" s="53">
        <v>0.09</v>
      </c>
      <c r="R122" s="49">
        <v>48</v>
      </c>
      <c r="S122" s="49">
        <v>0</v>
      </c>
      <c r="T122" s="54">
        <f t="shared" si="238"/>
        <v>48</v>
      </c>
      <c r="U122" s="55">
        <v>46550</v>
      </c>
      <c r="V122" s="49">
        <v>6.53</v>
      </c>
      <c r="W122" s="56">
        <f t="shared" si="259"/>
        <v>7.3506891271056656</v>
      </c>
      <c r="X122" s="49" t="s">
        <v>163</v>
      </c>
      <c r="Y122" s="57" t="s">
        <v>162</v>
      </c>
      <c r="Z122" s="58">
        <v>2100000</v>
      </c>
      <c r="AA122" s="114">
        <v>0.05</v>
      </c>
      <c r="AB122" s="59">
        <v>18</v>
      </c>
      <c r="AC122" s="60">
        <v>35</v>
      </c>
      <c r="AD122" s="61">
        <v>0.05</v>
      </c>
      <c r="AE122" s="62">
        <v>2100000</v>
      </c>
      <c r="AF122" s="63">
        <v>1.2</v>
      </c>
      <c r="AG122" s="59"/>
      <c r="AH122" s="60"/>
      <c r="AI122" s="61"/>
      <c r="AJ122" s="64"/>
      <c r="AK122" s="65">
        <f t="shared" si="260"/>
        <v>2100000</v>
      </c>
      <c r="AL122" s="62">
        <v>0</v>
      </c>
      <c r="AM122" s="49" t="s">
        <v>163</v>
      </c>
      <c r="AN122" s="67">
        <v>0.89</v>
      </c>
      <c r="AO122" s="62">
        <v>8118000</v>
      </c>
      <c r="AP122" s="62">
        <v>0</v>
      </c>
      <c r="AQ122" s="68">
        <v>108000</v>
      </c>
      <c r="AR122" s="69">
        <f t="shared" si="261"/>
        <v>43750</v>
      </c>
      <c r="AS122" s="70" t="str">
        <f>IFERROR(IF(#REF!&gt;0,#REF!/T122,""),"")</f>
        <v/>
      </c>
      <c r="AT122" s="70">
        <f t="shared" si="262"/>
        <v>169125</v>
      </c>
      <c r="AU122" s="70" t="str">
        <f t="shared" si="263"/>
        <v/>
      </c>
      <c r="AV122" s="71">
        <f t="shared" si="264"/>
        <v>2250</v>
      </c>
      <c r="AW122" s="115">
        <f t="shared" si="265"/>
        <v>120000</v>
      </c>
      <c r="AX122" s="116">
        <f t="shared" si="266"/>
        <v>123.73791621911923</v>
      </c>
      <c r="AY122" s="72">
        <f t="shared" si="267"/>
        <v>145895.83333333331</v>
      </c>
      <c r="AZ122" s="73">
        <f t="shared" si="268"/>
        <v>150.44038668098818</v>
      </c>
      <c r="BA122" s="66">
        <v>500000</v>
      </c>
      <c r="BB122" s="62">
        <v>910000</v>
      </c>
      <c r="BC122" s="62">
        <v>4850000</v>
      </c>
      <c r="BD122" s="62">
        <v>403000</v>
      </c>
      <c r="BE122" s="62">
        <v>840000</v>
      </c>
      <c r="BF122" s="62">
        <v>589000</v>
      </c>
      <c r="BG122" s="62">
        <v>370000</v>
      </c>
      <c r="BH122" s="62">
        <v>1546000</v>
      </c>
      <c r="BI122" s="62">
        <v>210000</v>
      </c>
      <c r="BJ122" s="47">
        <f t="shared" si="269"/>
        <v>10218000</v>
      </c>
      <c r="BK122" s="69">
        <f t="shared" si="247"/>
        <v>10416.666666666666</v>
      </c>
      <c r="BL122" s="70">
        <f t="shared" si="248"/>
        <v>18958.333333333332</v>
      </c>
      <c r="BM122" s="70">
        <f t="shared" si="249"/>
        <v>101041.66666666667</v>
      </c>
      <c r="BN122" s="70">
        <f t="shared" si="250"/>
        <v>8395.8333333333339</v>
      </c>
      <c r="BO122" s="70">
        <f t="shared" si="251"/>
        <v>17500</v>
      </c>
      <c r="BP122" s="70">
        <f t="shared" si="257"/>
        <v>12270.833333333334</v>
      </c>
      <c r="BQ122" s="70">
        <f t="shared" si="270"/>
        <v>7708.333333333333</v>
      </c>
      <c r="BR122" s="70">
        <f t="shared" si="241"/>
        <v>32208.333333333332</v>
      </c>
      <c r="BS122" s="70">
        <f t="shared" si="242"/>
        <v>4375</v>
      </c>
      <c r="BT122" s="71">
        <f t="shared" si="243"/>
        <v>212875</v>
      </c>
      <c r="BU122" s="65">
        <f t="shared" si="252"/>
        <v>10.741138560687434</v>
      </c>
      <c r="BV122" s="48">
        <f t="shared" si="253"/>
        <v>19.548872180451127</v>
      </c>
      <c r="BW122" s="48">
        <f t="shared" si="254"/>
        <v>104.1890440386681</v>
      </c>
      <c r="BX122" s="48">
        <f t="shared" si="255"/>
        <v>8.657357679914071</v>
      </c>
      <c r="BY122" s="48">
        <f t="shared" si="256"/>
        <v>18.045112781954888</v>
      </c>
      <c r="BZ122" s="48">
        <f t="shared" si="258"/>
        <v>12.653061224489797</v>
      </c>
      <c r="CA122" s="48">
        <f t="shared" si="271"/>
        <v>7.9484425349087005</v>
      </c>
      <c r="CB122" s="48">
        <f t="shared" si="244"/>
        <v>33.211600429645543</v>
      </c>
      <c r="CC122" s="48">
        <f t="shared" si="245"/>
        <v>4.511278195488722</v>
      </c>
      <c r="CD122" s="47">
        <f t="shared" si="246"/>
        <v>219.50590762620837</v>
      </c>
      <c r="CE122" s="66">
        <v>385956</v>
      </c>
      <c r="CF122" s="62">
        <f>5760+2880+2880</f>
        <v>11520</v>
      </c>
      <c r="CG122" s="74">
        <v>-29811</v>
      </c>
      <c r="CH122" s="75">
        <f t="shared" si="272"/>
        <v>367665</v>
      </c>
      <c r="CI122" s="62">
        <f>15500+1000+1920</f>
        <v>18420</v>
      </c>
      <c r="CJ122" s="62">
        <v>23000</v>
      </c>
      <c r="CK122" s="62">
        <v>70000</v>
      </c>
      <c r="CL122" s="62">
        <v>29000</v>
      </c>
      <c r="CM122" s="62">
        <v>16500</v>
      </c>
      <c r="CN122" s="62">
        <v>16000</v>
      </c>
      <c r="CO122" s="62">
        <v>35000</v>
      </c>
      <c r="CP122" s="75">
        <f t="shared" si="239"/>
        <v>207920</v>
      </c>
      <c r="CQ122" s="62">
        <v>12000</v>
      </c>
      <c r="CR122" s="75">
        <f t="shared" si="240"/>
        <v>219920</v>
      </c>
      <c r="CS122" s="75">
        <f t="shared" si="273"/>
        <v>159745</v>
      </c>
      <c r="CT122" s="62">
        <v>127181</v>
      </c>
      <c r="CU122" s="47">
        <f t="shared" si="274"/>
        <v>32564</v>
      </c>
      <c r="CV122" s="76">
        <f t="shared" si="275"/>
        <v>0.43448519712238043</v>
      </c>
      <c r="CW122" s="75">
        <f t="shared" si="276"/>
        <v>4581.666666666667</v>
      </c>
      <c r="CX122" s="77">
        <f t="shared" si="277"/>
        <v>0.59815321012334599</v>
      </c>
      <c r="CY122" s="75">
        <f t="shared" si="278"/>
        <v>678.41666666666663</v>
      </c>
      <c r="CZ122" s="77">
        <f t="shared" si="279"/>
        <v>8.8569757795819562E-2</v>
      </c>
      <c r="DA122" s="77">
        <f t="shared" si="280"/>
        <v>0.34591543932656088</v>
      </c>
      <c r="DB122" s="47">
        <f t="shared" si="281"/>
        <v>43750</v>
      </c>
      <c r="DC122" s="69">
        <f t="shared" si="282"/>
        <v>8040.75</v>
      </c>
      <c r="DD122" s="70">
        <f t="shared" si="283"/>
        <v>240</v>
      </c>
      <c r="DE122" s="70">
        <f t="shared" si="284"/>
        <v>-621.0625</v>
      </c>
      <c r="DF122" s="70">
        <f t="shared" si="285"/>
        <v>7659.6875</v>
      </c>
      <c r="DG122" s="70">
        <f t="shared" si="286"/>
        <v>383.75</v>
      </c>
      <c r="DH122" s="70">
        <f t="shared" si="287"/>
        <v>479.16666666666669</v>
      </c>
      <c r="DI122" s="70">
        <f t="shared" si="288"/>
        <v>1458.3333333333333</v>
      </c>
      <c r="DJ122" s="70">
        <f t="shared" si="289"/>
        <v>604.16666666666663</v>
      </c>
      <c r="DK122" s="70">
        <f t="shared" si="290"/>
        <v>343.75</v>
      </c>
      <c r="DL122" s="70">
        <f t="shared" si="291"/>
        <v>333.33333333333331</v>
      </c>
      <c r="DM122" s="70">
        <f t="shared" si="292"/>
        <v>729.16666666666663</v>
      </c>
      <c r="DN122" s="70">
        <f t="shared" si="293"/>
        <v>4331.666666666667</v>
      </c>
      <c r="DO122" s="70">
        <f t="shared" si="294"/>
        <v>250</v>
      </c>
      <c r="DP122" s="70">
        <f t="shared" si="295"/>
        <v>4581.666666666667</v>
      </c>
      <c r="DQ122" s="70">
        <f t="shared" si="296"/>
        <v>3328.0208333333335</v>
      </c>
      <c r="DR122" s="70">
        <f t="shared" si="297"/>
        <v>2649.6041666666665</v>
      </c>
      <c r="DS122" s="71">
        <f t="shared" si="298"/>
        <v>678.41666666666663</v>
      </c>
      <c r="DT122" s="106">
        <f t="shared" si="299"/>
        <v>1.0497490922442985</v>
      </c>
      <c r="DU122" s="92">
        <f t="shared" si="300"/>
        <v>3.1332870955897353E-2</v>
      </c>
      <c r="DV122" s="92" t="str">
        <f t="shared" si="301"/>
        <v/>
      </c>
      <c r="DW122" s="92">
        <f t="shared" si="302"/>
        <v>1</v>
      </c>
      <c r="DX122" s="92">
        <f t="shared" si="303"/>
        <v>5.0099955122190037E-2</v>
      </c>
      <c r="DY122" s="92">
        <f t="shared" si="304"/>
        <v>6.2556947220975614E-2</v>
      </c>
      <c r="DZ122" s="92">
        <f t="shared" si="305"/>
        <v>0.19039070893340404</v>
      </c>
      <c r="EA122" s="92">
        <f t="shared" si="306"/>
        <v>7.8876150843838824E-2</v>
      </c>
      <c r="EB122" s="92">
        <f t="shared" si="307"/>
        <v>4.4877809962873813E-2</v>
      </c>
      <c r="EC122" s="92">
        <f t="shared" si="308"/>
        <v>4.3517876327635215E-2</v>
      </c>
      <c r="ED122" s="92">
        <f t="shared" si="309"/>
        <v>9.519535446670202E-2</v>
      </c>
      <c r="EE122" s="92">
        <f t="shared" si="310"/>
        <v>0.56551480287761957</v>
      </c>
      <c r="EF122" s="92">
        <f t="shared" si="311"/>
        <v>3.2638407245726406E-2</v>
      </c>
      <c r="EG122" s="92">
        <f t="shared" si="312"/>
        <v>0.59815321012334599</v>
      </c>
      <c r="EH122" s="92">
        <f t="shared" si="313"/>
        <v>0.43448519712238043</v>
      </c>
      <c r="EI122" s="92">
        <f t="shared" si="314"/>
        <v>0.34591543932656088</v>
      </c>
      <c r="EJ122" s="122">
        <f t="shared" si="315"/>
        <v>8.8569757795819562E-2</v>
      </c>
    </row>
    <row r="123" spans="2:140" ht="12" hidden="1" customHeight="1" outlineLevel="1">
      <c r="B123" s="121">
        <v>44994</v>
      </c>
      <c r="C123" s="117" t="s">
        <v>744</v>
      </c>
      <c r="D123" s="50" t="s">
        <v>745</v>
      </c>
      <c r="E123" s="50" t="s">
        <v>746</v>
      </c>
      <c r="F123" s="50" t="s">
        <v>747</v>
      </c>
      <c r="G123" s="50" t="s">
        <v>154</v>
      </c>
      <c r="H123" s="50" t="s">
        <v>748</v>
      </c>
      <c r="I123" s="50" t="s">
        <v>749</v>
      </c>
      <c r="J123" s="52" t="s">
        <v>750</v>
      </c>
      <c r="K123" s="50" t="s">
        <v>751</v>
      </c>
      <c r="L123" s="49">
        <v>4</v>
      </c>
      <c r="M123" s="50" t="s">
        <v>283</v>
      </c>
      <c r="N123" s="50" t="s">
        <v>160</v>
      </c>
      <c r="O123" s="50" t="s">
        <v>626</v>
      </c>
      <c r="P123" s="50" t="s">
        <v>161</v>
      </c>
      <c r="Q123" s="53">
        <v>0.09</v>
      </c>
      <c r="R123" s="49">
        <v>53</v>
      </c>
      <c r="S123" s="49">
        <v>1</v>
      </c>
      <c r="T123" s="54">
        <f t="shared" si="238"/>
        <v>54</v>
      </c>
      <c r="U123" s="55">
        <v>46828</v>
      </c>
      <c r="V123" s="49">
        <v>10.57</v>
      </c>
      <c r="W123" s="56">
        <f t="shared" si="259"/>
        <v>5.1087984862819296</v>
      </c>
      <c r="X123" s="49">
        <v>1968</v>
      </c>
      <c r="Y123" s="57" t="s">
        <v>249</v>
      </c>
      <c r="Z123" s="58">
        <v>1550202</v>
      </c>
      <c r="AA123" s="114">
        <f>(((986910*0.045)/(Z123))+((525615*0.01)/(Z123)))</f>
        <v>3.2039114902444973E-2</v>
      </c>
      <c r="AB123" s="59">
        <v>40</v>
      </c>
      <c r="AC123" s="60">
        <v>40</v>
      </c>
      <c r="AD123" s="61">
        <v>4.4999999999999998E-2</v>
      </c>
      <c r="AE123" s="62">
        <v>986910</v>
      </c>
      <c r="AF123" s="63">
        <v>1.73</v>
      </c>
      <c r="AG123" s="59">
        <v>30</v>
      </c>
      <c r="AH123" s="60">
        <v>50</v>
      </c>
      <c r="AI123" s="61">
        <v>0.01</v>
      </c>
      <c r="AJ123" s="64">
        <v>525615</v>
      </c>
      <c r="AK123" s="65">
        <f t="shared" si="260"/>
        <v>1512525</v>
      </c>
      <c r="AL123" s="62">
        <v>37676</v>
      </c>
      <c r="AM123" s="49" t="s">
        <v>163</v>
      </c>
      <c r="AN123" s="67">
        <v>0.86</v>
      </c>
      <c r="AO123" s="62">
        <v>5634344</v>
      </c>
      <c r="AP123" s="62">
        <v>0</v>
      </c>
      <c r="AQ123" s="68">
        <v>56982</v>
      </c>
      <c r="AR123" s="69">
        <f t="shared" si="261"/>
        <v>28009.722222222223</v>
      </c>
      <c r="AS123" s="70" t="str">
        <f>IFERROR(IF(#REF!&gt;0,#REF!/T123,""),"")</f>
        <v/>
      </c>
      <c r="AT123" s="70">
        <f t="shared" si="262"/>
        <v>104339.70370370371</v>
      </c>
      <c r="AU123" s="70">
        <f t="shared" si="263"/>
        <v>697.7037037037037</v>
      </c>
      <c r="AV123" s="71">
        <f t="shared" si="264"/>
        <v>1055.2222222222222</v>
      </c>
      <c r="AW123" s="115">
        <f t="shared" si="265"/>
        <v>60925.925925925927</v>
      </c>
      <c r="AX123" s="116">
        <f t="shared" si="266"/>
        <v>70.257111130093108</v>
      </c>
      <c r="AY123" s="72">
        <f t="shared" si="267"/>
        <v>76401.111111111124</v>
      </c>
      <c r="AZ123" s="73">
        <f t="shared" si="268"/>
        <v>88.102417357136758</v>
      </c>
      <c r="BA123" s="66">
        <v>888750</v>
      </c>
      <c r="BB123" s="62">
        <v>1050000</v>
      </c>
      <c r="BC123" s="62">
        <v>2240000</v>
      </c>
      <c r="BD123" s="62">
        <v>329000</v>
      </c>
      <c r="BE123" s="62">
        <v>506660</v>
      </c>
      <c r="BF123" s="62">
        <v>382000</v>
      </c>
      <c r="BG123" s="62">
        <v>442420</v>
      </c>
      <c r="BH123" s="62">
        <v>835781</v>
      </c>
      <c r="BI123" s="62">
        <v>492476</v>
      </c>
      <c r="BJ123" s="47">
        <f t="shared" si="269"/>
        <v>7167087</v>
      </c>
      <c r="BK123" s="69">
        <f t="shared" si="247"/>
        <v>16458.333333333332</v>
      </c>
      <c r="BL123" s="70">
        <f t="shared" si="248"/>
        <v>19444.444444444445</v>
      </c>
      <c r="BM123" s="70">
        <f t="shared" si="249"/>
        <v>41481.481481481482</v>
      </c>
      <c r="BN123" s="70">
        <f t="shared" si="250"/>
        <v>6092.5925925925922</v>
      </c>
      <c r="BO123" s="70">
        <f t="shared" si="251"/>
        <v>9382.5925925925931</v>
      </c>
      <c r="BP123" s="70">
        <f t="shared" si="257"/>
        <v>7074.0740740740739</v>
      </c>
      <c r="BQ123" s="70">
        <f t="shared" si="270"/>
        <v>8192.9629629629635</v>
      </c>
      <c r="BR123" s="70">
        <f t="shared" si="241"/>
        <v>15477.425925925925</v>
      </c>
      <c r="BS123" s="70">
        <f t="shared" si="242"/>
        <v>9119.9259259259252</v>
      </c>
      <c r="BT123" s="71">
        <f t="shared" si="243"/>
        <v>132723.83333333334</v>
      </c>
      <c r="BU123" s="65">
        <f t="shared" si="252"/>
        <v>18.979029640386095</v>
      </c>
      <c r="BV123" s="48">
        <f t="shared" si="253"/>
        <v>22.422482275561631</v>
      </c>
      <c r="BW123" s="48">
        <f t="shared" si="254"/>
        <v>47.834628854531474</v>
      </c>
      <c r="BX123" s="48">
        <f t="shared" si="255"/>
        <v>7.0257111130093106</v>
      </c>
      <c r="BY123" s="48">
        <f t="shared" si="256"/>
        <v>10.819595114034339</v>
      </c>
      <c r="BZ123" s="48">
        <f t="shared" si="258"/>
        <v>8.1575125992995652</v>
      </c>
      <c r="CA123" s="48">
        <f t="shared" si="271"/>
        <v>9.447766293670453</v>
      </c>
      <c r="CB123" s="48">
        <f t="shared" si="244"/>
        <v>17.847890151191596</v>
      </c>
      <c r="CC123" s="48">
        <f t="shared" si="245"/>
        <v>10.516699410609037</v>
      </c>
      <c r="CD123" s="47">
        <f t="shared" si="246"/>
        <v>153.05131545229349</v>
      </c>
      <c r="CE123" s="66">
        <v>436080</v>
      </c>
      <c r="CF123" s="62">
        <v>3000</v>
      </c>
      <c r="CG123" s="74">
        <v>-32931</v>
      </c>
      <c r="CH123" s="75">
        <f t="shared" si="272"/>
        <v>406149</v>
      </c>
      <c r="CI123" s="62">
        <f>23800+2200</f>
        <v>26000</v>
      </c>
      <c r="CJ123" s="62">
        <v>43248</v>
      </c>
      <c r="CK123" s="62">
        <v>99070</v>
      </c>
      <c r="CL123" s="62">
        <v>39100</v>
      </c>
      <c r="CM123" s="62">
        <v>28650</v>
      </c>
      <c r="CN123" s="62">
        <v>34500</v>
      </c>
      <c r="CO123" s="62">
        <v>21781</v>
      </c>
      <c r="CP123" s="75">
        <f t="shared" si="239"/>
        <v>292349</v>
      </c>
      <c r="CQ123" s="62">
        <v>21600</v>
      </c>
      <c r="CR123" s="75">
        <f t="shared" si="240"/>
        <v>313949</v>
      </c>
      <c r="CS123" s="75">
        <f t="shared" si="273"/>
        <v>113800</v>
      </c>
      <c r="CT123" s="62">
        <v>66604</v>
      </c>
      <c r="CU123" s="47">
        <f t="shared" si="274"/>
        <v>47196</v>
      </c>
      <c r="CV123" s="76">
        <f t="shared" si="275"/>
        <v>0.28019273714818943</v>
      </c>
      <c r="CW123" s="75">
        <f t="shared" si="276"/>
        <v>5813.8703703703704</v>
      </c>
      <c r="CX123" s="77">
        <f t="shared" si="277"/>
        <v>0.77298971559698537</v>
      </c>
      <c r="CY123" s="75">
        <f t="shared" si="278"/>
        <v>874</v>
      </c>
      <c r="CZ123" s="77">
        <f t="shared" si="279"/>
        <v>0.11620365924820694</v>
      </c>
      <c r="DA123" s="77">
        <f t="shared" si="280"/>
        <v>0.16398907789998252</v>
      </c>
      <c r="DB123" s="47">
        <f t="shared" si="281"/>
        <v>28009.722222222223</v>
      </c>
      <c r="DC123" s="69">
        <f t="shared" si="282"/>
        <v>8075.5555555555557</v>
      </c>
      <c r="DD123" s="70">
        <f t="shared" si="283"/>
        <v>55.555555555555557</v>
      </c>
      <c r="DE123" s="70">
        <f t="shared" si="284"/>
        <v>-609.83333333333337</v>
      </c>
      <c r="DF123" s="70">
        <f t="shared" si="285"/>
        <v>7521.2777777777774</v>
      </c>
      <c r="DG123" s="70">
        <f t="shared" si="286"/>
        <v>481.48148148148147</v>
      </c>
      <c r="DH123" s="70">
        <f t="shared" si="287"/>
        <v>800.88888888888891</v>
      </c>
      <c r="DI123" s="70">
        <f t="shared" si="288"/>
        <v>1834.6296296296296</v>
      </c>
      <c r="DJ123" s="70">
        <f t="shared" si="289"/>
        <v>724.07407407407402</v>
      </c>
      <c r="DK123" s="70">
        <f t="shared" si="290"/>
        <v>530.55555555555554</v>
      </c>
      <c r="DL123" s="70">
        <f t="shared" si="291"/>
        <v>638.88888888888891</v>
      </c>
      <c r="DM123" s="70">
        <f t="shared" si="292"/>
        <v>403.35185185185185</v>
      </c>
      <c r="DN123" s="70">
        <f t="shared" si="293"/>
        <v>5413.8703703703704</v>
      </c>
      <c r="DO123" s="70">
        <f t="shared" si="294"/>
        <v>400</v>
      </c>
      <c r="DP123" s="70">
        <f t="shared" si="295"/>
        <v>5813.8703703703704</v>
      </c>
      <c r="DQ123" s="70">
        <f t="shared" si="296"/>
        <v>2107.4074074074074</v>
      </c>
      <c r="DR123" s="70">
        <f t="shared" si="297"/>
        <v>1233.4074074074074</v>
      </c>
      <c r="DS123" s="71">
        <f t="shared" si="298"/>
        <v>874</v>
      </c>
      <c r="DT123" s="106">
        <f t="shared" si="299"/>
        <v>1.073694629310918</v>
      </c>
      <c r="DU123" s="92">
        <f t="shared" si="300"/>
        <v>7.3864517701631664E-3</v>
      </c>
      <c r="DV123" s="92" t="str">
        <f t="shared" si="301"/>
        <v/>
      </c>
      <c r="DW123" s="92">
        <f t="shared" si="302"/>
        <v>1</v>
      </c>
      <c r="DX123" s="92">
        <f t="shared" si="303"/>
        <v>6.4015915341414112E-2</v>
      </c>
      <c r="DY123" s="92">
        <f t="shared" si="304"/>
        <v>0.10648308871867221</v>
      </c>
      <c r="DZ123" s="92">
        <f t="shared" si="305"/>
        <v>0.24392525895668832</v>
      </c>
      <c r="EA123" s="92">
        <f t="shared" si="306"/>
        <v>9.6270088071126608E-2</v>
      </c>
      <c r="EB123" s="92">
        <f t="shared" si="307"/>
        <v>7.0540614405058238E-2</v>
      </c>
      <c r="EC123" s="92">
        <f t="shared" si="308"/>
        <v>8.4944195356876417E-2</v>
      </c>
      <c r="ED123" s="92">
        <f t="shared" si="309"/>
        <v>5.3628102001974647E-2</v>
      </c>
      <c r="EE123" s="92">
        <f t="shared" si="310"/>
        <v>0.71980726285181051</v>
      </c>
      <c r="EF123" s="92">
        <f t="shared" si="311"/>
        <v>5.3182452745174802E-2</v>
      </c>
      <c r="EG123" s="92">
        <f t="shared" si="312"/>
        <v>0.77298971559698537</v>
      </c>
      <c r="EH123" s="92">
        <f t="shared" si="313"/>
        <v>0.28019273714818943</v>
      </c>
      <c r="EI123" s="92">
        <f t="shared" si="314"/>
        <v>0.16398907789998252</v>
      </c>
      <c r="EJ123" s="122">
        <f t="shared" si="315"/>
        <v>0.11620365924820694</v>
      </c>
    </row>
    <row r="124" spans="2:140" ht="12" hidden="1" customHeight="1" outlineLevel="1">
      <c r="B124" s="121">
        <v>44994</v>
      </c>
      <c r="C124" s="117" t="s">
        <v>752</v>
      </c>
      <c r="D124" s="50" t="s">
        <v>753</v>
      </c>
      <c r="E124" s="50" t="s">
        <v>746</v>
      </c>
      <c r="F124" s="50" t="s">
        <v>747</v>
      </c>
      <c r="G124" s="50" t="s">
        <v>154</v>
      </c>
      <c r="H124" s="50" t="s">
        <v>748</v>
      </c>
      <c r="I124" s="50" t="s">
        <v>749</v>
      </c>
      <c r="J124" s="52" t="s">
        <v>754</v>
      </c>
      <c r="K124" s="50" t="s">
        <v>755</v>
      </c>
      <c r="L124" s="49">
        <v>4</v>
      </c>
      <c r="M124" s="50" t="s">
        <v>283</v>
      </c>
      <c r="N124" s="50" t="s">
        <v>160</v>
      </c>
      <c r="O124" s="50" t="s">
        <v>626</v>
      </c>
      <c r="P124" s="50" t="s">
        <v>161</v>
      </c>
      <c r="Q124" s="53">
        <v>0.09</v>
      </c>
      <c r="R124" s="49">
        <v>52</v>
      </c>
      <c r="S124" s="49">
        <v>2</v>
      </c>
      <c r="T124" s="54">
        <f t="shared" si="238"/>
        <v>54</v>
      </c>
      <c r="U124" s="55">
        <v>43164</v>
      </c>
      <c r="V124" s="49">
        <v>12.28</v>
      </c>
      <c r="W124" s="56">
        <f t="shared" si="259"/>
        <v>4.3973941368078178</v>
      </c>
      <c r="X124" s="49">
        <v>1973</v>
      </c>
      <c r="Y124" s="57" t="s">
        <v>162</v>
      </c>
      <c r="Z124" s="58">
        <v>1671992</v>
      </c>
      <c r="AA124" s="114">
        <f>(((949005*0.045)/(Z124))+((662184*0.01)/(Z124)))</f>
        <v>2.9501974291743022E-2</v>
      </c>
      <c r="AB124" s="59">
        <v>40</v>
      </c>
      <c r="AC124" s="60">
        <v>40</v>
      </c>
      <c r="AD124" s="61">
        <v>4.4999999999999998E-2</v>
      </c>
      <c r="AE124" s="62">
        <v>949005</v>
      </c>
      <c r="AF124" s="63">
        <v>1.78</v>
      </c>
      <c r="AG124" s="59">
        <v>30</v>
      </c>
      <c r="AH124" s="60">
        <v>50</v>
      </c>
      <c r="AI124" s="61">
        <v>0.01</v>
      </c>
      <c r="AJ124" s="64">
        <v>662184</v>
      </c>
      <c r="AK124" s="65">
        <f t="shared" si="260"/>
        <v>1611189</v>
      </c>
      <c r="AL124" s="62">
        <v>60802</v>
      </c>
      <c r="AM124" s="49" t="s">
        <v>163</v>
      </c>
      <c r="AN124" s="67">
        <v>0.85</v>
      </c>
      <c r="AO124" s="62">
        <v>5243976</v>
      </c>
      <c r="AP124" s="62">
        <v>0</v>
      </c>
      <c r="AQ124" s="68">
        <v>0</v>
      </c>
      <c r="AR124" s="69">
        <f t="shared" si="261"/>
        <v>29836.833333333332</v>
      </c>
      <c r="AS124" s="70" t="str">
        <f>IFERROR(IF(#REF!&gt;0,#REF!/T124,""),"")</f>
        <v/>
      </c>
      <c r="AT124" s="70">
        <f t="shared" si="262"/>
        <v>97110.666666666672</v>
      </c>
      <c r="AU124" s="70">
        <f t="shared" si="263"/>
        <v>1125.962962962963</v>
      </c>
      <c r="AV124" s="71" t="str">
        <f t="shared" si="264"/>
        <v/>
      </c>
      <c r="AW124" s="115">
        <f t="shared" si="265"/>
        <v>53611.111111111109</v>
      </c>
      <c r="AX124" s="116">
        <f t="shared" si="266"/>
        <v>67.069780372532662</v>
      </c>
      <c r="AY124" s="72">
        <f t="shared" si="267"/>
        <v>67228.333333333328</v>
      </c>
      <c r="AZ124" s="73">
        <f t="shared" si="268"/>
        <v>84.105504587155963</v>
      </c>
      <c r="BA124" s="66">
        <v>1172184</v>
      </c>
      <c r="BB124" s="62">
        <v>895000</v>
      </c>
      <c r="BC124" s="62">
        <v>2000000</v>
      </c>
      <c r="BD124" s="62">
        <v>289500</v>
      </c>
      <c r="BE124" s="62">
        <v>445830</v>
      </c>
      <c r="BF124" s="62">
        <v>335250</v>
      </c>
      <c r="BG124" s="62">
        <v>427360</v>
      </c>
      <c r="BH124" s="62">
        <v>795371</v>
      </c>
      <c r="BI124" s="62">
        <v>538102</v>
      </c>
      <c r="BJ124" s="47">
        <f t="shared" si="269"/>
        <v>6898597</v>
      </c>
      <c r="BK124" s="69">
        <f t="shared" si="247"/>
        <v>21707.111111111109</v>
      </c>
      <c r="BL124" s="70">
        <f t="shared" si="248"/>
        <v>16574.074074074073</v>
      </c>
      <c r="BM124" s="70">
        <f t="shared" si="249"/>
        <v>37037.037037037036</v>
      </c>
      <c r="BN124" s="70">
        <f t="shared" si="250"/>
        <v>5361.1111111111113</v>
      </c>
      <c r="BO124" s="70">
        <f t="shared" si="251"/>
        <v>8256.1111111111113</v>
      </c>
      <c r="BP124" s="70">
        <f t="shared" si="257"/>
        <v>6208.333333333333</v>
      </c>
      <c r="BQ124" s="70">
        <f t="shared" si="270"/>
        <v>7914.0740740740739</v>
      </c>
      <c r="BR124" s="70">
        <f t="shared" ref="BR124:BR132" si="316">IFERROR(IF(BH124&gt;0,BH124/$T124,""),"")</f>
        <v>14729.092592592593</v>
      </c>
      <c r="BS124" s="70">
        <f t="shared" ref="BS124:BS132" si="317">IFERROR(IF(BI124&gt;0,BI124/$T124,""),"")</f>
        <v>9964.8518518518522</v>
      </c>
      <c r="BT124" s="71">
        <f t="shared" ref="BT124:BT132" si="318">IFERROR(IF(BJ124&gt;0,BJ124/$T124,""),"")</f>
        <v>127751.79629629629</v>
      </c>
      <c r="BU124" s="65">
        <f t="shared" si="252"/>
        <v>27.156519321656937</v>
      </c>
      <c r="BV124" s="48">
        <f t="shared" si="253"/>
        <v>20.734871652302846</v>
      </c>
      <c r="BW124" s="48">
        <f t="shared" si="254"/>
        <v>46.334908720229819</v>
      </c>
      <c r="BX124" s="48">
        <f t="shared" si="255"/>
        <v>6.7069780372532666</v>
      </c>
      <c r="BY124" s="48">
        <f t="shared" si="256"/>
        <v>10.32874617737003</v>
      </c>
      <c r="BZ124" s="48">
        <f t="shared" si="258"/>
        <v>7.7668890742285237</v>
      </c>
      <c r="CA124" s="48">
        <f t="shared" si="271"/>
        <v>9.9008432953387082</v>
      </c>
      <c r="CB124" s="48">
        <f t="shared" ref="CB124:CB132" si="319">IFERROR(IF(BH124&gt;0,BH124/$U124,""),"")</f>
        <v>18.426721341858958</v>
      </c>
      <c r="CC124" s="48">
        <f t="shared" ref="CC124:CC132" si="320">IFERROR(IF(BI124&gt;0,BI124/$U124,""),"")</f>
        <v>12.466453526086553</v>
      </c>
      <c r="CD124" s="47">
        <f t="shared" ref="CD124:CD132" si="321">IFERROR(IF(BJ124&gt;0,BJ124/$U124,""),"")</f>
        <v>159.82293114632563</v>
      </c>
      <c r="CE124" s="66">
        <v>418680</v>
      </c>
      <c r="CF124" s="62">
        <f>720+5400</f>
        <v>6120</v>
      </c>
      <c r="CG124" s="74">
        <v>-31860</v>
      </c>
      <c r="CH124" s="75">
        <f t="shared" si="272"/>
        <v>392940</v>
      </c>
      <c r="CI124" s="62">
        <f>28600+2200</f>
        <v>30800</v>
      </c>
      <c r="CJ124" s="62">
        <v>42432</v>
      </c>
      <c r="CK124" s="62">
        <v>89160</v>
      </c>
      <c r="CL124" s="62">
        <v>53000</v>
      </c>
      <c r="CM124" s="62">
        <f>11650+8750</f>
        <v>20400</v>
      </c>
      <c r="CN124" s="62">
        <v>22500</v>
      </c>
      <c r="CO124" s="62">
        <v>20500</v>
      </c>
      <c r="CP124" s="75">
        <f t="shared" si="239"/>
        <v>278792</v>
      </c>
      <c r="CQ124" s="62">
        <v>22950</v>
      </c>
      <c r="CR124" s="75">
        <f t="shared" si="240"/>
        <v>301742</v>
      </c>
      <c r="CS124" s="75">
        <f t="shared" si="273"/>
        <v>114148</v>
      </c>
      <c r="CT124" s="62">
        <v>68031</v>
      </c>
      <c r="CU124" s="47">
        <f t="shared" si="274"/>
        <v>46117</v>
      </c>
      <c r="CV124" s="76">
        <f t="shared" si="275"/>
        <v>0.29049727693795491</v>
      </c>
      <c r="CW124" s="75">
        <f t="shared" si="276"/>
        <v>5587.8148148148148</v>
      </c>
      <c r="CX124" s="77">
        <f t="shared" si="277"/>
        <v>0.76790858655265437</v>
      </c>
      <c r="CY124" s="75">
        <f t="shared" si="278"/>
        <v>854.01851851851848</v>
      </c>
      <c r="CZ124" s="77">
        <f t="shared" si="279"/>
        <v>0.11736397414363516</v>
      </c>
      <c r="DA124" s="77">
        <f t="shared" si="280"/>
        <v>0.17313330279431974</v>
      </c>
      <c r="DB124" s="47">
        <f t="shared" si="281"/>
        <v>29836.833333333332</v>
      </c>
      <c r="DC124" s="69">
        <f t="shared" si="282"/>
        <v>7753.333333333333</v>
      </c>
      <c r="DD124" s="70">
        <f t="shared" si="283"/>
        <v>113.33333333333333</v>
      </c>
      <c r="DE124" s="70">
        <f t="shared" si="284"/>
        <v>-590</v>
      </c>
      <c r="DF124" s="70">
        <f t="shared" si="285"/>
        <v>7276.666666666667</v>
      </c>
      <c r="DG124" s="70">
        <f t="shared" si="286"/>
        <v>570.37037037037032</v>
      </c>
      <c r="DH124" s="70">
        <f t="shared" si="287"/>
        <v>785.77777777777783</v>
      </c>
      <c r="DI124" s="70">
        <f t="shared" si="288"/>
        <v>1651.1111111111111</v>
      </c>
      <c r="DJ124" s="70">
        <f t="shared" si="289"/>
        <v>981.48148148148152</v>
      </c>
      <c r="DK124" s="70">
        <f t="shared" si="290"/>
        <v>377.77777777777777</v>
      </c>
      <c r="DL124" s="70">
        <f t="shared" si="291"/>
        <v>416.66666666666669</v>
      </c>
      <c r="DM124" s="70">
        <f t="shared" si="292"/>
        <v>379.62962962962962</v>
      </c>
      <c r="DN124" s="70">
        <f t="shared" si="293"/>
        <v>5162.8148148148148</v>
      </c>
      <c r="DO124" s="70">
        <f t="shared" si="294"/>
        <v>425</v>
      </c>
      <c r="DP124" s="70">
        <f t="shared" si="295"/>
        <v>5587.8148148148148</v>
      </c>
      <c r="DQ124" s="70">
        <f t="shared" si="296"/>
        <v>2113.8518518518517</v>
      </c>
      <c r="DR124" s="70">
        <f t="shared" si="297"/>
        <v>1259.8333333333333</v>
      </c>
      <c r="DS124" s="71">
        <f t="shared" si="298"/>
        <v>854.01851851851848</v>
      </c>
      <c r="DT124" s="106">
        <f t="shared" si="299"/>
        <v>1.065506184150252</v>
      </c>
      <c r="DU124" s="92">
        <f t="shared" si="300"/>
        <v>1.5574896930829134E-2</v>
      </c>
      <c r="DV124" s="92" t="str">
        <f t="shared" si="301"/>
        <v/>
      </c>
      <c r="DW124" s="92">
        <f t="shared" si="302"/>
        <v>1</v>
      </c>
      <c r="DX124" s="92">
        <f t="shared" si="303"/>
        <v>7.8383468213976695E-2</v>
      </c>
      <c r="DY124" s="92">
        <f t="shared" si="304"/>
        <v>0.10798595205374867</v>
      </c>
      <c r="DZ124" s="92">
        <f t="shared" si="305"/>
        <v>0.22690487097266759</v>
      </c>
      <c r="EA124" s="92">
        <f t="shared" si="306"/>
        <v>0.13488064335521963</v>
      </c>
      <c r="EB124" s="92">
        <f t="shared" si="307"/>
        <v>5.1916323102763784E-2</v>
      </c>
      <c r="EC124" s="92">
        <f t="shared" si="308"/>
        <v>5.7260650480989467E-2</v>
      </c>
      <c r="ED124" s="92">
        <f t="shared" si="309"/>
        <v>5.2170814882679287E-2</v>
      </c>
      <c r="EE124" s="92">
        <f t="shared" si="310"/>
        <v>0.70950272306204509</v>
      </c>
      <c r="EF124" s="92">
        <f t="shared" si="311"/>
        <v>5.840586349060925E-2</v>
      </c>
      <c r="EG124" s="92">
        <f t="shared" si="312"/>
        <v>0.76790858655265437</v>
      </c>
      <c r="EH124" s="92">
        <f t="shared" si="313"/>
        <v>0.29049727693795491</v>
      </c>
      <c r="EI124" s="92">
        <f t="shared" si="314"/>
        <v>0.17313330279431974</v>
      </c>
      <c r="EJ124" s="122">
        <f t="shared" si="315"/>
        <v>0.11736397414363516</v>
      </c>
    </row>
    <row r="125" spans="2:140" ht="12" hidden="1" customHeight="1" outlineLevel="1">
      <c r="B125" s="121">
        <v>44994</v>
      </c>
      <c r="C125" s="117" t="s">
        <v>756</v>
      </c>
      <c r="D125" s="50" t="s">
        <v>757</v>
      </c>
      <c r="E125" s="50" t="s">
        <v>451</v>
      </c>
      <c r="F125" s="50" t="s">
        <v>591</v>
      </c>
      <c r="G125" s="50" t="s">
        <v>162</v>
      </c>
      <c r="H125" s="50" t="s">
        <v>182</v>
      </c>
      <c r="I125" s="50" t="s">
        <v>758</v>
      </c>
      <c r="J125" s="52" t="s">
        <v>455</v>
      </c>
      <c r="K125" s="50" t="s">
        <v>456</v>
      </c>
      <c r="L125" s="49">
        <v>9</v>
      </c>
      <c r="M125" s="50" t="s">
        <v>283</v>
      </c>
      <c r="N125" s="50" t="s">
        <v>160</v>
      </c>
      <c r="O125" s="50" t="s">
        <v>160</v>
      </c>
      <c r="P125" s="50" t="s">
        <v>177</v>
      </c>
      <c r="Q125" s="53">
        <v>0.09</v>
      </c>
      <c r="R125" s="49">
        <v>32</v>
      </c>
      <c r="S125" s="49">
        <v>4</v>
      </c>
      <c r="T125" s="54">
        <f t="shared" si="238"/>
        <v>36</v>
      </c>
      <c r="U125" s="55">
        <v>37782</v>
      </c>
      <c r="V125" s="49">
        <v>6</v>
      </c>
      <c r="W125" s="56">
        <f t="shared" si="259"/>
        <v>6</v>
      </c>
      <c r="X125" s="49" t="s">
        <v>163</v>
      </c>
      <c r="Y125" s="57" t="s">
        <v>162</v>
      </c>
      <c r="Z125" s="58">
        <v>2326750</v>
      </c>
      <c r="AA125" s="114">
        <v>3.5000000000000003E-2</v>
      </c>
      <c r="AB125" s="59">
        <v>15</v>
      </c>
      <c r="AC125" s="60">
        <v>35</v>
      </c>
      <c r="AD125" s="61">
        <v>4.4999999999999998E-2</v>
      </c>
      <c r="AE125" s="62">
        <v>1250000</v>
      </c>
      <c r="AF125" s="63">
        <v>1.99</v>
      </c>
      <c r="AG125" s="59">
        <v>15</v>
      </c>
      <c r="AH125" s="60">
        <v>30</v>
      </c>
      <c r="AI125" s="61">
        <v>2.5000000000000001E-2</v>
      </c>
      <c r="AJ125" s="64">
        <v>1000000</v>
      </c>
      <c r="AK125" s="65">
        <f t="shared" si="260"/>
        <v>2250000</v>
      </c>
      <c r="AL125" s="62">
        <v>76750</v>
      </c>
      <c r="AM125" s="49" t="s">
        <v>163</v>
      </c>
      <c r="AN125" s="67">
        <v>0.87</v>
      </c>
      <c r="AO125" s="62">
        <v>8165869</v>
      </c>
      <c r="AP125" s="62">
        <v>0</v>
      </c>
      <c r="AQ125" s="68">
        <v>336652</v>
      </c>
      <c r="AR125" s="69">
        <f t="shared" si="261"/>
        <v>62500</v>
      </c>
      <c r="AS125" s="70" t="str">
        <f>IFERROR(IF(#REF!&gt;0,#REF!/T125,""),"")</f>
        <v/>
      </c>
      <c r="AT125" s="70">
        <f t="shared" si="262"/>
        <v>226829.69444444444</v>
      </c>
      <c r="AU125" s="70">
        <f t="shared" si="263"/>
        <v>2131.9444444444443</v>
      </c>
      <c r="AV125" s="71">
        <f t="shared" si="264"/>
        <v>9351.4444444444453</v>
      </c>
      <c r="AW125" s="115">
        <f t="shared" si="265"/>
        <v>158941.25</v>
      </c>
      <c r="AX125" s="116">
        <f t="shared" si="266"/>
        <v>151.44473558837541</v>
      </c>
      <c r="AY125" s="72">
        <f t="shared" si="267"/>
        <v>191082.94444444444</v>
      </c>
      <c r="AZ125" s="73">
        <f t="shared" si="268"/>
        <v>182.0704568312953</v>
      </c>
      <c r="BA125" s="66">
        <v>600000</v>
      </c>
      <c r="BB125" s="62">
        <v>1162981</v>
      </c>
      <c r="BC125" s="62">
        <v>4558904</v>
      </c>
      <c r="BD125" s="62">
        <v>349056</v>
      </c>
      <c r="BE125" s="62">
        <v>808045</v>
      </c>
      <c r="BF125" s="62">
        <v>618254</v>
      </c>
      <c r="BG125" s="62">
        <v>646634</v>
      </c>
      <c r="BH125" s="62">
        <v>1604582</v>
      </c>
      <c r="BI125" s="62">
        <v>144162</v>
      </c>
      <c r="BJ125" s="47">
        <f t="shared" si="269"/>
        <v>10492618</v>
      </c>
      <c r="BK125" s="69">
        <f t="shared" ref="BK125:BO132" si="322">IFERROR(IF(BA125&gt;0,BA125/$T125,""),"")</f>
        <v>16666.666666666668</v>
      </c>
      <c r="BL125" s="70">
        <f t="shared" si="322"/>
        <v>32305.027777777777</v>
      </c>
      <c r="BM125" s="70">
        <f t="shared" si="322"/>
        <v>126636.22222222222</v>
      </c>
      <c r="BN125" s="70">
        <f t="shared" si="322"/>
        <v>9696</v>
      </c>
      <c r="BO125" s="70">
        <f t="shared" si="322"/>
        <v>22445.694444444445</v>
      </c>
      <c r="BP125" s="70">
        <f t="shared" si="257"/>
        <v>17173.722222222223</v>
      </c>
      <c r="BQ125" s="70">
        <f t="shared" si="270"/>
        <v>17962.055555555555</v>
      </c>
      <c r="BR125" s="70">
        <f t="shared" si="316"/>
        <v>44571.722222222219</v>
      </c>
      <c r="BS125" s="70">
        <f t="shared" si="317"/>
        <v>4004.5</v>
      </c>
      <c r="BT125" s="71">
        <f t="shared" si="318"/>
        <v>291461.61111111112</v>
      </c>
      <c r="BU125" s="65">
        <f t="shared" ref="BU125:BY132" si="323">IFERROR(IF(BA125&gt;0,BA125/$U125,""),"")</f>
        <v>15.88057805304113</v>
      </c>
      <c r="BV125" s="48">
        <f t="shared" si="323"/>
        <v>30.781350907839713</v>
      </c>
      <c r="BW125" s="48">
        <f t="shared" si="323"/>
        <v>120.6633846805357</v>
      </c>
      <c r="BX125" s="48">
        <f t="shared" si="323"/>
        <v>9.238685088137208</v>
      </c>
      <c r="BY125" s="48">
        <f t="shared" si="323"/>
        <v>21.387036154782702</v>
      </c>
      <c r="BZ125" s="48">
        <f t="shared" si="258"/>
        <v>16.363718172674819</v>
      </c>
      <c r="CA125" s="48">
        <f t="shared" si="271"/>
        <v>17.114869514583663</v>
      </c>
      <c r="CB125" s="48">
        <f t="shared" si="319"/>
        <v>42.46948282250807</v>
      </c>
      <c r="CC125" s="48">
        <f t="shared" si="320"/>
        <v>3.8156264888041926</v>
      </c>
      <c r="CD125" s="47">
        <f t="shared" si="321"/>
        <v>277.71473188290719</v>
      </c>
      <c r="CE125" s="66">
        <v>328104</v>
      </c>
      <c r="CF125" s="62">
        <v>8640</v>
      </c>
      <c r="CG125" s="74">
        <v>-25256</v>
      </c>
      <c r="CH125" s="75">
        <f t="shared" si="272"/>
        <v>311488</v>
      </c>
      <c r="CI125" s="62">
        <f>15300+1280</f>
        <v>16580</v>
      </c>
      <c r="CJ125" s="62">
        <v>15574</v>
      </c>
      <c r="CK125" s="62">
        <v>41400</v>
      </c>
      <c r="CL125" s="62">
        <v>21600</v>
      </c>
      <c r="CM125" s="62">
        <f>7200+19800</f>
        <v>27000</v>
      </c>
      <c r="CN125" s="62">
        <v>15868</v>
      </c>
      <c r="CO125" s="62">
        <v>22898</v>
      </c>
      <c r="CP125" s="75">
        <f t="shared" si="239"/>
        <v>160920</v>
      </c>
      <c r="CQ125" s="62">
        <v>9000</v>
      </c>
      <c r="CR125" s="75">
        <f t="shared" si="240"/>
        <v>169920</v>
      </c>
      <c r="CS125" s="75">
        <f t="shared" si="273"/>
        <v>150568</v>
      </c>
      <c r="CT125" s="62">
        <v>118403</v>
      </c>
      <c r="CU125" s="47">
        <f t="shared" si="274"/>
        <v>32165</v>
      </c>
      <c r="CV125" s="76">
        <f t="shared" si="275"/>
        <v>0.4833829874666119</v>
      </c>
      <c r="CW125" s="75">
        <f t="shared" si="276"/>
        <v>4720</v>
      </c>
      <c r="CX125" s="77">
        <f t="shared" si="277"/>
        <v>0.5455105814670228</v>
      </c>
      <c r="CY125" s="75">
        <f t="shared" si="278"/>
        <v>893.47222222222217</v>
      </c>
      <c r="CZ125" s="77">
        <f t="shared" si="279"/>
        <v>0.10326240497226218</v>
      </c>
      <c r="DA125" s="77">
        <f t="shared" si="280"/>
        <v>0.38012058249434971</v>
      </c>
      <c r="DB125" s="47">
        <f t="shared" si="281"/>
        <v>62500</v>
      </c>
      <c r="DC125" s="69">
        <f t="shared" si="282"/>
        <v>9114</v>
      </c>
      <c r="DD125" s="70">
        <f t="shared" si="283"/>
        <v>240</v>
      </c>
      <c r="DE125" s="70">
        <f t="shared" si="284"/>
        <v>-701.55555555555554</v>
      </c>
      <c r="DF125" s="70">
        <f t="shared" si="285"/>
        <v>8652.4444444444453</v>
      </c>
      <c r="DG125" s="70">
        <f t="shared" si="286"/>
        <v>460.55555555555554</v>
      </c>
      <c r="DH125" s="70">
        <f t="shared" si="287"/>
        <v>432.61111111111109</v>
      </c>
      <c r="DI125" s="70">
        <f t="shared" si="288"/>
        <v>1150</v>
      </c>
      <c r="DJ125" s="70">
        <f t="shared" si="289"/>
        <v>600</v>
      </c>
      <c r="DK125" s="70">
        <f t="shared" si="290"/>
        <v>750</v>
      </c>
      <c r="DL125" s="70">
        <f t="shared" si="291"/>
        <v>440.77777777777777</v>
      </c>
      <c r="DM125" s="70">
        <f t="shared" si="292"/>
        <v>636.05555555555554</v>
      </c>
      <c r="DN125" s="70">
        <f t="shared" si="293"/>
        <v>4470</v>
      </c>
      <c r="DO125" s="70">
        <f t="shared" si="294"/>
        <v>250</v>
      </c>
      <c r="DP125" s="70">
        <f t="shared" si="295"/>
        <v>4720</v>
      </c>
      <c r="DQ125" s="70">
        <f t="shared" si="296"/>
        <v>4182.4444444444443</v>
      </c>
      <c r="DR125" s="70">
        <f t="shared" si="297"/>
        <v>3288.9722222222222</v>
      </c>
      <c r="DS125" s="71">
        <f t="shared" si="298"/>
        <v>893.47222222222217</v>
      </c>
      <c r="DT125" s="106">
        <f t="shared" si="299"/>
        <v>1.0533439490445859</v>
      </c>
      <c r="DU125" s="92">
        <f t="shared" si="300"/>
        <v>2.7737826176289296E-2</v>
      </c>
      <c r="DV125" s="92" t="str">
        <f t="shared" si="301"/>
        <v/>
      </c>
      <c r="DW125" s="92">
        <f t="shared" si="302"/>
        <v>1</v>
      </c>
      <c r="DX125" s="92">
        <f t="shared" si="303"/>
        <v>5.322837476885145E-2</v>
      </c>
      <c r="DY125" s="92">
        <f t="shared" si="304"/>
        <v>4.9998715841380728E-2</v>
      </c>
      <c r="DZ125" s="92">
        <f t="shared" si="305"/>
        <v>0.13291041709471954</v>
      </c>
      <c r="EA125" s="92">
        <f t="shared" si="306"/>
        <v>6.9344565440723233E-2</v>
      </c>
      <c r="EB125" s="92">
        <f t="shared" si="307"/>
        <v>8.6680706800904048E-2</v>
      </c>
      <c r="EC125" s="92">
        <f t="shared" si="308"/>
        <v>5.094257242654613E-2</v>
      </c>
      <c r="ED125" s="92">
        <f t="shared" si="309"/>
        <v>7.351166016026299E-2</v>
      </c>
      <c r="EE125" s="92">
        <f t="shared" si="310"/>
        <v>0.5166170125333881</v>
      </c>
      <c r="EF125" s="92">
        <f t="shared" si="311"/>
        <v>2.8893568933634681E-2</v>
      </c>
      <c r="EG125" s="92">
        <f t="shared" si="312"/>
        <v>0.5455105814670228</v>
      </c>
      <c r="EH125" s="92">
        <f t="shared" si="313"/>
        <v>0.4833829874666119</v>
      </c>
      <c r="EI125" s="92">
        <f t="shared" si="314"/>
        <v>0.38012058249434971</v>
      </c>
      <c r="EJ125" s="122">
        <f t="shared" si="315"/>
        <v>0.10326240497226218</v>
      </c>
    </row>
    <row r="126" spans="2:140" ht="12" hidden="1" customHeight="1" outlineLevel="1">
      <c r="B126" s="121">
        <v>44994</v>
      </c>
      <c r="C126" s="117" t="s">
        <v>759</v>
      </c>
      <c r="D126" s="50" t="s">
        <v>760</v>
      </c>
      <c r="E126" s="50" t="s">
        <v>761</v>
      </c>
      <c r="F126" s="50" t="s">
        <v>762</v>
      </c>
      <c r="G126" s="50" t="s">
        <v>154</v>
      </c>
      <c r="H126" s="50" t="s">
        <v>608</v>
      </c>
      <c r="I126" s="50" t="s">
        <v>167</v>
      </c>
      <c r="J126" s="52" t="s">
        <v>481</v>
      </c>
      <c r="K126" s="50" t="s">
        <v>481</v>
      </c>
      <c r="L126" s="49">
        <v>13</v>
      </c>
      <c r="M126" s="50" t="s">
        <v>159</v>
      </c>
      <c r="N126" s="50" t="s">
        <v>160</v>
      </c>
      <c r="O126" s="50" t="s">
        <v>160</v>
      </c>
      <c r="P126" s="50" t="s">
        <v>177</v>
      </c>
      <c r="Q126" s="53">
        <v>0.09</v>
      </c>
      <c r="R126" s="49">
        <v>80</v>
      </c>
      <c r="S126" s="49">
        <v>0</v>
      </c>
      <c r="T126" s="54">
        <f t="shared" si="238"/>
        <v>80</v>
      </c>
      <c r="U126" s="55">
        <v>85844</v>
      </c>
      <c r="V126" s="49">
        <v>6</v>
      </c>
      <c r="W126" s="56">
        <f t="shared" si="259"/>
        <v>13.333333333333334</v>
      </c>
      <c r="X126" s="49" t="s">
        <v>163</v>
      </c>
      <c r="Y126" s="57" t="s">
        <v>162</v>
      </c>
      <c r="Z126" s="58">
        <v>4260000</v>
      </c>
      <c r="AA126" s="114">
        <v>0.05</v>
      </c>
      <c r="AB126" s="59">
        <v>15</v>
      </c>
      <c r="AC126" s="60">
        <v>40</v>
      </c>
      <c r="AD126" s="61">
        <v>0.05</v>
      </c>
      <c r="AE126" s="62">
        <v>4260000</v>
      </c>
      <c r="AF126" s="63">
        <v>1.2</v>
      </c>
      <c r="AG126" s="59"/>
      <c r="AH126" s="60"/>
      <c r="AI126" s="61"/>
      <c r="AJ126" s="64"/>
      <c r="AK126" s="65">
        <f t="shared" si="260"/>
        <v>4260000</v>
      </c>
      <c r="AL126" s="62">
        <v>0</v>
      </c>
      <c r="AM126" s="49" t="s">
        <v>163</v>
      </c>
      <c r="AN126" s="67">
        <v>0.87</v>
      </c>
      <c r="AO126" s="62">
        <v>12052223</v>
      </c>
      <c r="AP126" s="62">
        <v>0</v>
      </c>
      <c r="AQ126" s="68">
        <v>819179</v>
      </c>
      <c r="AR126" s="69">
        <f t="shared" si="261"/>
        <v>53250</v>
      </c>
      <c r="AS126" s="70" t="str">
        <f>IFERROR(IF(#REF!&gt;0,#REF!/T126,""),"")</f>
        <v/>
      </c>
      <c r="AT126" s="70">
        <f t="shared" si="262"/>
        <v>150652.78750000001</v>
      </c>
      <c r="AU126" s="70" t="str">
        <f t="shared" si="263"/>
        <v/>
      </c>
      <c r="AV126" s="71">
        <f t="shared" si="264"/>
        <v>10239.737499999999</v>
      </c>
      <c r="AW126" s="115">
        <f t="shared" si="265"/>
        <v>115044.5</v>
      </c>
      <c r="AX126" s="116">
        <f t="shared" si="266"/>
        <v>107.21261823773357</v>
      </c>
      <c r="AY126" s="72">
        <f t="shared" si="267"/>
        <v>140331.27499999999</v>
      </c>
      <c r="AZ126" s="73">
        <f t="shared" si="268"/>
        <v>130.77794604165697</v>
      </c>
      <c r="BA126" s="66">
        <v>1087240</v>
      </c>
      <c r="BB126" s="62">
        <v>1962760</v>
      </c>
      <c r="BC126" s="62">
        <v>7240800</v>
      </c>
      <c r="BD126" s="62">
        <v>644249</v>
      </c>
      <c r="BE126" s="62">
        <v>1378693</v>
      </c>
      <c r="BF126" s="62">
        <v>569400</v>
      </c>
      <c r="BG126" s="62">
        <v>1356400</v>
      </c>
      <c r="BH126" s="62">
        <v>1902108</v>
      </c>
      <c r="BI126" s="62">
        <v>170000</v>
      </c>
      <c r="BJ126" s="47">
        <f t="shared" si="269"/>
        <v>16311650</v>
      </c>
      <c r="BK126" s="69">
        <f t="shared" si="322"/>
        <v>13590.5</v>
      </c>
      <c r="BL126" s="70">
        <f t="shared" si="322"/>
        <v>24534.5</v>
      </c>
      <c r="BM126" s="70">
        <f t="shared" si="322"/>
        <v>90510</v>
      </c>
      <c r="BN126" s="70">
        <f t="shared" si="322"/>
        <v>8053.1125000000002</v>
      </c>
      <c r="BO126" s="70">
        <f t="shared" si="322"/>
        <v>17233.662499999999</v>
      </c>
      <c r="BP126" s="70">
        <f t="shared" si="257"/>
        <v>7117.5</v>
      </c>
      <c r="BQ126" s="70">
        <f t="shared" si="270"/>
        <v>16955</v>
      </c>
      <c r="BR126" s="70">
        <f t="shared" si="316"/>
        <v>23776.35</v>
      </c>
      <c r="BS126" s="70">
        <f t="shared" si="317"/>
        <v>2125</v>
      </c>
      <c r="BT126" s="71">
        <f t="shared" si="318"/>
        <v>203895.625</v>
      </c>
      <c r="BU126" s="65">
        <f t="shared" si="323"/>
        <v>12.665299846232701</v>
      </c>
      <c r="BV126" s="48">
        <f t="shared" si="323"/>
        <v>22.864265411676996</v>
      </c>
      <c r="BW126" s="48">
        <f t="shared" si="323"/>
        <v>84.348352826056569</v>
      </c>
      <c r="BX126" s="48">
        <f t="shared" si="323"/>
        <v>7.5048809468337918</v>
      </c>
      <c r="BY126" s="48">
        <f t="shared" si="323"/>
        <v>16.060446857089605</v>
      </c>
      <c r="BZ126" s="48">
        <f t="shared" si="258"/>
        <v>6.6329621173291082</v>
      </c>
      <c r="CA126" s="48">
        <f t="shared" si="271"/>
        <v>15.800754857648759</v>
      </c>
      <c r="CB126" s="48">
        <f t="shared" si="319"/>
        <v>22.157727971669541</v>
      </c>
      <c r="CC126" s="48">
        <f t="shared" si="320"/>
        <v>1.9803364242113601</v>
      </c>
      <c r="CD126" s="47">
        <f t="shared" si="321"/>
        <v>190.01502725874843</v>
      </c>
      <c r="CE126" s="66">
        <v>680820</v>
      </c>
      <c r="CF126" s="62">
        <f>11520+2880</f>
        <v>14400</v>
      </c>
      <c r="CG126" s="74">
        <v>-52142</v>
      </c>
      <c r="CH126" s="75">
        <f t="shared" si="272"/>
        <v>643078</v>
      </c>
      <c r="CI126" s="62">
        <f>24480+3200</f>
        <v>27680</v>
      </c>
      <c r="CJ126" s="62">
        <v>32154</v>
      </c>
      <c r="CK126" s="62">
        <v>96782</v>
      </c>
      <c r="CL126" s="62">
        <v>36000</v>
      </c>
      <c r="CM126" s="62">
        <f>14000+37200</f>
        <v>51200</v>
      </c>
      <c r="CN126" s="62">
        <v>28000</v>
      </c>
      <c r="CO126" s="62">
        <v>51200</v>
      </c>
      <c r="CP126" s="75">
        <f t="shared" si="239"/>
        <v>323016</v>
      </c>
      <c r="CQ126" s="62">
        <v>24000</v>
      </c>
      <c r="CR126" s="75">
        <f t="shared" si="240"/>
        <v>347016</v>
      </c>
      <c r="CS126" s="75">
        <f t="shared" si="273"/>
        <v>320062</v>
      </c>
      <c r="CT126" s="62">
        <v>246499</v>
      </c>
      <c r="CU126" s="47">
        <f t="shared" si="274"/>
        <v>73563</v>
      </c>
      <c r="CV126" s="76">
        <f t="shared" si="275"/>
        <v>0.49770323351133144</v>
      </c>
      <c r="CW126" s="75">
        <f t="shared" si="276"/>
        <v>4337.7</v>
      </c>
      <c r="CX126" s="77">
        <f t="shared" si="277"/>
        <v>0.53961727815288352</v>
      </c>
      <c r="CY126" s="75">
        <f t="shared" si="278"/>
        <v>919.53750000000002</v>
      </c>
      <c r="CZ126" s="77">
        <f t="shared" si="279"/>
        <v>0.11439203331477675</v>
      </c>
      <c r="DA126" s="77">
        <f t="shared" si="280"/>
        <v>0.38331120019655468</v>
      </c>
      <c r="DB126" s="47">
        <f t="shared" si="281"/>
        <v>53250</v>
      </c>
      <c r="DC126" s="69">
        <f t="shared" si="282"/>
        <v>8510.25</v>
      </c>
      <c r="DD126" s="70">
        <f t="shared" si="283"/>
        <v>180</v>
      </c>
      <c r="DE126" s="70">
        <f t="shared" si="284"/>
        <v>-651.77499999999998</v>
      </c>
      <c r="DF126" s="70">
        <f t="shared" si="285"/>
        <v>8038.4750000000004</v>
      </c>
      <c r="DG126" s="70">
        <f t="shared" si="286"/>
        <v>346</v>
      </c>
      <c r="DH126" s="70">
        <f t="shared" si="287"/>
        <v>401.92500000000001</v>
      </c>
      <c r="DI126" s="70">
        <f t="shared" si="288"/>
        <v>1209.7750000000001</v>
      </c>
      <c r="DJ126" s="70">
        <f t="shared" si="289"/>
        <v>450</v>
      </c>
      <c r="DK126" s="70">
        <f t="shared" si="290"/>
        <v>640</v>
      </c>
      <c r="DL126" s="70">
        <f t="shared" si="291"/>
        <v>350</v>
      </c>
      <c r="DM126" s="70">
        <f t="shared" si="292"/>
        <v>640</v>
      </c>
      <c r="DN126" s="70">
        <f t="shared" si="293"/>
        <v>4037.7</v>
      </c>
      <c r="DO126" s="70">
        <f t="shared" si="294"/>
        <v>300</v>
      </c>
      <c r="DP126" s="70">
        <f t="shared" si="295"/>
        <v>4337.7</v>
      </c>
      <c r="DQ126" s="70">
        <f t="shared" si="296"/>
        <v>4000.7750000000001</v>
      </c>
      <c r="DR126" s="70">
        <f t="shared" si="297"/>
        <v>3081.2375000000002</v>
      </c>
      <c r="DS126" s="71">
        <f t="shared" si="298"/>
        <v>919.53750000000002</v>
      </c>
      <c r="DT126" s="106">
        <f t="shared" si="299"/>
        <v>1.0586896146346167</v>
      </c>
      <c r="DU126" s="92">
        <f t="shared" si="300"/>
        <v>2.2392306998528951E-2</v>
      </c>
      <c r="DV126" s="92" t="str">
        <f t="shared" si="301"/>
        <v/>
      </c>
      <c r="DW126" s="92">
        <f t="shared" si="302"/>
        <v>1</v>
      </c>
      <c r="DX126" s="92">
        <f t="shared" si="303"/>
        <v>4.3042990119394539E-2</v>
      </c>
      <c r="DY126" s="92">
        <f t="shared" si="304"/>
        <v>5.0000155502131931E-2</v>
      </c>
      <c r="DZ126" s="92">
        <f t="shared" si="305"/>
        <v>0.15049807332858534</v>
      </c>
      <c r="EA126" s="92">
        <f t="shared" si="306"/>
        <v>5.5980767496322373E-2</v>
      </c>
      <c r="EB126" s="92">
        <f t="shared" si="307"/>
        <v>7.9617091550325161E-2</v>
      </c>
      <c r="EC126" s="92">
        <f t="shared" si="308"/>
        <v>4.3540596941584069E-2</v>
      </c>
      <c r="ED126" s="92">
        <f t="shared" si="309"/>
        <v>7.9617091550325161E-2</v>
      </c>
      <c r="EE126" s="92">
        <f t="shared" si="310"/>
        <v>0.50229676648866861</v>
      </c>
      <c r="EF126" s="92">
        <f t="shared" si="311"/>
        <v>3.732051166421492E-2</v>
      </c>
      <c r="EG126" s="92">
        <f t="shared" si="312"/>
        <v>0.53961727815288352</v>
      </c>
      <c r="EH126" s="92">
        <f t="shared" si="313"/>
        <v>0.49770323351133144</v>
      </c>
      <c r="EI126" s="92">
        <f t="shared" si="314"/>
        <v>0.38331120019655468</v>
      </c>
      <c r="EJ126" s="122">
        <f t="shared" si="315"/>
        <v>0.11439203331477675</v>
      </c>
    </row>
    <row r="127" spans="2:140" ht="12" hidden="1" customHeight="1" outlineLevel="1">
      <c r="B127" s="121">
        <v>44994</v>
      </c>
      <c r="C127" s="117" t="s">
        <v>763</v>
      </c>
      <c r="D127" s="50" t="s">
        <v>764</v>
      </c>
      <c r="E127" s="50" t="s">
        <v>765</v>
      </c>
      <c r="F127" s="50" t="s">
        <v>766</v>
      </c>
      <c r="G127" s="50" t="s">
        <v>162</v>
      </c>
      <c r="H127" s="50" t="s">
        <v>767</v>
      </c>
      <c r="I127" s="50" t="s">
        <v>419</v>
      </c>
      <c r="J127" s="52" t="s">
        <v>175</v>
      </c>
      <c r="K127" s="50" t="s">
        <v>176</v>
      </c>
      <c r="L127" s="49">
        <v>6</v>
      </c>
      <c r="M127" s="50" t="s">
        <v>159</v>
      </c>
      <c r="N127" s="50" t="s">
        <v>244</v>
      </c>
      <c r="O127" s="50" t="s">
        <v>318</v>
      </c>
      <c r="P127" s="50" t="s">
        <v>177</v>
      </c>
      <c r="Q127" s="53">
        <v>0.09</v>
      </c>
      <c r="R127" s="49">
        <v>112</v>
      </c>
      <c r="S127" s="49">
        <v>0</v>
      </c>
      <c r="T127" s="54">
        <f t="shared" si="238"/>
        <v>112</v>
      </c>
      <c r="U127" s="55">
        <v>83780</v>
      </c>
      <c r="V127" s="49">
        <v>1.887</v>
      </c>
      <c r="W127" s="56">
        <f t="shared" si="259"/>
        <v>59.353471118176998</v>
      </c>
      <c r="X127" s="49" t="s">
        <v>163</v>
      </c>
      <c r="Y127" s="57" t="s">
        <v>162</v>
      </c>
      <c r="Z127" s="58">
        <v>10625498</v>
      </c>
      <c r="AA127" s="114">
        <v>4.4999999999999998E-2</v>
      </c>
      <c r="AB127" s="59">
        <v>16</v>
      </c>
      <c r="AC127" s="60">
        <v>35</v>
      </c>
      <c r="AD127" s="61">
        <v>4.4999999999999998E-2</v>
      </c>
      <c r="AE127" s="62">
        <v>4737174</v>
      </c>
      <c r="AF127" s="63">
        <v>1.25</v>
      </c>
      <c r="AG127" s="59"/>
      <c r="AH127" s="60"/>
      <c r="AI127" s="61"/>
      <c r="AJ127" s="64"/>
      <c r="AK127" s="65">
        <f t="shared" si="260"/>
        <v>4737174</v>
      </c>
      <c r="AL127" s="62">
        <v>5888323</v>
      </c>
      <c r="AM127" s="49" t="s">
        <v>163</v>
      </c>
      <c r="AN127" s="67">
        <v>0.94</v>
      </c>
      <c r="AO127" s="62">
        <v>14799796</v>
      </c>
      <c r="AP127" s="62">
        <v>0</v>
      </c>
      <c r="AQ127" s="68">
        <v>701206</v>
      </c>
      <c r="AR127" s="69">
        <f t="shared" si="261"/>
        <v>42296.196428571428</v>
      </c>
      <c r="AS127" s="70" t="str">
        <f>IFERROR(IF(#REF!&gt;0,#REF!/T127,""),"")</f>
        <v/>
      </c>
      <c r="AT127" s="70">
        <f t="shared" si="262"/>
        <v>132141.03571428571</v>
      </c>
      <c r="AU127" s="70">
        <f t="shared" si="263"/>
        <v>52574.3125</v>
      </c>
      <c r="AV127" s="71">
        <f t="shared" si="264"/>
        <v>6260.7678571428569</v>
      </c>
      <c r="AW127" s="115">
        <f t="shared" si="265"/>
        <v>101667.65178571429</v>
      </c>
      <c r="AX127" s="116">
        <f t="shared" si="266"/>
        <v>135.91283122463594</v>
      </c>
      <c r="AY127" s="72">
        <f t="shared" si="267"/>
        <v>122636.88392857143</v>
      </c>
      <c r="AZ127" s="73">
        <f t="shared" si="268"/>
        <v>163.9452255908331</v>
      </c>
      <c r="BA127" s="66">
        <v>5600000</v>
      </c>
      <c r="BB127" s="62">
        <v>2078163</v>
      </c>
      <c r="BC127" s="62">
        <v>9308614</v>
      </c>
      <c r="BD127" s="62">
        <v>674698</v>
      </c>
      <c r="BE127" s="62">
        <v>1673856</v>
      </c>
      <c r="BF127" s="62">
        <v>2107180</v>
      </c>
      <c r="BG127" s="62">
        <v>1251243</v>
      </c>
      <c r="BH127" s="62">
        <v>2427321</v>
      </c>
      <c r="BI127" s="62">
        <v>304218</v>
      </c>
      <c r="BJ127" s="47">
        <f t="shared" si="269"/>
        <v>25425293</v>
      </c>
      <c r="BK127" s="69">
        <f t="shared" si="322"/>
        <v>50000</v>
      </c>
      <c r="BL127" s="70">
        <f t="shared" si="322"/>
        <v>18555.026785714286</v>
      </c>
      <c r="BM127" s="70">
        <f t="shared" si="322"/>
        <v>83112.625</v>
      </c>
      <c r="BN127" s="70">
        <f t="shared" si="322"/>
        <v>6024.0892857142853</v>
      </c>
      <c r="BO127" s="70">
        <f t="shared" si="322"/>
        <v>14945.142857142857</v>
      </c>
      <c r="BP127" s="70">
        <f t="shared" ref="BP127:BP132" si="324">IFERROR(IF(BF127&gt;0,BF127/$T127,""),"")</f>
        <v>18814.107142857141</v>
      </c>
      <c r="BQ127" s="70">
        <f t="shared" si="270"/>
        <v>11171.8125</v>
      </c>
      <c r="BR127" s="70">
        <f t="shared" si="316"/>
        <v>21672.508928571428</v>
      </c>
      <c r="BS127" s="70">
        <f t="shared" si="317"/>
        <v>2716.2321428571427</v>
      </c>
      <c r="BT127" s="71">
        <f t="shared" si="318"/>
        <v>227011.54464285713</v>
      </c>
      <c r="BU127" s="65">
        <f t="shared" si="323"/>
        <v>66.841728336118408</v>
      </c>
      <c r="BV127" s="48">
        <f t="shared" si="323"/>
        <v>24.80500119360229</v>
      </c>
      <c r="BW127" s="48">
        <f t="shared" si="323"/>
        <v>111.10783003103366</v>
      </c>
      <c r="BX127" s="48">
        <f t="shared" si="323"/>
        <v>8.0532107901647176</v>
      </c>
      <c r="BY127" s="48">
        <f t="shared" si="323"/>
        <v>19.979183576032465</v>
      </c>
      <c r="BZ127" s="48">
        <f t="shared" ref="BZ127:BZ132" si="325">IFERROR(IF(BF127&gt;0,BF127/$U127,""),"")</f>
        <v>25.151348770589639</v>
      </c>
      <c r="CA127" s="48">
        <f t="shared" si="271"/>
        <v>14.934865122941035</v>
      </c>
      <c r="CB127" s="48">
        <f t="shared" si="319"/>
        <v>28.972559083313438</v>
      </c>
      <c r="CC127" s="48">
        <f t="shared" si="320"/>
        <v>3.631153019813798</v>
      </c>
      <c r="CD127" s="47">
        <f t="shared" si="321"/>
        <v>303.47687992360943</v>
      </c>
      <c r="CE127" s="66">
        <v>1006920</v>
      </c>
      <c r="CF127" s="62">
        <v>14400</v>
      </c>
      <c r="CG127" s="74">
        <v>-76599</v>
      </c>
      <c r="CH127" s="75">
        <f t="shared" si="272"/>
        <v>944721</v>
      </c>
      <c r="CI127" s="62">
        <f>38863+4480</f>
        <v>43343</v>
      </c>
      <c r="CJ127" s="62">
        <v>47236</v>
      </c>
      <c r="CK127" s="62">
        <v>163536</v>
      </c>
      <c r="CL127" s="62">
        <v>62325</v>
      </c>
      <c r="CM127" s="62">
        <f>22960+70336</f>
        <v>93296</v>
      </c>
      <c r="CN127" s="62">
        <v>83700</v>
      </c>
      <c r="CO127" s="62">
        <v>87000</v>
      </c>
      <c r="CP127" s="75">
        <f t="shared" si="239"/>
        <v>580436</v>
      </c>
      <c r="CQ127" s="62">
        <v>28000</v>
      </c>
      <c r="CR127" s="75">
        <f t="shared" si="240"/>
        <v>608436</v>
      </c>
      <c r="CS127" s="75">
        <f t="shared" si="273"/>
        <v>364285</v>
      </c>
      <c r="CT127" s="62">
        <v>269028</v>
      </c>
      <c r="CU127" s="47">
        <f t="shared" si="274"/>
        <v>95257</v>
      </c>
      <c r="CV127" s="76">
        <f t="shared" si="275"/>
        <v>0.38560061647830418</v>
      </c>
      <c r="CW127" s="75">
        <f t="shared" si="276"/>
        <v>5432.4642857142853</v>
      </c>
      <c r="CX127" s="77">
        <f t="shared" si="277"/>
        <v>0.64403776353018505</v>
      </c>
      <c r="CY127" s="75">
        <f t="shared" si="278"/>
        <v>850.50892857142856</v>
      </c>
      <c r="CZ127" s="77">
        <f t="shared" si="279"/>
        <v>0.10083082730245226</v>
      </c>
      <c r="DA127" s="77">
        <f t="shared" si="280"/>
        <v>0.28476978917585194</v>
      </c>
      <c r="DB127" s="47">
        <f t="shared" si="281"/>
        <v>42296.196428571428</v>
      </c>
      <c r="DC127" s="69">
        <f t="shared" si="282"/>
        <v>8990.3571428571431</v>
      </c>
      <c r="DD127" s="70">
        <f t="shared" si="283"/>
        <v>128.57142857142858</v>
      </c>
      <c r="DE127" s="70">
        <f t="shared" si="284"/>
        <v>-683.91964285714289</v>
      </c>
      <c r="DF127" s="70">
        <f t="shared" si="285"/>
        <v>8435.0089285714294</v>
      </c>
      <c r="DG127" s="70">
        <f t="shared" si="286"/>
        <v>386.99107142857144</v>
      </c>
      <c r="DH127" s="70">
        <f t="shared" si="287"/>
        <v>421.75</v>
      </c>
      <c r="DI127" s="70">
        <f t="shared" si="288"/>
        <v>1460.1428571428571</v>
      </c>
      <c r="DJ127" s="70">
        <f t="shared" si="289"/>
        <v>556.47321428571433</v>
      </c>
      <c r="DK127" s="70">
        <f t="shared" si="290"/>
        <v>833</v>
      </c>
      <c r="DL127" s="70">
        <f t="shared" si="291"/>
        <v>747.32142857142856</v>
      </c>
      <c r="DM127" s="70">
        <f t="shared" si="292"/>
        <v>776.78571428571433</v>
      </c>
      <c r="DN127" s="70">
        <f t="shared" si="293"/>
        <v>5182.4642857142853</v>
      </c>
      <c r="DO127" s="70">
        <f t="shared" si="294"/>
        <v>250</v>
      </c>
      <c r="DP127" s="70">
        <f t="shared" si="295"/>
        <v>5432.4642857142853</v>
      </c>
      <c r="DQ127" s="70">
        <f t="shared" si="296"/>
        <v>3252.5446428571427</v>
      </c>
      <c r="DR127" s="70">
        <f t="shared" si="297"/>
        <v>2402.0357142857142</v>
      </c>
      <c r="DS127" s="71">
        <f t="shared" si="298"/>
        <v>850.50892857142856</v>
      </c>
      <c r="DT127" s="106">
        <f t="shared" si="299"/>
        <v>1.0658384856481438</v>
      </c>
      <c r="DU127" s="92">
        <f t="shared" si="300"/>
        <v>1.5242595432937343E-2</v>
      </c>
      <c r="DV127" s="92" t="str">
        <f t="shared" si="301"/>
        <v/>
      </c>
      <c r="DW127" s="92">
        <f t="shared" si="302"/>
        <v>1</v>
      </c>
      <c r="DX127" s="92">
        <f t="shared" si="303"/>
        <v>4.5879153739569675E-2</v>
      </c>
      <c r="DY127" s="92">
        <f t="shared" si="304"/>
        <v>4.9999947074321413E-2</v>
      </c>
      <c r="DZ127" s="92">
        <f t="shared" si="305"/>
        <v>0.1731050754667251</v>
      </c>
      <c r="EA127" s="92">
        <f t="shared" si="306"/>
        <v>6.5971858358181937E-2</v>
      </c>
      <c r="EB127" s="92">
        <f t="shared" si="307"/>
        <v>9.8755082188286283E-2</v>
      </c>
      <c r="EC127" s="92">
        <f t="shared" si="308"/>
        <v>8.8597585953948302E-2</v>
      </c>
      <c r="ED127" s="92">
        <f t="shared" si="309"/>
        <v>9.2090680740663122E-2</v>
      </c>
      <c r="EE127" s="92">
        <f t="shared" si="310"/>
        <v>0.61439938352169587</v>
      </c>
      <c r="EF127" s="92">
        <f t="shared" si="311"/>
        <v>2.9638380008489278E-2</v>
      </c>
      <c r="EG127" s="92">
        <f t="shared" si="312"/>
        <v>0.64403776353018505</v>
      </c>
      <c r="EH127" s="92">
        <f t="shared" si="313"/>
        <v>0.38560061647830418</v>
      </c>
      <c r="EI127" s="92">
        <f t="shared" si="314"/>
        <v>0.28476978917585194</v>
      </c>
      <c r="EJ127" s="122">
        <f t="shared" si="315"/>
        <v>0.10083082730245226</v>
      </c>
    </row>
    <row r="128" spans="2:140" ht="12" hidden="1" customHeight="1" outlineLevel="1">
      <c r="B128" s="121">
        <v>45002</v>
      </c>
      <c r="C128" s="117">
        <v>23407</v>
      </c>
      <c r="D128" s="50" t="s">
        <v>768</v>
      </c>
      <c r="E128" s="50" t="s">
        <v>393</v>
      </c>
      <c r="F128" s="50" t="s">
        <v>394</v>
      </c>
      <c r="G128" s="50" t="s">
        <v>154</v>
      </c>
      <c r="H128" s="50" t="s">
        <v>438</v>
      </c>
      <c r="I128" s="50" t="s">
        <v>438</v>
      </c>
      <c r="J128" s="52" t="s">
        <v>175</v>
      </c>
      <c r="K128" s="50" t="s">
        <v>176</v>
      </c>
      <c r="L128" s="49">
        <v>6</v>
      </c>
      <c r="M128" s="50" t="s">
        <v>159</v>
      </c>
      <c r="N128" s="50" t="s">
        <v>160</v>
      </c>
      <c r="O128" s="50" t="s">
        <v>160</v>
      </c>
      <c r="P128" s="50" t="s">
        <v>177</v>
      </c>
      <c r="Q128" s="53">
        <v>0.04</v>
      </c>
      <c r="R128" s="49">
        <v>272</v>
      </c>
      <c r="S128" s="49">
        <v>0</v>
      </c>
      <c r="T128" s="54">
        <f t="shared" si="238"/>
        <v>272</v>
      </c>
      <c r="U128" s="55">
        <v>285424</v>
      </c>
      <c r="V128" s="49">
        <v>17.77</v>
      </c>
      <c r="W128" s="56">
        <f>IFERROR(IF(T128&gt;0,T128/V128,""),"")</f>
        <v>15.306696679797412</v>
      </c>
      <c r="X128" s="49" t="s">
        <v>163</v>
      </c>
      <c r="Y128" s="57" t="s">
        <v>162</v>
      </c>
      <c r="Z128" s="58">
        <v>34000000</v>
      </c>
      <c r="AA128" s="114">
        <v>7.3999999999999996E-2</v>
      </c>
      <c r="AB128" s="59">
        <v>15</v>
      </c>
      <c r="AC128" s="60">
        <v>40</v>
      </c>
      <c r="AD128" s="61">
        <v>5.6000000000000001E-2</v>
      </c>
      <c r="AE128" s="62">
        <v>31557288</v>
      </c>
      <c r="AF128" s="63">
        <v>1.1599999999999999</v>
      </c>
      <c r="AG128" s="59"/>
      <c r="AH128" s="60"/>
      <c r="AI128" s="61"/>
      <c r="AJ128" s="64"/>
      <c r="AK128" s="65">
        <f>IFERROR(IF(AE128&gt;0,AJ128+AE128,""),"")</f>
        <v>31557288</v>
      </c>
      <c r="AL128" s="62">
        <v>2266687</v>
      </c>
      <c r="AM128" s="49" t="s">
        <v>163</v>
      </c>
      <c r="AN128" s="67">
        <v>0.89700000000000002</v>
      </c>
      <c r="AO128" s="62">
        <v>29331354</v>
      </c>
      <c r="AP128" s="62">
        <v>0</v>
      </c>
      <c r="AQ128" s="68">
        <v>8009507</v>
      </c>
      <c r="AR128" s="69">
        <f>IFERROR(IF(AK128&gt;0,AK128/T128,""),"")</f>
        <v>116019.44117647059</v>
      </c>
      <c r="AS128" s="70" t="str">
        <f>IFERROR(IF(#REF!&gt;0,#REF!/T128,""),"")</f>
        <v/>
      </c>
      <c r="AT128" s="70">
        <f>IFERROR(IF(AO128&gt;0,AO128/T128,""),"")</f>
        <v>107835.86029411765</v>
      </c>
      <c r="AU128" s="70">
        <f t="shared" si="263"/>
        <v>8333.4080882352937</v>
      </c>
      <c r="AV128" s="71">
        <f>IFERROR(IF(AQ128&gt;0,AQ128/T128,""),"")</f>
        <v>29446.716911764706</v>
      </c>
      <c r="AW128" s="115">
        <f>IFERROR(IF(SUM(BB128:BC128)&gt;0,SUM(BB128:BC128)/T128,""),"")</f>
        <v>139022.3161764706</v>
      </c>
      <c r="AX128" s="116">
        <f>IFERROR(IF(SUM(BB128:BC128)&gt;0,SUM(BB128:BC128)/U128,""),"")</f>
        <v>132.48384859016761</v>
      </c>
      <c r="AY128" s="72">
        <f>IFERROR(IF(SUM(BL128:BO128)&gt;0,SUM(BL128:BO128),""),"")</f>
        <v>165436.55882352943</v>
      </c>
      <c r="AZ128" s="73">
        <f>IFERROR(IF(SUM(BV128:BY128)&gt;0,SUM(BV128:BY128),""),"")</f>
        <v>157.65578227479119</v>
      </c>
      <c r="BA128" s="66">
        <v>4500000</v>
      </c>
      <c r="BB128" s="62">
        <v>6439669</v>
      </c>
      <c r="BC128" s="62">
        <v>31374401</v>
      </c>
      <c r="BD128" s="62">
        <v>1890704</v>
      </c>
      <c r="BE128" s="62">
        <v>5293970</v>
      </c>
      <c r="BF128" s="62">
        <v>3684238</v>
      </c>
      <c r="BG128" s="62">
        <v>9059744</v>
      </c>
      <c r="BH128" s="62">
        <v>8205000</v>
      </c>
      <c r="BI128" s="62">
        <v>717111</v>
      </c>
      <c r="BJ128" s="47">
        <f>IFERROR(IF(SUM(BA128:BI128)&gt;0,SUM(BA128:BI128),""),"")</f>
        <v>71164837</v>
      </c>
      <c r="BK128" s="69">
        <f t="shared" si="322"/>
        <v>16544.117647058825</v>
      </c>
      <c r="BL128" s="70">
        <f t="shared" si="322"/>
        <v>23675.253676470587</v>
      </c>
      <c r="BM128" s="70">
        <f t="shared" si="322"/>
        <v>115347.0625</v>
      </c>
      <c r="BN128" s="70">
        <f t="shared" si="322"/>
        <v>6951.1176470588234</v>
      </c>
      <c r="BO128" s="70">
        <f t="shared" si="322"/>
        <v>19463.125</v>
      </c>
      <c r="BP128" s="70">
        <f t="shared" si="324"/>
        <v>13544.992647058823</v>
      </c>
      <c r="BQ128" s="70">
        <f>IFERROR(IF(BG128&gt;0,BG128/$T128,""),"")</f>
        <v>33307.882352941175</v>
      </c>
      <c r="BR128" s="70">
        <f t="shared" si="316"/>
        <v>30165.441176470587</v>
      </c>
      <c r="BS128" s="70">
        <f t="shared" si="317"/>
        <v>2636.4375</v>
      </c>
      <c r="BT128" s="71">
        <f t="shared" si="318"/>
        <v>261635.43014705883</v>
      </c>
      <c r="BU128" s="65">
        <f t="shared" si="323"/>
        <v>15.76601827456696</v>
      </c>
      <c r="BV128" s="48">
        <f t="shared" si="323"/>
        <v>22.561764252480522</v>
      </c>
      <c r="BW128" s="48">
        <f t="shared" si="323"/>
        <v>109.9220843376871</v>
      </c>
      <c r="BX128" s="48">
        <f t="shared" si="323"/>
        <v>6.624194181288189</v>
      </c>
      <c r="BY128" s="48">
        <f t="shared" si="323"/>
        <v>18.547739503335389</v>
      </c>
      <c r="BZ128" s="48">
        <f t="shared" si="325"/>
        <v>12.907947474634229</v>
      </c>
      <c r="CA128" s="48">
        <f>IFERROR(IF(BG128&gt;0,BG128/$U128,""),"")</f>
        <v>31.741353214866304</v>
      </c>
      <c r="CB128" s="48">
        <f t="shared" si="319"/>
        <v>28.746706653960423</v>
      </c>
      <c r="CC128" s="48">
        <f t="shared" si="320"/>
        <v>2.5124411401984417</v>
      </c>
      <c r="CD128" s="47">
        <f t="shared" si="321"/>
        <v>249.33024903301754</v>
      </c>
      <c r="CE128" s="66">
        <v>3405984</v>
      </c>
      <c r="CF128" s="62">
        <v>97920</v>
      </c>
      <c r="CG128" s="74">
        <v>-262793</v>
      </c>
      <c r="CH128" s="75">
        <f>IFERROR(IF(SUM(CE128:CG128)&gt;0,SUM(CE128:CG128),""),"")</f>
        <v>3241111</v>
      </c>
      <c r="CI128" s="62">
        <f>60000+2000+10880</f>
        <v>72880</v>
      </c>
      <c r="CJ128" s="62">
        <v>113439</v>
      </c>
      <c r="CK128" s="62">
        <v>280268</v>
      </c>
      <c r="CL128" s="62">
        <f>163400+7500</f>
        <v>170900</v>
      </c>
      <c r="CM128" s="62">
        <f>27200+45152</f>
        <v>72352</v>
      </c>
      <c r="CN128" s="62">
        <v>127568</v>
      </c>
      <c r="CO128" s="62">
        <v>0</v>
      </c>
      <c r="CP128" s="75">
        <f t="shared" si="239"/>
        <v>837407</v>
      </c>
      <c r="CQ128" s="62">
        <v>68000</v>
      </c>
      <c r="CR128" s="75">
        <f t="shared" si="240"/>
        <v>905407</v>
      </c>
      <c r="CS128" s="75">
        <f>IFERROR(IF(CH128-CR128&gt;0,CH128-CP128,""),"")</f>
        <v>2403704</v>
      </c>
      <c r="CT128" s="62">
        <f>5000+2012989</f>
        <v>2017989</v>
      </c>
      <c r="CU128" s="47">
        <f>IFERROR(IF(CS128-CT128&gt;0,CS128-CT128,""),"")</f>
        <v>385715</v>
      </c>
      <c r="CV128" s="76">
        <f>IFERROR(IF(CU128&gt;0,CS128/CH128,""),"")</f>
        <v>0.74162964489645677</v>
      </c>
      <c r="CW128" s="75">
        <f>IFERROR(IF(CU128&gt;0,CR128/T128,""),"")</f>
        <v>3328.7022058823532</v>
      </c>
      <c r="CX128" s="77">
        <f>IFERROR(IF(CU128&gt;0,CR128/CH128,""),"")</f>
        <v>0.27935081519886235</v>
      </c>
      <c r="CY128" s="75">
        <f>IFERROR(IF(CU128&gt;0,CU128/T128,""),"")</f>
        <v>1418.0698529411766</v>
      </c>
      <c r="CZ128" s="77">
        <f>IFERROR(IF(CU128&gt;0,CU128/CH128,""),"")</f>
        <v>0.11900703184802988</v>
      </c>
      <c r="DA128" s="77">
        <f>IFERROR(IF(CT128&gt;0,CT128/CH128,""),"")</f>
        <v>0.62262261304842692</v>
      </c>
      <c r="DB128" s="47">
        <f>IFERROR(IF(AR128&gt;0,AR128,""),"")</f>
        <v>116019.44117647059</v>
      </c>
      <c r="DC128" s="69">
        <f t="shared" ref="DC128:DL132" si="326">IFERROR(IF(ABS(CE128)&gt;0,CE128/$T128,""),"")</f>
        <v>12522</v>
      </c>
      <c r="DD128" s="70">
        <f t="shared" si="326"/>
        <v>360</v>
      </c>
      <c r="DE128" s="70">
        <f t="shared" si="326"/>
        <v>-966.15073529411768</v>
      </c>
      <c r="DF128" s="70">
        <f t="shared" si="326"/>
        <v>11915.849264705883</v>
      </c>
      <c r="DG128" s="70">
        <f t="shared" si="326"/>
        <v>267.94117647058823</v>
      </c>
      <c r="DH128" s="70">
        <f t="shared" si="326"/>
        <v>417.05514705882354</v>
      </c>
      <c r="DI128" s="70">
        <f t="shared" si="326"/>
        <v>1030.3970588235295</v>
      </c>
      <c r="DJ128" s="70">
        <f t="shared" si="326"/>
        <v>628.30882352941171</v>
      </c>
      <c r="DK128" s="70">
        <f t="shared" si="326"/>
        <v>266</v>
      </c>
      <c r="DL128" s="70">
        <f t="shared" si="326"/>
        <v>469</v>
      </c>
      <c r="DM128" s="70" t="str">
        <f t="shared" ref="DM128:DS132" si="327">IFERROR(IF(ABS(CO128)&gt;0,CO128/$T128,""),"")</f>
        <v/>
      </c>
      <c r="DN128" s="70">
        <f t="shared" si="327"/>
        <v>3078.7022058823532</v>
      </c>
      <c r="DO128" s="70">
        <f t="shared" si="327"/>
        <v>250</v>
      </c>
      <c r="DP128" s="70">
        <f t="shared" si="327"/>
        <v>3328.7022058823532</v>
      </c>
      <c r="DQ128" s="70">
        <f t="shared" si="327"/>
        <v>8837.1470588235297</v>
      </c>
      <c r="DR128" s="70">
        <f t="shared" si="327"/>
        <v>7419.0772058823532</v>
      </c>
      <c r="DS128" s="71">
        <f t="shared" si="327"/>
        <v>1418.0698529411766</v>
      </c>
      <c r="DT128" s="106">
        <f t="shared" ref="DT128:EC132" si="328">IFERROR(IF(ABS(CE128&gt;0),CE128/$CH128,""),"")</f>
        <v>1.0508692852543464</v>
      </c>
      <c r="DU128" s="92">
        <f t="shared" si="328"/>
        <v>3.02118625372596E-2</v>
      </c>
      <c r="DV128" s="92" t="str">
        <f t="shared" si="328"/>
        <v/>
      </c>
      <c r="DW128" s="92">
        <f t="shared" si="328"/>
        <v>1</v>
      </c>
      <c r="DX128" s="92">
        <f t="shared" si="328"/>
        <v>2.248611664333619E-2</v>
      </c>
      <c r="DY128" s="92">
        <f t="shared" si="328"/>
        <v>3.5000035481660453E-2</v>
      </c>
      <c r="DZ128" s="92">
        <f t="shared" si="328"/>
        <v>8.6472817499925178E-2</v>
      </c>
      <c r="EA128" s="92">
        <f t="shared" si="328"/>
        <v>5.2728832798383023E-2</v>
      </c>
      <c r="EB128" s="92">
        <f t="shared" si="328"/>
        <v>2.2323209541419593E-2</v>
      </c>
      <c r="EC128" s="92">
        <f t="shared" si="328"/>
        <v>3.935934313881876E-2</v>
      </c>
      <c r="ED128" s="92" t="str">
        <f t="shared" ref="ED128:EJ132" si="329">IFERROR(IF(ABS(CO128&gt;0),CO128/$CH128,""),"")</f>
        <v/>
      </c>
      <c r="EE128" s="92">
        <f t="shared" si="329"/>
        <v>0.25837035510354323</v>
      </c>
      <c r="EF128" s="92">
        <f t="shared" si="329"/>
        <v>2.0980460095319165E-2</v>
      </c>
      <c r="EG128" s="92">
        <f t="shared" si="329"/>
        <v>0.27935081519886235</v>
      </c>
      <c r="EH128" s="92">
        <f t="shared" si="329"/>
        <v>0.74162964489645677</v>
      </c>
      <c r="EI128" s="92">
        <f t="shared" si="329"/>
        <v>0.62262261304842692</v>
      </c>
      <c r="EJ128" s="122">
        <f t="shared" si="329"/>
        <v>0.11900703184802988</v>
      </c>
    </row>
    <row r="129" spans="2:140" ht="12" hidden="1" customHeight="1" outlineLevel="1">
      <c r="B129" s="121">
        <v>45007</v>
      </c>
      <c r="C129" s="117">
        <v>22489</v>
      </c>
      <c r="D129" s="50" t="s">
        <v>769</v>
      </c>
      <c r="E129" s="50" t="s">
        <v>770</v>
      </c>
      <c r="F129" s="50" t="s">
        <v>202</v>
      </c>
      <c r="G129" s="50" t="s">
        <v>162</v>
      </c>
      <c r="H129" s="50" t="s">
        <v>259</v>
      </c>
      <c r="I129" s="50" t="s">
        <v>259</v>
      </c>
      <c r="J129" s="52" t="s">
        <v>360</v>
      </c>
      <c r="K129" s="50" t="s">
        <v>294</v>
      </c>
      <c r="L129" s="49">
        <v>7</v>
      </c>
      <c r="M129" s="50" t="s">
        <v>159</v>
      </c>
      <c r="N129" s="50" t="s">
        <v>160</v>
      </c>
      <c r="O129" s="50" t="s">
        <v>160</v>
      </c>
      <c r="P129" s="50" t="s">
        <v>161</v>
      </c>
      <c r="Q129" s="53">
        <v>0.04</v>
      </c>
      <c r="R129" s="49">
        <v>240</v>
      </c>
      <c r="S129" s="49">
        <v>0</v>
      </c>
      <c r="T129" s="54">
        <f t="shared" si="238"/>
        <v>240</v>
      </c>
      <c r="U129" s="55">
        <v>238350</v>
      </c>
      <c r="V129" s="49">
        <v>10.119999999999999</v>
      </c>
      <c r="W129" s="56">
        <f>IFERROR(IF(T129&gt;0,T129/V129,""),"")</f>
        <v>23.715415019762847</v>
      </c>
      <c r="X129" s="49">
        <v>2003</v>
      </c>
      <c r="Y129" s="57" t="s">
        <v>162</v>
      </c>
      <c r="Z129" s="58">
        <v>50931284</v>
      </c>
      <c r="AA129" s="114">
        <f>(((34000000*0.0523)/(Z129))+((16931284*0.035)/(Z129)))</f>
        <v>4.6548893996075182E-2</v>
      </c>
      <c r="AB129" s="59">
        <v>15</v>
      </c>
      <c r="AC129" s="60">
        <v>35</v>
      </c>
      <c r="AD129" s="61">
        <v>5.2299999999999999E-2</v>
      </c>
      <c r="AE129" s="62">
        <v>34000000</v>
      </c>
      <c r="AF129" s="63">
        <v>1.1499999999999999</v>
      </c>
      <c r="AG129" s="59"/>
      <c r="AH129" s="60"/>
      <c r="AI129" s="61"/>
      <c r="AJ129" s="64"/>
      <c r="AK129" s="65">
        <f>IFERROR(IF(AE129&gt;0,AJ129+AE129,""),"")</f>
        <v>34000000</v>
      </c>
      <c r="AL129" s="62">
        <v>0</v>
      </c>
      <c r="AM129" s="49" t="s">
        <v>163</v>
      </c>
      <c r="AN129" s="67">
        <v>0.91</v>
      </c>
      <c r="AO129" s="62">
        <v>21869836</v>
      </c>
      <c r="AP129" s="62">
        <v>0</v>
      </c>
      <c r="AQ129" s="68">
        <v>6460242</v>
      </c>
      <c r="AR129" s="69">
        <f>IFERROR(IF(AK129&gt;0,AK129/T129,""),"")</f>
        <v>141666.66666666666</v>
      </c>
      <c r="AS129" s="70" t="str">
        <f>IFERROR(IF(#REF!&gt;0,#REF!/T129,""),"")</f>
        <v/>
      </c>
      <c r="AT129" s="70">
        <f>IFERROR(IF(AO129&gt;0,AO129/T129,""),"")</f>
        <v>91124.316666666666</v>
      </c>
      <c r="AU129" s="70" t="str">
        <f t="shared" si="263"/>
        <v/>
      </c>
      <c r="AV129" s="71">
        <f>IFERROR(IF(AQ129&gt;0,AQ129/T129,""),"")</f>
        <v>26917.674999999999</v>
      </c>
      <c r="AW129" s="115">
        <f>IFERROR(IF(SUM(BB129:BC129)&gt;0,SUM(BB129:BC129)/T129,""),"")</f>
        <v>35572.666666666664</v>
      </c>
      <c r="AX129" s="116">
        <f>IFERROR(IF(SUM(BB129:BC129)&gt;0,SUM(BB129:BC129)/U129,""),"")</f>
        <v>35.818921753723515</v>
      </c>
      <c r="AY129" s="72">
        <f>IFERROR(IF(SUM(BL129:BO129)&gt;0,SUM(BL129:BO129),""),"")</f>
        <v>44608.125000000007</v>
      </c>
      <c r="AZ129" s="73">
        <f>IFERROR(IF(SUM(BV129:BY129)&gt;0,SUM(BV129:BY129),""),"")</f>
        <v>44.916928886091881</v>
      </c>
      <c r="BA129" s="66">
        <v>37455000</v>
      </c>
      <c r="BB129" s="62">
        <v>374120</v>
      </c>
      <c r="BC129" s="62">
        <v>8163320</v>
      </c>
      <c r="BD129" s="62">
        <v>853744</v>
      </c>
      <c r="BE129" s="62">
        <v>1314766</v>
      </c>
      <c r="BF129" s="62">
        <v>2152127</v>
      </c>
      <c r="BG129" s="62">
        <v>3439436</v>
      </c>
      <c r="BH129" s="62">
        <v>7152367</v>
      </c>
      <c r="BI129" s="62">
        <v>1238197</v>
      </c>
      <c r="BJ129" s="47">
        <f>IFERROR(IF(SUM(BA129:BI129)&gt;0,SUM(BA129:BI129),""),"")</f>
        <v>62143077</v>
      </c>
      <c r="BK129" s="69">
        <f t="shared" si="322"/>
        <v>156062.5</v>
      </c>
      <c r="BL129" s="70">
        <f t="shared" si="322"/>
        <v>1558.8333333333333</v>
      </c>
      <c r="BM129" s="70">
        <f t="shared" si="322"/>
        <v>34013.833333333336</v>
      </c>
      <c r="BN129" s="70">
        <f t="shared" si="322"/>
        <v>3557.2666666666669</v>
      </c>
      <c r="BO129" s="70">
        <f t="shared" si="322"/>
        <v>5478.1916666666666</v>
      </c>
      <c r="BP129" s="70">
        <f t="shared" si="324"/>
        <v>8967.1958333333332</v>
      </c>
      <c r="BQ129" s="70">
        <f>IFERROR(IF(BG129&gt;0,BG129/$T129,""),"")</f>
        <v>14330.983333333334</v>
      </c>
      <c r="BR129" s="70">
        <f t="shared" si="316"/>
        <v>29801.529166666667</v>
      </c>
      <c r="BS129" s="70">
        <f t="shared" si="317"/>
        <v>5159.1541666666662</v>
      </c>
      <c r="BT129" s="71">
        <f t="shared" si="318"/>
        <v>258929.48749999999</v>
      </c>
      <c r="BU129" s="65">
        <f t="shared" si="323"/>
        <v>157.14285714285714</v>
      </c>
      <c r="BV129" s="48">
        <f t="shared" si="323"/>
        <v>1.5696245017830921</v>
      </c>
      <c r="BW129" s="48">
        <f t="shared" si="323"/>
        <v>34.249297251940426</v>
      </c>
      <c r="BX129" s="48">
        <f t="shared" si="323"/>
        <v>3.5818921753723516</v>
      </c>
      <c r="BY129" s="48">
        <f t="shared" si="323"/>
        <v>5.516114956996014</v>
      </c>
      <c r="BZ129" s="48">
        <f t="shared" si="325"/>
        <v>9.0292720788756036</v>
      </c>
      <c r="CA129" s="48">
        <f>IFERROR(IF(BG129&gt;0,BG129/$U129,""),"")</f>
        <v>14.430190895741557</v>
      </c>
      <c r="CB129" s="48">
        <f t="shared" si="319"/>
        <v>30.007833018670024</v>
      </c>
      <c r="CC129" s="48">
        <f t="shared" si="320"/>
        <v>5.1948688902873927</v>
      </c>
      <c r="CD129" s="47">
        <f t="shared" si="321"/>
        <v>260.7219509125236</v>
      </c>
      <c r="CE129" s="66">
        <v>4011768</v>
      </c>
      <c r="CF129" s="62">
        <f>11368+24000+51024</f>
        <v>86392</v>
      </c>
      <c r="CG129" s="74">
        <v>-307362</v>
      </c>
      <c r="CH129" s="75">
        <f>IFERROR(IF(SUM(CE129:CG129)&gt;0,SUM(CE129:CG129),""),"")</f>
        <v>3790798</v>
      </c>
      <c r="CI129" s="62">
        <f>96000+9600</f>
        <v>105600</v>
      </c>
      <c r="CJ129" s="62">
        <v>114500</v>
      </c>
      <c r="CK129" s="62">
        <v>320000</v>
      </c>
      <c r="CL129" s="62">
        <v>160000</v>
      </c>
      <c r="CM129" s="62">
        <f>87000+113000</f>
        <v>200000</v>
      </c>
      <c r="CN129" s="62">
        <v>152400</v>
      </c>
      <c r="CO129" s="62">
        <v>179298</v>
      </c>
      <c r="CP129" s="75">
        <f t="shared" si="239"/>
        <v>1231798</v>
      </c>
      <c r="CQ129" s="62">
        <v>72000</v>
      </c>
      <c r="CR129" s="75">
        <f t="shared" si="240"/>
        <v>1303798</v>
      </c>
      <c r="CS129" s="75">
        <f>IFERROR(IF(CH129-CR129&gt;0,CH129-CP129,""),"")</f>
        <v>2559000</v>
      </c>
      <c r="CT129" s="62">
        <f>3500+56800+(2119358-11656)</f>
        <v>2168002</v>
      </c>
      <c r="CU129" s="47">
        <f>IFERROR(IF(CS129-CT129&gt;0,CS129-CT129,""),"")</f>
        <v>390998</v>
      </c>
      <c r="CV129" s="76">
        <f>IFERROR(IF(CU129&gt;0,CS129/CH129,""),"")</f>
        <v>0.67505575343239077</v>
      </c>
      <c r="CW129" s="75">
        <f>IFERROR(IF(CU129&gt;0,CR129/T129,""),"")</f>
        <v>5432.4916666666668</v>
      </c>
      <c r="CX129" s="77">
        <f>IFERROR(IF(CU129&gt;0,CR129/CH129,""),"")</f>
        <v>0.3439376089150622</v>
      </c>
      <c r="CY129" s="75">
        <f>IFERROR(IF(CU129&gt;0,CU129/T129,""),"")</f>
        <v>1629.1583333333333</v>
      </c>
      <c r="CZ129" s="77">
        <f>IFERROR(IF(CU129&gt;0,CU129/CH129,""),"")</f>
        <v>0.10314398182124186</v>
      </c>
      <c r="DA129" s="77">
        <f>IFERROR(IF(CT129&gt;0,CT129/CH129,""),"")</f>
        <v>0.57191177161114892</v>
      </c>
      <c r="DB129" s="47">
        <f>IFERROR(IF(AR129&gt;0,AR129,""),"")</f>
        <v>141666.66666666666</v>
      </c>
      <c r="DC129" s="69">
        <f t="shared" si="326"/>
        <v>16715.7</v>
      </c>
      <c r="DD129" s="70">
        <f t="shared" si="326"/>
        <v>359.96666666666664</v>
      </c>
      <c r="DE129" s="70">
        <f t="shared" si="326"/>
        <v>-1280.675</v>
      </c>
      <c r="DF129" s="70">
        <f t="shared" si="326"/>
        <v>15794.991666666667</v>
      </c>
      <c r="DG129" s="70">
        <f t="shared" si="326"/>
        <v>440</v>
      </c>
      <c r="DH129" s="70">
        <f t="shared" si="326"/>
        <v>477.08333333333331</v>
      </c>
      <c r="DI129" s="70">
        <f t="shared" si="326"/>
        <v>1333.3333333333333</v>
      </c>
      <c r="DJ129" s="70">
        <f t="shared" si="326"/>
        <v>666.66666666666663</v>
      </c>
      <c r="DK129" s="70">
        <f t="shared" si="326"/>
        <v>833.33333333333337</v>
      </c>
      <c r="DL129" s="70">
        <f t="shared" si="326"/>
        <v>635</v>
      </c>
      <c r="DM129" s="70">
        <f t="shared" si="327"/>
        <v>747.07500000000005</v>
      </c>
      <c r="DN129" s="70">
        <f t="shared" si="327"/>
        <v>5132.4916666666668</v>
      </c>
      <c r="DO129" s="70">
        <f t="shared" si="327"/>
        <v>300</v>
      </c>
      <c r="DP129" s="70">
        <f t="shared" si="327"/>
        <v>5432.4916666666668</v>
      </c>
      <c r="DQ129" s="70">
        <f t="shared" si="327"/>
        <v>10662.5</v>
      </c>
      <c r="DR129" s="70">
        <f t="shared" si="327"/>
        <v>9033.3416666666672</v>
      </c>
      <c r="DS129" s="71">
        <f t="shared" si="327"/>
        <v>1629.1583333333333</v>
      </c>
      <c r="DT129" s="106">
        <f t="shared" si="328"/>
        <v>1.0582911566377318</v>
      </c>
      <c r="DU129" s="92">
        <f t="shared" si="328"/>
        <v>2.2789924443349395E-2</v>
      </c>
      <c r="DV129" s="92" t="str">
        <f t="shared" si="328"/>
        <v/>
      </c>
      <c r="DW129" s="92">
        <f t="shared" si="328"/>
        <v>1</v>
      </c>
      <c r="DX129" s="92">
        <f t="shared" si="328"/>
        <v>2.7856931442931013E-2</v>
      </c>
      <c r="DY129" s="92">
        <f t="shared" si="328"/>
        <v>3.0204722066435617E-2</v>
      </c>
      <c r="DZ129" s="92">
        <f t="shared" si="328"/>
        <v>8.4414943766457612E-2</v>
      </c>
      <c r="EA129" s="92">
        <f t="shared" si="328"/>
        <v>4.2207471883228806E-2</v>
      </c>
      <c r="EB129" s="92">
        <f t="shared" si="328"/>
        <v>5.2759339854036011E-2</v>
      </c>
      <c r="EC129" s="92">
        <f t="shared" si="328"/>
        <v>4.0202616968775438E-2</v>
      </c>
      <c r="ED129" s="92">
        <f t="shared" si="329"/>
        <v>4.7298220585744746E-2</v>
      </c>
      <c r="EE129" s="92">
        <f t="shared" si="329"/>
        <v>0.32494424656760923</v>
      </c>
      <c r="EF129" s="92">
        <f t="shared" si="329"/>
        <v>1.8993362347452965E-2</v>
      </c>
      <c r="EG129" s="92">
        <f t="shared" si="329"/>
        <v>0.3439376089150622</v>
      </c>
      <c r="EH129" s="92">
        <f t="shared" si="329"/>
        <v>0.67505575343239077</v>
      </c>
      <c r="EI129" s="92">
        <f t="shared" si="329"/>
        <v>0.57191177161114892</v>
      </c>
      <c r="EJ129" s="122">
        <f t="shared" si="329"/>
        <v>0.10314398182124186</v>
      </c>
    </row>
    <row r="130" spans="2:140" ht="12" hidden="1" customHeight="1" outlineLevel="1">
      <c r="B130" s="121">
        <v>45015</v>
      </c>
      <c r="C130" s="117">
        <v>23404</v>
      </c>
      <c r="D130" s="50" t="s">
        <v>771</v>
      </c>
      <c r="E130" s="50" t="s">
        <v>211</v>
      </c>
      <c r="F130" s="50" t="s">
        <v>772</v>
      </c>
      <c r="G130" s="50" t="s">
        <v>154</v>
      </c>
      <c r="H130" s="50" t="s">
        <v>433</v>
      </c>
      <c r="I130" s="50" t="s">
        <v>709</v>
      </c>
      <c r="J130" s="52" t="s">
        <v>773</v>
      </c>
      <c r="K130" s="50" t="s">
        <v>774</v>
      </c>
      <c r="L130" s="49">
        <v>6</v>
      </c>
      <c r="M130" s="50" t="s">
        <v>159</v>
      </c>
      <c r="N130" s="50" t="s">
        <v>244</v>
      </c>
      <c r="O130" s="50" t="s">
        <v>160</v>
      </c>
      <c r="P130" s="50" t="s">
        <v>177</v>
      </c>
      <c r="Q130" s="53">
        <v>0.04</v>
      </c>
      <c r="R130" s="49">
        <v>228</v>
      </c>
      <c r="S130" s="49">
        <v>0</v>
      </c>
      <c r="T130" s="54">
        <f t="shared" si="238"/>
        <v>228</v>
      </c>
      <c r="U130" s="55">
        <v>207224</v>
      </c>
      <c r="V130" s="49">
        <v>10.09</v>
      </c>
      <c r="W130" s="56">
        <f>IFERROR(IF(T130&gt;0,T130/V130,""),"")</f>
        <v>22.596630327056491</v>
      </c>
      <c r="X130" s="49" t="s">
        <v>163</v>
      </c>
      <c r="Y130" s="57" t="s">
        <v>162</v>
      </c>
      <c r="Z130" s="58">
        <v>45000000</v>
      </c>
      <c r="AA130" s="114">
        <f>(((35000000*0.0425)/(Z130))+((10000000*0.059)/(Z130)))</f>
        <v>4.6166666666666661E-2</v>
      </c>
      <c r="AB130" s="59">
        <v>16</v>
      </c>
      <c r="AC130" s="60">
        <v>40</v>
      </c>
      <c r="AD130" s="61">
        <v>5.8000000000000003E-2</v>
      </c>
      <c r="AE130" s="62">
        <v>23380983</v>
      </c>
      <c r="AF130" s="63">
        <v>1.1499999999999999</v>
      </c>
      <c r="AG130" s="59"/>
      <c r="AH130" s="60"/>
      <c r="AI130" s="61"/>
      <c r="AJ130" s="64"/>
      <c r="AK130" s="65">
        <f>IFERROR(IF(AE130&gt;0,AJ130+AE130,""),"")</f>
        <v>23380983</v>
      </c>
      <c r="AL130" s="62">
        <v>1302587</v>
      </c>
      <c r="AM130" s="49" t="s">
        <v>163</v>
      </c>
      <c r="AN130" s="67">
        <v>0.89</v>
      </c>
      <c r="AO130" s="62">
        <v>22657695</v>
      </c>
      <c r="AP130" s="62">
        <v>0</v>
      </c>
      <c r="AQ130" s="68">
        <v>5625236</v>
      </c>
      <c r="AR130" s="69">
        <f>IFERROR(IF(AK130&gt;0,AK130/T130,""),"")</f>
        <v>102548.17105263157</v>
      </c>
      <c r="AS130" s="70" t="str">
        <f>IFERROR(IF(#REF!&gt;0,#REF!/T130,""),"")</f>
        <v/>
      </c>
      <c r="AT130" s="70">
        <f>IFERROR(IF(AO130&gt;0,AO130/T130,""),"")</f>
        <v>99375.855263157893</v>
      </c>
      <c r="AU130" s="70">
        <f t="shared" si="263"/>
        <v>5713.1008771929828</v>
      </c>
      <c r="AV130" s="71">
        <f>IFERROR(IF(AQ130&gt;0,AQ130/T130,""),"")</f>
        <v>24672.087719298244</v>
      </c>
      <c r="AW130" s="115">
        <f>IFERROR(IF(SUM(BB130:BC130)&gt;0,SUM(BB130:BC130)/T130,""),"")</f>
        <v>128325.7149122807</v>
      </c>
      <c r="AX130" s="116">
        <f>IFERROR(IF(SUM(BB130:BC130)&gt;0,SUM(BB130:BC130)/U130,""),"")</f>
        <v>141.19147878624096</v>
      </c>
      <c r="AY130" s="72">
        <f>IFERROR(IF(SUM(BL130:BO130)&gt;0,SUM(BL130:BO130),""),"")</f>
        <v>152707.60087719298</v>
      </c>
      <c r="AZ130" s="73">
        <f>IFERROR(IF(SUM(BV130:BY130)&gt;0,SUM(BV130:BY130),""),"")</f>
        <v>168.01785990039764</v>
      </c>
      <c r="BA130" s="66">
        <v>613000</v>
      </c>
      <c r="BB130" s="62">
        <v>4376824</v>
      </c>
      <c r="BC130" s="62">
        <v>24881439</v>
      </c>
      <c r="BD130" s="62">
        <v>1462913</v>
      </c>
      <c r="BE130" s="62">
        <v>4096157</v>
      </c>
      <c r="BF130" s="62">
        <v>2650575</v>
      </c>
      <c r="BG130" s="62">
        <v>7917959</v>
      </c>
      <c r="BH130" s="62">
        <v>6395000</v>
      </c>
      <c r="BI130" s="62">
        <v>572634</v>
      </c>
      <c r="BJ130" s="47">
        <f>IFERROR(IF(SUM(BA130:BI130)&gt;0,SUM(BA130:BI130),""),"")</f>
        <v>52966501</v>
      </c>
      <c r="BK130" s="69">
        <f t="shared" si="322"/>
        <v>2688.5964912280701</v>
      </c>
      <c r="BL130" s="70">
        <f t="shared" si="322"/>
        <v>19196.596491228069</v>
      </c>
      <c r="BM130" s="70">
        <f t="shared" si="322"/>
        <v>109129.11842105263</v>
      </c>
      <c r="BN130" s="70">
        <f t="shared" si="322"/>
        <v>6416.2850877192986</v>
      </c>
      <c r="BO130" s="70">
        <f t="shared" si="322"/>
        <v>17965.600877192981</v>
      </c>
      <c r="BP130" s="70">
        <f t="shared" si="324"/>
        <v>11625.328947368422</v>
      </c>
      <c r="BQ130" s="70">
        <f>IFERROR(IF(BG130&gt;0,BG130/$T130,""),"")</f>
        <v>34727.890350877191</v>
      </c>
      <c r="BR130" s="70">
        <f t="shared" si="316"/>
        <v>28048.245614035088</v>
      </c>
      <c r="BS130" s="70">
        <f t="shared" si="317"/>
        <v>2511.5526315789475</v>
      </c>
      <c r="BT130" s="71">
        <f t="shared" si="318"/>
        <v>232309.2149122807</v>
      </c>
      <c r="BU130" s="65">
        <f t="shared" si="323"/>
        <v>2.9581515654557387</v>
      </c>
      <c r="BV130" s="48">
        <f t="shared" si="323"/>
        <v>21.121221480137436</v>
      </c>
      <c r="BW130" s="48">
        <f t="shared" si="323"/>
        <v>120.07025730610354</v>
      </c>
      <c r="BX130" s="48">
        <f t="shared" si="323"/>
        <v>7.0595732154576689</v>
      </c>
      <c r="BY130" s="48">
        <f t="shared" si="323"/>
        <v>19.766807898698993</v>
      </c>
      <c r="BZ130" s="48">
        <f t="shared" si="325"/>
        <v>12.790868818283597</v>
      </c>
      <c r="CA130" s="48">
        <f>IFERROR(IF(BG130&gt;0,BG130/$U130,""),"")</f>
        <v>38.209662008261589</v>
      </c>
      <c r="CB130" s="48">
        <f t="shared" si="319"/>
        <v>30.860325058873489</v>
      </c>
      <c r="CC130" s="48">
        <f t="shared" si="320"/>
        <v>2.7633575261552714</v>
      </c>
      <c r="CD130" s="47">
        <f t="shared" si="321"/>
        <v>255.60022487742734</v>
      </c>
      <c r="CE130" s="66">
        <v>2706144</v>
      </c>
      <c r="CF130" s="62">
        <f>14491+50012+17565</f>
        <v>82068</v>
      </c>
      <c r="CG130" s="74">
        <v>-209116</v>
      </c>
      <c r="CH130" s="75">
        <f>IFERROR(IF(SUM(CE130:CG130)&gt;0,SUM(CE130:CG130),""),"")</f>
        <v>2579096</v>
      </c>
      <c r="CI130" s="62">
        <f>52300+5000+9120</f>
        <v>66420</v>
      </c>
      <c r="CJ130" s="62">
        <v>90268</v>
      </c>
      <c r="CK130" s="62">
        <v>231074</v>
      </c>
      <c r="CL130" s="62">
        <f>10400+128700</f>
        <v>139100</v>
      </c>
      <c r="CM130" s="62">
        <f>39900+46048</f>
        <v>85948</v>
      </c>
      <c r="CN130" s="62">
        <v>133380</v>
      </c>
      <c r="CO130" s="62">
        <v>0</v>
      </c>
      <c r="CP130" s="75">
        <f t="shared" si="239"/>
        <v>746190</v>
      </c>
      <c r="CQ130" s="62">
        <v>57000</v>
      </c>
      <c r="CR130" s="75">
        <f t="shared" si="240"/>
        <v>803190</v>
      </c>
      <c r="CS130" s="75">
        <f>IFERROR(IF(CH130-CR130&gt;0,CH130-CP130,""),"")</f>
        <v>1832906</v>
      </c>
      <c r="CT130" s="62">
        <f>5000+1539809</f>
        <v>1544809</v>
      </c>
      <c r="CU130" s="47">
        <f>IFERROR(IF(CS130-CT130&gt;0,CS130-CT130,""),"")</f>
        <v>288097</v>
      </c>
      <c r="CV130" s="76">
        <f>IFERROR(IF(CU130&gt;0,CS130/CH130,""),"")</f>
        <v>0.7106776948202006</v>
      </c>
      <c r="CW130" s="75">
        <f>IFERROR(IF(CU130&gt;0,CR130/T130,""),"")</f>
        <v>3522.7631578947367</v>
      </c>
      <c r="CX130" s="77">
        <f>IFERROR(IF(CU130&gt;0,CR130/CH130,""),"")</f>
        <v>0.31142307227028387</v>
      </c>
      <c r="CY130" s="75">
        <f>IFERROR(IF(CU130&gt;0,CU130/T130,""),"")</f>
        <v>1263.5833333333333</v>
      </c>
      <c r="CZ130" s="77">
        <f>IFERROR(IF(CU130&gt;0,CU130/CH130,""),"")</f>
        <v>0.11170464379767174</v>
      </c>
      <c r="DA130" s="77">
        <f>IFERROR(IF(CT130&gt;0,CT130/CH130,""),"")</f>
        <v>0.59897305102252885</v>
      </c>
      <c r="DB130" s="47">
        <f>IFERROR(IF(AR130&gt;0,AR130,""),"")</f>
        <v>102548.17105263157</v>
      </c>
      <c r="DC130" s="69">
        <f t="shared" si="326"/>
        <v>11869.052631578947</v>
      </c>
      <c r="DD130" s="70">
        <f t="shared" si="326"/>
        <v>359.94736842105266</v>
      </c>
      <c r="DE130" s="70">
        <f t="shared" si="326"/>
        <v>-917.17543859649118</v>
      </c>
      <c r="DF130" s="70">
        <f t="shared" si="326"/>
        <v>11311.82456140351</v>
      </c>
      <c r="DG130" s="70">
        <f t="shared" si="326"/>
        <v>291.31578947368422</v>
      </c>
      <c r="DH130" s="70">
        <f t="shared" si="326"/>
        <v>395.91228070175441</v>
      </c>
      <c r="DI130" s="70">
        <f t="shared" si="326"/>
        <v>1013.4824561403509</v>
      </c>
      <c r="DJ130" s="70">
        <f t="shared" si="326"/>
        <v>610.08771929824559</v>
      </c>
      <c r="DK130" s="70">
        <f t="shared" si="326"/>
        <v>376.96491228070175</v>
      </c>
      <c r="DL130" s="70">
        <f t="shared" si="326"/>
        <v>585</v>
      </c>
      <c r="DM130" s="70" t="str">
        <f t="shared" si="327"/>
        <v/>
      </c>
      <c r="DN130" s="70">
        <f t="shared" si="327"/>
        <v>3272.7631578947367</v>
      </c>
      <c r="DO130" s="70">
        <f t="shared" si="327"/>
        <v>250</v>
      </c>
      <c r="DP130" s="70">
        <f t="shared" si="327"/>
        <v>3522.7631578947367</v>
      </c>
      <c r="DQ130" s="70">
        <f t="shared" si="327"/>
        <v>8039.0614035087719</v>
      </c>
      <c r="DR130" s="70">
        <f t="shared" si="327"/>
        <v>6775.4780701754389</v>
      </c>
      <c r="DS130" s="71">
        <f t="shared" si="327"/>
        <v>1263.5833333333333</v>
      </c>
      <c r="DT130" s="106">
        <f t="shared" si="328"/>
        <v>1.0492606711809098</v>
      </c>
      <c r="DU130" s="92">
        <f t="shared" si="328"/>
        <v>3.1820451817225884E-2</v>
      </c>
      <c r="DV130" s="92" t="str">
        <f t="shared" si="328"/>
        <v/>
      </c>
      <c r="DW130" s="92">
        <f t="shared" si="328"/>
        <v>1</v>
      </c>
      <c r="DX130" s="92">
        <f t="shared" si="328"/>
        <v>2.5753209651753949E-2</v>
      </c>
      <c r="DY130" s="92">
        <f t="shared" si="328"/>
        <v>3.4999860416207847E-2</v>
      </c>
      <c r="DZ130" s="92">
        <f t="shared" si="328"/>
        <v>8.9594958853799936E-2</v>
      </c>
      <c r="EA130" s="92">
        <f t="shared" si="328"/>
        <v>5.3933626355901446E-2</v>
      </c>
      <c r="EB130" s="92">
        <f t="shared" si="328"/>
        <v>3.3324854910402713E-2</v>
      </c>
      <c r="EC130" s="92">
        <f t="shared" si="328"/>
        <v>5.1715794991733538E-2</v>
      </c>
      <c r="ED130" s="92" t="str">
        <f t="shared" si="329"/>
        <v/>
      </c>
      <c r="EE130" s="92">
        <f t="shared" si="329"/>
        <v>0.28932230517979945</v>
      </c>
      <c r="EF130" s="92">
        <f t="shared" si="329"/>
        <v>2.2100767090484419E-2</v>
      </c>
      <c r="EG130" s="92">
        <f t="shared" si="329"/>
        <v>0.31142307227028387</v>
      </c>
      <c r="EH130" s="92">
        <f t="shared" si="329"/>
        <v>0.7106776948202006</v>
      </c>
      <c r="EI130" s="92">
        <f t="shared" si="329"/>
        <v>0.59897305102252885</v>
      </c>
      <c r="EJ130" s="122">
        <f t="shared" si="329"/>
        <v>0.11170464379767174</v>
      </c>
    </row>
    <row r="131" spans="2:140" ht="12" hidden="1" customHeight="1" outlineLevel="1">
      <c r="B131" s="121">
        <v>45019</v>
      </c>
      <c r="C131" s="117">
        <v>22492</v>
      </c>
      <c r="D131" s="50" t="s">
        <v>775</v>
      </c>
      <c r="E131" s="50" t="s">
        <v>458</v>
      </c>
      <c r="F131" s="50" t="s">
        <v>459</v>
      </c>
      <c r="G131" s="50" t="s">
        <v>162</v>
      </c>
      <c r="H131" s="50" t="s">
        <v>672</v>
      </c>
      <c r="I131" s="50" t="s">
        <v>776</v>
      </c>
      <c r="J131" s="52" t="s">
        <v>183</v>
      </c>
      <c r="K131" s="50" t="s">
        <v>184</v>
      </c>
      <c r="L131" s="49">
        <v>9</v>
      </c>
      <c r="M131" s="50" t="s">
        <v>159</v>
      </c>
      <c r="N131" s="50" t="s">
        <v>160</v>
      </c>
      <c r="O131" s="50" t="s">
        <v>160</v>
      </c>
      <c r="P131" s="50" t="s">
        <v>161</v>
      </c>
      <c r="Q131" s="53">
        <v>0.04</v>
      </c>
      <c r="R131" s="49">
        <v>240</v>
      </c>
      <c r="S131" s="49">
        <v>0</v>
      </c>
      <c r="T131" s="54">
        <f t="shared" ref="T131:T194" si="330">IFERROR(IF(SUM(R131:S131)&gt;0,SUM(R131:S131),""),"")</f>
        <v>240</v>
      </c>
      <c r="U131" s="55">
        <v>231192</v>
      </c>
      <c r="V131" s="49">
        <v>10.7</v>
      </c>
      <c r="W131" s="56">
        <f>IFERROR(IF(T131&gt;0,T131/V131,""),"")</f>
        <v>22.429906542056077</v>
      </c>
      <c r="X131" s="49">
        <v>2006</v>
      </c>
      <c r="Y131" s="57" t="s">
        <v>162</v>
      </c>
      <c r="Z131" s="58">
        <v>36981200</v>
      </c>
      <c r="AA131" s="114">
        <f>(((35000000*0.059)/(Z131))+((1981200*0.066)/(Z131)))</f>
        <v>5.9375012168344996E-2</v>
      </c>
      <c r="AB131" s="59">
        <v>45</v>
      </c>
      <c r="AC131" s="60">
        <v>45</v>
      </c>
      <c r="AD131" s="61">
        <v>5.1499999999999997E-2</v>
      </c>
      <c r="AE131" s="62">
        <v>23284000</v>
      </c>
      <c r="AF131" s="63">
        <v>1.1499999999999999</v>
      </c>
      <c r="AG131" s="59"/>
      <c r="AH131" s="60"/>
      <c r="AI131" s="61"/>
      <c r="AJ131" s="64"/>
      <c r="AK131" s="65">
        <f>IFERROR(IF(AE131&gt;0,AJ131+AE131,""),"")</f>
        <v>23284000</v>
      </c>
      <c r="AL131" s="66">
        <v>350000</v>
      </c>
      <c r="AM131" s="49" t="s">
        <v>777</v>
      </c>
      <c r="AN131" s="67">
        <v>0.91</v>
      </c>
      <c r="AO131" s="62">
        <v>15930853</v>
      </c>
      <c r="AP131" s="62">
        <v>0</v>
      </c>
      <c r="AQ131" s="68">
        <v>4614057</v>
      </c>
      <c r="AR131" s="69">
        <f>IFERROR(IF(AK131&gt;0,AK131/T131,""),"")</f>
        <v>97016.666666666672</v>
      </c>
      <c r="AS131" s="70">
        <f>IFERROR(IF(AL131&gt;0,AL131/T131,""),"")</f>
        <v>1458.3333333333333</v>
      </c>
      <c r="AT131" s="70">
        <f>IFERROR(IF(AO131&gt;0,AO131/T131,""),"")</f>
        <v>66378.554166666669</v>
      </c>
      <c r="AU131" s="70" t="str">
        <f>IFERROR(IF(AP131&gt;0,AP131/T131,""),"")</f>
        <v/>
      </c>
      <c r="AV131" s="71">
        <f>IFERROR(IF(AQ131&gt;0,AQ131/T131,""),"")</f>
        <v>19225.237499999999</v>
      </c>
      <c r="AW131" s="115">
        <f>IFERROR(IF(SUM(BB131:BC131)&gt;0,SUM(BB131:BC131)/T131,""),"")</f>
        <v>35087.720833333333</v>
      </c>
      <c r="AX131" s="116">
        <f>IFERROR(IF(SUM(BB131:BC131)&gt;0,SUM(BB131:BC131)/U131,""),"")</f>
        <v>36.424499982698364</v>
      </c>
      <c r="AY131" s="72">
        <f>IFERROR(IF(SUM(BL131:BO131)&gt;0,SUM(BL131:BO131),""),"")</f>
        <v>43508.770833333336</v>
      </c>
      <c r="AZ131" s="73">
        <f>IFERROR(IF(SUM(BV131:BY131)&gt;0,SUM(BV131:BY131),""),"")</f>
        <v>45.166376864251347</v>
      </c>
      <c r="BA131" s="66">
        <v>22000000</v>
      </c>
      <c r="BB131" s="62">
        <v>907000</v>
      </c>
      <c r="BC131" s="62">
        <v>7514053</v>
      </c>
      <c r="BD131" s="62">
        <v>842105</v>
      </c>
      <c r="BE131" s="62">
        <v>1178947</v>
      </c>
      <c r="BF131" s="62">
        <v>1795500</v>
      </c>
      <c r="BG131" s="62">
        <v>3970543</v>
      </c>
      <c r="BH131" s="62">
        <v>5123201</v>
      </c>
      <c r="BI131" s="62">
        <v>847560</v>
      </c>
      <c r="BJ131" s="47">
        <f>IFERROR(IF(SUM(BA131:BI131)&gt;0,SUM(BA131:BI131),""),"")</f>
        <v>44178909</v>
      </c>
      <c r="BK131" s="69">
        <f t="shared" si="322"/>
        <v>91666.666666666672</v>
      </c>
      <c r="BL131" s="70">
        <f t="shared" si="322"/>
        <v>3779.1666666666665</v>
      </c>
      <c r="BM131" s="70">
        <f t="shared" si="322"/>
        <v>31308.554166666665</v>
      </c>
      <c r="BN131" s="70">
        <f t="shared" si="322"/>
        <v>3508.7708333333335</v>
      </c>
      <c r="BO131" s="70">
        <f t="shared" si="322"/>
        <v>4912.2791666666662</v>
      </c>
      <c r="BP131" s="70">
        <f t="shared" si="324"/>
        <v>7481.25</v>
      </c>
      <c r="BQ131" s="70">
        <f>IFERROR(IF(BG131&gt;0,BG131/$T131,""),"")</f>
        <v>16543.929166666665</v>
      </c>
      <c r="BR131" s="70">
        <f t="shared" si="316"/>
        <v>21346.670833333334</v>
      </c>
      <c r="BS131" s="70">
        <f t="shared" si="317"/>
        <v>3531.5</v>
      </c>
      <c r="BT131" s="71">
        <f t="shared" si="318"/>
        <v>184078.78750000001</v>
      </c>
      <c r="BU131" s="65">
        <f t="shared" si="323"/>
        <v>95.159002041593141</v>
      </c>
      <c r="BV131" s="48">
        <f t="shared" si="323"/>
        <v>3.9231461296238623</v>
      </c>
      <c r="BW131" s="48">
        <f t="shared" si="323"/>
        <v>32.501353853074498</v>
      </c>
      <c r="BX131" s="48">
        <f t="shared" si="323"/>
        <v>3.6424487006470812</v>
      </c>
      <c r="BY131" s="48">
        <f t="shared" si="323"/>
        <v>5.0994281809059139</v>
      </c>
      <c r="BZ131" s="48">
        <f t="shared" si="325"/>
        <v>7.7662721893491122</v>
      </c>
      <c r="CA131" s="48">
        <f>IFERROR(IF(BG131&gt;0,BG131/$U131,""),"")</f>
        <v>17.174223156510607</v>
      </c>
      <c r="CB131" s="48">
        <f t="shared" si="319"/>
        <v>22.159940655385999</v>
      </c>
      <c r="CC131" s="48">
        <f t="shared" si="320"/>
        <v>3.6660438077442126</v>
      </c>
      <c r="CD131" s="47">
        <f t="shared" si="321"/>
        <v>191.09185871483442</v>
      </c>
      <c r="CE131" s="66">
        <v>2951592</v>
      </c>
      <c r="CF131" s="62">
        <v>43200</v>
      </c>
      <c r="CG131" s="74">
        <v>-224609</v>
      </c>
      <c r="CH131" s="75">
        <f>IFERROR(IF(SUM(CE131:CG131)&gt;0,SUM(CE131:CG131),""),"")</f>
        <v>2770183</v>
      </c>
      <c r="CI131" s="62">
        <f>61160+30840+9600</f>
        <v>101600</v>
      </c>
      <c r="CJ131" s="62">
        <v>90032</v>
      </c>
      <c r="CK131" s="62">
        <v>288000</v>
      </c>
      <c r="CL131" s="62">
        <v>168000</v>
      </c>
      <c r="CM131" s="62">
        <f>30000+330000</f>
        <v>360000</v>
      </c>
      <c r="CN131" s="62">
        <v>156000</v>
      </c>
      <c r="CO131" s="62">
        <v>0</v>
      </c>
      <c r="CP131" s="75">
        <f t="shared" ref="CP131:CP194" si="331">IFERROR(IF(SUM(CI131:CO131)&gt;0,SUM(CI131:CO131),""),"")</f>
        <v>1163632</v>
      </c>
      <c r="CQ131" s="62">
        <v>72000</v>
      </c>
      <c r="CR131" s="75">
        <f t="shared" ref="CR131:CR194" si="332">IFERROR(IF(SUM(CP131:CQ131)&gt;0,SUM(CP131:CQ131),""),"")</f>
        <v>1235632</v>
      </c>
      <c r="CS131" s="75">
        <f>IFERROR(IF(CH131-CR131&gt;0,CH131-CP131,""),"")</f>
        <v>1606551</v>
      </c>
      <c r="CT131" s="62">
        <f>4000+1330897</f>
        <v>1334897</v>
      </c>
      <c r="CU131" s="47">
        <f>IFERROR(IF(CS131-CT131&gt;0,CS131-CT131,""),"")</f>
        <v>271654</v>
      </c>
      <c r="CV131" s="76">
        <f>IFERROR(IF(CU131&gt;0,CS131/CH131,""),"")</f>
        <v>0.579943996479655</v>
      </c>
      <c r="CW131" s="75">
        <f>IFERROR(IF(CU131&gt;0,CR131/T131,""),"")</f>
        <v>5148.4666666666662</v>
      </c>
      <c r="CX131" s="77">
        <f>IFERROR(IF(CU131&gt;0,CR131/CH131,""),"")</f>
        <v>0.44604706620465145</v>
      </c>
      <c r="CY131" s="75">
        <f>IFERROR(IF(CU131&gt;0,CU131/T131,""),"")</f>
        <v>1131.8916666666667</v>
      </c>
      <c r="CZ131" s="77">
        <f>IFERROR(IF(CU131&gt;0,CU131/CH131,""),"")</f>
        <v>9.806355753392465E-2</v>
      </c>
      <c r="DA131" s="77">
        <f>IFERROR(IF(CT131&gt;0,CT131/CH131,""),"")</f>
        <v>0.48188043894573029</v>
      </c>
      <c r="DB131" s="47">
        <f>IFERROR(IF(AR131&gt;0,AR131,""),"")</f>
        <v>97016.666666666672</v>
      </c>
      <c r="DC131" s="69">
        <f t="shared" si="326"/>
        <v>12298.3</v>
      </c>
      <c r="DD131" s="70">
        <f t="shared" si="326"/>
        <v>180</v>
      </c>
      <c r="DE131" s="70">
        <f t="shared" si="326"/>
        <v>-935.87083333333328</v>
      </c>
      <c r="DF131" s="70">
        <f t="shared" si="326"/>
        <v>11542.429166666667</v>
      </c>
      <c r="DG131" s="70">
        <f t="shared" si="326"/>
        <v>423.33333333333331</v>
      </c>
      <c r="DH131" s="70">
        <f t="shared" si="326"/>
        <v>375.13333333333333</v>
      </c>
      <c r="DI131" s="70">
        <f t="shared" si="326"/>
        <v>1200</v>
      </c>
      <c r="DJ131" s="70">
        <f t="shared" si="326"/>
        <v>700</v>
      </c>
      <c r="DK131" s="70">
        <f t="shared" si="326"/>
        <v>1500</v>
      </c>
      <c r="DL131" s="70">
        <f t="shared" si="326"/>
        <v>650</v>
      </c>
      <c r="DM131" s="70" t="str">
        <f t="shared" si="327"/>
        <v/>
      </c>
      <c r="DN131" s="70">
        <f t="shared" si="327"/>
        <v>4848.4666666666662</v>
      </c>
      <c r="DO131" s="70">
        <f t="shared" si="327"/>
        <v>300</v>
      </c>
      <c r="DP131" s="70">
        <f t="shared" si="327"/>
        <v>5148.4666666666662</v>
      </c>
      <c r="DQ131" s="70">
        <f t="shared" si="327"/>
        <v>6693.9624999999996</v>
      </c>
      <c r="DR131" s="70">
        <f t="shared" si="327"/>
        <v>5562.0708333333332</v>
      </c>
      <c r="DS131" s="71">
        <f t="shared" si="327"/>
        <v>1131.8916666666667</v>
      </c>
      <c r="DT131" s="106">
        <f t="shared" si="328"/>
        <v>1.0654862873680186</v>
      </c>
      <c r="DU131" s="92">
        <f t="shared" si="328"/>
        <v>1.5594637610583849E-2</v>
      </c>
      <c r="DV131" s="92" t="str">
        <f t="shared" si="328"/>
        <v/>
      </c>
      <c r="DW131" s="92">
        <f t="shared" si="328"/>
        <v>1</v>
      </c>
      <c r="DX131" s="92">
        <f t="shared" si="328"/>
        <v>3.6676277343410162E-2</v>
      </c>
      <c r="DY131" s="92">
        <f t="shared" si="328"/>
        <v>3.2500379938798264E-2</v>
      </c>
      <c r="DZ131" s="92">
        <f t="shared" si="328"/>
        <v>0.10396425073722566</v>
      </c>
      <c r="EA131" s="92">
        <f t="shared" si="328"/>
        <v>6.0645812930048303E-2</v>
      </c>
      <c r="EB131" s="92">
        <f t="shared" si="328"/>
        <v>0.12995531342153208</v>
      </c>
      <c r="EC131" s="92">
        <f t="shared" si="328"/>
        <v>5.6313969149330567E-2</v>
      </c>
      <c r="ED131" s="92" t="str">
        <f t="shared" si="329"/>
        <v/>
      </c>
      <c r="EE131" s="92">
        <f t="shared" si="329"/>
        <v>0.42005600352034506</v>
      </c>
      <c r="EF131" s="92">
        <f t="shared" si="329"/>
        <v>2.5991062684306416E-2</v>
      </c>
      <c r="EG131" s="92">
        <f t="shared" si="329"/>
        <v>0.44604706620465145</v>
      </c>
      <c r="EH131" s="92">
        <f t="shared" si="329"/>
        <v>0.579943996479655</v>
      </c>
      <c r="EI131" s="92">
        <f t="shared" si="329"/>
        <v>0.48188043894573029</v>
      </c>
      <c r="EJ131" s="122">
        <f t="shared" si="329"/>
        <v>9.806355753392465E-2</v>
      </c>
    </row>
    <row r="132" spans="2:140" ht="12" hidden="1" customHeight="1" outlineLevel="1">
      <c r="B132" s="121">
        <v>45041</v>
      </c>
      <c r="C132" s="117">
        <v>23414</v>
      </c>
      <c r="D132" s="50" t="s">
        <v>778</v>
      </c>
      <c r="E132" s="50" t="s">
        <v>223</v>
      </c>
      <c r="F132" s="50" t="s">
        <v>779</v>
      </c>
      <c r="G132" s="50" t="s">
        <v>162</v>
      </c>
      <c r="H132" s="50" t="s">
        <v>424</v>
      </c>
      <c r="I132" s="50" t="s">
        <v>391</v>
      </c>
      <c r="J132" s="52" t="s">
        <v>175</v>
      </c>
      <c r="K132" s="50" t="s">
        <v>176</v>
      </c>
      <c r="L132" s="49">
        <v>6</v>
      </c>
      <c r="M132" s="50" t="s">
        <v>159</v>
      </c>
      <c r="N132" s="50" t="s">
        <v>160</v>
      </c>
      <c r="O132" s="50" t="s">
        <v>160</v>
      </c>
      <c r="P132" s="50" t="s">
        <v>177</v>
      </c>
      <c r="Q132" s="53">
        <v>0.04</v>
      </c>
      <c r="R132" s="49">
        <v>180</v>
      </c>
      <c r="S132" s="49">
        <v>0</v>
      </c>
      <c r="T132" s="54">
        <f t="shared" si="330"/>
        <v>180</v>
      </c>
      <c r="U132" s="55">
        <v>148950</v>
      </c>
      <c r="V132" s="49">
        <v>8.2729999999999997</v>
      </c>
      <c r="W132" s="56">
        <f>IFERROR(IF(T132&gt;0,T132/V132,""),"")</f>
        <v>21.757524477215039</v>
      </c>
      <c r="X132" s="49" t="s">
        <v>163</v>
      </c>
      <c r="Y132" s="57" t="s">
        <v>162</v>
      </c>
      <c r="Z132" s="58">
        <v>25000000</v>
      </c>
      <c r="AA132" s="114">
        <v>6.0999999999999999E-2</v>
      </c>
      <c r="AB132" s="59">
        <v>15</v>
      </c>
      <c r="AC132" s="60">
        <v>40</v>
      </c>
      <c r="AD132" s="61">
        <v>6.25E-2</v>
      </c>
      <c r="AE132" s="62">
        <v>13500000</v>
      </c>
      <c r="AF132" s="63">
        <v>1.18</v>
      </c>
      <c r="AG132" s="59"/>
      <c r="AH132" s="60"/>
      <c r="AI132" s="61"/>
      <c r="AJ132" s="64"/>
      <c r="AK132" s="65">
        <f>IFERROR(IF(AE132&gt;0,AJ132+AE132,""),"")</f>
        <v>13500000</v>
      </c>
      <c r="AL132" s="66">
        <v>9693136</v>
      </c>
      <c r="AM132" s="49" t="s">
        <v>780</v>
      </c>
      <c r="AN132" s="67">
        <v>0.91</v>
      </c>
      <c r="AO132" s="62">
        <v>20891383</v>
      </c>
      <c r="AP132" s="62">
        <v>0</v>
      </c>
      <c r="AQ132" s="68">
        <v>3774547</v>
      </c>
      <c r="AR132" s="69">
        <f>IFERROR(IF(AK132&gt;0,AK132/T132,""),"")</f>
        <v>75000</v>
      </c>
      <c r="AS132" s="70">
        <f>IFERROR(IF(AL132&gt;0,AL132/T132,""),"")</f>
        <v>53850.755555555559</v>
      </c>
      <c r="AT132" s="70">
        <f>IFERROR(IF(AO132&gt;0,AO132/T132,""),"")</f>
        <v>116063.23888888888</v>
      </c>
      <c r="AU132" s="70" t="str">
        <f>IFERROR(IF(AP132&gt;0,AP132/T132,""),"")</f>
        <v/>
      </c>
      <c r="AV132" s="71">
        <f>IFERROR(IF(AQ132&gt;0,AQ132/T132,""),"")</f>
        <v>20969.705555555556</v>
      </c>
      <c r="AW132" s="115">
        <f>IFERROR(IF(SUM(BB132:BC132)&gt;0,SUM(BB132:BC132)/T132,""),"")</f>
        <v>155080.05555555556</v>
      </c>
      <c r="AX132" s="116">
        <f>IFERROR(IF(SUM(BB132:BC132)&gt;0,SUM(BB132:BC132)/U132,""),"")</f>
        <v>187.40792212151729</v>
      </c>
      <c r="AY132" s="72">
        <f>IFERROR(IF(SUM(BL132:BO132)&gt;0,SUM(BL132:BO132),""),"")</f>
        <v>186191.59444444446</v>
      </c>
      <c r="AZ132" s="73">
        <f>IFERROR(IF(SUM(BV132:BY132)&gt;0,SUM(BV132:BY132),""),"")</f>
        <v>225.00494796911715</v>
      </c>
      <c r="BA132" s="66">
        <v>2600000</v>
      </c>
      <c r="BB132" s="62">
        <v>3532262</v>
      </c>
      <c r="BC132" s="62">
        <v>24382148</v>
      </c>
      <c r="BD132" s="62">
        <v>1496659</v>
      </c>
      <c r="BE132" s="62">
        <v>4103418</v>
      </c>
      <c r="BF132" s="62">
        <v>2018752</v>
      </c>
      <c r="BG132" s="62">
        <v>3541767</v>
      </c>
      <c r="BH132" s="62">
        <v>5759161</v>
      </c>
      <c r="BI132" s="62">
        <v>424899</v>
      </c>
      <c r="BJ132" s="47">
        <f>IFERROR(IF(SUM(BA132:BI132)&gt;0,SUM(BA132:BI132),""),"")</f>
        <v>47859066</v>
      </c>
      <c r="BK132" s="69">
        <f t="shared" si="322"/>
        <v>14444.444444444445</v>
      </c>
      <c r="BL132" s="70">
        <f t="shared" si="322"/>
        <v>19623.677777777779</v>
      </c>
      <c r="BM132" s="70">
        <f t="shared" si="322"/>
        <v>135456.37777777779</v>
      </c>
      <c r="BN132" s="70">
        <f t="shared" si="322"/>
        <v>8314.7722222222219</v>
      </c>
      <c r="BO132" s="70">
        <f t="shared" si="322"/>
        <v>22796.766666666666</v>
      </c>
      <c r="BP132" s="70">
        <f t="shared" si="324"/>
        <v>11215.288888888888</v>
      </c>
      <c r="BQ132" s="70">
        <f>IFERROR(IF(BG132&gt;0,BG132/$T132,""),"")</f>
        <v>19676.483333333334</v>
      </c>
      <c r="BR132" s="70">
        <f t="shared" si="316"/>
        <v>31995.338888888888</v>
      </c>
      <c r="BS132" s="70">
        <f t="shared" si="317"/>
        <v>2360.5500000000002</v>
      </c>
      <c r="BT132" s="71">
        <f t="shared" si="318"/>
        <v>265883.7</v>
      </c>
      <c r="BU132" s="65">
        <f t="shared" si="323"/>
        <v>17.45552198724404</v>
      </c>
      <c r="BV132" s="48">
        <f t="shared" si="323"/>
        <v>23.714414232964081</v>
      </c>
      <c r="BW132" s="48">
        <f t="shared" si="323"/>
        <v>163.6935078885532</v>
      </c>
      <c r="BX132" s="48">
        <f t="shared" si="323"/>
        <v>10.048063108425646</v>
      </c>
      <c r="BY132" s="48">
        <f t="shared" si="323"/>
        <v>27.548962739174218</v>
      </c>
      <c r="BZ132" s="48">
        <f t="shared" si="325"/>
        <v>13.553219201074185</v>
      </c>
      <c r="CA132" s="48">
        <f>IFERROR(IF(BG132&gt;0,BG132/$U132,""),"")</f>
        <v>23.778227593152064</v>
      </c>
      <c r="CB132" s="48">
        <f t="shared" si="319"/>
        <v>38.6650621013763</v>
      </c>
      <c r="CC132" s="48">
        <f t="shared" si="320"/>
        <v>2.8526283987915408</v>
      </c>
      <c r="CD132" s="47">
        <f t="shared" si="321"/>
        <v>321.30960725075528</v>
      </c>
      <c r="CE132" s="66">
        <v>2088612</v>
      </c>
      <c r="CF132" s="62">
        <v>0</v>
      </c>
      <c r="CG132" s="74">
        <v>-156646</v>
      </c>
      <c r="CH132" s="75">
        <f>IFERROR(IF(SUM(CE132:CG132)&gt;0,SUM(CE132:CG132),""),"")</f>
        <v>1931966</v>
      </c>
      <c r="CI132" s="62">
        <f>36000+7200</f>
        <v>43200</v>
      </c>
      <c r="CJ132" s="62">
        <v>96598</v>
      </c>
      <c r="CK132" s="62">
        <v>232000</v>
      </c>
      <c r="CL132" s="62">
        <v>99000</v>
      </c>
      <c r="CM132" s="62">
        <f>44000+121000</f>
        <v>165000</v>
      </c>
      <c r="CN132" s="62">
        <v>160000</v>
      </c>
      <c r="CO132" s="62">
        <v>0</v>
      </c>
      <c r="CP132" s="75">
        <f t="shared" si="331"/>
        <v>795798</v>
      </c>
      <c r="CQ132" s="62">
        <v>54000</v>
      </c>
      <c r="CR132" s="75">
        <f t="shared" si="332"/>
        <v>849798</v>
      </c>
      <c r="CS132" s="75">
        <f>IFERROR(IF(CH132-CR132&gt;0,CH132-CP132,""),"")</f>
        <v>1136168</v>
      </c>
      <c r="CT132" s="62">
        <v>919738</v>
      </c>
      <c r="CU132" s="47">
        <f>IFERROR(IF(CS132-CT132&gt;0,CS132-CT132,""),"")</f>
        <v>216430</v>
      </c>
      <c r="CV132" s="76">
        <f>IFERROR(IF(CU132&gt;0,CS132/CH132,""),"")</f>
        <v>0.58808902434100807</v>
      </c>
      <c r="CW132" s="75">
        <f>IFERROR(IF(CU132&gt;0,CR132/T132,""),"")</f>
        <v>4721.1000000000004</v>
      </c>
      <c r="CX132" s="77">
        <f>IFERROR(IF(CU132&gt;0,CR132/CH132,""),"")</f>
        <v>0.43986177810582588</v>
      </c>
      <c r="CY132" s="75">
        <f>IFERROR(IF(CU132&gt;0,CU132/T132,""),"")</f>
        <v>1202.3888888888889</v>
      </c>
      <c r="CZ132" s="77">
        <f>IFERROR(IF(CU132&gt;0,CU132/CH132,""),"")</f>
        <v>0.11202578099200504</v>
      </c>
      <c r="DA132" s="77">
        <f>IFERROR(IF(CT132&gt;0,CT132/CH132,""),"")</f>
        <v>0.47606324334900302</v>
      </c>
      <c r="DB132" s="47">
        <f>IFERROR(IF(AR132&gt;0,AR132,""),"")</f>
        <v>75000</v>
      </c>
      <c r="DC132" s="69">
        <f t="shared" si="326"/>
        <v>11603.4</v>
      </c>
      <c r="DD132" s="70" t="str">
        <f t="shared" si="326"/>
        <v/>
      </c>
      <c r="DE132" s="70">
        <f t="shared" si="326"/>
        <v>-870.25555555555559</v>
      </c>
      <c r="DF132" s="70">
        <f t="shared" si="326"/>
        <v>10733.144444444444</v>
      </c>
      <c r="DG132" s="70">
        <f t="shared" si="326"/>
        <v>240</v>
      </c>
      <c r="DH132" s="70">
        <f t="shared" si="326"/>
        <v>536.65555555555557</v>
      </c>
      <c r="DI132" s="70">
        <f t="shared" si="326"/>
        <v>1288.8888888888889</v>
      </c>
      <c r="DJ132" s="70">
        <f t="shared" si="326"/>
        <v>550</v>
      </c>
      <c r="DK132" s="70">
        <f t="shared" si="326"/>
        <v>916.66666666666663</v>
      </c>
      <c r="DL132" s="70">
        <f t="shared" si="326"/>
        <v>888.88888888888891</v>
      </c>
      <c r="DM132" s="70" t="str">
        <f t="shared" si="327"/>
        <v/>
      </c>
      <c r="DN132" s="70">
        <f t="shared" si="327"/>
        <v>4421.1000000000004</v>
      </c>
      <c r="DO132" s="70">
        <f t="shared" si="327"/>
        <v>300</v>
      </c>
      <c r="DP132" s="70">
        <f t="shared" si="327"/>
        <v>4721.1000000000004</v>
      </c>
      <c r="DQ132" s="70">
        <f t="shared" si="327"/>
        <v>6312.0444444444447</v>
      </c>
      <c r="DR132" s="70">
        <f t="shared" si="327"/>
        <v>5109.6555555555551</v>
      </c>
      <c r="DS132" s="71">
        <f t="shared" si="327"/>
        <v>1202.3888888888889</v>
      </c>
      <c r="DT132" s="106">
        <f t="shared" si="328"/>
        <v>1.0810811370386435</v>
      </c>
      <c r="DU132" s="92" t="str">
        <f t="shared" si="328"/>
        <v/>
      </c>
      <c r="DV132" s="92" t="str">
        <f t="shared" si="328"/>
        <v/>
      </c>
      <c r="DW132" s="92">
        <f t="shared" si="328"/>
        <v>1</v>
      </c>
      <c r="DX132" s="92">
        <f t="shared" si="328"/>
        <v>2.2360641957467162E-2</v>
      </c>
      <c r="DY132" s="92">
        <f t="shared" si="328"/>
        <v>4.9999844717764183E-2</v>
      </c>
      <c r="DZ132" s="92">
        <f t="shared" si="328"/>
        <v>0.12008492903084216</v>
      </c>
      <c r="EA132" s="92">
        <f t="shared" si="328"/>
        <v>5.1243137819195574E-2</v>
      </c>
      <c r="EB132" s="92">
        <f t="shared" si="328"/>
        <v>8.5405229698659296E-2</v>
      </c>
      <c r="EC132" s="92">
        <f t="shared" si="328"/>
        <v>8.2817192435063552E-2</v>
      </c>
      <c r="ED132" s="92" t="str">
        <f t="shared" si="329"/>
        <v/>
      </c>
      <c r="EE132" s="92">
        <f t="shared" si="329"/>
        <v>0.41191097565899193</v>
      </c>
      <c r="EF132" s="92">
        <f t="shared" si="329"/>
        <v>2.7950802446833952E-2</v>
      </c>
      <c r="EG132" s="92">
        <f t="shared" si="329"/>
        <v>0.43986177810582588</v>
      </c>
      <c r="EH132" s="92">
        <f t="shared" si="329"/>
        <v>0.58808902434100807</v>
      </c>
      <c r="EI132" s="92">
        <f t="shared" si="329"/>
        <v>0.47606324334900302</v>
      </c>
      <c r="EJ132" s="122">
        <f t="shared" si="329"/>
        <v>0.11202578099200504</v>
      </c>
    </row>
    <row r="133" spans="2:140" ht="12" hidden="1" customHeight="1" outlineLevel="1">
      <c r="B133" s="121">
        <v>45049</v>
      </c>
      <c r="C133" s="117">
        <v>23412</v>
      </c>
      <c r="D133" s="50" t="s">
        <v>781</v>
      </c>
      <c r="E133" s="50" t="s">
        <v>782</v>
      </c>
      <c r="F133" s="50" t="s">
        <v>783</v>
      </c>
      <c r="G133" s="50" t="s">
        <v>784</v>
      </c>
      <c r="H133" s="50" t="s">
        <v>785</v>
      </c>
      <c r="I133" s="50" t="s">
        <v>786</v>
      </c>
      <c r="J133" s="52" t="s">
        <v>183</v>
      </c>
      <c r="K133" s="50" t="s">
        <v>184</v>
      </c>
      <c r="L133" s="49">
        <v>9</v>
      </c>
      <c r="M133" s="50" t="s">
        <v>159</v>
      </c>
      <c r="N133" s="50" t="s">
        <v>160</v>
      </c>
      <c r="O133" s="50" t="s">
        <v>160</v>
      </c>
      <c r="P133" s="50" t="s">
        <v>177</v>
      </c>
      <c r="Q133" s="53">
        <v>0.04</v>
      </c>
      <c r="R133" s="49">
        <v>308</v>
      </c>
      <c r="S133" s="49">
        <v>0</v>
      </c>
      <c r="T133" s="54">
        <f t="shared" si="330"/>
        <v>308</v>
      </c>
      <c r="U133" s="55">
        <v>282114</v>
      </c>
      <c r="V133" s="49">
        <v>10.029999999999999</v>
      </c>
      <c r="W133" s="56">
        <f t="shared" ref="W133:W172" si="333">IFERROR(IF(T133&gt;0,T133/V133,""),"")</f>
        <v>30.707876370887341</v>
      </c>
      <c r="X133" s="49" t="s">
        <v>163</v>
      </c>
      <c r="Y133" s="57" t="s">
        <v>162</v>
      </c>
      <c r="Z133" s="58">
        <v>39905084</v>
      </c>
      <c r="AA133" s="114">
        <f>(((29610000*0.0561)/(Z133))+((10295084*0.0631)/(Z133)))</f>
        <v>5.7905924979383586E-2</v>
      </c>
      <c r="AB133" s="59">
        <v>15</v>
      </c>
      <c r="AC133" s="60">
        <v>40</v>
      </c>
      <c r="AD133" s="61">
        <v>5.4100000000000002E-2</v>
      </c>
      <c r="AE133" s="62">
        <v>29610000</v>
      </c>
      <c r="AF133" s="63">
        <v>1.1499999999999999</v>
      </c>
      <c r="AG133" s="59"/>
      <c r="AH133" s="60"/>
      <c r="AI133" s="61"/>
      <c r="AJ133" s="64"/>
      <c r="AK133" s="65">
        <f t="shared" ref="AK133:AK172" si="334">IFERROR(IF(AE133&gt;0,AJ133+AE133,""),"")</f>
        <v>29610000</v>
      </c>
      <c r="AL133" s="66">
        <v>2664608</v>
      </c>
      <c r="AM133" s="49" t="s">
        <v>787</v>
      </c>
      <c r="AN133" s="67">
        <v>0.92</v>
      </c>
      <c r="AO133" s="62">
        <v>30233516</v>
      </c>
      <c r="AP133" s="62">
        <v>0</v>
      </c>
      <c r="AQ133" s="68">
        <v>7011377</v>
      </c>
      <c r="AR133" s="69">
        <f t="shared" ref="AR133:AR172" si="335">IFERROR(IF(AK133&gt;0,AK133/T133,""),"")</f>
        <v>96136.363636363632</v>
      </c>
      <c r="AS133" s="70">
        <f t="shared" ref="AS133:AS172" si="336">IFERROR(IF(AL133&gt;0,AL133/T133,""),"")</f>
        <v>8651.3246753246749</v>
      </c>
      <c r="AT133" s="70">
        <f t="shared" ref="AT133:AT172" si="337">IFERROR(IF(AO133&gt;0,AO133/T133,""),"")</f>
        <v>98160.766233766233</v>
      </c>
      <c r="AU133" s="70" t="str">
        <f t="shared" ref="AU133:AU172" si="338">IFERROR(IF(AP133&gt;0,AP133/T133,""),"")</f>
        <v/>
      </c>
      <c r="AV133" s="71">
        <f t="shared" ref="AV133:AV172" si="339">IFERROR(IF(AQ133&gt;0,AQ133/T133,""),"")</f>
        <v>22764.211038961039</v>
      </c>
      <c r="AW133" s="115">
        <f t="shared" ref="AW133:AW172" si="340">IFERROR(IF(SUM(BB133:BC133)&gt;0,SUM(BB133:BC133)/T133,""),"")</f>
        <v>134350.34090909091</v>
      </c>
      <c r="AX133" s="116">
        <f t="shared" ref="AX133:AX172" si="341">IFERROR(IF(SUM(BB133:BC133)&gt;0,SUM(BB133:BC133)/U133,""),"")</f>
        <v>146.67795642896135</v>
      </c>
      <c r="AY133" s="72">
        <f t="shared" ref="AY133:AY172" si="342">IFERROR(IF(SUM(BL133:BO133)&gt;0,SUM(BL133:BO133),""),"")</f>
        <v>157993.86363636365</v>
      </c>
      <c r="AZ133" s="73">
        <f t="shared" ref="AZ133:AZ172" si="343">IFERROR(IF(SUM(BV133:BY133)&gt;0,SUM(BV133:BY133),""),"")</f>
        <v>172.49094337749986</v>
      </c>
      <c r="BA133" s="66">
        <v>2165000</v>
      </c>
      <c r="BB133" s="62">
        <v>5965084</v>
      </c>
      <c r="BC133" s="62">
        <v>35414821</v>
      </c>
      <c r="BD133" s="62">
        <v>2168995</v>
      </c>
      <c r="BE133" s="62">
        <v>5113210</v>
      </c>
      <c r="BF133" s="62">
        <v>2735463</v>
      </c>
      <c r="BG133" s="62">
        <v>6937587</v>
      </c>
      <c r="BH133" s="62">
        <v>8243924</v>
      </c>
      <c r="BI133" s="62">
        <v>775406</v>
      </c>
      <c r="BJ133" s="47">
        <f t="shared" ref="BJ133:BJ172" si="344">IFERROR(IF(SUM(BA133:BI133)&gt;0,SUM(BA133:BI133),""),"")</f>
        <v>69519490</v>
      </c>
      <c r="BK133" s="69">
        <f t="shared" ref="BK133:BK172" si="345">IFERROR(IF(BA133&gt;0,BA133/$T133,""),"")</f>
        <v>7029.2207792207791</v>
      </c>
      <c r="BL133" s="70">
        <f t="shared" ref="BL133:BL172" si="346">IFERROR(IF(BB133&gt;0,BB133/$T133,""),"")</f>
        <v>19367.155844155845</v>
      </c>
      <c r="BM133" s="70">
        <f t="shared" ref="BM133:BM172" si="347">IFERROR(IF(BC133&gt;0,BC133/$T133,""),"")</f>
        <v>114983.18506493507</v>
      </c>
      <c r="BN133" s="70">
        <f t="shared" ref="BN133:BN172" si="348">IFERROR(IF(BD133&gt;0,BD133/$T133,""),"")</f>
        <v>7042.1915584415583</v>
      </c>
      <c r="BO133" s="70">
        <f t="shared" ref="BO133:BO172" si="349">IFERROR(IF(BE133&gt;0,BE133/$T133,""),"")</f>
        <v>16601.33116883117</v>
      </c>
      <c r="BP133" s="70">
        <f t="shared" ref="BP133:BP172" si="350">IFERROR(IF(BF133&gt;0,BF133/$T133,""),"")</f>
        <v>8881.3733766233763</v>
      </c>
      <c r="BQ133" s="70">
        <f t="shared" ref="BQ133:BQ172" si="351">IFERROR(IF(BG133&gt;0,BG133/$T133,""),"")</f>
        <v>22524.633116883117</v>
      </c>
      <c r="BR133" s="70">
        <f t="shared" ref="BR133:BR172" si="352">IFERROR(IF(BH133&gt;0,BH133/$T133,""),"")</f>
        <v>26765.987012987014</v>
      </c>
      <c r="BS133" s="70">
        <f t="shared" ref="BS133:BS172" si="353">IFERROR(IF(BI133&gt;0,BI133/$T133,""),"")</f>
        <v>2517.5519480519479</v>
      </c>
      <c r="BT133" s="71">
        <f t="shared" ref="BT133:BT172" si="354">IFERROR(IF(BJ133&gt;0,BJ133/$T133,""),"")</f>
        <v>225712.62987012987</v>
      </c>
      <c r="BU133" s="65">
        <f t="shared" ref="BU133:BU172" si="355">IFERROR(IF(BA133&gt;0,BA133/$U133,""),"")</f>
        <v>7.6742026273066912</v>
      </c>
      <c r="BV133" s="48">
        <f t="shared" ref="BV133:BV172" si="356">IFERROR(IF(BB133&gt;0,BB133/$U133,""),"")</f>
        <v>21.144232473397278</v>
      </c>
      <c r="BW133" s="48">
        <f t="shared" ref="BW133:BW172" si="357">IFERROR(IF(BC133&gt;0,BC133/$U133,""),"")</f>
        <v>125.53372395556406</v>
      </c>
      <c r="BX133" s="48">
        <f t="shared" ref="BX133:BX172" si="358">IFERROR(IF(BD133&gt;0,BD133/$U133,""),"")</f>
        <v>7.6883635693372181</v>
      </c>
      <c r="BY133" s="48">
        <f t="shared" ref="BY133:BY172" si="359">IFERROR(IF(BE133&gt;0,BE133/$U133,""),"")</f>
        <v>18.124623379201317</v>
      </c>
      <c r="BZ133" s="48">
        <f t="shared" ref="BZ133:BZ172" si="360">IFERROR(IF(BF133&gt;0,BF133/$U133,""),"")</f>
        <v>9.696303621940066</v>
      </c>
      <c r="CA133" s="48">
        <f t="shared" ref="CA133:CA172" si="361">IFERROR(IF(BG133&gt;0,BG133/$U133,""),"")</f>
        <v>24.591431123588336</v>
      </c>
      <c r="CB133" s="48">
        <f t="shared" ref="CB133:CB172" si="362">IFERROR(IF(BH133&gt;0,BH133/$U133,""),"")</f>
        <v>29.221959916913022</v>
      </c>
      <c r="CC133" s="48">
        <f t="shared" ref="CC133:CC172" si="363">IFERROR(IF(BI133&gt;0,BI133/$U133,""),"")</f>
        <v>2.7485555484662227</v>
      </c>
      <c r="CD133" s="47">
        <f t="shared" ref="CD133:CD172" si="364">IFERROR(IF(BJ133&gt;0,BJ133/$U133,""),"")</f>
        <v>246.42339621571421</v>
      </c>
      <c r="CE133" s="66">
        <v>3535968</v>
      </c>
      <c r="CF133" s="62">
        <v>110880</v>
      </c>
      <c r="CG133" s="74">
        <v>-273514</v>
      </c>
      <c r="CH133" s="75">
        <f t="shared" ref="CH133:CH172" si="365">IFERROR(IF(SUM(CE133:CG133)&gt;0,SUM(CE133:CG133),""),"")</f>
        <v>3373334</v>
      </c>
      <c r="CI133" s="62">
        <f>123816+36960+12320</f>
        <v>173096</v>
      </c>
      <c r="CJ133" s="62">
        <v>118067</v>
      </c>
      <c r="CK133" s="62">
        <v>406252</v>
      </c>
      <c r="CL133" s="62">
        <v>235620</v>
      </c>
      <c r="CM133" s="62">
        <f>28644+34496</f>
        <v>63140</v>
      </c>
      <c r="CN133" s="62">
        <v>203280</v>
      </c>
      <c r="CO133" s="62">
        <v>0</v>
      </c>
      <c r="CP133" s="75">
        <f t="shared" si="331"/>
        <v>1199455</v>
      </c>
      <c r="CQ133" s="62">
        <v>77000</v>
      </c>
      <c r="CR133" s="75">
        <f t="shared" si="332"/>
        <v>1276455</v>
      </c>
      <c r="CS133" s="75">
        <f t="shared" ref="CS133:CS172" si="366">IFERROR(IF(CH133-CR133&gt;0,CH133-CP133,""),"")</f>
        <v>2173879</v>
      </c>
      <c r="CT133" s="62">
        <f>5000+1810927</f>
        <v>1815927</v>
      </c>
      <c r="CU133" s="47">
        <f t="shared" ref="CU133:CU172" si="367">IFERROR(IF(CS133-CT133&gt;0,CS133-CT133,""),"")</f>
        <v>357952</v>
      </c>
      <c r="CV133" s="76">
        <f t="shared" ref="CV133:CV172" si="368">IFERROR(IF(CU133&gt;0,CS133/CH133,""),"")</f>
        <v>0.64443040623905012</v>
      </c>
      <c r="CW133" s="75">
        <f t="shared" ref="CW133:CW172" si="369">IFERROR(IF(CU133&gt;0,CR133/T133,""),"")</f>
        <v>4144.3344155844152</v>
      </c>
      <c r="CX133" s="77">
        <f t="shared" ref="CX133:CX172" si="370">IFERROR(IF(CU133&gt;0,CR133/CH133,""),"")</f>
        <v>0.37839567620638809</v>
      </c>
      <c r="CY133" s="75">
        <f t="shared" ref="CY133:CY172" si="371">IFERROR(IF(CU133&gt;0,CU133/T133,""),"")</f>
        <v>1162.1818181818182</v>
      </c>
      <c r="CZ133" s="77">
        <f t="shared" ref="CZ133:CZ172" si="372">IFERROR(IF(CU133&gt;0,CU133/CH133,""),"")</f>
        <v>0.10611223199363004</v>
      </c>
      <c r="DA133" s="77">
        <f t="shared" ref="DA133:DA172" si="373">IFERROR(IF(CT133&gt;0,CT133/CH133,""),"")</f>
        <v>0.53831817424542006</v>
      </c>
      <c r="DB133" s="47">
        <f t="shared" ref="DB133:DB172" si="374">IFERROR(IF(AR133&gt;0,AR133,""),"")</f>
        <v>96136.363636363632</v>
      </c>
      <c r="DC133" s="69">
        <f t="shared" ref="DC133:DC172" si="375">IFERROR(IF(ABS(CE133)&gt;0,CE133/$T133,""),"")</f>
        <v>11480.415584415585</v>
      </c>
      <c r="DD133" s="70">
        <f t="shared" ref="DD133:DD172" si="376">IFERROR(IF(ABS(CF133)&gt;0,CF133/$T133,""),"")</f>
        <v>360</v>
      </c>
      <c r="DE133" s="70">
        <f t="shared" ref="DE133:DE172" si="377">IFERROR(IF(ABS(CG133)&gt;0,CG133/$T133,""),"")</f>
        <v>-888.03246753246754</v>
      </c>
      <c r="DF133" s="70">
        <f t="shared" ref="DF133:DF172" si="378">IFERROR(IF(ABS(CH133)&gt;0,CH133/$T133,""),"")</f>
        <v>10952.383116883117</v>
      </c>
      <c r="DG133" s="70">
        <f t="shared" ref="DG133:DG172" si="379">IFERROR(IF(ABS(CI133)&gt;0,CI133/$T133,""),"")</f>
        <v>562</v>
      </c>
      <c r="DH133" s="70">
        <f t="shared" ref="DH133:DH172" si="380">IFERROR(IF(ABS(CJ133)&gt;0,CJ133/$T133,""),"")</f>
        <v>383.33441558441558</v>
      </c>
      <c r="DI133" s="70">
        <f t="shared" ref="DI133:DI172" si="381">IFERROR(IF(ABS(CK133)&gt;0,CK133/$T133,""),"")</f>
        <v>1319</v>
      </c>
      <c r="DJ133" s="70">
        <f t="shared" ref="DJ133:DJ172" si="382">IFERROR(IF(ABS(CL133)&gt;0,CL133/$T133,""),"")</f>
        <v>765</v>
      </c>
      <c r="DK133" s="70">
        <f t="shared" ref="DK133:DK172" si="383">IFERROR(IF(ABS(CM133)&gt;0,CM133/$T133,""),"")</f>
        <v>205</v>
      </c>
      <c r="DL133" s="70">
        <f t="shared" ref="DL133:DL172" si="384">IFERROR(IF(ABS(CN133)&gt;0,CN133/$T133,""),"")</f>
        <v>660</v>
      </c>
      <c r="DM133" s="70" t="str">
        <f t="shared" ref="DM133:DM172" si="385">IFERROR(IF(ABS(CO133)&gt;0,CO133/$T133,""),"")</f>
        <v/>
      </c>
      <c r="DN133" s="70">
        <f t="shared" ref="DN133:DN172" si="386">IFERROR(IF(ABS(CP133)&gt;0,CP133/$T133,""),"")</f>
        <v>3894.3344155844156</v>
      </c>
      <c r="DO133" s="70">
        <f t="shared" ref="DO133:DO172" si="387">IFERROR(IF(ABS(CQ133)&gt;0,CQ133/$T133,""),"")</f>
        <v>250</v>
      </c>
      <c r="DP133" s="70">
        <f t="shared" ref="DP133:DP172" si="388">IFERROR(IF(ABS(CR133)&gt;0,CR133/$T133,""),"")</f>
        <v>4144.3344155844152</v>
      </c>
      <c r="DQ133" s="70">
        <f t="shared" ref="DQ133:DQ172" si="389">IFERROR(IF(ABS(CS133)&gt;0,CS133/$T133,""),"")</f>
        <v>7058.0487012987014</v>
      </c>
      <c r="DR133" s="70">
        <f t="shared" ref="DR133:DR172" si="390">IFERROR(IF(ABS(CT133)&gt;0,CT133/$T133,""),"")</f>
        <v>5895.8668831168834</v>
      </c>
      <c r="DS133" s="71">
        <f t="shared" ref="DS133:DS172" si="391">IFERROR(IF(ABS(CU133)&gt;0,CU133/$T133,""),"")</f>
        <v>1162.1818181818182</v>
      </c>
      <c r="DT133" s="106">
        <f t="shared" ref="DT133:DT172" si="392">IFERROR(IF(ABS(CE133&gt;0),CE133/$CH133,""),"")</f>
        <v>1.0482116505510573</v>
      </c>
      <c r="DU133" s="92">
        <f t="shared" ref="DU133:DU172" si="393">IFERROR(IF(ABS(CF133&gt;0),CF133/$CH133,""),"")</f>
        <v>3.2869558721431082E-2</v>
      </c>
      <c r="DV133" s="92" t="str">
        <f t="shared" ref="DV133:DV172" si="394">IFERROR(IF(ABS(CG133&gt;0),CG133/$CH133,""),"")</f>
        <v/>
      </c>
      <c r="DW133" s="92">
        <f t="shared" ref="DW133:DW172" si="395">IFERROR(IF(ABS(CH133&gt;0),CH133/$CH133,""),"")</f>
        <v>1</v>
      </c>
      <c r="DX133" s="92">
        <f t="shared" ref="DX133:DX172" si="396">IFERROR(IF(ABS(CI133&gt;0),CI133/$CH133,""),"")</f>
        <v>5.1313033337345187E-2</v>
      </c>
      <c r="DY133" s="92">
        <f t="shared" ref="DY133:DY172" si="397">IFERROR(IF(ABS(CJ133&gt;0),CJ133/$CH133,""),"")</f>
        <v>3.5000091897215042E-2</v>
      </c>
      <c r="DZ133" s="92">
        <f t="shared" ref="DZ133:DZ172" si="398">IFERROR(IF(ABS(CK133&gt;0),CK133/$CH133,""),"")</f>
        <v>0.12043041098213221</v>
      </c>
      <c r="EA133" s="92">
        <f t="shared" ref="EA133:EA172" si="399">IFERROR(IF(ABS(CL133&gt;0),CL133/$CH133,""),"")</f>
        <v>6.9847812283041044E-2</v>
      </c>
      <c r="EB133" s="92">
        <f t="shared" ref="EB133:EB172" si="400">IFERROR(IF(ABS(CM133&gt;0),CM133/$CH133,""),"")</f>
        <v>1.8717387605259365E-2</v>
      </c>
      <c r="EC133" s="92">
        <f t="shared" ref="EC133:EC172" si="401">IFERROR(IF(ABS(CN133&gt;0),CN133/$CH133,""),"")</f>
        <v>6.0260857655956984E-2</v>
      </c>
      <c r="ED133" s="92" t="str">
        <f t="shared" ref="ED133:ED172" si="402">IFERROR(IF(ABS(CO133&gt;0),CO133/$CH133,""),"")</f>
        <v/>
      </c>
      <c r="EE133" s="92">
        <f t="shared" ref="EE133:EE172" si="403">IFERROR(IF(ABS(CP133&gt;0),CP133/$CH133,""),"")</f>
        <v>0.35556959376094988</v>
      </c>
      <c r="EF133" s="92">
        <f t="shared" ref="EF133:EF172" si="404">IFERROR(IF(ABS(CQ133&gt;0),CQ133/$CH133,""),"")</f>
        <v>2.2826082445438253E-2</v>
      </c>
      <c r="EG133" s="92">
        <f t="shared" ref="EG133:EG172" si="405">IFERROR(IF(ABS(CR133&gt;0),CR133/$CH133,""),"")</f>
        <v>0.37839567620638809</v>
      </c>
      <c r="EH133" s="92">
        <f t="shared" ref="EH133:EH172" si="406">IFERROR(IF(ABS(CS133&gt;0),CS133/$CH133,""),"")</f>
        <v>0.64443040623905012</v>
      </c>
      <c r="EI133" s="92">
        <f t="shared" ref="EI133:EI172" si="407">IFERROR(IF(ABS(CT133&gt;0),CT133/$CH133,""),"")</f>
        <v>0.53831817424542006</v>
      </c>
      <c r="EJ133" s="122">
        <f t="shared" ref="EJ133:EJ172" si="408">IFERROR(IF(ABS(CU133&gt;0),CU133/$CH133,""),"")</f>
        <v>0.10611223199363004</v>
      </c>
    </row>
    <row r="134" spans="2:140" ht="12" hidden="1" customHeight="1" outlineLevel="1">
      <c r="B134" s="121">
        <v>45054</v>
      </c>
      <c r="C134" s="117">
        <v>23601</v>
      </c>
      <c r="D134" s="50" t="s">
        <v>788</v>
      </c>
      <c r="E134" s="50" t="s">
        <v>789</v>
      </c>
      <c r="F134" s="50" t="s">
        <v>790</v>
      </c>
      <c r="G134" s="50" t="s">
        <v>162</v>
      </c>
      <c r="H134" s="50" t="s">
        <v>791</v>
      </c>
      <c r="I134" s="50" t="s">
        <v>182</v>
      </c>
      <c r="J134" s="52" t="s">
        <v>488</v>
      </c>
      <c r="K134" s="50" t="s">
        <v>462</v>
      </c>
      <c r="L134" s="49">
        <v>3</v>
      </c>
      <c r="M134" s="50" t="s">
        <v>159</v>
      </c>
      <c r="N134" s="50" t="s">
        <v>160</v>
      </c>
      <c r="O134" s="50" t="s">
        <v>160</v>
      </c>
      <c r="P134" s="50" t="s">
        <v>177</v>
      </c>
      <c r="Q134" s="53">
        <v>0.04</v>
      </c>
      <c r="R134" s="49">
        <v>172</v>
      </c>
      <c r="S134" s="49">
        <v>0</v>
      </c>
      <c r="T134" s="54">
        <f t="shared" si="330"/>
        <v>172</v>
      </c>
      <c r="U134" s="55">
        <v>161332</v>
      </c>
      <c r="V134" s="49">
        <v>5.0830000000000002</v>
      </c>
      <c r="W134" s="56">
        <f>IFERROR(IF(T134&gt;0,T134/V134,""),"")</f>
        <v>33.838284477670669</v>
      </c>
      <c r="X134" s="49" t="s">
        <v>163</v>
      </c>
      <c r="Y134" s="57" t="s">
        <v>162</v>
      </c>
      <c r="Z134" s="58">
        <v>23192905</v>
      </c>
      <c r="AA134" s="114">
        <v>0.05</v>
      </c>
      <c r="AB134" s="59">
        <v>17</v>
      </c>
      <c r="AC134" s="60">
        <v>40</v>
      </c>
      <c r="AD134" s="61">
        <v>0.05</v>
      </c>
      <c r="AE134" s="62">
        <v>23800000</v>
      </c>
      <c r="AF134" s="63">
        <v>1.1200000000000001</v>
      </c>
      <c r="AG134" s="59">
        <v>17</v>
      </c>
      <c r="AH134" s="60">
        <v>40</v>
      </c>
      <c r="AI134" s="61">
        <v>0.05</v>
      </c>
      <c r="AJ134" s="64">
        <v>-607095</v>
      </c>
      <c r="AK134" s="65">
        <f>IFERROR(IF(AE134&gt;0,AJ134+AE134,""),"")</f>
        <v>23192905</v>
      </c>
      <c r="AL134" s="66">
        <v>1642541</v>
      </c>
      <c r="AM134" s="49" t="s">
        <v>792</v>
      </c>
      <c r="AN134" s="67">
        <v>0.9</v>
      </c>
      <c r="AO134" s="62">
        <v>19827269</v>
      </c>
      <c r="AP134" s="62">
        <v>0</v>
      </c>
      <c r="AQ134" s="68">
        <v>1736857</v>
      </c>
      <c r="AR134" s="69">
        <f>IFERROR(IF(AK134&gt;0,AK134/T134,""),"")</f>
        <v>134842.47093023255</v>
      </c>
      <c r="AS134" s="70">
        <f>IFERROR(IF(AL134&gt;0,AL134/T134,""),"")</f>
        <v>9549.6569767441852</v>
      </c>
      <c r="AT134" s="70">
        <f>IFERROR(IF(AO134&gt;0,AO134/T134,""),"")</f>
        <v>115274.81976744186</v>
      </c>
      <c r="AU134" s="70" t="str">
        <f>IFERROR(IF(AP134&gt;0,AP134/T134,""),"")</f>
        <v/>
      </c>
      <c r="AV134" s="71">
        <f>IFERROR(IF(AQ134&gt;0,AQ134/T134,""),"")</f>
        <v>10098.005813953489</v>
      </c>
      <c r="AW134" s="115">
        <f>IFERROR(IF(SUM(BB134:BC134)&gt;0,SUM(BB134:BC134)/T134,""),"")</f>
        <v>139059.54069767441</v>
      </c>
      <c r="AX134" s="116">
        <f>IFERROR(IF(SUM(BB134:BC134)&gt;0,SUM(BB134:BC134)/U134,""),"")</f>
        <v>148.25478516351376</v>
      </c>
      <c r="AY134" s="72">
        <f>IFERROR(IF(SUM(BL134:BO134)&gt;0,SUM(BL134:BO134),""),"")</f>
        <v>166454.26744186046</v>
      </c>
      <c r="AZ134" s="73">
        <f>IFERROR(IF(SUM(BV134:BY134)&gt;0,SUM(BV134:BY134),""),"")</f>
        <v>177.46097488408995</v>
      </c>
      <c r="BA134" s="66">
        <v>2644609</v>
      </c>
      <c r="BB134" s="62">
        <v>4060112</v>
      </c>
      <c r="BC134" s="62">
        <v>19858129</v>
      </c>
      <c r="BD134" s="62">
        <v>1363340</v>
      </c>
      <c r="BE134" s="62">
        <v>3348553</v>
      </c>
      <c r="BF134" s="62">
        <v>2393995</v>
      </c>
      <c r="BG134" s="62">
        <v>4885851</v>
      </c>
      <c r="BH134" s="62">
        <v>5042397</v>
      </c>
      <c r="BI134" s="62">
        <v>1065729</v>
      </c>
      <c r="BJ134" s="47">
        <f>IFERROR(IF(SUM(BA134:BI134)&gt;0,SUM(BA134:BI134),""),"")</f>
        <v>44662715</v>
      </c>
      <c r="BK134" s="69">
        <f t="shared" ref="BK134:BT134" si="409">IFERROR(IF(BA134&gt;0,BA134/$T134,""),"")</f>
        <v>15375.633720930233</v>
      </c>
      <c r="BL134" s="70">
        <f t="shared" si="409"/>
        <v>23605.302325581397</v>
      </c>
      <c r="BM134" s="70">
        <f t="shared" si="409"/>
        <v>115454.23837209302</v>
      </c>
      <c r="BN134" s="70">
        <f t="shared" si="409"/>
        <v>7926.395348837209</v>
      </c>
      <c r="BO134" s="70">
        <f t="shared" si="409"/>
        <v>19468.331395348836</v>
      </c>
      <c r="BP134" s="70">
        <f t="shared" si="409"/>
        <v>13918.575581395349</v>
      </c>
      <c r="BQ134" s="70">
        <f t="shared" si="409"/>
        <v>28406.110465116279</v>
      </c>
      <c r="BR134" s="70">
        <f t="shared" si="409"/>
        <v>29316.261627906977</v>
      </c>
      <c r="BS134" s="70">
        <f t="shared" si="409"/>
        <v>6196.0988372093025</v>
      </c>
      <c r="BT134" s="71">
        <f t="shared" si="409"/>
        <v>259666.9476744186</v>
      </c>
      <c r="BU134" s="65">
        <f t="shared" ref="BU134:CD134" si="410">IFERROR(IF(BA134&gt;0,BA134/$U134,""),"")</f>
        <v>16.392340019339002</v>
      </c>
      <c r="BV134" s="48">
        <f t="shared" si="410"/>
        <v>25.166191456127738</v>
      </c>
      <c r="BW134" s="48">
        <f t="shared" si="410"/>
        <v>123.08859370738601</v>
      </c>
      <c r="BX134" s="48">
        <f t="shared" si="410"/>
        <v>8.4505243844990456</v>
      </c>
      <c r="BY134" s="48">
        <f t="shared" si="410"/>
        <v>20.755665336077158</v>
      </c>
      <c r="BZ134" s="48">
        <f t="shared" si="410"/>
        <v>14.838934619294374</v>
      </c>
      <c r="CA134" s="48">
        <f t="shared" si="410"/>
        <v>30.284450697939654</v>
      </c>
      <c r="CB134" s="48">
        <f t="shared" si="410"/>
        <v>31.254785163513748</v>
      </c>
      <c r="CC134" s="48">
        <f t="shared" si="410"/>
        <v>6.6058128579575035</v>
      </c>
      <c r="CD134" s="47">
        <f t="shared" si="410"/>
        <v>276.83729824213424</v>
      </c>
      <c r="CE134" s="66">
        <v>2472480</v>
      </c>
      <c r="CF134" s="62">
        <v>50772</v>
      </c>
      <c r="CG134" s="74">
        <v>-189224</v>
      </c>
      <c r="CH134" s="75">
        <f>IFERROR(IF(SUM(CE134:CG134)&gt;0,SUM(CE134:CG134),""),"")</f>
        <v>2334028</v>
      </c>
      <c r="CI134" s="62">
        <v>74775</v>
      </c>
      <c r="CJ134" s="62">
        <v>93360</v>
      </c>
      <c r="CK134" s="62">
        <v>199042</v>
      </c>
      <c r="CL134" s="62">
        <v>97167</v>
      </c>
      <c r="CM134" s="62">
        <v>141887</v>
      </c>
      <c r="CN134" s="62">
        <v>68800</v>
      </c>
      <c r="CO134" s="62">
        <v>0</v>
      </c>
      <c r="CP134" s="75">
        <f t="shared" si="331"/>
        <v>675031</v>
      </c>
      <c r="CQ134" s="62">
        <v>43000</v>
      </c>
      <c r="CR134" s="75">
        <f t="shared" si="332"/>
        <v>718031</v>
      </c>
      <c r="CS134" s="75">
        <f>IFERROR(IF(CH134-CR134&gt;0,CH134-CP134,""),"")</f>
        <v>1658997</v>
      </c>
      <c r="CT134" s="62">
        <v>1365218</v>
      </c>
      <c r="CU134" s="47">
        <f>IFERROR(IF(CS134-CT134&gt;0,CS134-CT134,""),"")</f>
        <v>293779</v>
      </c>
      <c r="CV134" s="76">
        <f>IFERROR(IF(CU134&gt;0,CS134/CH134,""),"")</f>
        <v>0.71078710281110591</v>
      </c>
      <c r="CW134" s="75">
        <f>IFERROR(IF(CU134&gt;0,CR134/T134,""),"")</f>
        <v>4174.5988372093025</v>
      </c>
      <c r="CX134" s="77">
        <f>IFERROR(IF(CU134&gt;0,CR134/CH134,""),"")</f>
        <v>0.30763598380139401</v>
      </c>
      <c r="CY134" s="75">
        <f>IFERROR(IF(CU134&gt;0,CU134/T134,""),"")</f>
        <v>1708.0174418604652</v>
      </c>
      <c r="CZ134" s="77">
        <f>IFERROR(IF(CU134&gt;0,CU134/CH134,""),"")</f>
        <v>0.1258678130682237</v>
      </c>
      <c r="DA134" s="77">
        <f>IFERROR(IF(CT134&gt;0,CT134/CH134,""),"")</f>
        <v>0.58491928974288221</v>
      </c>
      <c r="DB134" s="47">
        <f>IFERROR(IF(AR134&gt;0,AR134,""),"")</f>
        <v>134842.47093023255</v>
      </c>
      <c r="DC134" s="69">
        <f t="shared" ref="DC134:DS134" si="411">IFERROR(IF(ABS(CE134)&gt;0,CE134/$T134,""),"")</f>
        <v>14374.883720930233</v>
      </c>
      <c r="DD134" s="70">
        <f t="shared" si="411"/>
        <v>295.18604651162792</v>
      </c>
      <c r="DE134" s="70">
        <f t="shared" si="411"/>
        <v>-1100.1395348837209</v>
      </c>
      <c r="DF134" s="70">
        <f t="shared" si="411"/>
        <v>13569.930232558139</v>
      </c>
      <c r="DG134" s="70">
        <f t="shared" si="411"/>
        <v>434.73837209302326</v>
      </c>
      <c r="DH134" s="70">
        <f t="shared" si="411"/>
        <v>542.79069767441865</v>
      </c>
      <c r="DI134" s="70">
        <f t="shared" si="411"/>
        <v>1157.2209302325582</v>
      </c>
      <c r="DJ134" s="70">
        <f t="shared" si="411"/>
        <v>564.92441860465112</v>
      </c>
      <c r="DK134" s="70">
        <f t="shared" si="411"/>
        <v>824.92441860465112</v>
      </c>
      <c r="DL134" s="70">
        <f t="shared" si="411"/>
        <v>400</v>
      </c>
      <c r="DM134" s="70" t="str">
        <f t="shared" si="411"/>
        <v/>
      </c>
      <c r="DN134" s="70">
        <f t="shared" si="411"/>
        <v>3924.5988372093025</v>
      </c>
      <c r="DO134" s="70">
        <f t="shared" si="411"/>
        <v>250</v>
      </c>
      <c r="DP134" s="70">
        <f t="shared" si="411"/>
        <v>4174.5988372093025</v>
      </c>
      <c r="DQ134" s="70">
        <f t="shared" si="411"/>
        <v>9645.3313953488378</v>
      </c>
      <c r="DR134" s="70">
        <f t="shared" si="411"/>
        <v>7937.3139534883721</v>
      </c>
      <c r="DS134" s="71">
        <f t="shared" si="411"/>
        <v>1708.0174418604652</v>
      </c>
      <c r="DT134" s="106">
        <f t="shared" ref="DT134:EJ134" si="412">IFERROR(IF(ABS(CE134&gt;0),CE134/$CH134,""),"")</f>
        <v>1.0593189113412522</v>
      </c>
      <c r="DU134" s="92">
        <f t="shared" si="412"/>
        <v>2.1752952406740623E-2</v>
      </c>
      <c r="DV134" s="92" t="str">
        <f t="shared" si="412"/>
        <v/>
      </c>
      <c r="DW134" s="92">
        <f t="shared" si="412"/>
        <v>1</v>
      </c>
      <c r="DX134" s="92">
        <f t="shared" si="412"/>
        <v>3.2036890731387969E-2</v>
      </c>
      <c r="DY134" s="92">
        <f t="shared" si="412"/>
        <v>3.9999520142860324E-2</v>
      </c>
      <c r="DZ134" s="92">
        <f t="shared" si="412"/>
        <v>8.527832570988865E-2</v>
      </c>
      <c r="EA134" s="92">
        <f t="shared" si="412"/>
        <v>4.1630605973878632E-2</v>
      </c>
      <c r="EB134" s="92">
        <f t="shared" si="412"/>
        <v>6.0790616050878564E-2</v>
      </c>
      <c r="EC134" s="92">
        <f t="shared" si="412"/>
        <v>2.9476938579999896E-2</v>
      </c>
      <c r="ED134" s="92" t="str">
        <f t="shared" si="412"/>
        <v/>
      </c>
      <c r="EE134" s="92">
        <f t="shared" si="412"/>
        <v>0.28921289718889404</v>
      </c>
      <c r="EF134" s="92">
        <f t="shared" si="412"/>
        <v>1.8423086612499934E-2</v>
      </c>
      <c r="EG134" s="92">
        <f t="shared" si="412"/>
        <v>0.30763598380139401</v>
      </c>
      <c r="EH134" s="92">
        <f t="shared" si="412"/>
        <v>0.71078710281110591</v>
      </c>
      <c r="EI134" s="92">
        <f t="shared" si="412"/>
        <v>0.58491928974288221</v>
      </c>
      <c r="EJ134" s="122">
        <f t="shared" si="412"/>
        <v>0.1258678130682237</v>
      </c>
    </row>
    <row r="135" spans="2:140" ht="12" hidden="1" customHeight="1" outlineLevel="1">
      <c r="B135" s="121">
        <v>45055</v>
      </c>
      <c r="C135" s="117">
        <v>23423</v>
      </c>
      <c r="D135" s="50" t="s">
        <v>793</v>
      </c>
      <c r="E135" s="50" t="s">
        <v>794</v>
      </c>
      <c r="F135" s="50" t="s">
        <v>795</v>
      </c>
      <c r="G135" s="50" t="s">
        <v>162</v>
      </c>
      <c r="H135" s="50" t="s">
        <v>424</v>
      </c>
      <c r="I135" s="50" t="s">
        <v>796</v>
      </c>
      <c r="J135" s="52" t="s">
        <v>360</v>
      </c>
      <c r="K135" s="50" t="s">
        <v>294</v>
      </c>
      <c r="L135" s="49">
        <v>7</v>
      </c>
      <c r="M135" s="50" t="s">
        <v>159</v>
      </c>
      <c r="N135" s="50" t="s">
        <v>244</v>
      </c>
      <c r="O135" s="50" t="s">
        <v>160</v>
      </c>
      <c r="P135" s="50" t="s">
        <v>177</v>
      </c>
      <c r="Q135" s="53">
        <v>0.04</v>
      </c>
      <c r="R135" s="49">
        <v>150</v>
      </c>
      <c r="S135" s="49">
        <v>0</v>
      </c>
      <c r="T135" s="54">
        <f t="shared" si="330"/>
        <v>150</v>
      </c>
      <c r="U135" s="55">
        <v>78000</v>
      </c>
      <c r="V135" s="49">
        <v>2.41</v>
      </c>
      <c r="W135" s="56">
        <f t="shared" si="333"/>
        <v>62.240663900414937</v>
      </c>
      <c r="X135" s="49" t="s">
        <v>163</v>
      </c>
      <c r="Y135" s="57" t="s">
        <v>162</v>
      </c>
      <c r="Z135" s="58">
        <v>20000000</v>
      </c>
      <c r="AA135" s="114">
        <f>(((11844351*0.0685)/(Z135))+((8155649*0.07)/(Z135)))</f>
        <v>6.9111673675000013E-2</v>
      </c>
      <c r="AB135" s="59">
        <v>18</v>
      </c>
      <c r="AC135" s="60">
        <v>40</v>
      </c>
      <c r="AD135" s="61">
        <v>6.8500000000000005E-2</v>
      </c>
      <c r="AE135" s="62">
        <v>11844351</v>
      </c>
      <c r="AF135" s="63">
        <v>1.33</v>
      </c>
      <c r="AG135" s="59"/>
      <c r="AH135" s="60"/>
      <c r="AI135" s="61"/>
      <c r="AJ135" s="64"/>
      <c r="AK135" s="65">
        <f t="shared" si="334"/>
        <v>11844351</v>
      </c>
      <c r="AL135" s="66">
        <v>11500000</v>
      </c>
      <c r="AM135" s="49" t="s">
        <v>797</v>
      </c>
      <c r="AN135" s="67">
        <v>0.87</v>
      </c>
      <c r="AO135" s="62">
        <v>12884672</v>
      </c>
      <c r="AP135" s="62">
        <v>0</v>
      </c>
      <c r="AQ135" s="68">
        <v>744527</v>
      </c>
      <c r="AR135" s="69">
        <f t="shared" si="335"/>
        <v>78962.34</v>
      </c>
      <c r="AS135" s="70">
        <f t="shared" si="336"/>
        <v>76666.666666666672</v>
      </c>
      <c r="AT135" s="70">
        <f t="shared" si="337"/>
        <v>85897.813333333339</v>
      </c>
      <c r="AU135" s="70" t="str">
        <f t="shared" si="338"/>
        <v/>
      </c>
      <c r="AV135" s="71">
        <f t="shared" si="339"/>
        <v>4963.5133333333333</v>
      </c>
      <c r="AW135" s="115">
        <f t="shared" si="340"/>
        <v>105282.88666666667</v>
      </c>
      <c r="AX135" s="116">
        <f t="shared" si="341"/>
        <v>202.46708974358975</v>
      </c>
      <c r="AY135" s="72">
        <f t="shared" si="342"/>
        <v>128249.41999999998</v>
      </c>
      <c r="AZ135" s="73">
        <f t="shared" si="343"/>
        <v>246.63349999999997</v>
      </c>
      <c r="BA135" s="66">
        <v>6400000</v>
      </c>
      <c r="BB135" s="62">
        <v>2453653</v>
      </c>
      <c r="BC135" s="62">
        <v>13338780</v>
      </c>
      <c r="BD135" s="62">
        <v>1092000</v>
      </c>
      <c r="BE135" s="62">
        <v>2352980</v>
      </c>
      <c r="BF135" s="62">
        <v>2625000</v>
      </c>
      <c r="BG135" s="62">
        <v>4048009</v>
      </c>
      <c r="BH135" s="62">
        <v>3730000</v>
      </c>
      <c r="BI135" s="62">
        <v>933128</v>
      </c>
      <c r="BJ135" s="47">
        <f t="shared" si="344"/>
        <v>36973550</v>
      </c>
      <c r="BK135" s="69">
        <f t="shared" si="345"/>
        <v>42666.666666666664</v>
      </c>
      <c r="BL135" s="70">
        <f t="shared" si="346"/>
        <v>16357.686666666666</v>
      </c>
      <c r="BM135" s="70">
        <f t="shared" si="347"/>
        <v>88925.2</v>
      </c>
      <c r="BN135" s="70">
        <f t="shared" si="348"/>
        <v>7280</v>
      </c>
      <c r="BO135" s="70">
        <f t="shared" si="349"/>
        <v>15686.533333333333</v>
      </c>
      <c r="BP135" s="70">
        <f t="shared" si="350"/>
        <v>17500</v>
      </c>
      <c r="BQ135" s="70">
        <f t="shared" si="351"/>
        <v>26986.726666666666</v>
      </c>
      <c r="BR135" s="70">
        <f t="shared" si="352"/>
        <v>24866.666666666668</v>
      </c>
      <c r="BS135" s="70">
        <f t="shared" si="353"/>
        <v>6220.8533333333335</v>
      </c>
      <c r="BT135" s="71">
        <f t="shared" si="354"/>
        <v>246490.33333333334</v>
      </c>
      <c r="BU135" s="65">
        <f t="shared" si="355"/>
        <v>82.051282051282058</v>
      </c>
      <c r="BV135" s="48">
        <f t="shared" si="356"/>
        <v>31.457089743589744</v>
      </c>
      <c r="BW135" s="48">
        <f t="shared" si="357"/>
        <v>171.01</v>
      </c>
      <c r="BX135" s="48">
        <f t="shared" si="358"/>
        <v>14</v>
      </c>
      <c r="BY135" s="48">
        <f t="shared" si="359"/>
        <v>30.166410256410256</v>
      </c>
      <c r="BZ135" s="48">
        <f t="shared" si="360"/>
        <v>33.653846153846153</v>
      </c>
      <c r="CA135" s="48">
        <f t="shared" si="361"/>
        <v>51.897551282051282</v>
      </c>
      <c r="CB135" s="48">
        <f t="shared" si="362"/>
        <v>47.820512820512818</v>
      </c>
      <c r="CC135" s="48">
        <f t="shared" si="363"/>
        <v>11.963179487179486</v>
      </c>
      <c r="CD135" s="47">
        <f t="shared" si="364"/>
        <v>474.01987179487179</v>
      </c>
      <c r="CE135" s="66">
        <v>2158200</v>
      </c>
      <c r="CF135" s="62">
        <v>18000</v>
      </c>
      <c r="CG135" s="74">
        <v>-163215</v>
      </c>
      <c r="CH135" s="75">
        <f t="shared" si="365"/>
        <v>2012985</v>
      </c>
      <c r="CI135" s="62">
        <f>61000+30000+6000</f>
        <v>97000</v>
      </c>
      <c r="CJ135" s="62">
        <v>104160</v>
      </c>
      <c r="CK135" s="62">
        <v>207436</v>
      </c>
      <c r="CL135" s="62">
        <v>105500</v>
      </c>
      <c r="CM135" s="62">
        <f>165000+60500</f>
        <v>225500</v>
      </c>
      <c r="CN135" s="62">
        <v>71250</v>
      </c>
      <c r="CO135" s="62">
        <v>0</v>
      </c>
      <c r="CP135" s="75">
        <f t="shared" si="331"/>
        <v>810846</v>
      </c>
      <c r="CQ135" s="62">
        <v>37500</v>
      </c>
      <c r="CR135" s="75">
        <f t="shared" si="332"/>
        <v>848346</v>
      </c>
      <c r="CS135" s="75">
        <f t="shared" si="366"/>
        <v>1202139</v>
      </c>
      <c r="CT135" s="62">
        <f>10500+867811</f>
        <v>878311</v>
      </c>
      <c r="CU135" s="47">
        <f t="shared" si="367"/>
        <v>323828</v>
      </c>
      <c r="CV135" s="76">
        <f t="shared" si="368"/>
        <v>0.59719222945029393</v>
      </c>
      <c r="CW135" s="75">
        <f t="shared" si="369"/>
        <v>5655.64</v>
      </c>
      <c r="CX135" s="77">
        <f t="shared" si="370"/>
        <v>0.42143682143682143</v>
      </c>
      <c r="CY135" s="75">
        <f t="shared" si="371"/>
        <v>2158.8533333333335</v>
      </c>
      <c r="CZ135" s="77">
        <f t="shared" si="372"/>
        <v>0.16086955441794151</v>
      </c>
      <c r="DA135" s="77">
        <f t="shared" si="373"/>
        <v>0.43632267503235245</v>
      </c>
      <c r="DB135" s="47">
        <f t="shared" si="374"/>
        <v>78962.34</v>
      </c>
      <c r="DC135" s="69">
        <f t="shared" si="375"/>
        <v>14388</v>
      </c>
      <c r="DD135" s="70">
        <f t="shared" si="376"/>
        <v>120</v>
      </c>
      <c r="DE135" s="70">
        <f t="shared" si="377"/>
        <v>-1088.0999999999999</v>
      </c>
      <c r="DF135" s="70">
        <f t="shared" si="378"/>
        <v>13419.9</v>
      </c>
      <c r="DG135" s="70">
        <f t="shared" si="379"/>
        <v>646.66666666666663</v>
      </c>
      <c r="DH135" s="70">
        <f t="shared" si="380"/>
        <v>694.4</v>
      </c>
      <c r="DI135" s="70">
        <f t="shared" si="381"/>
        <v>1382.9066666666668</v>
      </c>
      <c r="DJ135" s="70">
        <f t="shared" si="382"/>
        <v>703.33333333333337</v>
      </c>
      <c r="DK135" s="70">
        <f t="shared" si="383"/>
        <v>1503.3333333333333</v>
      </c>
      <c r="DL135" s="70">
        <f t="shared" si="384"/>
        <v>475</v>
      </c>
      <c r="DM135" s="70" t="str">
        <f t="shared" si="385"/>
        <v/>
      </c>
      <c r="DN135" s="70">
        <f t="shared" si="386"/>
        <v>5405.64</v>
      </c>
      <c r="DO135" s="70">
        <f t="shared" si="387"/>
        <v>250</v>
      </c>
      <c r="DP135" s="70">
        <f t="shared" si="388"/>
        <v>5655.64</v>
      </c>
      <c r="DQ135" s="70">
        <f t="shared" si="389"/>
        <v>8014.26</v>
      </c>
      <c r="DR135" s="70">
        <f t="shared" si="390"/>
        <v>5855.4066666666668</v>
      </c>
      <c r="DS135" s="71">
        <f t="shared" si="391"/>
        <v>2158.8533333333335</v>
      </c>
      <c r="DT135" s="106">
        <f t="shared" si="392"/>
        <v>1.0721391366552657</v>
      </c>
      <c r="DU135" s="92">
        <f t="shared" si="393"/>
        <v>8.9419444258153936E-3</v>
      </c>
      <c r="DV135" s="92" t="str">
        <f t="shared" si="394"/>
        <v/>
      </c>
      <c r="DW135" s="92">
        <f t="shared" si="395"/>
        <v>1</v>
      </c>
      <c r="DX135" s="92">
        <f t="shared" si="396"/>
        <v>4.818714496133851E-2</v>
      </c>
      <c r="DY135" s="92">
        <f t="shared" si="397"/>
        <v>5.1744051744051743E-2</v>
      </c>
      <c r="DZ135" s="92">
        <f t="shared" si="398"/>
        <v>0.10304895466185789</v>
      </c>
      <c r="EA135" s="92">
        <f t="shared" si="399"/>
        <v>5.2409729829084671E-2</v>
      </c>
      <c r="EB135" s="92">
        <f t="shared" si="400"/>
        <v>0.11202269266785396</v>
      </c>
      <c r="EC135" s="92">
        <f t="shared" si="401"/>
        <v>3.5395196685519263E-2</v>
      </c>
      <c r="ED135" s="92" t="str">
        <f t="shared" si="402"/>
        <v/>
      </c>
      <c r="EE135" s="92">
        <f t="shared" si="403"/>
        <v>0.40280777054970601</v>
      </c>
      <c r="EF135" s="92">
        <f t="shared" si="404"/>
        <v>1.8629050887115403E-2</v>
      </c>
      <c r="EG135" s="92">
        <f t="shared" si="405"/>
        <v>0.42143682143682143</v>
      </c>
      <c r="EH135" s="92">
        <f t="shared" si="406"/>
        <v>0.59719222945029393</v>
      </c>
      <c r="EI135" s="92">
        <f t="shared" si="407"/>
        <v>0.43632267503235245</v>
      </c>
      <c r="EJ135" s="122">
        <f t="shared" si="408"/>
        <v>0.16086955441794151</v>
      </c>
    </row>
    <row r="136" spans="2:140" ht="12" hidden="1" customHeight="1" outlineLevel="1">
      <c r="B136" s="121">
        <v>45063</v>
      </c>
      <c r="C136" s="117">
        <v>23400</v>
      </c>
      <c r="D136" s="50" t="s">
        <v>798</v>
      </c>
      <c r="E136" s="50" t="s">
        <v>799</v>
      </c>
      <c r="F136" s="50" t="s">
        <v>800</v>
      </c>
      <c r="G136" s="50" t="s">
        <v>154</v>
      </c>
      <c r="H136" s="50" t="s">
        <v>801</v>
      </c>
      <c r="I136" s="50" t="s">
        <v>802</v>
      </c>
      <c r="J136" s="52" t="s">
        <v>175</v>
      </c>
      <c r="K136" s="50" t="s">
        <v>176</v>
      </c>
      <c r="L136" s="49">
        <v>6</v>
      </c>
      <c r="M136" s="50" t="s">
        <v>159</v>
      </c>
      <c r="N136" s="50" t="s">
        <v>244</v>
      </c>
      <c r="O136" s="50" t="s">
        <v>160</v>
      </c>
      <c r="P136" s="50" t="s">
        <v>161</v>
      </c>
      <c r="Q136" s="53">
        <v>0.04</v>
      </c>
      <c r="R136" s="49">
        <v>248</v>
      </c>
      <c r="S136" s="49">
        <v>0</v>
      </c>
      <c r="T136" s="54">
        <f t="shared" si="330"/>
        <v>248</v>
      </c>
      <c r="U136" s="55">
        <v>221448</v>
      </c>
      <c r="V136" s="49">
        <v>15.06</v>
      </c>
      <c r="W136" s="56">
        <f t="shared" si="333"/>
        <v>16.46746347941567</v>
      </c>
      <c r="X136" s="49">
        <v>2005</v>
      </c>
      <c r="Y136" s="57" t="s">
        <v>162</v>
      </c>
      <c r="Z136" s="58">
        <v>24687300</v>
      </c>
      <c r="AA136" s="114">
        <v>4.4699999999999997E-2</v>
      </c>
      <c r="AB136" s="59">
        <v>35</v>
      </c>
      <c r="AC136" s="60">
        <v>35</v>
      </c>
      <c r="AD136" s="61">
        <v>4.4699999999999997E-2</v>
      </c>
      <c r="AE136" s="62">
        <v>24687300</v>
      </c>
      <c r="AF136" s="63">
        <v>1.1499999999999999</v>
      </c>
      <c r="AG136" s="59"/>
      <c r="AH136" s="60"/>
      <c r="AI136" s="61"/>
      <c r="AJ136" s="64"/>
      <c r="AK136" s="65">
        <f t="shared" si="334"/>
        <v>24687300</v>
      </c>
      <c r="AL136" s="66">
        <v>4659626</v>
      </c>
      <c r="AM136" s="49" t="s">
        <v>803</v>
      </c>
      <c r="AN136" s="67">
        <v>0.93</v>
      </c>
      <c r="AO136" s="62">
        <v>20128014</v>
      </c>
      <c r="AP136" s="62">
        <v>0</v>
      </c>
      <c r="AQ136" s="68">
        <v>5000000</v>
      </c>
      <c r="AR136" s="69">
        <f t="shared" si="335"/>
        <v>99545.56451612903</v>
      </c>
      <c r="AS136" s="70">
        <f t="shared" si="336"/>
        <v>18788.814516129034</v>
      </c>
      <c r="AT136" s="70">
        <f t="shared" si="337"/>
        <v>81161.346774193546</v>
      </c>
      <c r="AU136" s="70" t="str">
        <f t="shared" si="338"/>
        <v/>
      </c>
      <c r="AV136" s="71">
        <f t="shared" si="339"/>
        <v>20161.290322580644</v>
      </c>
      <c r="AW136" s="115">
        <f t="shared" si="340"/>
        <v>33195.842741935485</v>
      </c>
      <c r="AX136" s="116">
        <f t="shared" si="341"/>
        <v>37.176081969582022</v>
      </c>
      <c r="AY136" s="72">
        <f t="shared" si="342"/>
        <v>41481.520161290318</v>
      </c>
      <c r="AZ136" s="73">
        <f t="shared" si="343"/>
        <v>46.455226509157903</v>
      </c>
      <c r="BA136" s="66">
        <v>32178000</v>
      </c>
      <c r="BB136" s="62">
        <v>386200</v>
      </c>
      <c r="BC136" s="62">
        <v>7846369</v>
      </c>
      <c r="BD136" s="62">
        <v>823256</v>
      </c>
      <c r="BE136" s="62">
        <v>1231592</v>
      </c>
      <c r="BF136" s="62">
        <v>1723056</v>
      </c>
      <c r="BG136" s="62">
        <v>3099986</v>
      </c>
      <c r="BH136" s="62">
        <v>6450481</v>
      </c>
      <c r="BI136" s="62">
        <v>736000</v>
      </c>
      <c r="BJ136" s="47">
        <f t="shared" si="344"/>
        <v>54474940</v>
      </c>
      <c r="BK136" s="69">
        <f t="shared" si="345"/>
        <v>129750</v>
      </c>
      <c r="BL136" s="70">
        <f t="shared" si="346"/>
        <v>1557.258064516129</v>
      </c>
      <c r="BM136" s="70">
        <f t="shared" si="347"/>
        <v>31638.584677419356</v>
      </c>
      <c r="BN136" s="70">
        <f t="shared" si="348"/>
        <v>3319.5806451612902</v>
      </c>
      <c r="BO136" s="70">
        <f t="shared" si="349"/>
        <v>4966.0967741935483</v>
      </c>
      <c r="BP136" s="70">
        <f t="shared" si="350"/>
        <v>6947.8064516129034</v>
      </c>
      <c r="BQ136" s="70">
        <f t="shared" si="351"/>
        <v>12499.943548387097</v>
      </c>
      <c r="BR136" s="70">
        <f t="shared" si="352"/>
        <v>26010.004032258064</v>
      </c>
      <c r="BS136" s="70">
        <f t="shared" si="353"/>
        <v>2967.7419354838707</v>
      </c>
      <c r="BT136" s="71">
        <f t="shared" si="354"/>
        <v>219657.01612903227</v>
      </c>
      <c r="BU136" s="65">
        <f t="shared" si="355"/>
        <v>145.30725046060473</v>
      </c>
      <c r="BV136" s="48">
        <f t="shared" si="356"/>
        <v>1.7439760124272967</v>
      </c>
      <c r="BW136" s="48">
        <f t="shared" si="357"/>
        <v>35.432105957154725</v>
      </c>
      <c r="BX136" s="48">
        <f t="shared" si="358"/>
        <v>3.7176041327986704</v>
      </c>
      <c r="BY136" s="48">
        <f t="shared" si="359"/>
        <v>5.5615404067772118</v>
      </c>
      <c r="BZ136" s="48">
        <f t="shared" si="360"/>
        <v>7.780860518044868</v>
      </c>
      <c r="CA136" s="48">
        <f t="shared" si="361"/>
        <v>13.998708500415447</v>
      </c>
      <c r="CB136" s="48">
        <f t="shared" si="362"/>
        <v>29.128648712113002</v>
      </c>
      <c r="CC136" s="48">
        <f t="shared" si="363"/>
        <v>3.3235793504569924</v>
      </c>
      <c r="CD136" s="47">
        <f t="shared" si="364"/>
        <v>245.99427405079297</v>
      </c>
      <c r="CE136" s="66">
        <v>3147216</v>
      </c>
      <c r="CF136" s="62">
        <v>89280</v>
      </c>
      <c r="CG136" s="74">
        <v>-242737</v>
      </c>
      <c r="CH136" s="75">
        <f t="shared" si="365"/>
        <v>2993759</v>
      </c>
      <c r="CI136" s="62">
        <f>125488+9920</f>
        <v>135408</v>
      </c>
      <c r="CJ136" s="62">
        <v>89813</v>
      </c>
      <c r="CK136" s="62">
        <v>301945</v>
      </c>
      <c r="CL136" s="62">
        <v>162726</v>
      </c>
      <c r="CM136" s="62">
        <f>68200+204104</f>
        <v>272304</v>
      </c>
      <c r="CN136" s="62">
        <v>248000</v>
      </c>
      <c r="CO136" s="62">
        <v>0</v>
      </c>
      <c r="CP136" s="75">
        <f t="shared" si="331"/>
        <v>1210196</v>
      </c>
      <c r="CQ136" s="62">
        <v>74400</v>
      </c>
      <c r="CR136" s="75">
        <f t="shared" si="332"/>
        <v>1284596</v>
      </c>
      <c r="CS136" s="75">
        <f t="shared" si="366"/>
        <v>1783563</v>
      </c>
      <c r="CT136" s="62">
        <f>3500+28000+1458231</f>
        <v>1489731</v>
      </c>
      <c r="CU136" s="47">
        <f t="shared" si="367"/>
        <v>293832</v>
      </c>
      <c r="CV136" s="76">
        <f t="shared" si="368"/>
        <v>0.59576038017756272</v>
      </c>
      <c r="CW136" s="75">
        <f t="shared" si="369"/>
        <v>5179.822580645161</v>
      </c>
      <c r="CX136" s="77">
        <f t="shared" si="370"/>
        <v>0.42909131964196184</v>
      </c>
      <c r="CY136" s="75">
        <f t="shared" si="371"/>
        <v>1184.8064516129032</v>
      </c>
      <c r="CZ136" s="77">
        <f t="shared" si="372"/>
        <v>9.8148180932399701E-2</v>
      </c>
      <c r="DA136" s="77">
        <f t="shared" si="373"/>
        <v>0.49761219924516303</v>
      </c>
      <c r="DB136" s="47">
        <f t="shared" si="374"/>
        <v>99545.56451612903</v>
      </c>
      <c r="DC136" s="69">
        <f t="shared" si="375"/>
        <v>12690.387096774193</v>
      </c>
      <c r="DD136" s="70">
        <f t="shared" si="376"/>
        <v>360</v>
      </c>
      <c r="DE136" s="70">
        <f t="shared" si="377"/>
        <v>-978.77822580645159</v>
      </c>
      <c r="DF136" s="70">
        <f t="shared" si="378"/>
        <v>12071.608870967742</v>
      </c>
      <c r="DG136" s="70">
        <f t="shared" si="379"/>
        <v>546</v>
      </c>
      <c r="DH136" s="70">
        <f t="shared" si="380"/>
        <v>362.14919354838707</v>
      </c>
      <c r="DI136" s="70">
        <f t="shared" si="381"/>
        <v>1217.5201612903227</v>
      </c>
      <c r="DJ136" s="70">
        <f t="shared" si="382"/>
        <v>656.15322580645159</v>
      </c>
      <c r="DK136" s="70">
        <f t="shared" si="383"/>
        <v>1098</v>
      </c>
      <c r="DL136" s="70">
        <f t="shared" si="384"/>
        <v>1000</v>
      </c>
      <c r="DM136" s="70" t="str">
        <f t="shared" si="385"/>
        <v/>
      </c>
      <c r="DN136" s="70">
        <f t="shared" si="386"/>
        <v>4879.822580645161</v>
      </c>
      <c r="DO136" s="70">
        <f t="shared" si="387"/>
        <v>300</v>
      </c>
      <c r="DP136" s="70">
        <f t="shared" si="388"/>
        <v>5179.822580645161</v>
      </c>
      <c r="DQ136" s="70">
        <f t="shared" si="389"/>
        <v>7191.7862903225805</v>
      </c>
      <c r="DR136" s="70">
        <f t="shared" si="390"/>
        <v>6006.9798387096771</v>
      </c>
      <c r="DS136" s="71">
        <f t="shared" si="391"/>
        <v>1184.8064516129032</v>
      </c>
      <c r="DT136" s="106">
        <f t="shared" si="392"/>
        <v>1.0512589690753331</v>
      </c>
      <c r="DU136" s="92">
        <f t="shared" si="393"/>
        <v>2.9822039783429462E-2</v>
      </c>
      <c r="DV136" s="92" t="str">
        <f t="shared" si="394"/>
        <v/>
      </c>
      <c r="DW136" s="92">
        <f t="shared" si="395"/>
        <v>1</v>
      </c>
      <c r="DX136" s="92">
        <f t="shared" si="396"/>
        <v>4.5230093671534681E-2</v>
      </c>
      <c r="DY136" s="92">
        <f t="shared" si="397"/>
        <v>3.0000076826491376E-2</v>
      </c>
      <c r="DZ136" s="92">
        <f t="shared" si="398"/>
        <v>0.10085815190868737</v>
      </c>
      <c r="EA136" s="92">
        <f t="shared" si="399"/>
        <v>5.4355076677848821E-2</v>
      </c>
      <c r="EB136" s="92">
        <f t="shared" si="400"/>
        <v>9.0957221339459854E-2</v>
      </c>
      <c r="EC136" s="92">
        <f t="shared" si="401"/>
        <v>8.2838999398415172E-2</v>
      </c>
      <c r="ED136" s="92" t="str">
        <f t="shared" si="402"/>
        <v/>
      </c>
      <c r="EE136" s="92">
        <f t="shared" si="403"/>
        <v>0.40423961982243728</v>
      </c>
      <c r="EF136" s="92">
        <f t="shared" si="404"/>
        <v>2.485169981952455E-2</v>
      </c>
      <c r="EG136" s="92">
        <f t="shared" si="405"/>
        <v>0.42909131964196184</v>
      </c>
      <c r="EH136" s="92">
        <f t="shared" si="406"/>
        <v>0.59576038017756272</v>
      </c>
      <c r="EI136" s="92">
        <f t="shared" si="407"/>
        <v>0.49761219924516303</v>
      </c>
      <c r="EJ136" s="122">
        <f t="shared" si="408"/>
        <v>9.8148180932399701E-2</v>
      </c>
    </row>
    <row r="137" spans="2:140" ht="12" hidden="1" customHeight="1" outlineLevel="1">
      <c r="B137" s="121">
        <v>45064</v>
      </c>
      <c r="C137" s="117">
        <v>23428</v>
      </c>
      <c r="D137" s="50" t="s">
        <v>804</v>
      </c>
      <c r="E137" s="50" t="s">
        <v>388</v>
      </c>
      <c r="F137" s="50" t="s">
        <v>805</v>
      </c>
      <c r="G137" s="50" t="s">
        <v>162</v>
      </c>
      <c r="H137" s="50" t="s">
        <v>259</v>
      </c>
      <c r="I137" s="50" t="s">
        <v>419</v>
      </c>
      <c r="J137" s="52" t="s">
        <v>806</v>
      </c>
      <c r="K137" s="50" t="s">
        <v>807</v>
      </c>
      <c r="L137" s="49">
        <v>9</v>
      </c>
      <c r="M137" s="50" t="s">
        <v>159</v>
      </c>
      <c r="N137" s="50" t="s">
        <v>185</v>
      </c>
      <c r="O137" s="50" t="s">
        <v>160</v>
      </c>
      <c r="P137" s="50" t="s">
        <v>161</v>
      </c>
      <c r="Q137" s="53">
        <v>0.04</v>
      </c>
      <c r="R137" s="49">
        <v>110</v>
      </c>
      <c r="S137" s="49">
        <v>0</v>
      </c>
      <c r="T137" s="54">
        <f t="shared" si="330"/>
        <v>110</v>
      </c>
      <c r="U137" s="55">
        <v>77780</v>
      </c>
      <c r="V137" s="49">
        <v>7.56</v>
      </c>
      <c r="W137" s="56">
        <f t="shared" si="333"/>
        <v>14.550264550264551</v>
      </c>
      <c r="X137" s="49">
        <v>2001</v>
      </c>
      <c r="Y137" s="57" t="s">
        <v>249</v>
      </c>
      <c r="Z137" s="58">
        <v>29300000</v>
      </c>
      <c r="AA137" s="114">
        <f>(((13300000*0.068)/(Z137))+((16000000*0.04)/(Z137)))</f>
        <v>5.2709897610921506E-2</v>
      </c>
      <c r="AB137" s="59">
        <v>17</v>
      </c>
      <c r="AC137" s="60">
        <v>40</v>
      </c>
      <c r="AD137" s="61">
        <v>6.0499999999999998E-2</v>
      </c>
      <c r="AE137" s="62">
        <v>4760000</v>
      </c>
      <c r="AF137" s="63">
        <v>1.18</v>
      </c>
      <c r="AG137" s="59"/>
      <c r="AH137" s="60"/>
      <c r="AI137" s="61"/>
      <c r="AJ137" s="64"/>
      <c r="AK137" s="65">
        <f t="shared" si="334"/>
        <v>4760000</v>
      </c>
      <c r="AL137" s="66">
        <v>13322460</v>
      </c>
      <c r="AM137" s="49" t="s">
        <v>808</v>
      </c>
      <c r="AN137" s="67">
        <v>0.93</v>
      </c>
      <c r="AO137" s="62">
        <v>11581903</v>
      </c>
      <c r="AP137" s="62">
        <v>0</v>
      </c>
      <c r="AQ137" s="68">
        <v>209321</v>
      </c>
      <c r="AR137" s="69">
        <f t="shared" si="335"/>
        <v>43272.727272727272</v>
      </c>
      <c r="AS137" s="70">
        <f t="shared" si="336"/>
        <v>121113.27272727272</v>
      </c>
      <c r="AT137" s="70">
        <f t="shared" si="337"/>
        <v>105290.02727272727</v>
      </c>
      <c r="AU137" s="70" t="str">
        <f t="shared" si="338"/>
        <v/>
      </c>
      <c r="AV137" s="71">
        <f t="shared" si="339"/>
        <v>1902.9181818181819</v>
      </c>
      <c r="AW137" s="115">
        <f t="shared" si="340"/>
        <v>70094</v>
      </c>
      <c r="AX137" s="116">
        <f t="shared" si="341"/>
        <v>99.130110568269473</v>
      </c>
      <c r="AY137" s="72">
        <f t="shared" si="342"/>
        <v>86916.554545454535</v>
      </c>
      <c r="AZ137" s="73">
        <f t="shared" si="343"/>
        <v>122.92132939058884</v>
      </c>
      <c r="BA137" s="66">
        <v>11273000</v>
      </c>
      <c r="BB137" s="62">
        <v>1307050</v>
      </c>
      <c r="BC137" s="62">
        <v>6403290</v>
      </c>
      <c r="BD137" s="62">
        <v>771034</v>
      </c>
      <c r="BE137" s="62">
        <v>1079447</v>
      </c>
      <c r="BF137" s="62">
        <v>1323930</v>
      </c>
      <c r="BG137" s="62">
        <v>3765311</v>
      </c>
      <c r="BH137" s="62">
        <v>3499622</v>
      </c>
      <c r="BI137" s="62">
        <v>451000</v>
      </c>
      <c r="BJ137" s="47">
        <f t="shared" si="344"/>
        <v>29873684</v>
      </c>
      <c r="BK137" s="69">
        <f t="shared" si="345"/>
        <v>102481.81818181818</v>
      </c>
      <c r="BL137" s="70">
        <f t="shared" si="346"/>
        <v>11882.272727272728</v>
      </c>
      <c r="BM137" s="70">
        <f t="shared" si="347"/>
        <v>58211.727272727272</v>
      </c>
      <c r="BN137" s="70">
        <f t="shared" si="348"/>
        <v>7009.4</v>
      </c>
      <c r="BO137" s="70">
        <f t="shared" si="349"/>
        <v>9813.1545454545449</v>
      </c>
      <c r="BP137" s="70">
        <f t="shared" si="350"/>
        <v>12035.727272727272</v>
      </c>
      <c r="BQ137" s="70">
        <f t="shared" si="351"/>
        <v>34230.1</v>
      </c>
      <c r="BR137" s="70">
        <f t="shared" si="352"/>
        <v>31814.745454545453</v>
      </c>
      <c r="BS137" s="70">
        <f t="shared" si="353"/>
        <v>4100</v>
      </c>
      <c r="BT137" s="71">
        <f t="shared" si="354"/>
        <v>271578.94545454544</v>
      </c>
      <c r="BU137" s="65">
        <f t="shared" si="355"/>
        <v>144.93443044484442</v>
      </c>
      <c r="BV137" s="48">
        <f t="shared" si="356"/>
        <v>16.804448444330163</v>
      </c>
      <c r="BW137" s="48">
        <f t="shared" si="357"/>
        <v>82.32566212393931</v>
      </c>
      <c r="BX137" s="48">
        <f t="shared" si="358"/>
        <v>9.9130110568269476</v>
      </c>
      <c r="BY137" s="48">
        <f t="shared" si="359"/>
        <v>13.878207765492414</v>
      </c>
      <c r="BZ137" s="48">
        <f t="shared" si="360"/>
        <v>17.021470815119567</v>
      </c>
      <c r="CA137" s="48">
        <f t="shared" si="361"/>
        <v>48.409758292620211</v>
      </c>
      <c r="CB137" s="48">
        <f t="shared" si="362"/>
        <v>44.993854461301105</v>
      </c>
      <c r="CC137" s="48">
        <f t="shared" si="363"/>
        <v>5.7984057598354335</v>
      </c>
      <c r="CD137" s="47">
        <f t="shared" si="364"/>
        <v>384.0792491643096</v>
      </c>
      <c r="CE137" s="66">
        <v>1136400</v>
      </c>
      <c r="CF137" s="62">
        <v>14400</v>
      </c>
      <c r="CG137" s="74">
        <v>-86310</v>
      </c>
      <c r="CH137" s="75">
        <f t="shared" si="365"/>
        <v>1064490</v>
      </c>
      <c r="CI137" s="62">
        <f>64958+27674+4400</f>
        <v>97032</v>
      </c>
      <c r="CJ137" s="62">
        <v>59400</v>
      </c>
      <c r="CK137" s="62">
        <v>167245</v>
      </c>
      <c r="CL137" s="62">
        <f>1167+71209</f>
        <v>72376</v>
      </c>
      <c r="CM137" s="62">
        <f>18936+61248</f>
        <v>80184</v>
      </c>
      <c r="CN137" s="62">
        <v>63152</v>
      </c>
      <c r="CO137" s="62">
        <v>99082</v>
      </c>
      <c r="CP137" s="75">
        <f t="shared" si="331"/>
        <v>638471</v>
      </c>
      <c r="CQ137" s="62">
        <v>33000</v>
      </c>
      <c r="CR137" s="75">
        <f t="shared" si="332"/>
        <v>671471</v>
      </c>
      <c r="CS137" s="75">
        <f t="shared" si="366"/>
        <v>426019</v>
      </c>
      <c r="CT137" s="62">
        <f>4500+9950+1167+316275</f>
        <v>331892</v>
      </c>
      <c r="CU137" s="47">
        <f t="shared" si="367"/>
        <v>94127</v>
      </c>
      <c r="CV137" s="76">
        <f t="shared" si="368"/>
        <v>0.40020948999051187</v>
      </c>
      <c r="CW137" s="75">
        <f t="shared" si="369"/>
        <v>6104.2818181818184</v>
      </c>
      <c r="CX137" s="77">
        <f t="shared" si="370"/>
        <v>0.63079127093725629</v>
      </c>
      <c r="CY137" s="75">
        <f t="shared" si="371"/>
        <v>855.7</v>
      </c>
      <c r="CZ137" s="77">
        <f t="shared" si="372"/>
        <v>8.8424503752970909E-2</v>
      </c>
      <c r="DA137" s="77">
        <f t="shared" si="373"/>
        <v>0.31178498623754097</v>
      </c>
      <c r="DB137" s="47">
        <f t="shared" si="374"/>
        <v>43272.727272727272</v>
      </c>
      <c r="DC137" s="69">
        <f t="shared" si="375"/>
        <v>10330.90909090909</v>
      </c>
      <c r="DD137" s="70">
        <f t="shared" si="376"/>
        <v>130.90909090909091</v>
      </c>
      <c r="DE137" s="70">
        <f t="shared" si="377"/>
        <v>-784.63636363636363</v>
      </c>
      <c r="DF137" s="70">
        <f t="shared" si="378"/>
        <v>9677.181818181818</v>
      </c>
      <c r="DG137" s="70">
        <f t="shared" si="379"/>
        <v>882.10909090909092</v>
      </c>
      <c r="DH137" s="70">
        <f t="shared" si="380"/>
        <v>540</v>
      </c>
      <c r="DI137" s="70">
        <f t="shared" si="381"/>
        <v>1520.409090909091</v>
      </c>
      <c r="DJ137" s="70">
        <f t="shared" si="382"/>
        <v>657.9636363636364</v>
      </c>
      <c r="DK137" s="70">
        <f t="shared" si="383"/>
        <v>728.9454545454546</v>
      </c>
      <c r="DL137" s="70">
        <f t="shared" si="384"/>
        <v>574.10909090909092</v>
      </c>
      <c r="DM137" s="70">
        <f t="shared" si="385"/>
        <v>900.74545454545455</v>
      </c>
      <c r="DN137" s="70">
        <f t="shared" si="386"/>
        <v>5804.2818181818184</v>
      </c>
      <c r="DO137" s="70">
        <f t="shared" si="387"/>
        <v>300</v>
      </c>
      <c r="DP137" s="70">
        <f t="shared" si="388"/>
        <v>6104.2818181818184</v>
      </c>
      <c r="DQ137" s="70">
        <f t="shared" si="389"/>
        <v>3872.9</v>
      </c>
      <c r="DR137" s="70">
        <f t="shared" si="390"/>
        <v>3017.2</v>
      </c>
      <c r="DS137" s="71">
        <f t="shared" si="391"/>
        <v>855.7</v>
      </c>
      <c r="DT137" s="106">
        <f t="shared" si="392"/>
        <v>1.0675534763126004</v>
      </c>
      <c r="DU137" s="92">
        <f t="shared" si="393"/>
        <v>1.352760476848068E-2</v>
      </c>
      <c r="DV137" s="92" t="str">
        <f t="shared" si="394"/>
        <v/>
      </c>
      <c r="DW137" s="92">
        <f t="shared" si="395"/>
        <v>1</v>
      </c>
      <c r="DX137" s="92">
        <f t="shared" si="396"/>
        <v>9.1153510131612325E-2</v>
      </c>
      <c r="DY137" s="92">
        <f t="shared" si="397"/>
        <v>5.5801369669982809E-2</v>
      </c>
      <c r="DZ137" s="92">
        <f t="shared" si="398"/>
        <v>0.15711279579892717</v>
      </c>
      <c r="EA137" s="92">
        <f t="shared" si="399"/>
        <v>6.7991244633580403E-2</v>
      </c>
      <c r="EB137" s="92">
        <f t="shared" si="400"/>
        <v>7.5326212552489918E-2</v>
      </c>
      <c r="EC137" s="92">
        <f t="shared" si="401"/>
        <v>5.9326062245770278E-2</v>
      </c>
      <c r="ED137" s="92">
        <f t="shared" si="402"/>
        <v>9.3079314977125197E-2</v>
      </c>
      <c r="EE137" s="92">
        <f t="shared" si="403"/>
        <v>0.59979051000948813</v>
      </c>
      <c r="EF137" s="92">
        <f t="shared" si="404"/>
        <v>3.1000760927768226E-2</v>
      </c>
      <c r="EG137" s="92">
        <f t="shared" si="405"/>
        <v>0.63079127093725629</v>
      </c>
      <c r="EH137" s="92">
        <f t="shared" si="406"/>
        <v>0.40020948999051187</v>
      </c>
      <c r="EI137" s="92">
        <f t="shared" si="407"/>
        <v>0.31178498623754097</v>
      </c>
      <c r="EJ137" s="122">
        <f t="shared" si="408"/>
        <v>8.8424503752970909E-2</v>
      </c>
    </row>
    <row r="138" spans="2:140" ht="12" hidden="1" customHeight="1" outlineLevel="1">
      <c r="B138" s="121">
        <v>45065</v>
      </c>
      <c r="C138" s="117">
        <v>23413</v>
      </c>
      <c r="D138" s="50" t="s">
        <v>809</v>
      </c>
      <c r="E138" s="50" t="s">
        <v>810</v>
      </c>
      <c r="F138" s="50" t="s">
        <v>811</v>
      </c>
      <c r="G138" s="50" t="s">
        <v>154</v>
      </c>
      <c r="H138" s="50" t="s">
        <v>812</v>
      </c>
      <c r="I138" s="50" t="s">
        <v>182</v>
      </c>
      <c r="J138" s="52" t="s">
        <v>183</v>
      </c>
      <c r="K138" s="50" t="s">
        <v>184</v>
      </c>
      <c r="L138" s="49">
        <v>9</v>
      </c>
      <c r="M138" s="50" t="s">
        <v>159</v>
      </c>
      <c r="N138" s="50" t="s">
        <v>160</v>
      </c>
      <c r="O138" s="50" t="s">
        <v>160</v>
      </c>
      <c r="P138" s="50" t="s">
        <v>177</v>
      </c>
      <c r="Q138" s="53">
        <v>0.04</v>
      </c>
      <c r="R138" s="49">
        <v>199</v>
      </c>
      <c r="S138" s="49">
        <v>0</v>
      </c>
      <c r="T138" s="54">
        <f t="shared" si="330"/>
        <v>199</v>
      </c>
      <c r="U138" s="55">
        <v>171180</v>
      </c>
      <c r="V138" s="49">
        <v>6.9640000000000004</v>
      </c>
      <c r="W138" s="56">
        <f t="shared" si="333"/>
        <v>28.575531303848361</v>
      </c>
      <c r="X138" s="49" t="s">
        <v>163</v>
      </c>
      <c r="Y138" s="57" t="s">
        <v>162</v>
      </c>
      <c r="Z138" s="58">
        <v>33299600</v>
      </c>
      <c r="AA138" s="114">
        <f>(((18059600*0.0575)/(Z138))+((14000000*0.0706)/(Z138))+((1240000*0)/(Z138)))</f>
        <v>6.0866406803685325E-2</v>
      </c>
      <c r="AB138" s="59">
        <v>40</v>
      </c>
      <c r="AC138" s="60">
        <v>40</v>
      </c>
      <c r="AD138" s="61">
        <v>5.7500000000000002E-2</v>
      </c>
      <c r="AE138" s="62">
        <v>18059600</v>
      </c>
      <c r="AF138" s="63">
        <v>1.24</v>
      </c>
      <c r="AG138" s="59">
        <v>40</v>
      </c>
      <c r="AH138" s="60">
        <v>0</v>
      </c>
      <c r="AI138" s="61">
        <v>0.03</v>
      </c>
      <c r="AJ138" s="64">
        <v>1240000</v>
      </c>
      <c r="AK138" s="65">
        <f t="shared" si="334"/>
        <v>19299600</v>
      </c>
      <c r="AL138" s="66">
        <v>1622384</v>
      </c>
      <c r="AM138" s="49" t="s">
        <v>813</v>
      </c>
      <c r="AN138" s="67">
        <v>0.91</v>
      </c>
      <c r="AO138" s="62">
        <v>17553173</v>
      </c>
      <c r="AP138" s="62">
        <v>0</v>
      </c>
      <c r="AQ138" s="68">
        <v>3410656</v>
      </c>
      <c r="AR138" s="69">
        <f t="shared" si="335"/>
        <v>96982.91457286432</v>
      </c>
      <c r="AS138" s="70">
        <f t="shared" si="336"/>
        <v>8152.6834170854272</v>
      </c>
      <c r="AT138" s="70">
        <f t="shared" si="337"/>
        <v>88206.899497487437</v>
      </c>
      <c r="AU138" s="70" t="str">
        <f t="shared" si="338"/>
        <v/>
      </c>
      <c r="AV138" s="71">
        <f t="shared" si="339"/>
        <v>17138.974874371859</v>
      </c>
      <c r="AW138" s="115">
        <f t="shared" si="340"/>
        <v>124843.08040201005</v>
      </c>
      <c r="AX138" s="116">
        <f t="shared" si="341"/>
        <v>145.13245122093701</v>
      </c>
      <c r="AY138" s="72">
        <f t="shared" si="342"/>
        <v>146066.40703517589</v>
      </c>
      <c r="AZ138" s="73">
        <f t="shared" si="343"/>
        <v>169.80497137516065</v>
      </c>
      <c r="BA138" s="66">
        <v>1240000</v>
      </c>
      <c r="BB138" s="62">
        <v>3546800</v>
      </c>
      <c r="BC138" s="62">
        <v>21296973</v>
      </c>
      <c r="BD138" s="62">
        <v>1242189</v>
      </c>
      <c r="BE138" s="62">
        <v>2981253</v>
      </c>
      <c r="BF138" s="62">
        <v>1858326</v>
      </c>
      <c r="BG138" s="62">
        <v>3214066</v>
      </c>
      <c r="BH138" s="62">
        <v>4838912</v>
      </c>
      <c r="BI138" s="62">
        <v>1667294</v>
      </c>
      <c r="BJ138" s="47">
        <f t="shared" si="344"/>
        <v>41885813</v>
      </c>
      <c r="BK138" s="69">
        <f t="shared" si="345"/>
        <v>6231.155778894472</v>
      </c>
      <c r="BL138" s="70">
        <f t="shared" si="346"/>
        <v>17823.115577889446</v>
      </c>
      <c r="BM138" s="70">
        <f t="shared" si="347"/>
        <v>107019.9648241206</v>
      </c>
      <c r="BN138" s="70">
        <f t="shared" si="348"/>
        <v>6242.155778894472</v>
      </c>
      <c r="BO138" s="70">
        <f t="shared" si="349"/>
        <v>14981.170854271357</v>
      </c>
      <c r="BP138" s="70">
        <f t="shared" si="350"/>
        <v>9338.3216080402017</v>
      </c>
      <c r="BQ138" s="70">
        <f t="shared" si="351"/>
        <v>16151.085427135678</v>
      </c>
      <c r="BR138" s="70">
        <f t="shared" si="352"/>
        <v>24316.140703517587</v>
      </c>
      <c r="BS138" s="70">
        <f t="shared" si="353"/>
        <v>8378.3618090452255</v>
      </c>
      <c r="BT138" s="71">
        <f t="shared" si="354"/>
        <v>210481.47236180905</v>
      </c>
      <c r="BU138" s="65">
        <f t="shared" si="355"/>
        <v>7.2438368968337423</v>
      </c>
      <c r="BV138" s="48">
        <f t="shared" si="356"/>
        <v>20.719710246524127</v>
      </c>
      <c r="BW138" s="48">
        <f t="shared" si="357"/>
        <v>124.4127409744129</v>
      </c>
      <c r="BX138" s="48">
        <f t="shared" si="358"/>
        <v>7.2566246056782333</v>
      </c>
      <c r="BY138" s="48">
        <f t="shared" si="359"/>
        <v>17.415895548545389</v>
      </c>
      <c r="BZ138" s="48">
        <f t="shared" si="360"/>
        <v>10.855976165439888</v>
      </c>
      <c r="CA138" s="48">
        <f t="shared" si="361"/>
        <v>18.775943451337774</v>
      </c>
      <c r="CB138" s="48">
        <f t="shared" si="362"/>
        <v>28.267975230751254</v>
      </c>
      <c r="CC138" s="48">
        <f t="shared" si="363"/>
        <v>9.7400046734431598</v>
      </c>
      <c r="CD138" s="47">
        <f t="shared" si="364"/>
        <v>244.68870779296645</v>
      </c>
      <c r="CE138" s="66">
        <v>2377740</v>
      </c>
      <c r="CF138" s="62">
        <v>52536</v>
      </c>
      <c r="CG138" s="74">
        <v>-182271</v>
      </c>
      <c r="CH138" s="75">
        <f t="shared" si="365"/>
        <v>2248005</v>
      </c>
      <c r="CI138" s="62">
        <f>111416+7960</f>
        <v>119376</v>
      </c>
      <c r="CJ138" s="62">
        <v>89920</v>
      </c>
      <c r="CK138" s="62">
        <v>186840</v>
      </c>
      <c r="CL138" s="62">
        <v>158802</v>
      </c>
      <c r="CM138" s="62">
        <f>29850+104475</f>
        <v>134325</v>
      </c>
      <c r="CN138" s="62">
        <v>69950</v>
      </c>
      <c r="CO138" s="62">
        <v>0</v>
      </c>
      <c r="CP138" s="75">
        <f t="shared" si="331"/>
        <v>759213</v>
      </c>
      <c r="CQ138" s="62">
        <v>49750</v>
      </c>
      <c r="CR138" s="75">
        <f t="shared" si="332"/>
        <v>808963</v>
      </c>
      <c r="CS138" s="75">
        <f t="shared" si="366"/>
        <v>1488792</v>
      </c>
      <c r="CT138" s="62">
        <f>6000+1154849</f>
        <v>1160849</v>
      </c>
      <c r="CU138" s="47">
        <f t="shared" si="367"/>
        <v>327943</v>
      </c>
      <c r="CV138" s="76">
        <f t="shared" si="368"/>
        <v>0.66227254832618254</v>
      </c>
      <c r="CW138" s="75">
        <f t="shared" si="369"/>
        <v>4065.140703517588</v>
      </c>
      <c r="CX138" s="77">
        <f t="shared" si="370"/>
        <v>0.35985818536880476</v>
      </c>
      <c r="CY138" s="75">
        <f t="shared" si="371"/>
        <v>1647.9547738693468</v>
      </c>
      <c r="CZ138" s="77">
        <f t="shared" si="372"/>
        <v>0.14588179296754233</v>
      </c>
      <c r="DA138" s="77">
        <f t="shared" si="373"/>
        <v>0.51639075535864021</v>
      </c>
      <c r="DB138" s="47">
        <f t="shared" si="374"/>
        <v>96982.91457286432</v>
      </c>
      <c r="DC138" s="69">
        <f t="shared" si="375"/>
        <v>11948.442211055277</v>
      </c>
      <c r="DD138" s="70">
        <f t="shared" si="376"/>
        <v>264</v>
      </c>
      <c r="DE138" s="70">
        <f t="shared" si="377"/>
        <v>-915.9346733668342</v>
      </c>
      <c r="DF138" s="70">
        <f t="shared" si="378"/>
        <v>11296.507537688442</v>
      </c>
      <c r="DG138" s="70">
        <f t="shared" si="379"/>
        <v>599.8793969849246</v>
      </c>
      <c r="DH138" s="70">
        <f t="shared" si="380"/>
        <v>451.85929648241205</v>
      </c>
      <c r="DI138" s="70">
        <f t="shared" si="381"/>
        <v>938.89447236180899</v>
      </c>
      <c r="DJ138" s="70">
        <f t="shared" si="382"/>
        <v>798</v>
      </c>
      <c r="DK138" s="70">
        <f t="shared" si="383"/>
        <v>675</v>
      </c>
      <c r="DL138" s="70">
        <f t="shared" si="384"/>
        <v>351.5075376884422</v>
      </c>
      <c r="DM138" s="70" t="str">
        <f t="shared" si="385"/>
        <v/>
      </c>
      <c r="DN138" s="70">
        <f t="shared" si="386"/>
        <v>3815.140703517588</v>
      </c>
      <c r="DO138" s="70">
        <f t="shared" si="387"/>
        <v>250</v>
      </c>
      <c r="DP138" s="70">
        <f t="shared" si="388"/>
        <v>4065.140703517588</v>
      </c>
      <c r="DQ138" s="70">
        <f t="shared" si="389"/>
        <v>7481.3668341708544</v>
      </c>
      <c r="DR138" s="70">
        <f t="shared" si="390"/>
        <v>5833.4120603015072</v>
      </c>
      <c r="DS138" s="71">
        <f t="shared" si="391"/>
        <v>1647.9547738693468</v>
      </c>
      <c r="DT138" s="106">
        <f t="shared" si="392"/>
        <v>1.0577111705712399</v>
      </c>
      <c r="DU138" s="92">
        <f t="shared" si="393"/>
        <v>2.3370054781906624E-2</v>
      </c>
      <c r="DV138" s="92" t="str">
        <f t="shared" si="394"/>
        <v/>
      </c>
      <c r="DW138" s="92">
        <f t="shared" si="395"/>
        <v>1</v>
      </c>
      <c r="DX138" s="92">
        <f t="shared" si="396"/>
        <v>5.3103084735131818E-2</v>
      </c>
      <c r="DY138" s="92">
        <f t="shared" si="397"/>
        <v>3.9999911032226353E-2</v>
      </c>
      <c r="DZ138" s="92">
        <f t="shared" si="398"/>
        <v>8.3113694142139358E-2</v>
      </c>
      <c r="EA138" s="92">
        <f t="shared" si="399"/>
        <v>7.0641301954399563E-2</v>
      </c>
      <c r="EB138" s="92">
        <f t="shared" si="400"/>
        <v>5.9752980976465801E-2</v>
      </c>
      <c r="EC138" s="92">
        <f t="shared" si="401"/>
        <v>3.1116478833454551E-2</v>
      </c>
      <c r="ED138" s="92" t="str">
        <f t="shared" si="402"/>
        <v/>
      </c>
      <c r="EE138" s="92">
        <f t="shared" si="403"/>
        <v>0.33772745167381746</v>
      </c>
      <c r="EF138" s="92">
        <f t="shared" si="404"/>
        <v>2.2130733694987335E-2</v>
      </c>
      <c r="EG138" s="92">
        <f t="shared" si="405"/>
        <v>0.35985818536880476</v>
      </c>
      <c r="EH138" s="92">
        <f t="shared" si="406"/>
        <v>0.66227254832618254</v>
      </c>
      <c r="EI138" s="92">
        <f t="shared" si="407"/>
        <v>0.51639075535864021</v>
      </c>
      <c r="EJ138" s="122">
        <f t="shared" si="408"/>
        <v>0.14588179296754233</v>
      </c>
    </row>
    <row r="139" spans="2:140" ht="12" hidden="1" customHeight="1" outlineLevel="1">
      <c r="B139" s="121">
        <v>45065</v>
      </c>
      <c r="C139" s="117">
        <v>23401</v>
      </c>
      <c r="D139" s="50" t="s">
        <v>814</v>
      </c>
      <c r="E139" s="50" t="s">
        <v>815</v>
      </c>
      <c r="F139" s="50" t="s">
        <v>816</v>
      </c>
      <c r="G139" s="50" t="s">
        <v>162</v>
      </c>
      <c r="H139" s="50" t="s">
        <v>317</v>
      </c>
      <c r="I139" s="50" t="s">
        <v>396</v>
      </c>
      <c r="J139" s="52" t="s">
        <v>191</v>
      </c>
      <c r="K139" s="50" t="s">
        <v>192</v>
      </c>
      <c r="L139" s="49">
        <v>3</v>
      </c>
      <c r="M139" s="50" t="s">
        <v>159</v>
      </c>
      <c r="N139" s="50" t="s">
        <v>160</v>
      </c>
      <c r="O139" s="50" t="s">
        <v>160</v>
      </c>
      <c r="P139" s="50" t="s">
        <v>161</v>
      </c>
      <c r="Q139" s="53">
        <v>0.04</v>
      </c>
      <c r="R139" s="49">
        <v>100</v>
      </c>
      <c r="S139" s="49">
        <v>1</v>
      </c>
      <c r="T139" s="54">
        <f t="shared" si="330"/>
        <v>101</v>
      </c>
      <c r="U139" s="55">
        <v>90359</v>
      </c>
      <c r="V139" s="49">
        <v>8.8699999999999992</v>
      </c>
      <c r="W139" s="56">
        <f t="shared" si="333"/>
        <v>11.386696730552424</v>
      </c>
      <c r="X139" s="49">
        <v>1972</v>
      </c>
      <c r="Y139" s="57" t="s">
        <v>162</v>
      </c>
      <c r="Z139" s="58">
        <v>22000000</v>
      </c>
      <c r="AA139" s="114">
        <f>(((15400000*0.0608)/(Z139))+((6600000*0.0634)/(Z139)))</f>
        <v>6.1579999999999996E-2</v>
      </c>
      <c r="AB139" s="59">
        <v>15</v>
      </c>
      <c r="AC139" s="60">
        <v>40</v>
      </c>
      <c r="AD139" s="61">
        <v>6.08E-2</v>
      </c>
      <c r="AE139" s="62">
        <v>15400000</v>
      </c>
      <c r="AF139" s="63">
        <v>1.21</v>
      </c>
      <c r="AG139" s="59"/>
      <c r="AH139" s="60"/>
      <c r="AI139" s="61"/>
      <c r="AJ139" s="64"/>
      <c r="AK139" s="65">
        <f t="shared" si="334"/>
        <v>15400000</v>
      </c>
      <c r="AL139" s="66">
        <v>907867</v>
      </c>
      <c r="AM139" s="49" t="s">
        <v>817</v>
      </c>
      <c r="AN139" s="67">
        <v>0.9</v>
      </c>
      <c r="AO139" s="62">
        <v>10697368</v>
      </c>
      <c r="AP139" s="62">
        <v>0</v>
      </c>
      <c r="AQ139" s="68">
        <v>1743048</v>
      </c>
      <c r="AR139" s="69">
        <f t="shared" si="335"/>
        <v>152475.24752475249</v>
      </c>
      <c r="AS139" s="70">
        <f t="shared" si="336"/>
        <v>8988.7821782178216</v>
      </c>
      <c r="AT139" s="196">
        <f t="shared" si="337"/>
        <v>105914.53465346535</v>
      </c>
      <c r="AU139" s="70" t="str">
        <f t="shared" si="338"/>
        <v/>
      </c>
      <c r="AV139" s="71">
        <f t="shared" si="339"/>
        <v>17257.90099009901</v>
      </c>
      <c r="AW139" s="115">
        <f t="shared" si="340"/>
        <v>77138.217821782178</v>
      </c>
      <c r="AX139" s="116">
        <f t="shared" si="341"/>
        <v>86.222291083345326</v>
      </c>
      <c r="AY139" s="72">
        <f t="shared" si="342"/>
        <v>96731.316831683172</v>
      </c>
      <c r="AZ139" s="73">
        <f t="shared" si="343"/>
        <v>108.12274372226342</v>
      </c>
      <c r="BA139" s="66">
        <v>10716000</v>
      </c>
      <c r="BB139" s="62">
        <v>1169207</v>
      </c>
      <c r="BC139" s="62">
        <v>6621753</v>
      </c>
      <c r="BD139" s="62">
        <v>779096</v>
      </c>
      <c r="BE139" s="62">
        <v>1199807</v>
      </c>
      <c r="BF139" s="62">
        <v>1659411</v>
      </c>
      <c r="BG139" s="62">
        <v>2698922</v>
      </c>
      <c r="BH139" s="62">
        <v>3321851</v>
      </c>
      <c r="BI139" s="62">
        <v>582237</v>
      </c>
      <c r="BJ139" s="47">
        <f t="shared" si="344"/>
        <v>28748284</v>
      </c>
      <c r="BK139" s="69">
        <f t="shared" si="345"/>
        <v>106099.0099009901</v>
      </c>
      <c r="BL139" s="70">
        <f t="shared" si="346"/>
        <v>11576.30693069307</v>
      </c>
      <c r="BM139" s="70">
        <f t="shared" si="347"/>
        <v>65561.910891089108</v>
      </c>
      <c r="BN139" s="70">
        <f t="shared" si="348"/>
        <v>7713.8217821782182</v>
      </c>
      <c r="BO139" s="70">
        <f t="shared" si="349"/>
        <v>11879.277227722772</v>
      </c>
      <c r="BP139" s="70">
        <f t="shared" si="350"/>
        <v>16429.811881188118</v>
      </c>
      <c r="BQ139" s="70">
        <f t="shared" si="351"/>
        <v>26722</v>
      </c>
      <c r="BR139" s="70">
        <f t="shared" si="352"/>
        <v>32889.61386138614</v>
      </c>
      <c r="BS139" s="70">
        <f t="shared" si="353"/>
        <v>5764.7227722772277</v>
      </c>
      <c r="BT139" s="71">
        <f t="shared" si="354"/>
        <v>284636.47524752474</v>
      </c>
      <c r="BU139" s="65">
        <f t="shared" si="355"/>
        <v>118.59360993370888</v>
      </c>
      <c r="BV139" s="48">
        <f t="shared" si="356"/>
        <v>12.939574364479466</v>
      </c>
      <c r="BW139" s="48">
        <f t="shared" si="357"/>
        <v>73.282716718865856</v>
      </c>
      <c r="BX139" s="48">
        <f t="shared" si="358"/>
        <v>8.6222291083345315</v>
      </c>
      <c r="BY139" s="48">
        <f t="shared" si="359"/>
        <v>13.278223530583562</v>
      </c>
      <c r="BZ139" s="48">
        <f t="shared" si="360"/>
        <v>18.364645469737383</v>
      </c>
      <c r="CA139" s="48">
        <f t="shared" si="361"/>
        <v>29.868878584313681</v>
      </c>
      <c r="CB139" s="48">
        <f t="shared" si="362"/>
        <v>36.762812780132585</v>
      </c>
      <c r="CC139" s="48">
        <f t="shared" si="363"/>
        <v>6.4435972066977278</v>
      </c>
      <c r="CD139" s="47">
        <f t="shared" si="364"/>
        <v>318.15628769685367</v>
      </c>
      <c r="CE139" s="66">
        <v>2005440</v>
      </c>
      <c r="CF139" s="62">
        <v>3036</v>
      </c>
      <c r="CG139" s="74">
        <v>-100424</v>
      </c>
      <c r="CH139" s="75">
        <f t="shared" si="365"/>
        <v>1908052</v>
      </c>
      <c r="CI139" s="62">
        <f>47519+4040</f>
        <v>51559</v>
      </c>
      <c r="CJ139" s="62">
        <v>76331</v>
      </c>
      <c r="CK139" s="62">
        <v>205083</v>
      </c>
      <c r="CL139" s="62">
        <v>83478</v>
      </c>
      <c r="CM139" s="62">
        <f>18808+93230</f>
        <v>112038</v>
      </c>
      <c r="CN139" s="62">
        <v>97800</v>
      </c>
      <c r="CO139" s="62">
        <v>0</v>
      </c>
      <c r="CP139" s="75">
        <f t="shared" si="331"/>
        <v>626289</v>
      </c>
      <c r="CQ139" s="62">
        <v>30300</v>
      </c>
      <c r="CR139" s="75">
        <f t="shared" si="332"/>
        <v>656589</v>
      </c>
      <c r="CS139" s="75">
        <f t="shared" si="366"/>
        <v>1281763</v>
      </c>
      <c r="CT139" s="62">
        <f>5000+1027120</f>
        <v>1032120</v>
      </c>
      <c r="CU139" s="47">
        <f t="shared" si="367"/>
        <v>249643</v>
      </c>
      <c r="CV139" s="76">
        <f t="shared" si="368"/>
        <v>0.67176523490974038</v>
      </c>
      <c r="CW139" s="75">
        <f t="shared" si="369"/>
        <v>6500.8811881188121</v>
      </c>
      <c r="CX139" s="77">
        <f t="shared" si="370"/>
        <v>0.34411483544473631</v>
      </c>
      <c r="CY139" s="75">
        <f t="shared" si="371"/>
        <v>2471.7128712871286</v>
      </c>
      <c r="CZ139" s="77">
        <f t="shared" si="372"/>
        <v>0.13083658097368417</v>
      </c>
      <c r="DA139" s="77">
        <f t="shared" si="373"/>
        <v>0.54092865393605627</v>
      </c>
      <c r="DB139" s="47">
        <f t="shared" si="374"/>
        <v>152475.24752475249</v>
      </c>
      <c r="DC139" s="69">
        <f t="shared" si="375"/>
        <v>19855.841584158417</v>
      </c>
      <c r="DD139" s="70">
        <f t="shared" si="376"/>
        <v>30.059405940594058</v>
      </c>
      <c r="DE139" s="70">
        <f t="shared" si="377"/>
        <v>-994.29702970297035</v>
      </c>
      <c r="DF139" s="70">
        <f t="shared" si="378"/>
        <v>18891.603960396038</v>
      </c>
      <c r="DG139" s="70">
        <f t="shared" si="379"/>
        <v>510.48514851485146</v>
      </c>
      <c r="DH139" s="70">
        <f t="shared" si="380"/>
        <v>755.75247524752479</v>
      </c>
      <c r="DI139" s="70">
        <f t="shared" si="381"/>
        <v>2030.5247524752476</v>
      </c>
      <c r="DJ139" s="70">
        <f t="shared" si="382"/>
        <v>826.51485148514848</v>
      </c>
      <c r="DK139" s="70">
        <f t="shared" si="383"/>
        <v>1109.2871287128712</v>
      </c>
      <c r="DL139" s="70">
        <f t="shared" si="384"/>
        <v>968.31683168316829</v>
      </c>
      <c r="DM139" s="70" t="str">
        <f t="shared" si="385"/>
        <v/>
      </c>
      <c r="DN139" s="70">
        <f t="shared" si="386"/>
        <v>6200.8811881188121</v>
      </c>
      <c r="DO139" s="70">
        <f t="shared" si="387"/>
        <v>300</v>
      </c>
      <c r="DP139" s="70">
        <f t="shared" si="388"/>
        <v>6500.8811881188121</v>
      </c>
      <c r="DQ139" s="70">
        <f t="shared" si="389"/>
        <v>12690.722772277228</v>
      </c>
      <c r="DR139" s="70">
        <f t="shared" si="390"/>
        <v>10219.009900990099</v>
      </c>
      <c r="DS139" s="71">
        <f t="shared" si="391"/>
        <v>2471.7128712871286</v>
      </c>
      <c r="DT139" s="106">
        <f t="shared" si="392"/>
        <v>1.0510405376792666</v>
      </c>
      <c r="DU139" s="92">
        <f t="shared" si="393"/>
        <v>1.5911516038346963E-3</v>
      </c>
      <c r="DV139" s="92" t="str">
        <f t="shared" si="394"/>
        <v/>
      </c>
      <c r="DW139" s="92">
        <f t="shared" si="395"/>
        <v>1</v>
      </c>
      <c r="DX139" s="92">
        <f t="shared" si="396"/>
        <v>2.7021800244437781E-2</v>
      </c>
      <c r="DY139" s="92">
        <f t="shared" si="397"/>
        <v>4.0004674925002044E-2</v>
      </c>
      <c r="DZ139" s="92">
        <f t="shared" si="398"/>
        <v>0.10748291975271114</v>
      </c>
      <c r="EA139" s="92">
        <f t="shared" si="399"/>
        <v>4.37503799686801E-2</v>
      </c>
      <c r="EB139" s="92">
        <f t="shared" si="400"/>
        <v>5.8718525490919535E-2</v>
      </c>
      <c r="EC139" s="92">
        <f t="shared" si="401"/>
        <v>5.1256464708508989E-2</v>
      </c>
      <c r="ED139" s="92" t="str">
        <f t="shared" si="402"/>
        <v/>
      </c>
      <c r="EE139" s="92">
        <f t="shared" si="403"/>
        <v>0.32823476509025962</v>
      </c>
      <c r="EF139" s="92">
        <f t="shared" si="404"/>
        <v>1.5880070354476711E-2</v>
      </c>
      <c r="EG139" s="92">
        <f t="shared" si="405"/>
        <v>0.34411483544473631</v>
      </c>
      <c r="EH139" s="92">
        <f t="shared" si="406"/>
        <v>0.67176523490974038</v>
      </c>
      <c r="EI139" s="92">
        <f t="shared" si="407"/>
        <v>0.54092865393605627</v>
      </c>
      <c r="EJ139" s="122">
        <f t="shared" si="408"/>
        <v>0.13083658097368417</v>
      </c>
    </row>
    <row r="140" spans="2:140" ht="12" hidden="1" customHeight="1" outlineLevel="1">
      <c r="B140" s="121">
        <v>45070</v>
      </c>
      <c r="C140" s="117">
        <v>23438</v>
      </c>
      <c r="D140" s="50" t="s">
        <v>818</v>
      </c>
      <c r="E140" s="50" t="s">
        <v>357</v>
      </c>
      <c r="F140" s="50" t="s">
        <v>358</v>
      </c>
      <c r="G140" s="50" t="s">
        <v>291</v>
      </c>
      <c r="H140" s="50" t="s">
        <v>573</v>
      </c>
      <c r="I140" s="50" t="s">
        <v>819</v>
      </c>
      <c r="J140" s="52" t="s">
        <v>360</v>
      </c>
      <c r="K140" s="50" t="s">
        <v>294</v>
      </c>
      <c r="L140" s="49">
        <v>7</v>
      </c>
      <c r="M140" s="50" t="s">
        <v>159</v>
      </c>
      <c r="N140" s="50" t="s">
        <v>160</v>
      </c>
      <c r="O140" s="50" t="s">
        <v>160</v>
      </c>
      <c r="P140" s="50" t="s">
        <v>177</v>
      </c>
      <c r="Q140" s="53">
        <v>0.04</v>
      </c>
      <c r="R140" s="49">
        <v>110</v>
      </c>
      <c r="S140" s="49">
        <v>0</v>
      </c>
      <c r="T140" s="54">
        <f t="shared" si="330"/>
        <v>110</v>
      </c>
      <c r="U140" s="55">
        <v>113253</v>
      </c>
      <c r="V140" s="49">
        <v>4.9000000000000004</v>
      </c>
      <c r="W140" s="56">
        <f t="shared" si="333"/>
        <v>22.448979591836732</v>
      </c>
      <c r="X140" s="49" t="s">
        <v>163</v>
      </c>
      <c r="Y140" s="188" t="s">
        <v>162</v>
      </c>
      <c r="Z140" s="58">
        <v>26000000</v>
      </c>
      <c r="AA140" s="114">
        <v>4.8899999999999999E-2</v>
      </c>
      <c r="AB140" s="59">
        <v>18</v>
      </c>
      <c r="AC140" s="60">
        <v>40</v>
      </c>
      <c r="AD140" s="61">
        <v>5.7799999999999997E-2</v>
      </c>
      <c r="AE140" s="62">
        <v>10414033</v>
      </c>
      <c r="AF140" s="63">
        <v>1.1599999999999999</v>
      </c>
      <c r="AG140" s="59"/>
      <c r="AH140" s="60"/>
      <c r="AI140" s="61"/>
      <c r="AJ140" s="64"/>
      <c r="AK140" s="65">
        <f t="shared" si="334"/>
        <v>10414033</v>
      </c>
      <c r="AL140" s="66">
        <v>17350000</v>
      </c>
      <c r="AM140" s="49" t="s">
        <v>820</v>
      </c>
      <c r="AN140" s="194">
        <v>0.92</v>
      </c>
      <c r="AO140" s="62">
        <v>15375296</v>
      </c>
      <c r="AP140" s="62">
        <v>0</v>
      </c>
      <c r="AQ140" s="189">
        <v>2093486</v>
      </c>
      <c r="AR140" s="69">
        <f t="shared" si="335"/>
        <v>94673.027272727268</v>
      </c>
      <c r="AS140" s="70">
        <f t="shared" si="336"/>
        <v>157727.27272727274</v>
      </c>
      <c r="AT140" s="196">
        <f t="shared" si="337"/>
        <v>139775.41818181818</v>
      </c>
      <c r="AU140" s="70" t="str">
        <f t="shared" si="338"/>
        <v/>
      </c>
      <c r="AV140" s="71">
        <f t="shared" si="339"/>
        <v>19031.69090909091</v>
      </c>
      <c r="AW140" s="196">
        <f t="shared" si="340"/>
        <v>239884.1090909091</v>
      </c>
      <c r="AX140" s="116">
        <f t="shared" si="341"/>
        <v>232.99384563764315</v>
      </c>
      <c r="AY140" s="72">
        <f t="shared" si="342"/>
        <v>288772.81818181818</v>
      </c>
      <c r="AZ140" s="73">
        <f t="shared" si="343"/>
        <v>280.4783096253521</v>
      </c>
      <c r="BA140" s="66">
        <v>2750000</v>
      </c>
      <c r="BB140" s="62">
        <v>4461417</v>
      </c>
      <c r="BC140" s="62">
        <v>21925835</v>
      </c>
      <c r="BD140" s="62">
        <v>1512620</v>
      </c>
      <c r="BE140" s="62">
        <v>3865138</v>
      </c>
      <c r="BF140" s="62">
        <v>1612932</v>
      </c>
      <c r="BG140" s="62">
        <v>3199046</v>
      </c>
      <c r="BH140" s="62">
        <v>5450000</v>
      </c>
      <c r="BI140" s="62">
        <v>455827</v>
      </c>
      <c r="BJ140" s="47">
        <f t="shared" si="344"/>
        <v>45232815</v>
      </c>
      <c r="BK140" s="69">
        <f t="shared" si="345"/>
        <v>25000</v>
      </c>
      <c r="BL140" s="70">
        <f t="shared" si="346"/>
        <v>40558.336363636365</v>
      </c>
      <c r="BM140" s="70">
        <f t="shared" si="347"/>
        <v>199325.77272727274</v>
      </c>
      <c r="BN140" s="70">
        <f t="shared" si="348"/>
        <v>13751.09090909091</v>
      </c>
      <c r="BO140" s="70">
        <f t="shared" si="349"/>
        <v>35137.618181818179</v>
      </c>
      <c r="BP140" s="70">
        <f t="shared" si="350"/>
        <v>14663.018181818183</v>
      </c>
      <c r="BQ140" s="70">
        <f t="shared" si="351"/>
        <v>29082.236363636363</v>
      </c>
      <c r="BR140" s="70">
        <f t="shared" si="352"/>
        <v>49545.454545454544</v>
      </c>
      <c r="BS140" s="70">
        <f t="shared" si="353"/>
        <v>4143.8818181818178</v>
      </c>
      <c r="BT140" s="71">
        <f t="shared" si="354"/>
        <v>411207.40909090912</v>
      </c>
      <c r="BU140" s="48">
        <f t="shared" si="355"/>
        <v>24.28191747679973</v>
      </c>
      <c r="BV140" s="48">
        <f t="shared" si="356"/>
        <v>39.393367063124153</v>
      </c>
      <c r="BW140" s="48">
        <f t="shared" si="357"/>
        <v>193.600478574519</v>
      </c>
      <c r="BX140" s="48">
        <f t="shared" si="358"/>
        <v>13.356114186820658</v>
      </c>
      <c r="BY140" s="48">
        <f t="shared" si="359"/>
        <v>34.12834980088828</v>
      </c>
      <c r="BZ140" s="48">
        <f t="shared" si="360"/>
        <v>14.241847898068926</v>
      </c>
      <c r="CA140" s="48">
        <f t="shared" si="361"/>
        <v>28.246898536904098</v>
      </c>
      <c r="CB140" s="48">
        <f t="shared" si="362"/>
        <v>48.122345544930376</v>
      </c>
      <c r="CC140" s="48">
        <f t="shared" si="363"/>
        <v>4.0248558537080692</v>
      </c>
      <c r="CD140" s="47">
        <f t="shared" si="364"/>
        <v>399.39617493576327</v>
      </c>
      <c r="CE140" s="66">
        <v>1551756</v>
      </c>
      <c r="CF140" s="62">
        <v>26400</v>
      </c>
      <c r="CG140" s="74">
        <v>-118362</v>
      </c>
      <c r="CH140" s="75">
        <f t="shared" si="365"/>
        <v>1459794</v>
      </c>
      <c r="CI140" s="62">
        <f>94809+4400</f>
        <v>99209</v>
      </c>
      <c r="CJ140" s="62">
        <v>73700</v>
      </c>
      <c r="CK140" s="62">
        <f>234480+4970</f>
        <v>239450</v>
      </c>
      <c r="CL140" s="62">
        <f>11750+101623</f>
        <v>113373</v>
      </c>
      <c r="CM140" s="62">
        <f>12015+77761</f>
        <v>89776</v>
      </c>
      <c r="CN140" s="62">
        <v>39450</v>
      </c>
      <c r="CO140" s="62">
        <v>0</v>
      </c>
      <c r="CP140" s="75">
        <f t="shared" si="331"/>
        <v>654958</v>
      </c>
      <c r="CQ140" s="62">
        <v>27500</v>
      </c>
      <c r="CR140" s="75">
        <f t="shared" si="332"/>
        <v>682458</v>
      </c>
      <c r="CS140" s="75">
        <f t="shared" si="366"/>
        <v>804836</v>
      </c>
      <c r="CT140" s="62">
        <f>5000+668526</f>
        <v>673526</v>
      </c>
      <c r="CU140" s="47">
        <f t="shared" ref="CU140:CU148" si="413">IFERROR(IF(CS140-CT140&gt;0,CS140-CT140,""),"")</f>
        <v>131310</v>
      </c>
      <c r="CV140" s="76">
        <f t="shared" ref="CV140:CV148" si="414">IFERROR(IF(CU140&gt;0,CS140/CH140,""),"")</f>
        <v>0.551335325395227</v>
      </c>
      <c r="CW140" s="75">
        <f t="shared" ref="CW140:CW148" si="415">IFERROR(IF(CU140&gt;0,CR140/T140,""),"")</f>
        <v>6204.1636363636362</v>
      </c>
      <c r="CX140" s="77">
        <f t="shared" ref="CX140:CX148" si="416">IFERROR(IF(CU140&gt;0,CR140/CH140,""),"")</f>
        <v>0.46750294904623529</v>
      </c>
      <c r="CY140" s="75">
        <f t="shared" ref="CY140:CY148" si="417">IFERROR(IF(CU140&gt;0,CU140/T140,""),"")</f>
        <v>1193.7272727272727</v>
      </c>
      <c r="CZ140" s="92">
        <f t="shared" ref="CZ140:CZ148" si="418">IFERROR(IF(CU140&gt;0,CU140/CH140,""),"")</f>
        <v>8.9951047887578656E-2</v>
      </c>
      <c r="DA140" s="200">
        <f t="shared" ref="DA140:DA148" si="419">IFERROR(IF(CT140&gt;0,CT140/CH140,""),"")</f>
        <v>0.46138427750764832</v>
      </c>
      <c r="DB140" s="47">
        <f t="shared" ref="DB140:DB148" si="420">IFERROR(IF(AR140&gt;0,AR140,""),"")</f>
        <v>94673.027272727268</v>
      </c>
      <c r="DC140" s="69">
        <f t="shared" ref="DC140:DC148" si="421">IFERROR(IF(ABS(CE140)&gt;0,CE140/$T140,""),"")</f>
        <v>14106.872727272726</v>
      </c>
      <c r="DD140" s="70">
        <f t="shared" si="376"/>
        <v>240</v>
      </c>
      <c r="DE140" s="70">
        <f t="shared" si="377"/>
        <v>-1076.0181818181818</v>
      </c>
      <c r="DF140" s="70">
        <f t="shared" si="378"/>
        <v>13270.854545454546</v>
      </c>
      <c r="DG140" s="70">
        <f t="shared" si="379"/>
        <v>901.9</v>
      </c>
      <c r="DH140" s="70">
        <f t="shared" si="380"/>
        <v>670</v>
      </c>
      <c r="DI140" s="70">
        <f t="shared" si="381"/>
        <v>2176.818181818182</v>
      </c>
      <c r="DJ140" s="70">
        <f t="shared" si="382"/>
        <v>1030.6636363636364</v>
      </c>
      <c r="DK140" s="70">
        <f t="shared" si="383"/>
        <v>816.14545454545453</v>
      </c>
      <c r="DL140" s="196">
        <f t="shared" si="384"/>
        <v>358.63636363636363</v>
      </c>
      <c r="DM140" s="70" t="str">
        <f t="shared" si="385"/>
        <v/>
      </c>
      <c r="DN140" s="70">
        <f t="shared" si="386"/>
        <v>5954.1636363636362</v>
      </c>
      <c r="DO140" s="70">
        <f t="shared" si="387"/>
        <v>250</v>
      </c>
      <c r="DP140" s="70">
        <f t="shared" si="388"/>
        <v>6204.1636363636362</v>
      </c>
      <c r="DQ140" s="70">
        <f t="shared" si="389"/>
        <v>7316.6909090909094</v>
      </c>
      <c r="DR140" s="70">
        <f t="shared" si="390"/>
        <v>6122.9636363636364</v>
      </c>
      <c r="DS140" s="71">
        <f t="shared" si="391"/>
        <v>1193.7272727272727</v>
      </c>
      <c r="DT140" s="106">
        <f t="shared" ref="DT140:DT148" si="422">IFERROR(IF(ABS(CE140&gt;0),CE140/$CH140,""),"")</f>
        <v>1.0629965597885729</v>
      </c>
      <c r="DU140" s="92">
        <f t="shared" si="393"/>
        <v>1.8084743463803798E-2</v>
      </c>
      <c r="DV140" s="92" t="str">
        <f t="shared" si="394"/>
        <v/>
      </c>
      <c r="DW140" s="92">
        <f t="shared" si="395"/>
        <v>1</v>
      </c>
      <c r="DX140" s="202">
        <f t="shared" si="396"/>
        <v>6.7960958875019351E-2</v>
      </c>
      <c r="DY140" s="92">
        <f t="shared" si="397"/>
        <v>5.0486575503118934E-2</v>
      </c>
      <c r="DZ140" s="92">
        <f t="shared" si="398"/>
        <v>0.16402999327302345</v>
      </c>
      <c r="EA140" s="92">
        <f t="shared" si="399"/>
        <v>7.7663697754614694E-2</v>
      </c>
      <c r="EB140" s="92">
        <f t="shared" si="400"/>
        <v>6.1499088227517033E-2</v>
      </c>
      <c r="EC140" s="92">
        <f t="shared" si="401"/>
        <v>2.7024360971479536E-2</v>
      </c>
      <c r="ED140" s="92" t="str">
        <f t="shared" si="402"/>
        <v/>
      </c>
      <c r="EE140" s="92">
        <f t="shared" si="403"/>
        <v>0.448664674604773</v>
      </c>
      <c r="EF140" s="92">
        <f t="shared" si="404"/>
        <v>1.8838274441462289E-2</v>
      </c>
      <c r="EG140" s="92">
        <f t="shared" si="405"/>
        <v>0.46750294904623529</v>
      </c>
      <c r="EH140" s="92">
        <f t="shared" si="406"/>
        <v>0.551335325395227</v>
      </c>
      <c r="EI140" s="92">
        <f t="shared" si="407"/>
        <v>0.46138427750764832</v>
      </c>
      <c r="EJ140" s="122">
        <f t="shared" si="408"/>
        <v>8.9951047887578656E-2</v>
      </c>
    </row>
    <row r="141" spans="2:140" ht="12" hidden="1" customHeight="1" outlineLevel="1">
      <c r="B141" s="121">
        <v>45071</v>
      </c>
      <c r="C141" s="117" t="s">
        <v>821</v>
      </c>
      <c r="D141" s="50" t="s">
        <v>822</v>
      </c>
      <c r="E141" s="50" t="s">
        <v>823</v>
      </c>
      <c r="F141" s="50" t="s">
        <v>824</v>
      </c>
      <c r="G141" s="50" t="s">
        <v>162</v>
      </c>
      <c r="H141" s="50" t="s">
        <v>182</v>
      </c>
      <c r="I141" s="50" t="s">
        <v>825</v>
      </c>
      <c r="J141" s="52" t="s">
        <v>191</v>
      </c>
      <c r="K141" s="50" t="s">
        <v>192</v>
      </c>
      <c r="L141" s="49">
        <v>3</v>
      </c>
      <c r="M141" s="50" t="s">
        <v>159</v>
      </c>
      <c r="N141" s="50" t="s">
        <v>160</v>
      </c>
      <c r="O141" s="50" t="s">
        <v>160</v>
      </c>
      <c r="P141" s="50" t="s">
        <v>177</v>
      </c>
      <c r="Q141" s="53">
        <v>0.09</v>
      </c>
      <c r="R141" s="49">
        <f>94-15</f>
        <v>79</v>
      </c>
      <c r="S141" s="49">
        <v>15</v>
      </c>
      <c r="T141" s="54">
        <f t="shared" si="330"/>
        <v>94</v>
      </c>
      <c r="U141" s="55">
        <v>79592</v>
      </c>
      <c r="V141" s="49">
        <v>2.94</v>
      </c>
      <c r="W141" s="56">
        <f t="shared" ref="W141:W148" si="423">IFERROR(IF(T141&gt;0,T141/V141,""),"")</f>
        <v>31.972789115646258</v>
      </c>
      <c r="X141" s="49" t="s">
        <v>163</v>
      </c>
      <c r="Y141" s="57" t="s">
        <v>162</v>
      </c>
      <c r="Z141" s="58">
        <v>8752500</v>
      </c>
      <c r="AA141" s="114">
        <f>(((6750000*0.035)/(Z141))+((2000000*0.01)/(Z141))+((2500*0)/(Z141)))</f>
        <v>2.9277349328763212E-2</v>
      </c>
      <c r="AB141" s="190">
        <v>40</v>
      </c>
      <c r="AC141" s="60">
        <v>40</v>
      </c>
      <c r="AD141" s="61">
        <v>3.5000000000000003E-2</v>
      </c>
      <c r="AE141" s="62">
        <v>6750000</v>
      </c>
      <c r="AF141" s="205">
        <v>1.27</v>
      </c>
      <c r="AG141" s="190" t="s">
        <v>163</v>
      </c>
      <c r="AH141" s="60">
        <v>40</v>
      </c>
      <c r="AI141" s="61">
        <v>0.01</v>
      </c>
      <c r="AJ141" s="64">
        <v>2000000</v>
      </c>
      <c r="AK141" s="65">
        <f t="shared" ref="AK141:AK148" si="424">IFERROR(IF(AE141&gt;0,AJ141+AE141,""),"")</f>
        <v>8750000</v>
      </c>
      <c r="AL141" s="66">
        <v>2500</v>
      </c>
      <c r="AM141" s="49" t="s">
        <v>826</v>
      </c>
      <c r="AN141" s="194">
        <v>0.92</v>
      </c>
      <c r="AO141" s="67">
        <v>14561034</v>
      </c>
      <c r="AP141" s="62">
        <v>0</v>
      </c>
      <c r="AQ141" s="189">
        <v>762414</v>
      </c>
      <c r="AR141" s="69">
        <f t="shared" ref="AR141:AR148" si="425">IFERROR(IF(AK141&gt;0,AK141/T141,""),"")</f>
        <v>93085.106382978716</v>
      </c>
      <c r="AS141" s="70">
        <f t="shared" ref="AS141:AS148" si="426">IFERROR(IF(AL141&gt;0,AL141/T141,""),"")</f>
        <v>26.595744680851062</v>
      </c>
      <c r="AT141" s="70">
        <f t="shared" ref="AT141:AT148" si="427">IFERROR(IF(AO141&gt;0,AO141/T141,""),"")</f>
        <v>154904.61702127659</v>
      </c>
      <c r="AU141" s="70" t="str">
        <f t="shared" ref="AU141:AU148" si="428">IFERROR(IF(AP141&gt;0,AP141/T141,""),"")</f>
        <v/>
      </c>
      <c r="AV141" s="71">
        <f t="shared" ref="AV141:AV148" si="429">IFERROR(IF(AQ141&gt;0,AQ141/T141,""),"")</f>
        <v>8110.7872340425529</v>
      </c>
      <c r="AW141" s="196">
        <f t="shared" ref="AW141:AW148" si="430">IFERROR(IF(SUM(BB141:BC141)&gt;0,SUM(BB141:BC141)/T141,""),"")</f>
        <v>119884.69148936171</v>
      </c>
      <c r="AX141" s="116">
        <f t="shared" ref="AX141:AX148" si="431">IFERROR(IF(SUM(BB141:BC141)&gt;0,SUM(BB141:BC141)/U141,""),"")</f>
        <v>141.58660418132476</v>
      </c>
      <c r="AY141" s="198">
        <f t="shared" ref="AY141:AY148" si="432">IFERROR(IF(SUM(BL141:BO141)&gt;0,SUM(BL141:BO141),""),"")</f>
        <v>143798.25531914894</v>
      </c>
      <c r="AZ141" s="73">
        <f t="shared" ref="AZ141:AZ148" si="433">IFERROR(IF(SUM(BV141:BY141)&gt;0,SUM(BV141:BY141),""),"")</f>
        <v>169.82907829932657</v>
      </c>
      <c r="BA141" s="66">
        <v>4000000</v>
      </c>
      <c r="BB141" s="62">
        <v>1884000</v>
      </c>
      <c r="BC141" s="62">
        <v>9385161</v>
      </c>
      <c r="BD141" s="62">
        <v>587888</v>
      </c>
      <c r="BE141" s="62">
        <v>1659987</v>
      </c>
      <c r="BF141" s="62">
        <v>1548184</v>
      </c>
      <c r="BG141" s="62">
        <v>1769581</v>
      </c>
      <c r="BH141" s="62">
        <v>2007284</v>
      </c>
      <c r="BI141" s="62">
        <v>471450</v>
      </c>
      <c r="BJ141" s="47">
        <f t="shared" ref="BJ141:BJ148" si="434">IFERROR(IF(SUM(BA141:BI141)&gt;0,SUM(BA141:BI141),""),"")</f>
        <v>23313535</v>
      </c>
      <c r="BK141" s="196">
        <f t="shared" ref="BK141:BT148" si="435">IFERROR(IF(BA141&gt;0,BA141/$T141,""),"")</f>
        <v>42553.191489361699</v>
      </c>
      <c r="BL141" s="70">
        <f t="shared" si="435"/>
        <v>20042.553191489362</v>
      </c>
      <c r="BM141" s="70">
        <f t="shared" si="435"/>
        <v>99842.138297872341</v>
      </c>
      <c r="BN141" s="70">
        <f t="shared" si="435"/>
        <v>6254.1276595744685</v>
      </c>
      <c r="BO141" s="70">
        <f t="shared" si="435"/>
        <v>17659.436170212764</v>
      </c>
      <c r="BP141" s="70">
        <f t="shared" si="435"/>
        <v>16470.042553191488</v>
      </c>
      <c r="BQ141" s="70">
        <f t="shared" si="435"/>
        <v>18825.329787234041</v>
      </c>
      <c r="BR141" s="70">
        <f t="shared" si="435"/>
        <v>21354.08510638298</v>
      </c>
      <c r="BS141" s="70">
        <f t="shared" si="435"/>
        <v>5015.4255319148933</v>
      </c>
      <c r="BT141" s="71">
        <f t="shared" si="435"/>
        <v>248016.32978723405</v>
      </c>
      <c r="BU141" s="48">
        <f t="shared" ref="BU141:CD145" si="436">IFERROR(IF(BA141&gt;0,BA141/$U141,""),"")</f>
        <v>50.256307166549405</v>
      </c>
      <c r="BV141" s="48">
        <f t="shared" si="436"/>
        <v>23.67072067544477</v>
      </c>
      <c r="BW141" s="48">
        <f t="shared" si="436"/>
        <v>117.91588350587999</v>
      </c>
      <c r="BX141" s="48">
        <f t="shared" si="436"/>
        <v>7.3862699768820983</v>
      </c>
      <c r="BY141" s="48">
        <f t="shared" si="436"/>
        <v>20.856204141119711</v>
      </c>
      <c r="BZ141" s="48">
        <f t="shared" si="436"/>
        <v>19.451502663584279</v>
      </c>
      <c r="CA141" s="48">
        <f t="shared" si="436"/>
        <v>22.233151573022415</v>
      </c>
      <c r="CB141" s="48">
        <f t="shared" si="436"/>
        <v>25.219670318624988</v>
      </c>
      <c r="CC141" s="48">
        <f t="shared" si="436"/>
        <v>5.9233340034174287</v>
      </c>
      <c r="CD141" s="47">
        <f t="shared" si="436"/>
        <v>292.91304402452505</v>
      </c>
      <c r="CE141" s="66">
        <v>1074120</v>
      </c>
      <c r="CF141" s="62">
        <v>22560</v>
      </c>
      <c r="CG141" s="74">
        <v>-82251</v>
      </c>
      <c r="CH141" s="75">
        <f t="shared" ref="CH141:CH148" si="437">IFERROR(IF(SUM(CE141:CG141)&gt;0,SUM(CE141:CG141),""),"")</f>
        <v>1014429</v>
      </c>
      <c r="CI141" s="62">
        <f>39950+3160</f>
        <v>43110</v>
      </c>
      <c r="CJ141" s="62">
        <v>50721</v>
      </c>
      <c r="CK141" s="62">
        <v>117500</v>
      </c>
      <c r="CL141" s="62">
        <v>61092</v>
      </c>
      <c r="CM141" s="62">
        <f>18800+56400</f>
        <v>75200</v>
      </c>
      <c r="CN141" s="62">
        <v>36018</v>
      </c>
      <c r="CO141" s="199">
        <v>158154</v>
      </c>
      <c r="CP141" s="75">
        <f t="shared" si="331"/>
        <v>541795</v>
      </c>
      <c r="CQ141" s="62">
        <v>23500</v>
      </c>
      <c r="CR141" s="75">
        <f t="shared" si="332"/>
        <v>565295</v>
      </c>
      <c r="CS141" s="75">
        <f t="shared" ref="CS141:CS148" si="438">IFERROR(IF(CH141-CR141&gt;0,CH141-CP141,""),"")</f>
        <v>472634</v>
      </c>
      <c r="CT141" s="62">
        <v>375405</v>
      </c>
      <c r="CU141" s="73">
        <f t="shared" si="413"/>
        <v>97229</v>
      </c>
      <c r="CV141" s="76">
        <f t="shared" si="414"/>
        <v>0.46591136491563234</v>
      </c>
      <c r="CW141" s="75">
        <f t="shared" si="415"/>
        <v>6013.7765957446809</v>
      </c>
      <c r="CX141" s="77">
        <f t="shared" si="416"/>
        <v>0.55725437660003807</v>
      </c>
      <c r="CY141" s="75">
        <f t="shared" si="417"/>
        <v>1034.3510638297873</v>
      </c>
      <c r="CZ141" s="77">
        <f t="shared" si="418"/>
        <v>9.5846037524558156E-2</v>
      </c>
      <c r="DA141" s="77">
        <f t="shared" si="419"/>
        <v>0.37006532739107417</v>
      </c>
      <c r="DB141" s="73">
        <f t="shared" si="420"/>
        <v>93085.106382978716</v>
      </c>
      <c r="DC141" s="69">
        <f t="shared" si="421"/>
        <v>11426.808510638299</v>
      </c>
      <c r="DD141" s="196">
        <f t="shared" si="376"/>
        <v>240</v>
      </c>
      <c r="DE141" s="70">
        <f t="shared" si="377"/>
        <v>-875.01063829787233</v>
      </c>
      <c r="DF141" s="70">
        <f t="shared" si="378"/>
        <v>10791.797872340425</v>
      </c>
      <c r="DG141" s="70">
        <f t="shared" si="379"/>
        <v>458.61702127659572</v>
      </c>
      <c r="DH141" s="196">
        <f t="shared" si="380"/>
        <v>539.58510638297878</v>
      </c>
      <c r="DI141" s="70">
        <f t="shared" si="381"/>
        <v>1250</v>
      </c>
      <c r="DJ141" s="70">
        <f t="shared" si="382"/>
        <v>649.91489361702122</v>
      </c>
      <c r="DK141" s="70">
        <f t="shared" si="383"/>
        <v>800</v>
      </c>
      <c r="DL141" s="70">
        <f t="shared" si="384"/>
        <v>383.17021276595744</v>
      </c>
      <c r="DM141" s="70">
        <f t="shared" si="385"/>
        <v>1682.4893617021276</v>
      </c>
      <c r="DN141" s="197">
        <f t="shared" si="386"/>
        <v>5763.7765957446809</v>
      </c>
      <c r="DO141" s="70">
        <f t="shared" si="387"/>
        <v>250</v>
      </c>
      <c r="DP141" s="196">
        <f t="shared" si="388"/>
        <v>6013.7765957446809</v>
      </c>
      <c r="DQ141" s="70">
        <f t="shared" si="389"/>
        <v>5028.0212765957449</v>
      </c>
      <c r="DR141" s="197">
        <f t="shared" si="390"/>
        <v>3993.6702127659573</v>
      </c>
      <c r="DS141" s="71">
        <f t="shared" si="391"/>
        <v>1034.3510638297873</v>
      </c>
      <c r="DT141" s="202">
        <f t="shared" si="422"/>
        <v>1.0588419692260376</v>
      </c>
      <c r="DU141" s="203">
        <f t="shared" si="393"/>
        <v>2.2239111855043577E-2</v>
      </c>
      <c r="DV141" s="92" t="str">
        <f t="shared" si="394"/>
        <v/>
      </c>
      <c r="DW141" s="92">
        <f t="shared" si="395"/>
        <v>1</v>
      </c>
      <c r="DX141" s="92">
        <f t="shared" si="396"/>
        <v>4.2496813478321301E-2</v>
      </c>
      <c r="DY141" s="92">
        <f t="shared" si="397"/>
        <v>4.9999556400694381E-2</v>
      </c>
      <c r="DZ141" s="92">
        <f t="shared" si="398"/>
        <v>0.11582870757835195</v>
      </c>
      <c r="EA141" s="202">
        <f t="shared" si="399"/>
        <v>6.0223041730865345E-2</v>
      </c>
      <c r="EB141" s="202">
        <f t="shared" si="400"/>
        <v>7.413037285014526E-2</v>
      </c>
      <c r="EC141" s="92">
        <f t="shared" si="401"/>
        <v>3.5505688421762389E-2</v>
      </c>
      <c r="ED141" s="92">
        <f t="shared" si="402"/>
        <v>0.15590445462422703</v>
      </c>
      <c r="EE141" s="92">
        <f t="shared" si="403"/>
        <v>0.53408863508436766</v>
      </c>
      <c r="EF141" s="92">
        <f t="shared" si="404"/>
        <v>2.3165741515670392E-2</v>
      </c>
      <c r="EG141" s="92">
        <f t="shared" si="405"/>
        <v>0.55725437660003807</v>
      </c>
      <c r="EH141" s="92">
        <f t="shared" si="406"/>
        <v>0.46591136491563234</v>
      </c>
      <c r="EI141" s="92">
        <f t="shared" si="407"/>
        <v>0.37006532739107417</v>
      </c>
      <c r="EJ141" s="122">
        <f t="shared" si="408"/>
        <v>9.5846037524558156E-2</v>
      </c>
    </row>
    <row r="142" spans="2:140" ht="12" hidden="1" customHeight="1" outlineLevel="1">
      <c r="B142" s="121">
        <v>45083</v>
      </c>
      <c r="C142" s="117">
        <v>23435</v>
      </c>
      <c r="D142" s="50" t="s">
        <v>827</v>
      </c>
      <c r="E142" s="50" t="s">
        <v>828</v>
      </c>
      <c r="F142" s="50" t="s">
        <v>829</v>
      </c>
      <c r="G142" s="50" t="s">
        <v>830</v>
      </c>
      <c r="H142" s="50" t="s">
        <v>831</v>
      </c>
      <c r="I142" s="50" t="s">
        <v>796</v>
      </c>
      <c r="J142" s="52" t="s">
        <v>832</v>
      </c>
      <c r="K142" s="50" t="s">
        <v>833</v>
      </c>
      <c r="L142" s="49">
        <v>9</v>
      </c>
      <c r="M142" s="50" t="s">
        <v>283</v>
      </c>
      <c r="N142" s="50" t="s">
        <v>160</v>
      </c>
      <c r="O142" s="50" t="s">
        <v>160</v>
      </c>
      <c r="P142" s="50" t="s">
        <v>177</v>
      </c>
      <c r="Q142" s="53">
        <v>0.04</v>
      </c>
      <c r="R142" s="49">
        <v>120</v>
      </c>
      <c r="S142" s="49">
        <v>0</v>
      </c>
      <c r="T142" s="54">
        <f t="shared" si="330"/>
        <v>120</v>
      </c>
      <c r="U142" s="55">
        <v>121800</v>
      </c>
      <c r="V142" s="49">
        <v>5.76</v>
      </c>
      <c r="W142" s="56">
        <f t="shared" si="423"/>
        <v>20.833333333333336</v>
      </c>
      <c r="X142" s="49" t="s">
        <v>163</v>
      </c>
      <c r="Y142" s="57" t="s">
        <v>162</v>
      </c>
      <c r="Z142" s="58">
        <v>22500000</v>
      </c>
      <c r="AA142" s="114">
        <v>5.1999999999999998E-2</v>
      </c>
      <c r="AB142" s="190">
        <v>15</v>
      </c>
      <c r="AC142" s="60">
        <v>40</v>
      </c>
      <c r="AD142" s="61">
        <v>5.1999999999999998E-2</v>
      </c>
      <c r="AE142" s="62">
        <v>13850000</v>
      </c>
      <c r="AF142" s="63">
        <v>1.18</v>
      </c>
      <c r="AG142" s="59"/>
      <c r="AH142" s="60"/>
      <c r="AI142" s="61"/>
      <c r="AJ142" s="64"/>
      <c r="AK142" s="65">
        <f t="shared" si="424"/>
        <v>13850000</v>
      </c>
      <c r="AL142" s="66">
        <v>748800</v>
      </c>
      <c r="AM142" s="49" t="s">
        <v>834</v>
      </c>
      <c r="AN142" s="194">
        <v>0.88</v>
      </c>
      <c r="AO142" s="62">
        <v>12369712</v>
      </c>
      <c r="AP142" s="62">
        <v>0</v>
      </c>
      <c r="AQ142" s="189">
        <v>2470208</v>
      </c>
      <c r="AR142" s="69">
        <f t="shared" si="425"/>
        <v>115416.66666666667</v>
      </c>
      <c r="AS142" s="70">
        <f t="shared" si="426"/>
        <v>6240</v>
      </c>
      <c r="AT142" s="70">
        <f t="shared" si="427"/>
        <v>103080.93333333333</v>
      </c>
      <c r="AU142" s="70" t="str">
        <f t="shared" si="428"/>
        <v/>
      </c>
      <c r="AV142" s="71">
        <f t="shared" si="429"/>
        <v>20585.066666666666</v>
      </c>
      <c r="AW142" s="196">
        <f t="shared" si="430"/>
        <v>139323.23333333334</v>
      </c>
      <c r="AX142" s="116">
        <f t="shared" si="431"/>
        <v>137.26426929392446</v>
      </c>
      <c r="AY142" s="198">
        <f t="shared" si="432"/>
        <v>165812.49166666667</v>
      </c>
      <c r="AZ142" s="73">
        <f t="shared" si="433"/>
        <v>163.36206075533664</v>
      </c>
      <c r="BA142" s="66">
        <v>748800</v>
      </c>
      <c r="BB142" s="62">
        <v>1842429</v>
      </c>
      <c r="BC142" s="62">
        <v>14876359</v>
      </c>
      <c r="BD142" s="62">
        <v>835939</v>
      </c>
      <c r="BE142" s="62">
        <v>2342772</v>
      </c>
      <c r="BF142" s="62">
        <v>1342949</v>
      </c>
      <c r="BG142" s="62">
        <v>3469931</v>
      </c>
      <c r="BH142" s="62">
        <v>3526235</v>
      </c>
      <c r="BI142" s="62">
        <v>453305</v>
      </c>
      <c r="BJ142" s="47">
        <f t="shared" si="434"/>
        <v>29438719</v>
      </c>
      <c r="BK142" s="196">
        <f t="shared" si="435"/>
        <v>6240</v>
      </c>
      <c r="BL142" s="70">
        <f t="shared" si="435"/>
        <v>15353.575000000001</v>
      </c>
      <c r="BM142" s="70">
        <f t="shared" si="435"/>
        <v>123969.65833333334</v>
      </c>
      <c r="BN142" s="70">
        <f t="shared" si="435"/>
        <v>6966.1583333333338</v>
      </c>
      <c r="BO142" s="70">
        <f t="shared" si="435"/>
        <v>19523.099999999999</v>
      </c>
      <c r="BP142" s="70">
        <f t="shared" si="435"/>
        <v>11191.241666666667</v>
      </c>
      <c r="BQ142" s="70">
        <f t="shared" si="435"/>
        <v>28916.091666666667</v>
      </c>
      <c r="BR142" s="70">
        <f t="shared" si="435"/>
        <v>29385.291666666668</v>
      </c>
      <c r="BS142" s="70">
        <f t="shared" si="435"/>
        <v>3777.5416666666665</v>
      </c>
      <c r="BT142" s="71">
        <f t="shared" si="435"/>
        <v>245322.65833333333</v>
      </c>
      <c r="BU142" s="48">
        <f t="shared" si="436"/>
        <v>6.1477832512315267</v>
      </c>
      <c r="BV142" s="48">
        <f t="shared" si="436"/>
        <v>15.126674876847291</v>
      </c>
      <c r="BW142" s="48">
        <f t="shared" si="436"/>
        <v>122.13759441707718</v>
      </c>
      <c r="BX142" s="48">
        <f t="shared" si="436"/>
        <v>6.863210180623974</v>
      </c>
      <c r="BY142" s="48">
        <f t="shared" si="436"/>
        <v>19.234581280788177</v>
      </c>
      <c r="BZ142" s="48">
        <f t="shared" si="436"/>
        <v>11.025853858784894</v>
      </c>
      <c r="CA142" s="48">
        <f t="shared" si="436"/>
        <v>28.48876026272578</v>
      </c>
      <c r="CB142" s="48">
        <f t="shared" si="436"/>
        <v>28.951026272577998</v>
      </c>
      <c r="CC142" s="48">
        <f t="shared" si="436"/>
        <v>3.7217159277504104</v>
      </c>
      <c r="CD142" s="47">
        <f t="shared" si="436"/>
        <v>241.69720032840723</v>
      </c>
      <c r="CE142" s="66">
        <v>1562724</v>
      </c>
      <c r="CF142" s="62">
        <v>43200</v>
      </c>
      <c r="CG142" s="74">
        <v>-120444</v>
      </c>
      <c r="CH142" s="75">
        <f t="shared" si="437"/>
        <v>1485480</v>
      </c>
      <c r="CI142" s="62">
        <f>45600+4800</f>
        <v>50400</v>
      </c>
      <c r="CJ142" s="62">
        <v>59419</v>
      </c>
      <c r="CK142" s="62">
        <v>142000</v>
      </c>
      <c r="CL142" s="62">
        <v>73500</v>
      </c>
      <c r="CM142" s="62">
        <f>23625+55125</f>
        <v>78750</v>
      </c>
      <c r="CN142" s="62">
        <v>75600</v>
      </c>
      <c r="CO142" s="68">
        <v>0</v>
      </c>
      <c r="CP142" s="75">
        <f t="shared" si="331"/>
        <v>479669</v>
      </c>
      <c r="CQ142" s="62">
        <v>30000</v>
      </c>
      <c r="CR142" s="75">
        <f t="shared" si="332"/>
        <v>509669</v>
      </c>
      <c r="CS142" s="75">
        <f t="shared" si="438"/>
        <v>1005811</v>
      </c>
      <c r="CT142" s="62">
        <f>5000+823550</f>
        <v>828550</v>
      </c>
      <c r="CU142" s="47">
        <f t="shared" si="413"/>
        <v>177261</v>
      </c>
      <c r="CV142" s="76">
        <f t="shared" si="414"/>
        <v>0.6770949457414438</v>
      </c>
      <c r="CW142" s="75">
        <f t="shared" si="415"/>
        <v>4247.2416666666668</v>
      </c>
      <c r="CX142" s="77">
        <f t="shared" si="416"/>
        <v>0.34310054662466005</v>
      </c>
      <c r="CY142" s="75">
        <f t="shared" si="417"/>
        <v>1477.175</v>
      </c>
      <c r="CZ142" s="77">
        <f t="shared" si="418"/>
        <v>0.11932910574359804</v>
      </c>
      <c r="DA142" s="77">
        <f t="shared" si="419"/>
        <v>0.55776583999784579</v>
      </c>
      <c r="DB142" s="73">
        <f t="shared" si="420"/>
        <v>115416.66666666667</v>
      </c>
      <c r="DC142" s="69">
        <f t="shared" si="421"/>
        <v>13022.7</v>
      </c>
      <c r="DD142" s="196">
        <f t="shared" si="376"/>
        <v>360</v>
      </c>
      <c r="DE142" s="70">
        <f t="shared" si="377"/>
        <v>-1003.7</v>
      </c>
      <c r="DF142" s="70">
        <f t="shared" si="378"/>
        <v>12379</v>
      </c>
      <c r="DG142" s="70">
        <f t="shared" si="379"/>
        <v>420</v>
      </c>
      <c r="DH142" s="196">
        <f t="shared" si="380"/>
        <v>495.15833333333336</v>
      </c>
      <c r="DI142" s="70">
        <f t="shared" si="381"/>
        <v>1183.3333333333333</v>
      </c>
      <c r="DJ142" s="70">
        <f t="shared" si="382"/>
        <v>612.5</v>
      </c>
      <c r="DK142" s="70">
        <f t="shared" si="383"/>
        <v>656.25</v>
      </c>
      <c r="DL142" s="70">
        <f t="shared" si="384"/>
        <v>630</v>
      </c>
      <c r="DM142" s="70" t="str">
        <f t="shared" si="385"/>
        <v/>
      </c>
      <c r="DN142" s="197">
        <f t="shared" si="386"/>
        <v>3997.2416666666668</v>
      </c>
      <c r="DO142" s="70">
        <f t="shared" si="387"/>
        <v>250</v>
      </c>
      <c r="DP142" s="196">
        <f t="shared" si="388"/>
        <v>4247.2416666666668</v>
      </c>
      <c r="DQ142" s="70">
        <f t="shared" si="389"/>
        <v>8381.7583333333332</v>
      </c>
      <c r="DR142" s="197">
        <f t="shared" si="390"/>
        <v>6904.583333333333</v>
      </c>
      <c r="DS142" s="71">
        <f t="shared" si="391"/>
        <v>1477.175</v>
      </c>
      <c r="DT142" s="202">
        <f t="shared" si="422"/>
        <v>1.0519993537442442</v>
      </c>
      <c r="DU142" s="203">
        <f t="shared" si="393"/>
        <v>2.9081509007189595E-2</v>
      </c>
      <c r="DV142" s="92" t="str">
        <f t="shared" si="394"/>
        <v/>
      </c>
      <c r="DW142" s="92">
        <f t="shared" si="395"/>
        <v>1</v>
      </c>
      <c r="DX142" s="92">
        <f t="shared" si="396"/>
        <v>3.392842717505453E-2</v>
      </c>
      <c r="DY142" s="92">
        <f t="shared" si="397"/>
        <v>3.9999865363384228E-2</v>
      </c>
      <c r="DZ142" s="92">
        <f t="shared" si="398"/>
        <v>9.5591997199558396E-2</v>
      </c>
      <c r="EA142" s="202">
        <f t="shared" si="399"/>
        <v>4.9478956296954521E-2</v>
      </c>
      <c r="EB142" s="202">
        <f t="shared" si="400"/>
        <v>5.3013167461022699E-2</v>
      </c>
      <c r="EC142" s="92">
        <f t="shared" si="401"/>
        <v>5.0892640762581792E-2</v>
      </c>
      <c r="ED142" s="92" t="str">
        <f t="shared" si="402"/>
        <v/>
      </c>
      <c r="EE142" s="92">
        <f t="shared" si="403"/>
        <v>0.32290505425855615</v>
      </c>
      <c r="EF142" s="92">
        <f t="shared" si="404"/>
        <v>2.0195492366103886E-2</v>
      </c>
      <c r="EG142" s="92">
        <f t="shared" si="405"/>
        <v>0.34310054662466005</v>
      </c>
      <c r="EH142" s="92">
        <f t="shared" si="406"/>
        <v>0.6770949457414438</v>
      </c>
      <c r="EI142" s="92">
        <f t="shared" si="407"/>
        <v>0.55776583999784579</v>
      </c>
      <c r="EJ142" s="122">
        <f t="shared" si="408"/>
        <v>0.11932910574359804</v>
      </c>
    </row>
    <row r="143" spans="2:140" ht="12" hidden="1" customHeight="1" outlineLevel="1">
      <c r="B143" s="121">
        <v>45083</v>
      </c>
      <c r="C143" s="117" t="s">
        <v>835</v>
      </c>
      <c r="D143" s="50" t="s">
        <v>836</v>
      </c>
      <c r="E143" s="50" t="s">
        <v>545</v>
      </c>
      <c r="F143" s="50" t="s">
        <v>837</v>
      </c>
      <c r="G143" s="50" t="s">
        <v>162</v>
      </c>
      <c r="H143" s="50" t="s">
        <v>573</v>
      </c>
      <c r="I143" s="50" t="s">
        <v>838</v>
      </c>
      <c r="J143" s="52" t="s">
        <v>609</v>
      </c>
      <c r="K143" s="50" t="s">
        <v>610</v>
      </c>
      <c r="L143" s="49">
        <v>8</v>
      </c>
      <c r="M143" s="50" t="s">
        <v>159</v>
      </c>
      <c r="N143" s="50" t="s">
        <v>160</v>
      </c>
      <c r="O143" s="50" t="s">
        <v>160</v>
      </c>
      <c r="P143" s="50" t="s">
        <v>177</v>
      </c>
      <c r="Q143" s="53">
        <v>0.09</v>
      </c>
      <c r="R143" s="49">
        <f>82-13</f>
        <v>69</v>
      </c>
      <c r="S143" s="49">
        <v>13</v>
      </c>
      <c r="T143" s="54">
        <f t="shared" si="330"/>
        <v>82</v>
      </c>
      <c r="U143" s="55">
        <v>81019</v>
      </c>
      <c r="V143" s="49">
        <v>2.5169999999999999</v>
      </c>
      <c r="W143" s="56">
        <f t="shared" si="423"/>
        <v>32.578466428287648</v>
      </c>
      <c r="X143" s="49" t="s">
        <v>163</v>
      </c>
      <c r="Y143" s="57" t="s">
        <v>162</v>
      </c>
      <c r="Z143" s="58">
        <v>5500000</v>
      </c>
      <c r="AA143" s="114">
        <v>3.5999999999999997E-2</v>
      </c>
      <c r="AB143" s="59">
        <v>40</v>
      </c>
      <c r="AC143" s="60">
        <v>40</v>
      </c>
      <c r="AD143" s="61">
        <v>3.5999999999999997E-2</v>
      </c>
      <c r="AE143" s="62">
        <v>5500000</v>
      </c>
      <c r="AF143" s="63">
        <v>1.22</v>
      </c>
      <c r="AG143" s="59"/>
      <c r="AH143" s="60"/>
      <c r="AI143" s="61"/>
      <c r="AJ143" s="64"/>
      <c r="AK143" s="65">
        <f t="shared" si="424"/>
        <v>5500000</v>
      </c>
      <c r="AL143" s="66">
        <v>500</v>
      </c>
      <c r="AM143" s="49" t="s">
        <v>839</v>
      </c>
      <c r="AN143" s="192">
        <v>0.91</v>
      </c>
      <c r="AO143" s="62">
        <v>14351569</v>
      </c>
      <c r="AP143" s="62">
        <v>0</v>
      </c>
      <c r="AQ143" s="189">
        <v>402371</v>
      </c>
      <c r="AR143" s="69">
        <f t="shared" si="425"/>
        <v>67073.170731707316</v>
      </c>
      <c r="AS143" s="70">
        <f t="shared" si="426"/>
        <v>6.0975609756097562</v>
      </c>
      <c r="AT143" s="70">
        <f t="shared" si="427"/>
        <v>175019.13414634147</v>
      </c>
      <c r="AU143" s="70" t="str">
        <f t="shared" si="428"/>
        <v/>
      </c>
      <c r="AV143" s="71">
        <f t="shared" si="429"/>
        <v>4906.9634146341459</v>
      </c>
      <c r="AW143" s="196">
        <f t="shared" si="430"/>
        <v>113023.29268292683</v>
      </c>
      <c r="AX143" s="116">
        <f t="shared" si="431"/>
        <v>114.39180932867599</v>
      </c>
      <c r="AY143" s="198">
        <f t="shared" si="432"/>
        <v>137865.81707317074</v>
      </c>
      <c r="AZ143" s="73">
        <f t="shared" si="433"/>
        <v>139.53513373406238</v>
      </c>
      <c r="BA143" s="66">
        <v>2326000</v>
      </c>
      <c r="BB143" s="62">
        <v>1976200</v>
      </c>
      <c r="BC143" s="62">
        <v>7291710</v>
      </c>
      <c r="BD143" s="62">
        <v>648754</v>
      </c>
      <c r="BE143" s="62">
        <v>1388333</v>
      </c>
      <c r="BF143" s="62">
        <v>1702915</v>
      </c>
      <c r="BG143" s="62">
        <v>1568188</v>
      </c>
      <c r="BH143" s="62">
        <v>2113437</v>
      </c>
      <c r="BI143" s="62">
        <v>535970</v>
      </c>
      <c r="BJ143" s="47">
        <f t="shared" si="434"/>
        <v>19551507</v>
      </c>
      <c r="BK143" s="69">
        <f t="shared" si="435"/>
        <v>28365.853658536584</v>
      </c>
      <c r="BL143" s="70">
        <f t="shared" si="435"/>
        <v>24100</v>
      </c>
      <c r="BM143" s="70">
        <f t="shared" si="435"/>
        <v>88923.292682926825</v>
      </c>
      <c r="BN143" s="70">
        <f t="shared" si="435"/>
        <v>7911.6341463414637</v>
      </c>
      <c r="BO143" s="70">
        <f t="shared" si="435"/>
        <v>16930.890243902439</v>
      </c>
      <c r="BP143" s="70">
        <f t="shared" si="435"/>
        <v>20767.256097560974</v>
      </c>
      <c r="BQ143" s="70">
        <f t="shared" si="435"/>
        <v>19124.243902439026</v>
      </c>
      <c r="BR143" s="70">
        <f t="shared" si="435"/>
        <v>25773.621951219513</v>
      </c>
      <c r="BS143" s="70">
        <f t="shared" si="435"/>
        <v>6536.2195121951218</v>
      </c>
      <c r="BT143" s="71">
        <f t="shared" si="435"/>
        <v>238433.01219512196</v>
      </c>
      <c r="BU143" s="65">
        <f t="shared" si="436"/>
        <v>28.709315098927412</v>
      </c>
      <c r="BV143" s="48">
        <f t="shared" si="436"/>
        <v>24.39180932867599</v>
      </c>
      <c r="BW143" s="48">
        <f t="shared" si="436"/>
        <v>90</v>
      </c>
      <c r="BX143" s="48">
        <f t="shared" si="436"/>
        <v>8.0074303558424571</v>
      </c>
      <c r="BY143" s="48">
        <f t="shared" si="436"/>
        <v>17.135894049543936</v>
      </c>
      <c r="BZ143" s="48">
        <f t="shared" si="436"/>
        <v>21.018711660227847</v>
      </c>
      <c r="CA143" s="48">
        <f t="shared" si="436"/>
        <v>19.355805428356312</v>
      </c>
      <c r="CB143" s="48">
        <f t="shared" si="436"/>
        <v>26.085695947864082</v>
      </c>
      <c r="CC143" s="48">
        <f t="shared" si="436"/>
        <v>6.6153618287068463</v>
      </c>
      <c r="CD143" s="47">
        <f t="shared" si="436"/>
        <v>241.32002369814487</v>
      </c>
      <c r="CE143" s="66">
        <v>734700</v>
      </c>
      <c r="CF143" s="62">
        <f>9840*2</f>
        <v>19680</v>
      </c>
      <c r="CG143" s="74">
        <v>-56579</v>
      </c>
      <c r="CH143" s="75">
        <f t="shared" si="437"/>
        <v>697801</v>
      </c>
      <c r="CI143" s="62">
        <f>25500+11444+2760</f>
        <v>39704</v>
      </c>
      <c r="CJ143" s="62">
        <v>34890</v>
      </c>
      <c r="CK143" s="62">
        <v>91652</v>
      </c>
      <c r="CL143" s="62">
        <f>45000</f>
        <v>45000</v>
      </c>
      <c r="CM143" s="62">
        <f>15600+35100</f>
        <v>50700</v>
      </c>
      <c r="CN143" s="62">
        <f>22550</f>
        <v>22550</v>
      </c>
      <c r="CO143" s="62">
        <v>49070</v>
      </c>
      <c r="CP143" s="75">
        <f t="shared" si="331"/>
        <v>333566</v>
      </c>
      <c r="CQ143" s="62">
        <v>24600</v>
      </c>
      <c r="CR143" s="75">
        <f t="shared" si="332"/>
        <v>358166</v>
      </c>
      <c r="CS143" s="75">
        <f t="shared" si="438"/>
        <v>364235</v>
      </c>
      <c r="CT143" s="62">
        <f>273791</f>
        <v>273791</v>
      </c>
      <c r="CU143" s="47">
        <f t="shared" si="413"/>
        <v>90444</v>
      </c>
      <c r="CV143" s="76">
        <f t="shared" si="414"/>
        <v>0.52197546291851116</v>
      </c>
      <c r="CW143" s="75">
        <f t="shared" si="415"/>
        <v>4367.8780487804879</v>
      </c>
      <c r="CX143" s="77">
        <f t="shared" si="416"/>
        <v>0.51327814090263557</v>
      </c>
      <c r="CY143" s="75">
        <f t="shared" si="417"/>
        <v>1102.9756097560976</v>
      </c>
      <c r="CZ143" s="77">
        <f t="shared" si="418"/>
        <v>0.12961288390243064</v>
      </c>
      <c r="DA143" s="200">
        <f t="shared" si="419"/>
        <v>0.39236257901608051</v>
      </c>
      <c r="DB143" s="47">
        <f t="shared" si="420"/>
        <v>67073.170731707316</v>
      </c>
      <c r="DC143" s="69">
        <f t="shared" si="421"/>
        <v>8959.7560975609758</v>
      </c>
      <c r="DD143" s="196">
        <f t="shared" si="376"/>
        <v>240</v>
      </c>
      <c r="DE143" s="70">
        <f t="shared" si="377"/>
        <v>-689.98780487804879</v>
      </c>
      <c r="DF143" s="70">
        <f t="shared" si="378"/>
        <v>8509.7682926829275</v>
      </c>
      <c r="DG143" s="70">
        <f t="shared" si="379"/>
        <v>484.19512195121951</v>
      </c>
      <c r="DH143" s="70">
        <f t="shared" si="380"/>
        <v>425.48780487804879</v>
      </c>
      <c r="DI143" s="70">
        <f t="shared" si="381"/>
        <v>1117.7073170731708</v>
      </c>
      <c r="DJ143" s="70">
        <f t="shared" si="382"/>
        <v>548.78048780487802</v>
      </c>
      <c r="DK143" s="70">
        <f t="shared" si="383"/>
        <v>618.29268292682923</v>
      </c>
      <c r="DL143" s="70">
        <f t="shared" si="384"/>
        <v>275</v>
      </c>
      <c r="DM143" s="70">
        <f t="shared" si="385"/>
        <v>598.41463414634143</v>
      </c>
      <c r="DN143" s="197">
        <f t="shared" si="386"/>
        <v>4067.8780487804879</v>
      </c>
      <c r="DO143" s="70">
        <f t="shared" si="387"/>
        <v>300</v>
      </c>
      <c r="DP143" s="196">
        <f t="shared" si="388"/>
        <v>4367.8780487804879</v>
      </c>
      <c r="DQ143" s="70">
        <f t="shared" si="389"/>
        <v>4441.8902439024387</v>
      </c>
      <c r="DR143" s="197">
        <f t="shared" si="390"/>
        <v>3338.9146341463415</v>
      </c>
      <c r="DS143" s="71">
        <f t="shared" si="391"/>
        <v>1102.9756097560976</v>
      </c>
      <c r="DT143" s="202">
        <f t="shared" si="422"/>
        <v>1.052878972658394</v>
      </c>
      <c r="DU143" s="203">
        <f t="shared" si="393"/>
        <v>2.8202883056917372E-2</v>
      </c>
      <c r="DV143" s="92" t="str">
        <f t="shared" si="394"/>
        <v/>
      </c>
      <c r="DW143" s="92">
        <f t="shared" si="395"/>
        <v>1</v>
      </c>
      <c r="DX143" s="92">
        <f t="shared" si="396"/>
        <v>5.6898743338000372E-2</v>
      </c>
      <c r="DY143" s="92">
        <f t="shared" si="397"/>
        <v>4.9999928346333697E-2</v>
      </c>
      <c r="DZ143" s="92">
        <f t="shared" si="398"/>
        <v>0.13134403648031459</v>
      </c>
      <c r="EA143" s="202">
        <f t="shared" si="399"/>
        <v>6.4488299672829361E-2</v>
      </c>
      <c r="EB143" s="202">
        <f t="shared" si="400"/>
        <v>7.2656817631387746E-2</v>
      </c>
      <c r="EC143" s="92">
        <f t="shared" si="401"/>
        <v>3.2315803502717823E-2</v>
      </c>
      <c r="ED143" s="92">
        <f t="shared" si="402"/>
        <v>7.0320908109905253E-2</v>
      </c>
      <c r="EE143" s="92">
        <f t="shared" si="403"/>
        <v>0.47802453708148884</v>
      </c>
      <c r="EF143" s="92">
        <f t="shared" si="404"/>
        <v>3.5253603821146715E-2</v>
      </c>
      <c r="EG143" s="92">
        <f t="shared" si="405"/>
        <v>0.51327814090263557</v>
      </c>
      <c r="EH143" s="92">
        <f t="shared" si="406"/>
        <v>0.52197546291851116</v>
      </c>
      <c r="EI143" s="92">
        <f t="shared" si="407"/>
        <v>0.39236257901608051</v>
      </c>
      <c r="EJ143" s="122">
        <f t="shared" si="408"/>
        <v>0.12961288390243064</v>
      </c>
    </row>
    <row r="144" spans="2:140" ht="12" hidden="1" customHeight="1" outlineLevel="1">
      <c r="B144" s="121">
        <v>45084</v>
      </c>
      <c r="C144" s="117">
        <v>23425</v>
      </c>
      <c r="D144" s="50" t="s">
        <v>840</v>
      </c>
      <c r="E144" s="50" t="s">
        <v>240</v>
      </c>
      <c r="F144" s="50" t="s">
        <v>841</v>
      </c>
      <c r="G144" s="50" t="s">
        <v>162</v>
      </c>
      <c r="H144" s="50" t="s">
        <v>842</v>
      </c>
      <c r="I144" s="50" t="s">
        <v>419</v>
      </c>
      <c r="J144" s="52" t="s">
        <v>360</v>
      </c>
      <c r="K144" s="50" t="s">
        <v>294</v>
      </c>
      <c r="L144" s="49">
        <v>7</v>
      </c>
      <c r="M144" s="50" t="s">
        <v>159</v>
      </c>
      <c r="N144" s="50" t="s">
        <v>244</v>
      </c>
      <c r="O144" s="50" t="s">
        <v>160</v>
      </c>
      <c r="P144" s="50" t="s">
        <v>161</v>
      </c>
      <c r="Q144" s="53">
        <v>0.04</v>
      </c>
      <c r="R144" s="49">
        <v>224</v>
      </c>
      <c r="S144" s="49">
        <v>0</v>
      </c>
      <c r="T144" s="54">
        <f t="shared" si="330"/>
        <v>224</v>
      </c>
      <c r="U144" s="55">
        <v>123518</v>
      </c>
      <c r="V144" s="49">
        <v>1.92</v>
      </c>
      <c r="W144" s="56">
        <f t="shared" si="423"/>
        <v>116.66666666666667</v>
      </c>
      <c r="X144" s="49">
        <v>1972</v>
      </c>
      <c r="Y144" s="57" t="s">
        <v>162</v>
      </c>
      <c r="Z144" s="58">
        <v>29000000</v>
      </c>
      <c r="AA144" s="114">
        <f>(((19000000*0.065)/(Z144))+((10000000*0)/(Z144)))</f>
        <v>4.2586206896551723E-2</v>
      </c>
      <c r="AB144" s="59">
        <v>18</v>
      </c>
      <c r="AC144" s="60">
        <v>40</v>
      </c>
      <c r="AD144" s="61">
        <v>6.5000000000000002E-2</v>
      </c>
      <c r="AE144" s="62">
        <v>19000000</v>
      </c>
      <c r="AF144" s="63">
        <v>1.17</v>
      </c>
      <c r="AG144" s="59"/>
      <c r="AH144" s="60"/>
      <c r="AI144" s="61"/>
      <c r="AJ144" s="64"/>
      <c r="AK144" s="65">
        <f t="shared" si="424"/>
        <v>19000000</v>
      </c>
      <c r="AL144" s="66">
        <v>28813226</v>
      </c>
      <c r="AM144" s="49" t="s">
        <v>843</v>
      </c>
      <c r="AN144" s="192">
        <v>0.89</v>
      </c>
      <c r="AO144" s="62">
        <v>32745532</v>
      </c>
      <c r="AP144" s="62">
        <v>0</v>
      </c>
      <c r="AQ144" s="68">
        <v>3933511</v>
      </c>
      <c r="AR144" s="69">
        <f t="shared" si="425"/>
        <v>84821.428571428565</v>
      </c>
      <c r="AS144" s="70">
        <f t="shared" si="426"/>
        <v>128630.47321428571</v>
      </c>
      <c r="AT144" s="70">
        <f t="shared" si="427"/>
        <v>146185.41071428571</v>
      </c>
      <c r="AU144" s="196" t="str">
        <f t="shared" si="428"/>
        <v/>
      </c>
      <c r="AV144" s="71">
        <f t="shared" si="429"/>
        <v>17560.316964285714</v>
      </c>
      <c r="AW144" s="115">
        <f t="shared" si="430"/>
        <v>156227.06696428571</v>
      </c>
      <c r="AX144" s="116">
        <f t="shared" si="431"/>
        <v>283.31792127463206</v>
      </c>
      <c r="AY144" s="198">
        <f t="shared" si="432"/>
        <v>190602.06696428571</v>
      </c>
      <c r="AZ144" s="73">
        <f t="shared" si="433"/>
        <v>345.65701355268061</v>
      </c>
      <c r="BA144" s="66">
        <v>26040000</v>
      </c>
      <c r="BB144" s="62">
        <v>728822</v>
      </c>
      <c r="BC144" s="62">
        <v>34266041</v>
      </c>
      <c r="BD144" s="62">
        <v>2550000</v>
      </c>
      <c r="BE144" s="62">
        <v>5150000</v>
      </c>
      <c r="BF144" s="62">
        <v>3720000</v>
      </c>
      <c r="BG144" s="62">
        <v>6297851</v>
      </c>
      <c r="BH144" s="62">
        <v>10432449</v>
      </c>
      <c r="BI144" s="62">
        <v>1281044</v>
      </c>
      <c r="BJ144" s="47">
        <f t="shared" si="434"/>
        <v>90466207</v>
      </c>
      <c r="BK144" s="69">
        <f t="shared" si="435"/>
        <v>116250</v>
      </c>
      <c r="BL144" s="70">
        <f t="shared" si="435"/>
        <v>3253.6696428571427</v>
      </c>
      <c r="BM144" s="70">
        <f t="shared" si="435"/>
        <v>152973.39732142858</v>
      </c>
      <c r="BN144" s="70">
        <f t="shared" si="435"/>
        <v>11383.928571428571</v>
      </c>
      <c r="BO144" s="70">
        <f t="shared" si="435"/>
        <v>22991.071428571428</v>
      </c>
      <c r="BP144" s="70">
        <f t="shared" si="435"/>
        <v>16607.142857142859</v>
      </c>
      <c r="BQ144" s="70">
        <f t="shared" si="435"/>
        <v>28115.40625</v>
      </c>
      <c r="BR144" s="70">
        <f t="shared" si="435"/>
        <v>46573.433035714283</v>
      </c>
      <c r="BS144" s="70">
        <f t="shared" si="435"/>
        <v>5718.9464285714284</v>
      </c>
      <c r="BT144" s="71">
        <f t="shared" si="435"/>
        <v>403866.99553571426</v>
      </c>
      <c r="BU144" s="65">
        <f t="shared" ref="BU144:BY148" si="439">IFERROR(IF(BA144&gt;0,BA144/$U144,""),"")</f>
        <v>210.81947570394598</v>
      </c>
      <c r="BV144" s="48">
        <f t="shared" si="439"/>
        <v>5.9005327158794669</v>
      </c>
      <c r="BW144" s="48">
        <f t="shared" si="439"/>
        <v>277.41738855875258</v>
      </c>
      <c r="BX144" s="48">
        <f t="shared" si="439"/>
        <v>20.644764325847245</v>
      </c>
      <c r="BY144" s="48">
        <f t="shared" si="439"/>
        <v>41.694327952201299</v>
      </c>
      <c r="BZ144" s="48">
        <f t="shared" si="436"/>
        <v>30.117067957706571</v>
      </c>
      <c r="CA144" s="48">
        <f t="shared" ref="CA144:CD148" si="440">IFERROR(IF(BG144&gt;0,BG144/$U144,""),"")</f>
        <v>50.987313589922117</v>
      </c>
      <c r="CB144" s="48">
        <f t="shared" si="440"/>
        <v>84.460961155459117</v>
      </c>
      <c r="CC144" s="48">
        <f t="shared" si="440"/>
        <v>10.371314302368885</v>
      </c>
      <c r="CD144" s="47">
        <f t="shared" si="440"/>
        <v>732.41314626208327</v>
      </c>
      <c r="CE144" s="66">
        <v>2969868</v>
      </c>
      <c r="CF144" s="62">
        <v>53750</v>
      </c>
      <c r="CG144" s="74">
        <v>-226772</v>
      </c>
      <c r="CH144" s="75">
        <f t="shared" si="437"/>
        <v>2796846</v>
      </c>
      <c r="CI144" s="62">
        <f>60000+8100+8960</f>
        <v>77060</v>
      </c>
      <c r="CJ144" s="62">
        <f>139000</f>
        <v>139000</v>
      </c>
      <c r="CK144" s="62">
        <v>330000</v>
      </c>
      <c r="CL144" s="62">
        <f>90600+6000</f>
        <v>96600</v>
      </c>
      <c r="CM144" s="62">
        <f>25000+10000+90000+138000</f>
        <v>263000</v>
      </c>
      <c r="CN144" s="62">
        <v>81000</v>
      </c>
      <c r="CO144" s="62">
        <v>168000</v>
      </c>
      <c r="CP144" s="75">
        <f t="shared" si="331"/>
        <v>1154660</v>
      </c>
      <c r="CQ144" s="62">
        <v>67200</v>
      </c>
      <c r="CR144" s="75">
        <f t="shared" si="332"/>
        <v>1221860</v>
      </c>
      <c r="CS144" s="75">
        <f t="shared" si="438"/>
        <v>1642186</v>
      </c>
      <c r="CT144" s="62">
        <f>5000+13500+1334842</f>
        <v>1353342</v>
      </c>
      <c r="CU144" s="47">
        <f t="shared" si="413"/>
        <v>288844</v>
      </c>
      <c r="CV144" s="76">
        <f t="shared" si="414"/>
        <v>0.58715638973329243</v>
      </c>
      <c r="CW144" s="75">
        <f t="shared" si="415"/>
        <v>5454.7321428571431</v>
      </c>
      <c r="CX144" s="77">
        <f t="shared" si="416"/>
        <v>0.4368706750389546</v>
      </c>
      <c r="CY144" s="75">
        <f t="shared" si="417"/>
        <v>1289.4821428571429</v>
      </c>
      <c r="CZ144" s="77">
        <f t="shared" si="418"/>
        <v>0.10327490323028155</v>
      </c>
      <c r="DA144" s="200">
        <f t="shared" si="419"/>
        <v>0.48388148650301088</v>
      </c>
      <c r="DB144" s="47">
        <f t="shared" si="420"/>
        <v>84821.428571428565</v>
      </c>
      <c r="DC144" s="69">
        <f t="shared" si="421"/>
        <v>13258.339285714286</v>
      </c>
      <c r="DD144" s="196">
        <f t="shared" si="376"/>
        <v>239.95535714285714</v>
      </c>
      <c r="DE144" s="70">
        <f t="shared" si="377"/>
        <v>-1012.375</v>
      </c>
      <c r="DF144" s="70">
        <f t="shared" si="378"/>
        <v>12485.919642857143</v>
      </c>
      <c r="DG144" s="70">
        <f t="shared" si="379"/>
        <v>344.01785714285717</v>
      </c>
      <c r="DH144" s="70">
        <f t="shared" si="380"/>
        <v>620.53571428571433</v>
      </c>
      <c r="DI144" s="70">
        <f t="shared" si="381"/>
        <v>1473.2142857142858</v>
      </c>
      <c r="DJ144" s="70">
        <f t="shared" si="382"/>
        <v>431.25</v>
      </c>
      <c r="DK144" s="70">
        <f t="shared" si="383"/>
        <v>1174.1071428571429</v>
      </c>
      <c r="DL144" s="196">
        <f t="shared" si="384"/>
        <v>361.60714285714283</v>
      </c>
      <c r="DM144" s="70">
        <f t="shared" si="385"/>
        <v>750</v>
      </c>
      <c r="DN144" s="196">
        <f t="shared" si="386"/>
        <v>5154.7321428571431</v>
      </c>
      <c r="DO144" s="70">
        <f t="shared" si="387"/>
        <v>300</v>
      </c>
      <c r="DP144" s="70">
        <f t="shared" si="388"/>
        <v>5454.7321428571431</v>
      </c>
      <c r="DQ144" s="196">
        <f t="shared" si="389"/>
        <v>7331.1875</v>
      </c>
      <c r="DR144" s="201">
        <f t="shared" si="390"/>
        <v>6041.7053571428569</v>
      </c>
      <c r="DS144" s="71">
        <f t="shared" si="391"/>
        <v>1289.4821428571429</v>
      </c>
      <c r="DT144" s="202">
        <f t="shared" si="422"/>
        <v>1.0618632559676149</v>
      </c>
      <c r="DU144" s="203">
        <f t="shared" si="393"/>
        <v>1.921807636173032E-2</v>
      </c>
      <c r="DV144" s="92" t="str">
        <f t="shared" si="394"/>
        <v/>
      </c>
      <c r="DW144" s="92">
        <f t="shared" si="395"/>
        <v>1</v>
      </c>
      <c r="DX144" s="202">
        <f t="shared" si="396"/>
        <v>2.7552464454603506E-2</v>
      </c>
      <c r="DY144" s="92">
        <f t="shared" si="397"/>
        <v>4.9698839335451432E-2</v>
      </c>
      <c r="DZ144" s="202">
        <f t="shared" si="398"/>
        <v>0.11799005022085592</v>
      </c>
      <c r="EA144" s="202">
        <f t="shared" si="399"/>
        <v>3.45389056101051E-2</v>
      </c>
      <c r="EB144" s="92">
        <f t="shared" si="400"/>
        <v>9.4034494569954871E-2</v>
      </c>
      <c r="EC144" s="92">
        <f t="shared" si="401"/>
        <v>2.896119414511918E-2</v>
      </c>
      <c r="ED144" s="92">
        <f t="shared" si="402"/>
        <v>6.0067661930617557E-2</v>
      </c>
      <c r="EE144" s="92">
        <f t="shared" si="403"/>
        <v>0.41284361026670757</v>
      </c>
      <c r="EF144" s="92">
        <f t="shared" si="404"/>
        <v>2.4027064772247024E-2</v>
      </c>
      <c r="EG144" s="92">
        <f t="shared" si="405"/>
        <v>0.4368706750389546</v>
      </c>
      <c r="EH144" s="92">
        <f t="shared" si="406"/>
        <v>0.58715638973329243</v>
      </c>
      <c r="EI144" s="92">
        <f t="shared" si="407"/>
        <v>0.48388148650301088</v>
      </c>
      <c r="EJ144" s="122">
        <f t="shared" si="408"/>
        <v>0.10327490323028155</v>
      </c>
    </row>
    <row r="145" spans="2:140" ht="12" hidden="1" customHeight="1" outlineLevel="1">
      <c r="B145" s="121">
        <v>45093</v>
      </c>
      <c r="C145" s="117">
        <v>23442</v>
      </c>
      <c r="D145" s="50" t="s">
        <v>844</v>
      </c>
      <c r="E145" s="50" t="s">
        <v>845</v>
      </c>
      <c r="F145" s="50" t="s">
        <v>846</v>
      </c>
      <c r="G145" s="50" t="s">
        <v>162</v>
      </c>
      <c r="H145" s="50" t="s">
        <v>785</v>
      </c>
      <c r="I145" s="50" t="s">
        <v>786</v>
      </c>
      <c r="J145" s="52" t="s">
        <v>847</v>
      </c>
      <c r="K145" s="50" t="s">
        <v>176</v>
      </c>
      <c r="L145" s="49">
        <v>6</v>
      </c>
      <c r="M145" s="50" t="s">
        <v>159</v>
      </c>
      <c r="N145" s="50" t="s">
        <v>244</v>
      </c>
      <c r="O145" s="50" t="s">
        <v>160</v>
      </c>
      <c r="P145" s="50" t="s">
        <v>177</v>
      </c>
      <c r="Q145" s="53">
        <v>0.04</v>
      </c>
      <c r="R145" s="49">
        <v>203</v>
      </c>
      <c r="S145" s="49">
        <v>0</v>
      </c>
      <c r="T145" s="54">
        <f t="shared" si="330"/>
        <v>203</v>
      </c>
      <c r="U145" s="55">
        <v>177210</v>
      </c>
      <c r="V145" s="49">
        <v>11.79</v>
      </c>
      <c r="W145" s="56">
        <f t="shared" si="423"/>
        <v>17.217981340118747</v>
      </c>
      <c r="X145" s="49" t="s">
        <v>163</v>
      </c>
      <c r="Y145" s="57" t="s">
        <v>162</v>
      </c>
      <c r="Z145" s="58">
        <v>22230000</v>
      </c>
      <c r="AA145" s="114">
        <v>5.4100000000000002E-2</v>
      </c>
      <c r="AB145" s="59">
        <v>15</v>
      </c>
      <c r="AC145" s="60">
        <v>40</v>
      </c>
      <c r="AD145" s="61">
        <v>5.4100000000000002E-2</v>
      </c>
      <c r="AE145" s="62">
        <v>22230000</v>
      </c>
      <c r="AF145" s="63">
        <v>1.1499999999999999</v>
      </c>
      <c r="AG145" s="59"/>
      <c r="AH145" s="60"/>
      <c r="AI145" s="61"/>
      <c r="AJ145" s="64"/>
      <c r="AK145" s="65">
        <f t="shared" si="424"/>
        <v>22230000</v>
      </c>
      <c r="AL145" s="66">
        <v>973516</v>
      </c>
      <c r="AM145" s="49" t="s">
        <v>848</v>
      </c>
      <c r="AN145" s="67">
        <v>0.92</v>
      </c>
      <c r="AO145" s="62">
        <v>27072112</v>
      </c>
      <c r="AP145" s="62">
        <v>0</v>
      </c>
      <c r="AQ145" s="68">
        <v>5211969</v>
      </c>
      <c r="AR145" s="69">
        <f t="shared" si="425"/>
        <v>109507.38916256158</v>
      </c>
      <c r="AS145" s="70">
        <f t="shared" si="426"/>
        <v>4795.6453201970444</v>
      </c>
      <c r="AT145" s="196">
        <f t="shared" si="427"/>
        <v>133360.15763546797</v>
      </c>
      <c r="AU145" s="70" t="str">
        <f t="shared" si="428"/>
        <v/>
      </c>
      <c r="AV145" s="71">
        <f t="shared" si="429"/>
        <v>25674.724137931036</v>
      </c>
      <c r="AW145" s="115">
        <f t="shared" si="430"/>
        <v>140679.38423645319</v>
      </c>
      <c r="AX145" s="116">
        <f t="shared" si="431"/>
        <v>161.15295412222787</v>
      </c>
      <c r="AY145" s="198">
        <f t="shared" si="432"/>
        <v>168277.9852216749</v>
      </c>
      <c r="AZ145" s="73">
        <f t="shared" si="433"/>
        <v>192.76807742226737</v>
      </c>
      <c r="BA145" s="66">
        <v>1665000</v>
      </c>
      <c r="BB145" s="62">
        <v>3589780</v>
      </c>
      <c r="BC145" s="62">
        <v>24968135</v>
      </c>
      <c r="BD145" s="62">
        <v>1477479</v>
      </c>
      <c r="BE145" s="62">
        <v>4125037</v>
      </c>
      <c r="BF145" s="62">
        <v>2241632</v>
      </c>
      <c r="BG145" s="62">
        <v>5479262</v>
      </c>
      <c r="BH145" s="62">
        <v>5983100</v>
      </c>
      <c r="BI145" s="62">
        <v>746203</v>
      </c>
      <c r="BJ145" s="47">
        <f t="shared" si="434"/>
        <v>50275628</v>
      </c>
      <c r="BK145" s="69">
        <f t="shared" si="435"/>
        <v>8201.9704433497536</v>
      </c>
      <c r="BL145" s="70">
        <f t="shared" si="435"/>
        <v>17683.645320197043</v>
      </c>
      <c r="BM145" s="70">
        <f t="shared" si="435"/>
        <v>122995.73891625616</v>
      </c>
      <c r="BN145" s="70">
        <f t="shared" si="435"/>
        <v>7278.2216748768469</v>
      </c>
      <c r="BO145" s="70">
        <f t="shared" si="435"/>
        <v>20320.379310344826</v>
      </c>
      <c r="BP145" s="70">
        <f t="shared" si="435"/>
        <v>11042.522167487685</v>
      </c>
      <c r="BQ145" s="70">
        <f t="shared" si="435"/>
        <v>26991.438423645319</v>
      </c>
      <c r="BR145" s="70">
        <f t="shared" si="435"/>
        <v>29473.399014778326</v>
      </c>
      <c r="BS145" s="70">
        <f t="shared" si="435"/>
        <v>3675.8768472906404</v>
      </c>
      <c r="BT145" s="71">
        <f t="shared" si="435"/>
        <v>247663.19211822661</v>
      </c>
      <c r="BU145" s="65">
        <f t="shared" si="439"/>
        <v>9.3956323006602336</v>
      </c>
      <c r="BV145" s="48">
        <f t="shared" si="439"/>
        <v>20.257208961119577</v>
      </c>
      <c r="BW145" s="48">
        <f t="shared" si="439"/>
        <v>140.89574516110829</v>
      </c>
      <c r="BX145" s="48">
        <f t="shared" si="439"/>
        <v>8.3374470966649739</v>
      </c>
      <c r="BY145" s="48">
        <f t="shared" si="439"/>
        <v>23.277676203374526</v>
      </c>
      <c r="BZ145" s="48">
        <f t="shared" si="436"/>
        <v>12.649579594830991</v>
      </c>
      <c r="CA145" s="48">
        <f t="shared" si="440"/>
        <v>30.919598216804921</v>
      </c>
      <c r="CB145" s="48">
        <f t="shared" si="440"/>
        <v>33.762767338186336</v>
      </c>
      <c r="CC145" s="48">
        <f t="shared" si="440"/>
        <v>4.2108402460357768</v>
      </c>
      <c r="CD145" s="47">
        <f t="shared" si="440"/>
        <v>283.7064951187856</v>
      </c>
      <c r="CE145" s="66">
        <v>2568168</v>
      </c>
      <c r="CF145" s="62">
        <v>73080</v>
      </c>
      <c r="CG145" s="74">
        <v>-198094</v>
      </c>
      <c r="CH145" s="75">
        <f t="shared" si="437"/>
        <v>2443154</v>
      </c>
      <c r="CI145" s="62">
        <v>93958</v>
      </c>
      <c r="CJ145" s="62">
        <v>85510</v>
      </c>
      <c r="CK145" s="62">
        <v>257757</v>
      </c>
      <c r="CL145" s="62">
        <v>108422</v>
      </c>
      <c r="CM145" s="62">
        <v>133510</v>
      </c>
      <c r="CN145" s="62">
        <v>133980</v>
      </c>
      <c r="CO145" s="62">
        <v>0</v>
      </c>
      <c r="CP145" s="75">
        <f t="shared" si="331"/>
        <v>813137</v>
      </c>
      <c r="CQ145" s="62">
        <v>60900</v>
      </c>
      <c r="CR145" s="75">
        <f t="shared" si="332"/>
        <v>874037</v>
      </c>
      <c r="CS145" s="75">
        <f t="shared" si="438"/>
        <v>1630017</v>
      </c>
      <c r="CT145" s="62">
        <v>1359571</v>
      </c>
      <c r="CU145" s="47">
        <f t="shared" si="413"/>
        <v>270446</v>
      </c>
      <c r="CV145" s="76">
        <f t="shared" si="414"/>
        <v>0.66717734534949491</v>
      </c>
      <c r="CW145" s="75">
        <f t="shared" si="415"/>
        <v>4305.6009852216748</v>
      </c>
      <c r="CX145" s="77">
        <f t="shared" si="416"/>
        <v>0.35774945009606435</v>
      </c>
      <c r="CY145" s="75">
        <f t="shared" si="417"/>
        <v>1332.2463054187192</v>
      </c>
      <c r="CZ145" s="77">
        <f t="shared" si="418"/>
        <v>0.1106954371275818</v>
      </c>
      <c r="DA145" s="200">
        <f t="shared" si="419"/>
        <v>0.55648190822191312</v>
      </c>
      <c r="DB145" s="47">
        <f t="shared" si="420"/>
        <v>109507.38916256158</v>
      </c>
      <c r="DC145" s="69">
        <f t="shared" si="421"/>
        <v>12651.073891625616</v>
      </c>
      <c r="DD145" s="196">
        <f t="shared" si="376"/>
        <v>360</v>
      </c>
      <c r="DE145" s="70">
        <f t="shared" si="377"/>
        <v>-975.83251231527095</v>
      </c>
      <c r="DF145" s="70">
        <f t="shared" si="378"/>
        <v>12035.241379310344</v>
      </c>
      <c r="DG145" s="70">
        <f t="shared" si="379"/>
        <v>462.84729064039408</v>
      </c>
      <c r="DH145" s="70">
        <f t="shared" si="380"/>
        <v>421.23152709359607</v>
      </c>
      <c r="DI145" s="70">
        <f t="shared" si="381"/>
        <v>1269.7389162561576</v>
      </c>
      <c r="DJ145" s="70">
        <f t="shared" si="382"/>
        <v>534.09852216748766</v>
      </c>
      <c r="DK145" s="70">
        <f t="shared" si="383"/>
        <v>657.6847290640394</v>
      </c>
      <c r="DL145" s="196">
        <f t="shared" si="384"/>
        <v>660</v>
      </c>
      <c r="DM145" s="70" t="str">
        <f t="shared" si="385"/>
        <v/>
      </c>
      <c r="DN145" s="196">
        <f t="shared" si="386"/>
        <v>4005.6009852216748</v>
      </c>
      <c r="DO145" s="70">
        <f t="shared" si="387"/>
        <v>300</v>
      </c>
      <c r="DP145" s="70">
        <f t="shared" si="388"/>
        <v>4305.6009852216748</v>
      </c>
      <c r="DQ145" s="196">
        <f t="shared" si="389"/>
        <v>8029.6403940886703</v>
      </c>
      <c r="DR145" s="201">
        <f t="shared" si="390"/>
        <v>6697.3940886699511</v>
      </c>
      <c r="DS145" s="71">
        <f t="shared" si="391"/>
        <v>1332.2463054187192</v>
      </c>
      <c r="DT145" s="202">
        <f t="shared" si="422"/>
        <v>1.0511691035440254</v>
      </c>
      <c r="DU145" s="203">
        <f t="shared" si="393"/>
        <v>2.9912154534671168E-2</v>
      </c>
      <c r="DV145" s="92" t="str">
        <f t="shared" si="394"/>
        <v/>
      </c>
      <c r="DW145" s="92">
        <f t="shared" si="395"/>
        <v>1</v>
      </c>
      <c r="DX145" s="202">
        <f t="shared" si="396"/>
        <v>3.8457665787748133E-2</v>
      </c>
      <c r="DY145" s="92">
        <f t="shared" si="397"/>
        <v>3.4999840370275474E-2</v>
      </c>
      <c r="DZ145" s="92">
        <f t="shared" si="398"/>
        <v>0.10550174078261133</v>
      </c>
      <c r="EA145" s="92">
        <f t="shared" si="399"/>
        <v>4.437788203281496E-2</v>
      </c>
      <c r="EB145" s="92">
        <f t="shared" si="400"/>
        <v>5.4646575696824677E-2</v>
      </c>
      <c r="EC145" s="92">
        <f t="shared" si="401"/>
        <v>5.4838949980230471E-2</v>
      </c>
      <c r="ED145" s="92" t="str">
        <f t="shared" si="402"/>
        <v/>
      </c>
      <c r="EE145" s="92">
        <f t="shared" si="403"/>
        <v>0.33282265465050503</v>
      </c>
      <c r="EF145" s="92">
        <f t="shared" si="404"/>
        <v>2.4926795445559306E-2</v>
      </c>
      <c r="EG145" s="92">
        <f t="shared" si="405"/>
        <v>0.35774945009606435</v>
      </c>
      <c r="EH145" s="92">
        <f t="shared" si="406"/>
        <v>0.66717734534949491</v>
      </c>
      <c r="EI145" s="92">
        <f t="shared" si="407"/>
        <v>0.55648190822191312</v>
      </c>
      <c r="EJ145" s="122">
        <f t="shared" si="408"/>
        <v>0.1106954371275818</v>
      </c>
    </row>
    <row r="146" spans="2:140" ht="12" hidden="1" customHeight="1" outlineLevel="1">
      <c r="B146" s="121">
        <v>45097</v>
      </c>
      <c r="C146" s="117">
        <v>23609</v>
      </c>
      <c r="D146" s="50" t="s">
        <v>849</v>
      </c>
      <c r="E146" s="50" t="s">
        <v>850</v>
      </c>
      <c r="F146" s="50" t="s">
        <v>851</v>
      </c>
      <c r="G146" s="50" t="s">
        <v>154</v>
      </c>
      <c r="H146" s="50" t="s">
        <v>852</v>
      </c>
      <c r="I146" s="50" t="s">
        <v>776</v>
      </c>
      <c r="J146" s="52" t="s">
        <v>230</v>
      </c>
      <c r="K146" s="50" t="s">
        <v>230</v>
      </c>
      <c r="L146" s="49">
        <v>3</v>
      </c>
      <c r="M146" s="50" t="s">
        <v>159</v>
      </c>
      <c r="N146" s="50" t="s">
        <v>160</v>
      </c>
      <c r="O146" s="50" t="s">
        <v>853</v>
      </c>
      <c r="P146" s="50" t="s">
        <v>177</v>
      </c>
      <c r="Q146" s="53">
        <v>0.04</v>
      </c>
      <c r="R146" s="49">
        <v>300</v>
      </c>
      <c r="S146" s="49">
        <v>0</v>
      </c>
      <c r="T146" s="54">
        <f t="shared" si="330"/>
        <v>300</v>
      </c>
      <c r="U146" s="55">
        <v>347868</v>
      </c>
      <c r="V146" s="49">
        <v>22.87</v>
      </c>
      <c r="W146" s="56">
        <f>IFERROR(IF(T146&gt;0,T146/V146,""),"")</f>
        <v>13.117621337997376</v>
      </c>
      <c r="X146" s="49" t="s">
        <v>163</v>
      </c>
      <c r="Y146" s="57" t="s">
        <v>162</v>
      </c>
      <c r="Z146" s="58">
        <v>45527000</v>
      </c>
      <c r="AA146" s="114">
        <v>5.6500000000000002E-2</v>
      </c>
      <c r="AB146" s="59">
        <v>16</v>
      </c>
      <c r="AC146" s="60">
        <v>40</v>
      </c>
      <c r="AD146" s="61">
        <v>5.6500000000000002E-2</v>
      </c>
      <c r="AE146" s="62">
        <v>45577000</v>
      </c>
      <c r="AF146" s="63">
        <v>1.1499999999999999</v>
      </c>
      <c r="AG146" s="59">
        <v>16</v>
      </c>
      <c r="AH146" s="60">
        <v>40</v>
      </c>
      <c r="AI146" s="61">
        <v>5.6500000000000002E-2</v>
      </c>
      <c r="AJ146" s="64">
        <v>-50000</v>
      </c>
      <c r="AK146" s="65">
        <f>IFERROR(IF(AE146&gt;0,AJ146+AE146,""),"")</f>
        <v>45527000</v>
      </c>
      <c r="AL146" s="66">
        <v>0</v>
      </c>
      <c r="AM146" s="49"/>
      <c r="AN146" s="67">
        <v>0.87</v>
      </c>
      <c r="AO146" s="62">
        <v>51969917</v>
      </c>
      <c r="AP146" s="62">
        <v>0</v>
      </c>
      <c r="AQ146" s="68">
        <v>11378917</v>
      </c>
      <c r="AR146" s="69">
        <f>IFERROR(IF(AK146&gt;0,AK146/T146,""),"")</f>
        <v>151756.66666666666</v>
      </c>
      <c r="AS146" s="70" t="str">
        <f>IFERROR(IF(AL146&gt;0,AL146/T146,""),"")</f>
        <v/>
      </c>
      <c r="AT146" s="70">
        <f>IFERROR(IF(AO146&gt;0,AO146/T146,""),"")</f>
        <v>173233.05666666667</v>
      </c>
      <c r="AU146" s="70" t="str">
        <f>IFERROR(IF(AP146&gt;0,AP146/T146,""),"")</f>
        <v/>
      </c>
      <c r="AV146" s="71">
        <f>IFERROR(IF(AQ146&gt;0,AQ146/T146,""),"")</f>
        <v>37929.723333333335</v>
      </c>
      <c r="AW146" s="115">
        <f>IFERROR(IF(SUM(BB146:BC146)&gt;0,SUM(BB146:BC146)/T146,""),"")</f>
        <v>183110.55666666667</v>
      </c>
      <c r="AX146" s="116">
        <f>IFERROR(IF(SUM(BB146:BC146)&gt;0,SUM(BB146:BC146)/U146,""),"")</f>
        <v>157.91382650890569</v>
      </c>
      <c r="AY146" s="72">
        <f>IFERROR(IF(SUM(BL146:BO146)&gt;0,SUM(BL146:BO146),""),"")</f>
        <v>219335.25333333336</v>
      </c>
      <c r="AZ146" s="73">
        <f>IFERROR(IF(SUM(BV146:BY146)&gt;0,SUM(BV146:BY146),""),"")</f>
        <v>189.15386295951336</v>
      </c>
      <c r="BA146" s="66">
        <v>2400000</v>
      </c>
      <c r="BB146" s="62">
        <v>6525000</v>
      </c>
      <c r="BC146" s="62">
        <v>48408167</v>
      </c>
      <c r="BD146" s="62">
        <v>3251266</v>
      </c>
      <c r="BE146" s="62">
        <v>7616143</v>
      </c>
      <c r="BF146" s="62">
        <v>5663221</v>
      </c>
      <c r="BG146" s="62">
        <v>11793743</v>
      </c>
      <c r="BH146" s="62">
        <v>11638377</v>
      </c>
      <c r="BI146" s="62">
        <v>200000</v>
      </c>
      <c r="BJ146" s="47">
        <f>IFERROR(IF(SUM(BA146:BI146)&gt;0,SUM(BA146:BI146),""),"")</f>
        <v>97495917</v>
      </c>
      <c r="BK146" s="69">
        <f t="shared" ref="BK146:BT146" si="441">IFERROR(IF(BA146&gt;0,BA146/$T146,""),"")</f>
        <v>8000</v>
      </c>
      <c r="BL146" s="70">
        <f t="shared" si="441"/>
        <v>21750</v>
      </c>
      <c r="BM146" s="70">
        <f t="shared" si="441"/>
        <v>161360.55666666667</v>
      </c>
      <c r="BN146" s="70">
        <f t="shared" si="441"/>
        <v>10837.553333333333</v>
      </c>
      <c r="BO146" s="70">
        <f t="shared" si="441"/>
        <v>25387.143333333333</v>
      </c>
      <c r="BP146" s="70">
        <f t="shared" si="441"/>
        <v>18877.403333333332</v>
      </c>
      <c r="BQ146" s="70">
        <f t="shared" si="441"/>
        <v>39312.476666666669</v>
      </c>
      <c r="BR146" s="70">
        <f t="shared" si="441"/>
        <v>38794.589999999997</v>
      </c>
      <c r="BS146" s="70">
        <f t="shared" si="441"/>
        <v>666.66666666666663</v>
      </c>
      <c r="BT146" s="71">
        <f t="shared" si="441"/>
        <v>324986.39</v>
      </c>
      <c r="BU146" s="65">
        <f t="shared" ref="BU146:CD146" si="442">IFERROR(IF(BA146&gt;0,BA146/$U146,""),"")</f>
        <v>6.8991686501776535</v>
      </c>
      <c r="BV146" s="48">
        <f t="shared" si="442"/>
        <v>18.757114767670497</v>
      </c>
      <c r="BW146" s="48">
        <f t="shared" si="442"/>
        <v>139.15671174123517</v>
      </c>
      <c r="BX146" s="48">
        <f t="shared" si="442"/>
        <v>9.3462635252452078</v>
      </c>
      <c r="BY146" s="48">
        <f t="shared" si="442"/>
        <v>21.893772925362494</v>
      </c>
      <c r="BZ146" s="48">
        <f t="shared" si="442"/>
        <v>16.279798659261559</v>
      </c>
      <c r="CA146" s="48">
        <f t="shared" si="442"/>
        <v>33.902925822438398</v>
      </c>
      <c r="CB146" s="48">
        <f t="shared" si="442"/>
        <v>33.456302390561937</v>
      </c>
      <c r="CC146" s="48">
        <f t="shared" si="442"/>
        <v>0.57493072084813779</v>
      </c>
      <c r="CD146" s="47">
        <f t="shared" si="442"/>
        <v>280.26698920280108</v>
      </c>
      <c r="CE146" s="66">
        <v>5028480</v>
      </c>
      <c r="CF146" s="62">
        <v>108000</v>
      </c>
      <c r="CG146" s="74">
        <v>-385236</v>
      </c>
      <c r="CH146" s="75">
        <f>IFERROR(IF(SUM(CE146:CG146)&gt;0,SUM(CE146:CG146),""),"")</f>
        <v>4751244</v>
      </c>
      <c r="CI146" s="62">
        <v>202000</v>
      </c>
      <c r="CJ146" s="62">
        <v>118781</v>
      </c>
      <c r="CK146" s="62">
        <v>405000</v>
      </c>
      <c r="CL146" s="62">
        <v>238500</v>
      </c>
      <c r="CM146" s="62">
        <v>225000</v>
      </c>
      <c r="CN146" s="62">
        <v>120000</v>
      </c>
      <c r="CO146" s="62">
        <v>0</v>
      </c>
      <c r="CP146" s="75">
        <f t="shared" si="331"/>
        <v>1309281</v>
      </c>
      <c r="CQ146" s="62">
        <v>75000</v>
      </c>
      <c r="CR146" s="75">
        <f t="shared" si="332"/>
        <v>1384281</v>
      </c>
      <c r="CS146" s="75">
        <f>IFERROR(IF(CH146-CR146&gt;0,CH146-CP146,""),"")</f>
        <v>3441963</v>
      </c>
      <c r="CT146" s="62">
        <v>2919274</v>
      </c>
      <c r="CU146" s="47">
        <f>IFERROR(IF(CS146-CT146&gt;0,CS146-CT146,""),"")</f>
        <v>522689</v>
      </c>
      <c r="CV146" s="76">
        <f>IFERROR(IF(CU146&gt;0,CS146/CH146,""),"")</f>
        <v>0.72443406400513211</v>
      </c>
      <c r="CW146" s="75">
        <f>IFERROR(IF(CU146&gt;0,CR146/T146,""),"")</f>
        <v>4614.2700000000004</v>
      </c>
      <c r="CX146" s="77">
        <f>IFERROR(IF(CU146&gt;0,CR146/CH146,""),"")</f>
        <v>0.29135127558172136</v>
      </c>
      <c r="CY146" s="75">
        <f>IFERROR(IF(CU146&gt;0,CU146/T146,""),"")</f>
        <v>1742.2966666666666</v>
      </c>
      <c r="CZ146" s="77">
        <f>IFERROR(IF(CU146&gt;0,CU146/CH146,""),"")</f>
        <v>0.11001097817750467</v>
      </c>
      <c r="DA146" s="77">
        <f>IFERROR(IF(CT146&gt;0,CT146/CH146,""),"")</f>
        <v>0.6144230858276275</v>
      </c>
      <c r="DB146" s="47">
        <f>IFERROR(IF(AR146&gt;0,AR146,""),"")</f>
        <v>151756.66666666666</v>
      </c>
      <c r="DC146" s="69">
        <f t="shared" ref="DC146:DS146" si="443">IFERROR(IF(ABS(CE146)&gt;0,CE146/$T146,""),"")</f>
        <v>16761.599999999999</v>
      </c>
      <c r="DD146" s="70">
        <f t="shared" si="443"/>
        <v>360</v>
      </c>
      <c r="DE146" s="70">
        <f t="shared" si="443"/>
        <v>-1284.1199999999999</v>
      </c>
      <c r="DF146" s="70">
        <f t="shared" si="443"/>
        <v>15837.48</v>
      </c>
      <c r="DG146" s="70">
        <f t="shared" si="443"/>
        <v>673.33333333333337</v>
      </c>
      <c r="DH146" s="70">
        <f t="shared" si="443"/>
        <v>395.93666666666667</v>
      </c>
      <c r="DI146" s="70">
        <f t="shared" si="443"/>
        <v>1350</v>
      </c>
      <c r="DJ146" s="70">
        <f t="shared" si="443"/>
        <v>795</v>
      </c>
      <c r="DK146" s="70">
        <f t="shared" si="443"/>
        <v>750</v>
      </c>
      <c r="DL146" s="70">
        <f t="shared" si="443"/>
        <v>400</v>
      </c>
      <c r="DM146" s="70" t="str">
        <f t="shared" si="443"/>
        <v/>
      </c>
      <c r="DN146" s="70">
        <f t="shared" si="443"/>
        <v>4364.2700000000004</v>
      </c>
      <c r="DO146" s="70">
        <f t="shared" si="443"/>
        <v>250</v>
      </c>
      <c r="DP146" s="70">
        <f t="shared" si="443"/>
        <v>4614.2700000000004</v>
      </c>
      <c r="DQ146" s="70">
        <f t="shared" si="443"/>
        <v>11473.21</v>
      </c>
      <c r="DR146" s="70">
        <f t="shared" si="443"/>
        <v>9730.9133333333339</v>
      </c>
      <c r="DS146" s="71">
        <f t="shared" si="443"/>
        <v>1742.2966666666666</v>
      </c>
      <c r="DT146" s="106">
        <f t="shared" ref="DT146:EJ146" si="444">IFERROR(IF(ABS(CE146&gt;0),CE146/$CH146,""),"")</f>
        <v>1.0583501920760121</v>
      </c>
      <c r="DU146" s="92">
        <f t="shared" si="444"/>
        <v>2.2730889005068988E-2</v>
      </c>
      <c r="DV146" s="92" t="str">
        <f t="shared" si="444"/>
        <v/>
      </c>
      <c r="DW146" s="92">
        <f t="shared" si="444"/>
        <v>1</v>
      </c>
      <c r="DX146" s="92">
        <f t="shared" si="444"/>
        <v>4.251518128725866E-2</v>
      </c>
      <c r="DY146" s="92">
        <f t="shared" si="444"/>
        <v>2.4999978952880551E-2</v>
      </c>
      <c r="DZ146" s="92">
        <f t="shared" si="444"/>
        <v>8.5240833769008706E-2</v>
      </c>
      <c r="EA146" s="92">
        <f t="shared" si="444"/>
        <v>5.0197379886194014E-2</v>
      </c>
      <c r="EB146" s="92">
        <f t="shared" si="444"/>
        <v>4.7356018760560392E-2</v>
      </c>
      <c r="EC146" s="92">
        <f t="shared" si="444"/>
        <v>2.5256543338965542E-2</v>
      </c>
      <c r="ED146" s="92" t="str">
        <f t="shared" si="444"/>
        <v/>
      </c>
      <c r="EE146" s="92">
        <f t="shared" si="444"/>
        <v>0.27556593599486789</v>
      </c>
      <c r="EF146" s="92">
        <f t="shared" si="444"/>
        <v>1.5785339586853464E-2</v>
      </c>
      <c r="EG146" s="92">
        <f t="shared" si="444"/>
        <v>0.29135127558172136</v>
      </c>
      <c r="EH146" s="92">
        <f t="shared" si="444"/>
        <v>0.72443406400513211</v>
      </c>
      <c r="EI146" s="92">
        <f t="shared" si="444"/>
        <v>0.6144230858276275</v>
      </c>
      <c r="EJ146" s="122">
        <f t="shared" si="444"/>
        <v>0.11001097817750467</v>
      </c>
    </row>
    <row r="147" spans="2:140" ht="12" hidden="1" customHeight="1" outlineLevel="1">
      <c r="B147" s="121">
        <v>45097</v>
      </c>
      <c r="C147" s="117">
        <v>23440</v>
      </c>
      <c r="D147" s="50" t="s">
        <v>854</v>
      </c>
      <c r="E147" s="50" t="s">
        <v>855</v>
      </c>
      <c r="F147" s="50" t="s">
        <v>235</v>
      </c>
      <c r="G147" s="50" t="s">
        <v>162</v>
      </c>
      <c r="H147" s="50" t="s">
        <v>181</v>
      </c>
      <c r="I147" s="50" t="s">
        <v>856</v>
      </c>
      <c r="J147" s="52" t="s">
        <v>183</v>
      </c>
      <c r="K147" s="50" t="s">
        <v>184</v>
      </c>
      <c r="L147" s="49">
        <v>9</v>
      </c>
      <c r="M147" s="50" t="s">
        <v>159</v>
      </c>
      <c r="N147" s="50" t="s">
        <v>160</v>
      </c>
      <c r="O147" s="50" t="s">
        <v>160</v>
      </c>
      <c r="P147" s="50" t="s">
        <v>177</v>
      </c>
      <c r="Q147" s="53">
        <v>0.04</v>
      </c>
      <c r="R147" s="49">
        <v>271</v>
      </c>
      <c r="S147" s="49">
        <v>0</v>
      </c>
      <c r="T147" s="54">
        <f t="shared" si="330"/>
        <v>271</v>
      </c>
      <c r="U147" s="55">
        <v>251544</v>
      </c>
      <c r="V147" s="49">
        <v>10.07</v>
      </c>
      <c r="W147" s="56">
        <f t="shared" si="423"/>
        <v>26.911618669314795</v>
      </c>
      <c r="X147" s="49" t="s">
        <v>163</v>
      </c>
      <c r="Y147" s="57" t="s">
        <v>162</v>
      </c>
      <c r="Z147" s="58">
        <v>28270950</v>
      </c>
      <c r="AA147" s="114">
        <v>5.2499999999999998E-2</v>
      </c>
      <c r="AB147" s="59">
        <v>18</v>
      </c>
      <c r="AC147" s="60">
        <v>40</v>
      </c>
      <c r="AD147" s="61">
        <v>5.2499999999999998E-2</v>
      </c>
      <c r="AE147" s="66">
        <v>28270950</v>
      </c>
      <c r="AF147" s="63">
        <v>1.1499999999999999</v>
      </c>
      <c r="AG147" s="59"/>
      <c r="AH147" s="60"/>
      <c r="AI147" s="61"/>
      <c r="AJ147" s="64"/>
      <c r="AK147" s="65">
        <f t="shared" si="424"/>
        <v>28270950</v>
      </c>
      <c r="AL147" s="66">
        <v>4190720</v>
      </c>
      <c r="AM147" s="49" t="s">
        <v>857</v>
      </c>
      <c r="AN147" s="67">
        <v>0.9</v>
      </c>
      <c r="AO147" s="62">
        <v>28724944</v>
      </c>
      <c r="AP147" s="62">
        <v>0</v>
      </c>
      <c r="AQ147" s="68">
        <v>5389268</v>
      </c>
      <c r="AR147" s="69">
        <f t="shared" si="425"/>
        <v>104320.84870848709</v>
      </c>
      <c r="AS147" s="70">
        <f t="shared" si="426"/>
        <v>15463.91143911439</v>
      </c>
      <c r="AT147" s="70">
        <f t="shared" si="427"/>
        <v>105996.10332103321</v>
      </c>
      <c r="AU147" s="70" t="str">
        <f t="shared" si="428"/>
        <v/>
      </c>
      <c r="AV147" s="71">
        <f t="shared" si="429"/>
        <v>19886.597785977861</v>
      </c>
      <c r="AW147" s="115">
        <f t="shared" si="430"/>
        <v>133332.42435424353</v>
      </c>
      <c r="AX147" s="116">
        <f t="shared" si="431"/>
        <v>143.64519527398784</v>
      </c>
      <c r="AY147" s="72">
        <f t="shared" si="432"/>
        <v>159598.91143911442</v>
      </c>
      <c r="AZ147" s="73">
        <f t="shared" si="433"/>
        <v>171.94329819037625</v>
      </c>
      <c r="BA147" s="66">
        <v>2446250</v>
      </c>
      <c r="BB147" s="62">
        <v>4974256</v>
      </c>
      <c r="BC147" s="62">
        <v>31158831</v>
      </c>
      <c r="BD147" s="62">
        <v>2059586</v>
      </c>
      <c r="BE147" s="62">
        <v>5058632</v>
      </c>
      <c r="BF147" s="62">
        <v>2289569</v>
      </c>
      <c r="BG147" s="62">
        <v>6377871</v>
      </c>
      <c r="BH147" s="62">
        <v>5389268</v>
      </c>
      <c r="BI147" s="62">
        <v>1432351</v>
      </c>
      <c r="BJ147" s="47">
        <f t="shared" si="434"/>
        <v>61186614</v>
      </c>
      <c r="BK147" s="69">
        <f t="shared" si="435"/>
        <v>9026.752767527676</v>
      </c>
      <c r="BL147" s="70">
        <f t="shared" si="435"/>
        <v>18355.18819188192</v>
      </c>
      <c r="BM147" s="70">
        <f t="shared" si="435"/>
        <v>114977.23616236163</v>
      </c>
      <c r="BN147" s="70">
        <f t="shared" si="435"/>
        <v>7599.9483394833951</v>
      </c>
      <c r="BO147" s="70">
        <f t="shared" si="435"/>
        <v>18666.538745387454</v>
      </c>
      <c r="BP147" s="70">
        <f t="shared" si="435"/>
        <v>8448.59409594096</v>
      </c>
      <c r="BQ147" s="70">
        <f t="shared" si="435"/>
        <v>23534.579335793358</v>
      </c>
      <c r="BR147" s="70">
        <f t="shared" si="435"/>
        <v>19886.597785977861</v>
      </c>
      <c r="BS147" s="70">
        <f t="shared" si="435"/>
        <v>5285.4280442804429</v>
      </c>
      <c r="BT147" s="71">
        <f t="shared" si="435"/>
        <v>225780.86346863469</v>
      </c>
      <c r="BU147" s="65">
        <f t="shared" si="439"/>
        <v>9.7249387781064147</v>
      </c>
      <c r="BV147" s="48">
        <f t="shared" si="439"/>
        <v>19.774894253092899</v>
      </c>
      <c r="BW147" s="48">
        <f t="shared" si="439"/>
        <v>123.87030102089496</v>
      </c>
      <c r="BX147" s="48">
        <f t="shared" si="439"/>
        <v>8.1877762936106606</v>
      </c>
      <c r="BY147" s="48">
        <f t="shared" si="439"/>
        <v>20.110326622777723</v>
      </c>
      <c r="BZ147" s="48">
        <f>IFERROR(IF(BF147&gt;0,BF147/$U147,""),"")</f>
        <v>9.1020616671437207</v>
      </c>
      <c r="CA147" s="48">
        <f t="shared" si="440"/>
        <v>25.354892185860127</v>
      </c>
      <c r="CB147" s="48">
        <f t="shared" si="440"/>
        <v>21.424752727157077</v>
      </c>
      <c r="CC147" s="48">
        <f t="shared" si="440"/>
        <v>5.6942363960181916</v>
      </c>
      <c r="CD147" s="47">
        <f t="shared" si="440"/>
        <v>243.24417994466177</v>
      </c>
      <c r="CE147" s="66">
        <v>3291840</v>
      </c>
      <c r="CF147" s="62">
        <v>79572</v>
      </c>
      <c r="CG147" s="74">
        <v>-252856</v>
      </c>
      <c r="CH147" s="75">
        <f t="shared" si="437"/>
        <v>3118556</v>
      </c>
      <c r="CI147" s="62">
        <v>120887</v>
      </c>
      <c r="CJ147" s="62">
        <v>124743</v>
      </c>
      <c r="CK147" s="62">
        <v>332021</v>
      </c>
      <c r="CL147" s="62">
        <v>124743</v>
      </c>
      <c r="CM147" s="62">
        <v>221523</v>
      </c>
      <c r="CN147" s="62">
        <v>135500</v>
      </c>
      <c r="CO147" s="62">
        <v>0</v>
      </c>
      <c r="CP147" s="75">
        <f t="shared" si="331"/>
        <v>1059417</v>
      </c>
      <c r="CQ147" s="62">
        <v>67750</v>
      </c>
      <c r="CR147" s="75">
        <f t="shared" si="332"/>
        <v>1127167</v>
      </c>
      <c r="CS147" s="75">
        <f t="shared" si="438"/>
        <v>2059139</v>
      </c>
      <c r="CT147" s="62">
        <v>1692425</v>
      </c>
      <c r="CU147" s="47">
        <f t="shared" si="413"/>
        <v>366714</v>
      </c>
      <c r="CV147" s="76">
        <f t="shared" si="414"/>
        <v>0.66028604264281288</v>
      </c>
      <c r="CW147" s="75">
        <f t="shared" si="415"/>
        <v>4159.2878228782292</v>
      </c>
      <c r="CX147" s="77">
        <f t="shared" si="416"/>
        <v>0.36143875562920785</v>
      </c>
      <c r="CY147" s="75">
        <f t="shared" si="417"/>
        <v>1353.1881918819188</v>
      </c>
      <c r="CZ147" s="77">
        <f t="shared" si="418"/>
        <v>0.11759096197086087</v>
      </c>
      <c r="DA147" s="200">
        <f t="shared" si="419"/>
        <v>0.54269508067195205</v>
      </c>
      <c r="DB147" s="47">
        <f t="shared" si="420"/>
        <v>104320.84870848709</v>
      </c>
      <c r="DC147" s="69">
        <f t="shared" si="421"/>
        <v>12147.011070110701</v>
      </c>
      <c r="DD147" s="70">
        <f t="shared" si="376"/>
        <v>293.62361623616238</v>
      </c>
      <c r="DE147" s="70">
        <f t="shared" si="377"/>
        <v>-933.04797047970476</v>
      </c>
      <c r="DF147" s="70">
        <f t="shared" si="378"/>
        <v>11507.586715867159</v>
      </c>
      <c r="DG147" s="70">
        <f t="shared" si="379"/>
        <v>446.07749077490774</v>
      </c>
      <c r="DH147" s="70">
        <f t="shared" si="380"/>
        <v>460.30627306273061</v>
      </c>
      <c r="DI147" s="70">
        <f t="shared" si="381"/>
        <v>1225.1697416974171</v>
      </c>
      <c r="DJ147" s="70">
        <f t="shared" si="382"/>
        <v>460.30627306273061</v>
      </c>
      <c r="DK147" s="70">
        <f t="shared" si="383"/>
        <v>817.4280442804428</v>
      </c>
      <c r="DL147" s="196">
        <f t="shared" si="384"/>
        <v>500</v>
      </c>
      <c r="DM147" s="70" t="str">
        <f t="shared" si="385"/>
        <v/>
      </c>
      <c r="DN147" s="70">
        <f t="shared" si="386"/>
        <v>3909.2878228782288</v>
      </c>
      <c r="DO147" s="70">
        <f t="shared" si="387"/>
        <v>250</v>
      </c>
      <c r="DP147" s="70">
        <f t="shared" si="388"/>
        <v>4159.2878228782292</v>
      </c>
      <c r="DQ147" s="70">
        <f t="shared" si="389"/>
        <v>7598.2988929889298</v>
      </c>
      <c r="DR147" s="201">
        <f t="shared" si="390"/>
        <v>6245.1107011070108</v>
      </c>
      <c r="DS147" s="71">
        <f t="shared" si="391"/>
        <v>1353.1881918819188</v>
      </c>
      <c r="DT147" s="202">
        <f t="shared" si="422"/>
        <v>1.0555654604246325</v>
      </c>
      <c r="DU147" s="203">
        <f t="shared" si="393"/>
        <v>2.5515655322527479E-2</v>
      </c>
      <c r="DV147" s="92" t="str">
        <f t="shared" si="394"/>
        <v/>
      </c>
      <c r="DW147" s="92">
        <f t="shared" si="395"/>
        <v>1</v>
      </c>
      <c r="DX147" s="202">
        <f t="shared" si="396"/>
        <v>3.8763774003096302E-2</v>
      </c>
      <c r="DY147" s="92">
        <f t="shared" si="397"/>
        <v>4.0000243702534119E-2</v>
      </c>
      <c r="DZ147" s="92">
        <f t="shared" si="398"/>
        <v>0.1064662619494407</v>
      </c>
      <c r="EA147" s="92">
        <f t="shared" si="399"/>
        <v>4.0000243702534119E-2</v>
      </c>
      <c r="EB147" s="92">
        <f t="shared" si="400"/>
        <v>7.1033837455540316E-2</v>
      </c>
      <c r="EC147" s="92">
        <f t="shared" si="401"/>
        <v>4.3449596544041534E-2</v>
      </c>
      <c r="ED147" s="92" t="str">
        <f t="shared" si="402"/>
        <v/>
      </c>
      <c r="EE147" s="92">
        <f t="shared" si="403"/>
        <v>0.33971395735718712</v>
      </c>
      <c r="EF147" s="92">
        <f t="shared" si="404"/>
        <v>2.1724798272020767E-2</v>
      </c>
      <c r="EG147" s="92">
        <f t="shared" si="405"/>
        <v>0.36143875562920785</v>
      </c>
      <c r="EH147" s="92">
        <f t="shared" si="406"/>
        <v>0.66028604264281288</v>
      </c>
      <c r="EI147" s="92">
        <f t="shared" si="407"/>
        <v>0.54269508067195205</v>
      </c>
      <c r="EJ147" s="122">
        <f t="shared" si="408"/>
        <v>0.11759096197086087</v>
      </c>
    </row>
    <row r="148" spans="2:140" ht="11.25" hidden="1" customHeight="1" outlineLevel="1">
      <c r="B148" s="121">
        <v>45097</v>
      </c>
      <c r="C148" s="117">
        <v>23418</v>
      </c>
      <c r="D148" s="50" t="s">
        <v>858</v>
      </c>
      <c r="E148" s="50" t="s">
        <v>765</v>
      </c>
      <c r="F148" s="50" t="s">
        <v>859</v>
      </c>
      <c r="G148" s="50" t="s">
        <v>162</v>
      </c>
      <c r="H148" s="50" t="s">
        <v>860</v>
      </c>
      <c r="I148" s="50" t="s">
        <v>419</v>
      </c>
      <c r="J148" s="52" t="s">
        <v>175</v>
      </c>
      <c r="K148" s="50" t="s">
        <v>176</v>
      </c>
      <c r="L148" s="49">
        <v>6</v>
      </c>
      <c r="M148" s="50" t="s">
        <v>159</v>
      </c>
      <c r="N148" s="50" t="s">
        <v>185</v>
      </c>
      <c r="O148" s="50" t="s">
        <v>160</v>
      </c>
      <c r="P148" s="50" t="s">
        <v>177</v>
      </c>
      <c r="Q148" s="53">
        <v>0.04</v>
      </c>
      <c r="R148" s="49">
        <v>135</v>
      </c>
      <c r="S148" s="49">
        <v>0</v>
      </c>
      <c r="T148" s="54">
        <f t="shared" si="330"/>
        <v>135</v>
      </c>
      <c r="U148" s="55">
        <v>98468</v>
      </c>
      <c r="V148" s="49">
        <v>3.26</v>
      </c>
      <c r="W148" s="56">
        <f t="shared" si="423"/>
        <v>41.411042944785279</v>
      </c>
      <c r="X148" s="49" t="s">
        <v>163</v>
      </c>
      <c r="Y148" s="57" t="s">
        <v>162</v>
      </c>
      <c r="Z148" s="58">
        <v>11000000</v>
      </c>
      <c r="AA148" s="114">
        <v>2.5000000000000001E-3</v>
      </c>
      <c r="AB148" s="59">
        <v>15</v>
      </c>
      <c r="AC148" s="60">
        <v>40</v>
      </c>
      <c r="AD148" s="61">
        <v>2.5000000000000001E-3</v>
      </c>
      <c r="AE148" s="62">
        <v>11000000</v>
      </c>
      <c r="AF148" s="63">
        <v>2.59</v>
      </c>
      <c r="AG148" s="59">
        <v>15</v>
      </c>
      <c r="AH148" s="60">
        <v>40</v>
      </c>
      <c r="AI148" s="61">
        <v>6.25E-2</v>
      </c>
      <c r="AJ148" s="64">
        <v>2806373</v>
      </c>
      <c r="AK148" s="65">
        <f t="shared" si="424"/>
        <v>13806373</v>
      </c>
      <c r="AL148" s="66">
        <v>6067661</v>
      </c>
      <c r="AM148" s="49" t="s">
        <v>861</v>
      </c>
      <c r="AN148" s="67">
        <v>0.91</v>
      </c>
      <c r="AO148" s="62">
        <v>19151352</v>
      </c>
      <c r="AP148" s="62">
        <v>0</v>
      </c>
      <c r="AQ148" s="68">
        <v>1849315</v>
      </c>
      <c r="AR148" s="69">
        <f t="shared" si="425"/>
        <v>102269.42962962962</v>
      </c>
      <c r="AS148" s="70">
        <f t="shared" si="426"/>
        <v>44945.637037037035</v>
      </c>
      <c r="AT148" s="70">
        <f t="shared" si="427"/>
        <v>141861.86666666667</v>
      </c>
      <c r="AU148" s="70" t="str">
        <f t="shared" si="428"/>
        <v/>
      </c>
      <c r="AV148" s="71">
        <f t="shared" si="429"/>
        <v>13698.62962962963</v>
      </c>
      <c r="AW148" s="115">
        <f t="shared" si="430"/>
        <v>169131.34074074074</v>
      </c>
      <c r="AX148" s="116">
        <f t="shared" si="431"/>
        <v>231.87970711297072</v>
      </c>
      <c r="AY148" s="72">
        <f t="shared" si="432"/>
        <v>203091.38518518518</v>
      </c>
      <c r="AZ148" s="73">
        <f t="shared" si="433"/>
        <v>278.43905634317753</v>
      </c>
      <c r="BA148" s="66">
        <v>1480010</v>
      </c>
      <c r="BB148" s="62">
        <v>2693250</v>
      </c>
      <c r="BC148" s="62">
        <v>20139481</v>
      </c>
      <c r="BD148" s="62">
        <v>1228195</v>
      </c>
      <c r="BE148" s="62">
        <v>3356411</v>
      </c>
      <c r="BF148" s="62">
        <v>1731152</v>
      </c>
      <c r="BG148" s="62">
        <v>3276517</v>
      </c>
      <c r="BH148" s="62">
        <v>4769681</v>
      </c>
      <c r="BI148" s="62">
        <v>350689</v>
      </c>
      <c r="BJ148" s="47">
        <f t="shared" si="434"/>
        <v>39025386</v>
      </c>
      <c r="BK148" s="69">
        <f t="shared" si="435"/>
        <v>10963.037037037036</v>
      </c>
      <c r="BL148" s="70">
        <f t="shared" si="435"/>
        <v>19950</v>
      </c>
      <c r="BM148" s="70">
        <f t="shared" si="435"/>
        <v>149181.34074074074</v>
      </c>
      <c r="BN148" s="70">
        <f t="shared" si="435"/>
        <v>9097.7407407407409</v>
      </c>
      <c r="BO148" s="70">
        <f t="shared" si="435"/>
        <v>24862.303703703703</v>
      </c>
      <c r="BP148" s="70">
        <f t="shared" si="435"/>
        <v>12823.348148148149</v>
      </c>
      <c r="BQ148" s="70">
        <f t="shared" si="435"/>
        <v>24270.496296296296</v>
      </c>
      <c r="BR148" s="70">
        <f t="shared" si="435"/>
        <v>35330.970370370371</v>
      </c>
      <c r="BS148" s="70">
        <f t="shared" si="435"/>
        <v>2597.6962962962962</v>
      </c>
      <c r="BT148" s="71">
        <f t="shared" si="435"/>
        <v>289076.93333333335</v>
      </c>
      <c r="BU148" s="65">
        <f t="shared" si="439"/>
        <v>15.030365194784093</v>
      </c>
      <c r="BV148" s="48">
        <f t="shared" si="439"/>
        <v>27.351525368647682</v>
      </c>
      <c r="BW148" s="48">
        <f t="shared" si="439"/>
        <v>204.52818174432304</v>
      </c>
      <c r="BX148" s="48">
        <f t="shared" si="439"/>
        <v>12.47303692570175</v>
      </c>
      <c r="BY148" s="48">
        <f t="shared" si="439"/>
        <v>34.086312304505014</v>
      </c>
      <c r="BZ148" s="48">
        <f>IFERROR(IF(BF148&gt;0,BF148/$U148,""),"")</f>
        <v>17.580858756144128</v>
      </c>
      <c r="CA148" s="48">
        <f t="shared" si="440"/>
        <v>33.274942113173822</v>
      </c>
      <c r="CB148" s="48">
        <f t="shared" si="440"/>
        <v>48.438893853840838</v>
      </c>
      <c r="CC148" s="48">
        <f t="shared" si="440"/>
        <v>3.5614514359995124</v>
      </c>
      <c r="CD148" s="47">
        <f t="shared" si="440"/>
        <v>396.32556769711988</v>
      </c>
      <c r="CE148" s="66">
        <v>1516464</v>
      </c>
      <c r="CF148" s="62">
        <v>0</v>
      </c>
      <c r="CG148" s="74">
        <v>-113735</v>
      </c>
      <c r="CH148" s="75">
        <f t="shared" si="437"/>
        <v>1402729</v>
      </c>
      <c r="CI148" s="62">
        <v>52866</v>
      </c>
      <c r="CJ148" s="62">
        <v>70136</v>
      </c>
      <c r="CK148" s="62">
        <v>185000</v>
      </c>
      <c r="CL148" s="62">
        <v>86692</v>
      </c>
      <c r="CM148" s="62">
        <v>80159</v>
      </c>
      <c r="CN148" s="62">
        <v>169000</v>
      </c>
      <c r="CO148" s="62">
        <v>0</v>
      </c>
      <c r="CP148" s="75">
        <f t="shared" si="331"/>
        <v>643853</v>
      </c>
      <c r="CQ148" s="62">
        <v>40500</v>
      </c>
      <c r="CR148" s="75">
        <f t="shared" si="332"/>
        <v>684353</v>
      </c>
      <c r="CS148" s="75">
        <f t="shared" si="438"/>
        <v>758876</v>
      </c>
      <c r="CT148" s="62">
        <v>480202</v>
      </c>
      <c r="CU148" s="47">
        <f t="shared" si="413"/>
        <v>278674</v>
      </c>
      <c r="CV148" s="76">
        <f t="shared" si="414"/>
        <v>0.54099972268342633</v>
      </c>
      <c r="CW148" s="75">
        <f t="shared" si="415"/>
        <v>5069.2814814814819</v>
      </c>
      <c r="CX148" s="77">
        <f t="shared" si="416"/>
        <v>0.48787256840059628</v>
      </c>
      <c r="CY148" s="75">
        <f t="shared" si="417"/>
        <v>2064.2518518518518</v>
      </c>
      <c r="CZ148" s="77">
        <f t="shared" si="418"/>
        <v>0.19866560112466486</v>
      </c>
      <c r="DA148" s="200">
        <f t="shared" si="419"/>
        <v>0.34233412155876153</v>
      </c>
      <c r="DB148" s="47">
        <f t="shared" si="420"/>
        <v>102269.42962962962</v>
      </c>
      <c r="DC148" s="69">
        <f t="shared" si="421"/>
        <v>11233.066666666668</v>
      </c>
      <c r="DD148" s="70" t="str">
        <f t="shared" si="376"/>
        <v/>
      </c>
      <c r="DE148" s="70">
        <f t="shared" si="377"/>
        <v>-842.48148148148152</v>
      </c>
      <c r="DF148" s="70">
        <f t="shared" si="378"/>
        <v>10390.585185185186</v>
      </c>
      <c r="DG148" s="70">
        <f t="shared" si="379"/>
        <v>391.6</v>
      </c>
      <c r="DH148" s="70">
        <f t="shared" si="380"/>
        <v>519.52592592592589</v>
      </c>
      <c r="DI148" s="70">
        <f t="shared" si="381"/>
        <v>1370.3703703703704</v>
      </c>
      <c r="DJ148" s="70">
        <f t="shared" si="382"/>
        <v>642.16296296296298</v>
      </c>
      <c r="DK148" s="70">
        <f t="shared" si="383"/>
        <v>593.77037037037042</v>
      </c>
      <c r="DL148" s="70">
        <f t="shared" si="384"/>
        <v>1251.851851851852</v>
      </c>
      <c r="DM148" s="70" t="str">
        <f t="shared" si="385"/>
        <v/>
      </c>
      <c r="DN148" s="70">
        <f t="shared" si="386"/>
        <v>4769.2814814814819</v>
      </c>
      <c r="DO148" s="70">
        <f t="shared" si="387"/>
        <v>300</v>
      </c>
      <c r="DP148" s="70">
        <f t="shared" si="388"/>
        <v>5069.2814814814819</v>
      </c>
      <c r="DQ148" s="70">
        <f t="shared" si="389"/>
        <v>5621.3037037037038</v>
      </c>
      <c r="DR148" s="201">
        <f t="shared" si="390"/>
        <v>3557.051851851852</v>
      </c>
      <c r="DS148" s="71">
        <f t="shared" si="391"/>
        <v>2064.2518518518518</v>
      </c>
      <c r="DT148" s="202">
        <f t="shared" si="422"/>
        <v>1.0810812352207733</v>
      </c>
      <c r="DU148" s="92" t="str">
        <f t="shared" si="393"/>
        <v/>
      </c>
      <c r="DV148" s="92" t="str">
        <f t="shared" si="394"/>
        <v/>
      </c>
      <c r="DW148" s="92">
        <f t="shared" si="395"/>
        <v>1</v>
      </c>
      <c r="DX148" s="202">
        <f t="shared" si="396"/>
        <v>3.7687963961677562E-2</v>
      </c>
      <c r="DY148" s="92">
        <f t="shared" si="397"/>
        <v>4.9999679196765734E-2</v>
      </c>
      <c r="DZ148" s="92">
        <f t="shared" si="398"/>
        <v>0.13188577408751084</v>
      </c>
      <c r="EA148" s="92">
        <f t="shared" si="399"/>
        <v>6.1802386633483732E-2</v>
      </c>
      <c r="EB148" s="92">
        <f t="shared" si="400"/>
        <v>5.7145036568004223E-2</v>
      </c>
      <c r="EC148" s="92">
        <f t="shared" si="401"/>
        <v>0.12047943686913153</v>
      </c>
      <c r="ED148" s="92" t="str">
        <f t="shared" si="402"/>
        <v/>
      </c>
      <c r="EE148" s="92">
        <f t="shared" si="403"/>
        <v>0.45900027731657361</v>
      </c>
      <c r="EF148" s="92">
        <f t="shared" si="404"/>
        <v>2.8872291084022644E-2</v>
      </c>
      <c r="EG148" s="92">
        <f t="shared" si="405"/>
        <v>0.48787256840059628</v>
      </c>
      <c r="EH148" s="92">
        <f t="shared" si="406"/>
        <v>0.54099972268342633</v>
      </c>
      <c r="EI148" s="92">
        <f t="shared" si="407"/>
        <v>0.34233412155876153</v>
      </c>
      <c r="EJ148" s="122">
        <f t="shared" si="408"/>
        <v>0.19866560112466486</v>
      </c>
    </row>
    <row r="149" spans="2:140" ht="12" hidden="1" customHeight="1" outlineLevel="1">
      <c r="B149" s="121">
        <v>45098</v>
      </c>
      <c r="C149" s="117">
        <v>23427</v>
      </c>
      <c r="D149" s="50" t="s">
        <v>862</v>
      </c>
      <c r="E149" s="50" t="s">
        <v>863</v>
      </c>
      <c r="F149" s="50" t="s">
        <v>864</v>
      </c>
      <c r="G149" s="50" t="s">
        <v>162</v>
      </c>
      <c r="H149" s="50" t="s">
        <v>415</v>
      </c>
      <c r="I149" s="50" t="s">
        <v>865</v>
      </c>
      <c r="J149" s="52" t="s">
        <v>360</v>
      </c>
      <c r="K149" s="50" t="s">
        <v>294</v>
      </c>
      <c r="L149" s="49">
        <v>7</v>
      </c>
      <c r="M149" s="50" t="s">
        <v>159</v>
      </c>
      <c r="N149" s="50" t="s">
        <v>160</v>
      </c>
      <c r="O149" s="50" t="s">
        <v>160</v>
      </c>
      <c r="P149" s="50" t="s">
        <v>161</v>
      </c>
      <c r="Q149" s="53">
        <v>0.04</v>
      </c>
      <c r="R149" s="49">
        <v>136</v>
      </c>
      <c r="S149" s="49">
        <v>0</v>
      </c>
      <c r="T149" s="54">
        <f t="shared" si="330"/>
        <v>136</v>
      </c>
      <c r="U149" s="55">
        <v>49412</v>
      </c>
      <c r="V149" s="49">
        <v>2.71</v>
      </c>
      <c r="W149" s="56">
        <f t="shared" si="333"/>
        <v>50.184501845018453</v>
      </c>
      <c r="X149" s="49">
        <v>1968</v>
      </c>
      <c r="Y149" s="57" t="s">
        <v>162</v>
      </c>
      <c r="Z149" s="58">
        <v>19650000</v>
      </c>
      <c r="AA149" s="114">
        <v>4.2500000000000003E-2</v>
      </c>
      <c r="AB149" s="59">
        <v>40</v>
      </c>
      <c r="AC149" s="60">
        <v>40</v>
      </c>
      <c r="AD149" s="61">
        <v>4.65E-2</v>
      </c>
      <c r="AE149" s="62">
        <v>13650000</v>
      </c>
      <c r="AF149" s="63">
        <v>1.52</v>
      </c>
      <c r="AG149" s="59">
        <v>40</v>
      </c>
      <c r="AH149" s="60">
        <v>40</v>
      </c>
      <c r="AI149" s="61">
        <v>2.5000000000000001E-3</v>
      </c>
      <c r="AJ149" s="64">
        <v>6000000</v>
      </c>
      <c r="AK149" s="65">
        <f t="shared" si="334"/>
        <v>19650000</v>
      </c>
      <c r="AL149" s="66">
        <v>250000</v>
      </c>
      <c r="AM149" s="49" t="s">
        <v>866</v>
      </c>
      <c r="AN149" s="67">
        <v>0.82</v>
      </c>
      <c r="AO149" s="62">
        <v>20121317</v>
      </c>
      <c r="AP149" s="62">
        <v>0</v>
      </c>
      <c r="AQ149" s="68">
        <v>2458201</v>
      </c>
      <c r="AR149" s="69">
        <f t="shared" si="335"/>
        <v>144485.29411764705</v>
      </c>
      <c r="AS149" s="70">
        <f t="shared" si="336"/>
        <v>1838.2352941176471</v>
      </c>
      <c r="AT149" s="70">
        <f t="shared" si="337"/>
        <v>147950.86029411765</v>
      </c>
      <c r="AU149" s="70" t="str">
        <f t="shared" si="338"/>
        <v/>
      </c>
      <c r="AV149" s="71">
        <f t="shared" si="339"/>
        <v>18075.007352941175</v>
      </c>
      <c r="AW149" s="115">
        <f t="shared" si="340"/>
        <v>61297.558823529413</v>
      </c>
      <c r="AX149" s="116">
        <f t="shared" si="341"/>
        <v>168.71342993604793</v>
      </c>
      <c r="AY149" s="72">
        <f t="shared" si="342"/>
        <v>76867.13970588235</v>
      </c>
      <c r="AZ149" s="73">
        <f t="shared" si="343"/>
        <v>211.56664373026794</v>
      </c>
      <c r="BA149" s="66">
        <v>16150000</v>
      </c>
      <c r="BB149" s="62">
        <v>603693</v>
      </c>
      <c r="BC149" s="62">
        <v>7732775</v>
      </c>
      <c r="BD149" s="62">
        <v>833647</v>
      </c>
      <c r="BE149" s="62">
        <v>1283816</v>
      </c>
      <c r="BF149" s="62">
        <v>1172401</v>
      </c>
      <c r="BG149" s="62">
        <v>7681815</v>
      </c>
      <c r="BH149" s="62">
        <v>4350000</v>
      </c>
      <c r="BI149" s="62">
        <v>812510</v>
      </c>
      <c r="BJ149" s="47">
        <f t="shared" si="344"/>
        <v>40620657</v>
      </c>
      <c r="BK149" s="69">
        <f t="shared" si="345"/>
        <v>118750</v>
      </c>
      <c r="BL149" s="70">
        <f t="shared" si="346"/>
        <v>4438.9191176470586</v>
      </c>
      <c r="BM149" s="70">
        <f t="shared" si="347"/>
        <v>56858.63970588235</v>
      </c>
      <c r="BN149" s="70">
        <f t="shared" si="348"/>
        <v>6129.7573529411766</v>
      </c>
      <c r="BO149" s="70">
        <f t="shared" si="349"/>
        <v>9439.823529411764</v>
      </c>
      <c r="BP149" s="70">
        <f t="shared" si="350"/>
        <v>8620.5955882352937</v>
      </c>
      <c r="BQ149" s="70">
        <f t="shared" si="351"/>
        <v>56483.933823529413</v>
      </c>
      <c r="BR149" s="70">
        <f t="shared" si="352"/>
        <v>31985.294117647059</v>
      </c>
      <c r="BS149" s="70">
        <f t="shared" si="353"/>
        <v>5974.338235294118</v>
      </c>
      <c r="BT149" s="71">
        <f t="shared" si="354"/>
        <v>298681.30147058825</v>
      </c>
      <c r="BU149" s="65">
        <f t="shared" si="355"/>
        <v>326.84368169675383</v>
      </c>
      <c r="BV149" s="48">
        <f t="shared" si="356"/>
        <v>12.217538249817858</v>
      </c>
      <c r="BW149" s="48">
        <f t="shared" si="357"/>
        <v>156.49589168623007</v>
      </c>
      <c r="BX149" s="48">
        <f t="shared" si="358"/>
        <v>16.871347041204565</v>
      </c>
      <c r="BY149" s="48">
        <f t="shared" si="359"/>
        <v>25.981866753015463</v>
      </c>
      <c r="BZ149" s="48">
        <f t="shared" si="360"/>
        <v>23.727050109285194</v>
      </c>
      <c r="CA149" s="48">
        <f t="shared" si="361"/>
        <v>155.46456326398445</v>
      </c>
      <c r="CB149" s="48">
        <f t="shared" si="362"/>
        <v>88.03529507002348</v>
      </c>
      <c r="CC149" s="48">
        <f t="shared" si="363"/>
        <v>16.443576459159718</v>
      </c>
      <c r="CD149" s="47">
        <f t="shared" si="364"/>
        <v>822.08081032947462</v>
      </c>
      <c r="CE149" s="66">
        <v>2141100</v>
      </c>
      <c r="CF149" s="62">
        <v>48960</v>
      </c>
      <c r="CG149" s="74">
        <v>-164255</v>
      </c>
      <c r="CH149" s="75">
        <f t="shared" si="365"/>
        <v>2025805</v>
      </c>
      <c r="CI149" s="62">
        <v>102120</v>
      </c>
      <c r="CJ149" s="62">
        <v>76312</v>
      </c>
      <c r="CK149" s="62">
        <v>251600</v>
      </c>
      <c r="CL149" s="62">
        <v>116800</v>
      </c>
      <c r="CM149" s="62">
        <v>158800</v>
      </c>
      <c r="CN149" s="62">
        <v>81600</v>
      </c>
      <c r="CO149" s="62">
        <v>0</v>
      </c>
      <c r="CP149" s="75">
        <f t="shared" si="331"/>
        <v>787232</v>
      </c>
      <c r="CQ149" s="62">
        <v>40800</v>
      </c>
      <c r="CR149" s="75">
        <f t="shared" si="332"/>
        <v>828032</v>
      </c>
      <c r="CS149" s="75">
        <f t="shared" si="366"/>
        <v>1238573</v>
      </c>
      <c r="CT149" s="62">
        <v>944017</v>
      </c>
      <c r="CU149" s="47">
        <f t="shared" si="367"/>
        <v>294556</v>
      </c>
      <c r="CV149" s="76">
        <f t="shared" si="368"/>
        <v>0.61139793810361809</v>
      </c>
      <c r="CW149" s="75">
        <f t="shared" si="369"/>
        <v>6088.4705882352937</v>
      </c>
      <c r="CX149" s="77">
        <f t="shared" si="370"/>
        <v>0.40874220371654724</v>
      </c>
      <c r="CY149" s="75">
        <f t="shared" si="371"/>
        <v>2165.8529411764707</v>
      </c>
      <c r="CZ149" s="77">
        <f t="shared" si="372"/>
        <v>0.14540195132305428</v>
      </c>
      <c r="DA149" s="200">
        <f t="shared" si="373"/>
        <v>0.46599598678056375</v>
      </c>
      <c r="DB149" s="47">
        <f t="shared" si="374"/>
        <v>144485.29411764705</v>
      </c>
      <c r="DC149" s="69">
        <f t="shared" si="375"/>
        <v>15743.382352941177</v>
      </c>
      <c r="DD149" s="70">
        <f t="shared" si="376"/>
        <v>360</v>
      </c>
      <c r="DE149" s="70">
        <f t="shared" si="377"/>
        <v>-1207.7573529411766</v>
      </c>
      <c r="DF149" s="70">
        <f t="shared" si="378"/>
        <v>14895.625</v>
      </c>
      <c r="DG149" s="70">
        <f t="shared" si="379"/>
        <v>750.88235294117646</v>
      </c>
      <c r="DH149" s="70">
        <f t="shared" si="380"/>
        <v>561.11764705882354</v>
      </c>
      <c r="DI149" s="70">
        <f t="shared" si="381"/>
        <v>1850</v>
      </c>
      <c r="DJ149" s="70">
        <f t="shared" si="382"/>
        <v>858.82352941176475</v>
      </c>
      <c r="DK149" s="70">
        <f t="shared" si="383"/>
        <v>1167.6470588235295</v>
      </c>
      <c r="DL149" s="70">
        <f t="shared" si="384"/>
        <v>600</v>
      </c>
      <c r="DM149" s="70" t="str">
        <f t="shared" si="385"/>
        <v/>
      </c>
      <c r="DN149" s="70">
        <f t="shared" si="386"/>
        <v>5788.4705882352937</v>
      </c>
      <c r="DO149" s="70">
        <f t="shared" si="387"/>
        <v>300</v>
      </c>
      <c r="DP149" s="70">
        <f t="shared" si="388"/>
        <v>6088.4705882352937</v>
      </c>
      <c r="DQ149" s="70">
        <f t="shared" si="389"/>
        <v>9107.1544117647063</v>
      </c>
      <c r="DR149" s="70">
        <f t="shared" si="390"/>
        <v>6941.3014705882351</v>
      </c>
      <c r="DS149" s="71">
        <f t="shared" si="391"/>
        <v>2165.8529411764707</v>
      </c>
      <c r="DT149" s="106">
        <f t="shared" si="392"/>
        <v>1.0569131777244107</v>
      </c>
      <c r="DU149" s="92">
        <f t="shared" si="393"/>
        <v>2.4168170184198381E-2</v>
      </c>
      <c r="DV149" s="92" t="str">
        <f t="shared" si="394"/>
        <v/>
      </c>
      <c r="DW149" s="92">
        <f t="shared" si="395"/>
        <v>1</v>
      </c>
      <c r="DX149" s="92">
        <f t="shared" si="396"/>
        <v>5.0409590261649075E-2</v>
      </c>
      <c r="DY149" s="92">
        <f t="shared" si="397"/>
        <v>3.7669963298540582E-2</v>
      </c>
      <c r="DZ149" s="92">
        <f t="shared" si="398"/>
        <v>0.12419754122435279</v>
      </c>
      <c r="EA149" s="92">
        <f t="shared" si="399"/>
        <v>5.7656092269492872E-2</v>
      </c>
      <c r="EB149" s="92">
        <f t="shared" si="400"/>
        <v>7.8388591202015995E-2</v>
      </c>
      <c r="EC149" s="92">
        <f t="shared" si="401"/>
        <v>4.0280283640330636E-2</v>
      </c>
      <c r="ED149" s="92" t="str">
        <f t="shared" si="402"/>
        <v/>
      </c>
      <c r="EE149" s="92">
        <f t="shared" si="403"/>
        <v>0.38860206189638191</v>
      </c>
      <c r="EF149" s="92">
        <f t="shared" si="404"/>
        <v>2.0140141820165318E-2</v>
      </c>
      <c r="EG149" s="92">
        <f t="shared" si="405"/>
        <v>0.40874220371654724</v>
      </c>
      <c r="EH149" s="92">
        <f t="shared" si="406"/>
        <v>0.61139793810361809</v>
      </c>
      <c r="EI149" s="92">
        <f t="shared" si="407"/>
        <v>0.46599598678056375</v>
      </c>
      <c r="EJ149" s="122">
        <f t="shared" si="408"/>
        <v>0.14540195132305428</v>
      </c>
    </row>
    <row r="150" spans="2:140" ht="12" hidden="1" customHeight="1" outlineLevel="1">
      <c r="B150" s="121">
        <v>45100</v>
      </c>
      <c r="C150" s="117">
        <v>23430</v>
      </c>
      <c r="D150" s="50" t="s">
        <v>867</v>
      </c>
      <c r="E150" s="50" t="s">
        <v>868</v>
      </c>
      <c r="F150" s="50" t="s">
        <v>869</v>
      </c>
      <c r="G150" s="50" t="s">
        <v>162</v>
      </c>
      <c r="H150" s="50" t="s">
        <v>870</v>
      </c>
      <c r="I150" s="50" t="s">
        <v>248</v>
      </c>
      <c r="J150" s="52" t="s">
        <v>254</v>
      </c>
      <c r="K150" s="50" t="s">
        <v>255</v>
      </c>
      <c r="L150" s="49">
        <v>4</v>
      </c>
      <c r="M150" s="50" t="s">
        <v>159</v>
      </c>
      <c r="N150" s="50" t="s">
        <v>185</v>
      </c>
      <c r="O150" s="50" t="s">
        <v>160</v>
      </c>
      <c r="P150" s="50" t="s">
        <v>161</v>
      </c>
      <c r="Q150" s="53">
        <v>0.04</v>
      </c>
      <c r="R150" s="49">
        <v>100</v>
      </c>
      <c r="S150" s="49">
        <v>0</v>
      </c>
      <c r="T150" s="54">
        <f t="shared" si="330"/>
        <v>100</v>
      </c>
      <c r="U150" s="55">
        <v>50629</v>
      </c>
      <c r="V150" s="49">
        <v>3.23</v>
      </c>
      <c r="W150" s="56">
        <f t="shared" si="333"/>
        <v>30.959752321981423</v>
      </c>
      <c r="X150" s="49">
        <v>1978</v>
      </c>
      <c r="Y150" s="57" t="s">
        <v>162</v>
      </c>
      <c r="Z150" s="58">
        <v>10230000</v>
      </c>
      <c r="AA150" s="114">
        <v>5.3999999999999999E-2</v>
      </c>
      <c r="AB150" s="59">
        <v>16</v>
      </c>
      <c r="AC150" s="60">
        <v>40</v>
      </c>
      <c r="AD150" s="61">
        <v>5.3999999999999999E-2</v>
      </c>
      <c r="AE150" s="62">
        <v>10230000</v>
      </c>
      <c r="AF150" s="63">
        <v>1.1499999999999999</v>
      </c>
      <c r="AG150" s="59"/>
      <c r="AH150" s="60"/>
      <c r="AI150" s="61"/>
      <c r="AJ150" s="64"/>
      <c r="AK150" s="65">
        <f t="shared" si="334"/>
        <v>10230000</v>
      </c>
      <c r="AL150" s="66">
        <v>412611</v>
      </c>
      <c r="AM150" s="49" t="s">
        <v>866</v>
      </c>
      <c r="AN150" s="67">
        <v>0.86</v>
      </c>
      <c r="AO150" s="62">
        <v>6849771</v>
      </c>
      <c r="AP150" s="62">
        <v>0</v>
      </c>
      <c r="AQ150" s="68">
        <v>770613</v>
      </c>
      <c r="AR150" s="69">
        <f t="shared" si="335"/>
        <v>102300</v>
      </c>
      <c r="AS150" s="70">
        <f t="shared" si="336"/>
        <v>4126.1099999999997</v>
      </c>
      <c r="AT150" s="70">
        <f t="shared" si="337"/>
        <v>68497.710000000006</v>
      </c>
      <c r="AU150" s="70" t="str">
        <f t="shared" si="338"/>
        <v/>
      </c>
      <c r="AV150" s="71">
        <f t="shared" si="339"/>
        <v>7706.13</v>
      </c>
      <c r="AW150" s="115">
        <f t="shared" si="340"/>
        <v>35619.5</v>
      </c>
      <c r="AX150" s="116">
        <f t="shared" si="341"/>
        <v>70.353947342432207</v>
      </c>
      <c r="AY150" s="72">
        <f t="shared" si="342"/>
        <v>44210.92</v>
      </c>
      <c r="AZ150" s="73">
        <f t="shared" si="343"/>
        <v>87.323312725908082</v>
      </c>
      <c r="BA150" s="66">
        <v>8585125</v>
      </c>
      <c r="BB150" s="62">
        <v>509072</v>
      </c>
      <c r="BC150" s="62">
        <v>3052878</v>
      </c>
      <c r="BD150" s="62">
        <v>356195</v>
      </c>
      <c r="BE150" s="62">
        <v>502947</v>
      </c>
      <c r="BF150" s="62">
        <v>607795</v>
      </c>
      <c r="BG150" s="62">
        <v>1433622</v>
      </c>
      <c r="BH150" s="62">
        <v>2057408</v>
      </c>
      <c r="BI150" s="62">
        <v>387340</v>
      </c>
      <c r="BJ150" s="47">
        <f t="shared" si="344"/>
        <v>17492382</v>
      </c>
      <c r="BK150" s="69">
        <f t="shared" si="345"/>
        <v>85851.25</v>
      </c>
      <c r="BL150" s="70">
        <f t="shared" si="346"/>
        <v>5090.72</v>
      </c>
      <c r="BM150" s="70">
        <f t="shared" si="347"/>
        <v>30528.78</v>
      </c>
      <c r="BN150" s="70">
        <f t="shared" si="348"/>
        <v>3561.95</v>
      </c>
      <c r="BO150" s="70">
        <f t="shared" si="349"/>
        <v>5029.47</v>
      </c>
      <c r="BP150" s="70">
        <f t="shared" si="350"/>
        <v>6077.95</v>
      </c>
      <c r="BQ150" s="70">
        <f t="shared" si="351"/>
        <v>14336.22</v>
      </c>
      <c r="BR150" s="70">
        <f t="shared" si="352"/>
        <v>20574.080000000002</v>
      </c>
      <c r="BS150" s="70">
        <f t="shared" si="353"/>
        <v>3873.4</v>
      </c>
      <c r="BT150" s="71">
        <f t="shared" si="354"/>
        <v>174923.82</v>
      </c>
      <c r="BU150" s="65">
        <f t="shared" si="355"/>
        <v>169.56931797981395</v>
      </c>
      <c r="BV150" s="48">
        <f t="shared" si="356"/>
        <v>10.054948744790535</v>
      </c>
      <c r="BW150" s="48">
        <f t="shared" si="357"/>
        <v>60.29899859764167</v>
      </c>
      <c r="BX150" s="48">
        <f t="shared" si="358"/>
        <v>7.0353947342432201</v>
      </c>
      <c r="BY150" s="48">
        <f t="shared" si="359"/>
        <v>9.9339706492326538</v>
      </c>
      <c r="BZ150" s="48">
        <f t="shared" si="360"/>
        <v>12.004878626873927</v>
      </c>
      <c r="CA150" s="48">
        <f t="shared" si="361"/>
        <v>28.31622192814395</v>
      </c>
      <c r="CB150" s="48">
        <f t="shared" si="362"/>
        <v>40.63694720417152</v>
      </c>
      <c r="CC150" s="48">
        <f t="shared" si="363"/>
        <v>7.6505560054514214</v>
      </c>
      <c r="CD150" s="47">
        <f t="shared" si="364"/>
        <v>345.50123447036282</v>
      </c>
      <c r="CE150" s="66">
        <v>1315200</v>
      </c>
      <c r="CF150" s="62">
        <v>7052</v>
      </c>
      <c r="CG150" s="74">
        <v>-66113</v>
      </c>
      <c r="CH150" s="75">
        <f t="shared" si="365"/>
        <v>1256139</v>
      </c>
      <c r="CI150" s="62">
        <v>47848</v>
      </c>
      <c r="CJ150" s="62">
        <v>54000</v>
      </c>
      <c r="CK150" s="62">
        <v>160722</v>
      </c>
      <c r="CL150" s="62">
        <v>42000</v>
      </c>
      <c r="CM150" s="62">
        <v>126225</v>
      </c>
      <c r="CN150" s="62">
        <v>60000</v>
      </c>
      <c r="CO150" s="62">
        <v>0</v>
      </c>
      <c r="CP150" s="75">
        <f t="shared" si="331"/>
        <v>490795</v>
      </c>
      <c r="CQ150" s="62">
        <v>30000</v>
      </c>
      <c r="CR150" s="75">
        <f t="shared" si="332"/>
        <v>520795</v>
      </c>
      <c r="CS150" s="75">
        <f t="shared" si="366"/>
        <v>765344</v>
      </c>
      <c r="CT150" s="62">
        <v>624828</v>
      </c>
      <c r="CU150" s="47">
        <f t="shared" si="367"/>
        <v>140516</v>
      </c>
      <c r="CV150" s="76">
        <f t="shared" si="368"/>
        <v>0.60928288987126422</v>
      </c>
      <c r="CW150" s="75">
        <f t="shared" si="369"/>
        <v>5207.95</v>
      </c>
      <c r="CX150" s="77">
        <f t="shared" si="370"/>
        <v>0.41459981737689855</v>
      </c>
      <c r="CY150" s="75">
        <f t="shared" si="371"/>
        <v>1405.16</v>
      </c>
      <c r="CZ150" s="77">
        <f t="shared" si="372"/>
        <v>0.11186341638942825</v>
      </c>
      <c r="DA150" s="200">
        <f t="shared" si="373"/>
        <v>0.49741947348183602</v>
      </c>
      <c r="DB150" s="47">
        <f t="shared" si="374"/>
        <v>102300</v>
      </c>
      <c r="DC150" s="69">
        <f t="shared" si="375"/>
        <v>13152</v>
      </c>
      <c r="DD150" s="70">
        <f t="shared" si="376"/>
        <v>70.52</v>
      </c>
      <c r="DE150" s="70">
        <f t="shared" si="377"/>
        <v>-661.13</v>
      </c>
      <c r="DF150" s="70">
        <f t="shared" si="378"/>
        <v>12561.39</v>
      </c>
      <c r="DG150" s="70">
        <f t="shared" si="379"/>
        <v>478.48</v>
      </c>
      <c r="DH150" s="70">
        <f t="shared" si="380"/>
        <v>540</v>
      </c>
      <c r="DI150" s="70">
        <f t="shared" si="381"/>
        <v>1607.22</v>
      </c>
      <c r="DJ150" s="70">
        <f t="shared" si="382"/>
        <v>420</v>
      </c>
      <c r="DK150" s="70">
        <f t="shared" si="383"/>
        <v>1262.25</v>
      </c>
      <c r="DL150" s="70">
        <f t="shared" si="384"/>
        <v>600</v>
      </c>
      <c r="DM150" s="70" t="str">
        <f t="shared" si="385"/>
        <v/>
      </c>
      <c r="DN150" s="70">
        <f t="shared" si="386"/>
        <v>4907.95</v>
      </c>
      <c r="DO150" s="70">
        <f t="shared" si="387"/>
        <v>300</v>
      </c>
      <c r="DP150" s="70">
        <f t="shared" si="388"/>
        <v>5207.95</v>
      </c>
      <c r="DQ150" s="70">
        <f t="shared" si="389"/>
        <v>7653.44</v>
      </c>
      <c r="DR150" s="70">
        <f t="shared" si="390"/>
        <v>6248.28</v>
      </c>
      <c r="DS150" s="71">
        <f t="shared" si="391"/>
        <v>1405.16</v>
      </c>
      <c r="DT150" s="106">
        <f t="shared" si="392"/>
        <v>1.0470178857594581</v>
      </c>
      <c r="DU150" s="92">
        <f t="shared" si="393"/>
        <v>5.6140283838014742E-3</v>
      </c>
      <c r="DV150" s="92" t="str">
        <f t="shared" si="394"/>
        <v/>
      </c>
      <c r="DW150" s="92">
        <f t="shared" si="395"/>
        <v>1</v>
      </c>
      <c r="DX150" s="92">
        <f t="shared" si="396"/>
        <v>3.8091325880336493E-2</v>
      </c>
      <c r="DY150" s="92">
        <f t="shared" si="397"/>
        <v>4.2988873046693084E-2</v>
      </c>
      <c r="DZ150" s="92">
        <f t="shared" si="398"/>
        <v>0.1279492158113075</v>
      </c>
      <c r="EA150" s="92">
        <f t="shared" si="399"/>
        <v>3.3435790147427952E-2</v>
      </c>
      <c r="EB150" s="92">
        <f t="shared" si="400"/>
        <v>0.10048649074664508</v>
      </c>
      <c r="EC150" s="92">
        <f t="shared" si="401"/>
        <v>4.7765414496325646E-2</v>
      </c>
      <c r="ED150" s="92" t="str">
        <f t="shared" si="402"/>
        <v/>
      </c>
      <c r="EE150" s="92">
        <f t="shared" si="403"/>
        <v>0.39071711012873578</v>
      </c>
      <c r="EF150" s="92">
        <f t="shared" si="404"/>
        <v>2.3882707248162823E-2</v>
      </c>
      <c r="EG150" s="92">
        <f t="shared" si="405"/>
        <v>0.41459981737689855</v>
      </c>
      <c r="EH150" s="92">
        <f t="shared" si="406"/>
        <v>0.60928288987126422</v>
      </c>
      <c r="EI150" s="92">
        <f t="shared" si="407"/>
        <v>0.49741947348183602</v>
      </c>
      <c r="EJ150" s="122">
        <f t="shared" si="408"/>
        <v>0.11186341638942825</v>
      </c>
    </row>
    <row r="151" spans="2:140" ht="12" hidden="1" customHeight="1" outlineLevel="1">
      <c r="B151" s="121">
        <v>45100</v>
      </c>
      <c r="C151" s="117">
        <v>23424</v>
      </c>
      <c r="D151" s="50" t="s">
        <v>871</v>
      </c>
      <c r="E151" s="50" t="s">
        <v>872</v>
      </c>
      <c r="F151" s="50" t="s">
        <v>873</v>
      </c>
      <c r="G151" s="50" t="s">
        <v>162</v>
      </c>
      <c r="H151" s="50" t="s">
        <v>874</v>
      </c>
      <c r="I151" s="50" t="s">
        <v>875</v>
      </c>
      <c r="J151" s="52" t="s">
        <v>876</v>
      </c>
      <c r="K151" s="50" t="s">
        <v>184</v>
      </c>
      <c r="L151" s="49">
        <v>9</v>
      </c>
      <c r="M151" s="50" t="s">
        <v>159</v>
      </c>
      <c r="N151" s="50" t="s">
        <v>160</v>
      </c>
      <c r="O151" s="50" t="s">
        <v>160</v>
      </c>
      <c r="P151" s="50" t="s">
        <v>161</v>
      </c>
      <c r="Q151" s="53">
        <v>0.04</v>
      </c>
      <c r="R151" s="49">
        <v>140</v>
      </c>
      <c r="S151" s="49">
        <v>0</v>
      </c>
      <c r="T151" s="54">
        <f t="shared" si="330"/>
        <v>140</v>
      </c>
      <c r="U151" s="55">
        <v>149800</v>
      </c>
      <c r="V151" s="49">
        <v>6.1</v>
      </c>
      <c r="W151" s="56">
        <f t="shared" si="333"/>
        <v>22.95081967213115</v>
      </c>
      <c r="X151" s="49">
        <v>2005</v>
      </c>
      <c r="Y151" s="57" t="s">
        <v>162</v>
      </c>
      <c r="Z151" s="58">
        <v>11510000</v>
      </c>
      <c r="AA151" s="114">
        <v>5.5500000000000001E-2</v>
      </c>
      <c r="AB151" s="59">
        <v>32</v>
      </c>
      <c r="AC151" s="60">
        <v>40</v>
      </c>
      <c r="AD151" s="61">
        <v>5.5500000000000001E-2</v>
      </c>
      <c r="AE151" s="62">
        <v>11510000</v>
      </c>
      <c r="AF151" s="63">
        <v>1.1499999999999999</v>
      </c>
      <c r="AG151" s="59"/>
      <c r="AH151" s="60"/>
      <c r="AI151" s="61"/>
      <c r="AJ151" s="64"/>
      <c r="AK151" s="65">
        <f t="shared" si="334"/>
        <v>11510000</v>
      </c>
      <c r="AL151" s="66">
        <v>3664023</v>
      </c>
      <c r="AM151" s="49" t="s">
        <v>877</v>
      </c>
      <c r="AN151" s="67">
        <v>0.89</v>
      </c>
      <c r="AO151" s="62">
        <v>10799378</v>
      </c>
      <c r="AP151" s="62">
        <v>0</v>
      </c>
      <c r="AQ151" s="68">
        <v>2449031</v>
      </c>
      <c r="AR151" s="69">
        <f t="shared" si="335"/>
        <v>82214.28571428571</v>
      </c>
      <c r="AS151" s="70">
        <f t="shared" si="336"/>
        <v>26171.592857142856</v>
      </c>
      <c r="AT151" s="70">
        <f t="shared" si="337"/>
        <v>77138.414285714287</v>
      </c>
      <c r="AU151" s="70" t="str">
        <f t="shared" si="338"/>
        <v/>
      </c>
      <c r="AV151" s="71">
        <f t="shared" si="339"/>
        <v>17493.07857142857</v>
      </c>
      <c r="AW151" s="115">
        <f t="shared" si="340"/>
        <v>34479.5</v>
      </c>
      <c r="AX151" s="116">
        <f t="shared" si="341"/>
        <v>32.223831775700937</v>
      </c>
      <c r="AY151" s="72">
        <f t="shared" si="342"/>
        <v>41775.521428571425</v>
      </c>
      <c r="AZ151" s="73">
        <f t="shared" si="343"/>
        <v>39.042543391188254</v>
      </c>
      <c r="BA151" s="66">
        <v>14425000</v>
      </c>
      <c r="BB151" s="62">
        <v>1188481</v>
      </c>
      <c r="BC151" s="62">
        <v>3638649</v>
      </c>
      <c r="BD151" s="62">
        <v>482713</v>
      </c>
      <c r="BE151" s="62">
        <v>538730</v>
      </c>
      <c r="BF151" s="62">
        <v>1509080</v>
      </c>
      <c r="BG151" s="62">
        <v>1028154</v>
      </c>
      <c r="BH151" s="62">
        <v>2808000</v>
      </c>
      <c r="BI151" s="62">
        <v>373160</v>
      </c>
      <c r="BJ151" s="47">
        <f t="shared" si="344"/>
        <v>25991967</v>
      </c>
      <c r="BK151" s="69">
        <f t="shared" si="345"/>
        <v>103035.71428571429</v>
      </c>
      <c r="BL151" s="70">
        <f t="shared" si="346"/>
        <v>8489.15</v>
      </c>
      <c r="BM151" s="70">
        <f t="shared" si="347"/>
        <v>25990.35</v>
      </c>
      <c r="BN151" s="70">
        <f t="shared" si="348"/>
        <v>3447.95</v>
      </c>
      <c r="BO151" s="70">
        <f t="shared" si="349"/>
        <v>3848.0714285714284</v>
      </c>
      <c r="BP151" s="70">
        <f t="shared" si="350"/>
        <v>10779.142857142857</v>
      </c>
      <c r="BQ151" s="70">
        <f t="shared" si="351"/>
        <v>7343.9571428571426</v>
      </c>
      <c r="BR151" s="70">
        <f t="shared" si="352"/>
        <v>20057.142857142859</v>
      </c>
      <c r="BS151" s="70">
        <f t="shared" si="353"/>
        <v>2665.4285714285716</v>
      </c>
      <c r="BT151" s="71">
        <f t="shared" si="354"/>
        <v>185656.90714285715</v>
      </c>
      <c r="BU151" s="65">
        <f t="shared" si="355"/>
        <v>96.295060080106808</v>
      </c>
      <c r="BV151" s="48">
        <f t="shared" si="356"/>
        <v>7.9337850467289721</v>
      </c>
      <c r="BW151" s="48">
        <f t="shared" si="357"/>
        <v>24.290046728971962</v>
      </c>
      <c r="BX151" s="48">
        <f t="shared" si="358"/>
        <v>3.2223831775700935</v>
      </c>
      <c r="BY151" s="48">
        <f t="shared" si="359"/>
        <v>3.5963284379172231</v>
      </c>
      <c r="BZ151" s="48">
        <f t="shared" si="360"/>
        <v>10.073965287049399</v>
      </c>
      <c r="CA151" s="48">
        <f t="shared" si="361"/>
        <v>6.8635113484646197</v>
      </c>
      <c r="CB151" s="48">
        <f t="shared" si="362"/>
        <v>18.744993324432578</v>
      </c>
      <c r="CC151" s="48">
        <f t="shared" si="363"/>
        <v>2.4910547396528706</v>
      </c>
      <c r="CD151" s="47">
        <f t="shared" si="364"/>
        <v>173.51112817089452</v>
      </c>
      <c r="CE151" s="66">
        <v>1680132</v>
      </c>
      <c r="CF151" s="62">
        <v>13015</v>
      </c>
      <c r="CG151" s="74">
        <v>-126986</v>
      </c>
      <c r="CH151" s="75">
        <f t="shared" si="365"/>
        <v>1566161</v>
      </c>
      <c r="CI151" s="62">
        <v>47608</v>
      </c>
      <c r="CJ151" s="62">
        <v>62646</v>
      </c>
      <c r="CK151" s="62">
        <v>154000</v>
      </c>
      <c r="CL151" s="62">
        <v>98876</v>
      </c>
      <c r="CM151" s="62">
        <v>154000</v>
      </c>
      <c r="CN151" s="62">
        <v>105000</v>
      </c>
      <c r="CO151" s="62">
        <v>73881</v>
      </c>
      <c r="CP151" s="75">
        <f t="shared" si="331"/>
        <v>696011</v>
      </c>
      <c r="CQ151" s="62">
        <v>42000</v>
      </c>
      <c r="CR151" s="75">
        <f t="shared" si="332"/>
        <v>738011</v>
      </c>
      <c r="CS151" s="75">
        <f t="shared" si="366"/>
        <v>870150</v>
      </c>
      <c r="CT151" s="62">
        <v>717087</v>
      </c>
      <c r="CU151" s="47">
        <f t="shared" si="367"/>
        <v>153063</v>
      </c>
      <c r="CV151" s="76">
        <f t="shared" si="368"/>
        <v>0.55559422051755858</v>
      </c>
      <c r="CW151" s="75">
        <f t="shared" si="369"/>
        <v>5271.5071428571428</v>
      </c>
      <c r="CX151" s="77">
        <f t="shared" si="370"/>
        <v>0.47122294578909829</v>
      </c>
      <c r="CY151" s="75">
        <f t="shared" si="371"/>
        <v>1093.3071428571429</v>
      </c>
      <c r="CZ151" s="77">
        <f t="shared" si="372"/>
        <v>9.7731331580852801E-2</v>
      </c>
      <c r="DA151" s="200">
        <f t="shared" si="373"/>
        <v>0.45786288893670574</v>
      </c>
      <c r="DB151" s="47">
        <f t="shared" si="374"/>
        <v>82214.28571428571</v>
      </c>
      <c r="DC151" s="69">
        <f t="shared" si="375"/>
        <v>12000.942857142858</v>
      </c>
      <c r="DD151" s="70">
        <f t="shared" si="376"/>
        <v>92.964285714285708</v>
      </c>
      <c r="DE151" s="70">
        <f t="shared" si="377"/>
        <v>-907.04285714285709</v>
      </c>
      <c r="DF151" s="70">
        <f t="shared" si="378"/>
        <v>11186.864285714286</v>
      </c>
      <c r="DG151" s="70">
        <f t="shared" si="379"/>
        <v>340.05714285714288</v>
      </c>
      <c r="DH151" s="70">
        <f t="shared" si="380"/>
        <v>447.47142857142859</v>
      </c>
      <c r="DI151" s="70">
        <f t="shared" si="381"/>
        <v>1100</v>
      </c>
      <c r="DJ151" s="70">
        <f t="shared" si="382"/>
        <v>706.25714285714287</v>
      </c>
      <c r="DK151" s="70">
        <f t="shared" si="383"/>
        <v>1100</v>
      </c>
      <c r="DL151" s="70">
        <f t="shared" si="384"/>
        <v>750</v>
      </c>
      <c r="DM151" s="70">
        <f t="shared" si="385"/>
        <v>527.72142857142853</v>
      </c>
      <c r="DN151" s="70">
        <f t="shared" si="386"/>
        <v>4971.5071428571428</v>
      </c>
      <c r="DO151" s="70">
        <f t="shared" si="387"/>
        <v>300</v>
      </c>
      <c r="DP151" s="70">
        <f t="shared" si="388"/>
        <v>5271.5071428571428</v>
      </c>
      <c r="DQ151" s="70">
        <f t="shared" si="389"/>
        <v>6215.3571428571431</v>
      </c>
      <c r="DR151" s="70">
        <f t="shared" si="390"/>
        <v>5122.05</v>
      </c>
      <c r="DS151" s="71">
        <f t="shared" si="391"/>
        <v>1093.3071428571429</v>
      </c>
      <c r="DT151" s="106">
        <f t="shared" si="392"/>
        <v>1.072770934788952</v>
      </c>
      <c r="DU151" s="92">
        <f t="shared" si="393"/>
        <v>8.3101290352652121E-3</v>
      </c>
      <c r="DV151" s="92" t="str">
        <f t="shared" si="394"/>
        <v/>
      </c>
      <c r="DW151" s="92">
        <f t="shared" si="395"/>
        <v>1</v>
      </c>
      <c r="DX151" s="92">
        <f t="shared" si="396"/>
        <v>3.0397896512555221E-2</v>
      </c>
      <c r="DY151" s="92">
        <f t="shared" si="397"/>
        <v>3.9999719058257742E-2</v>
      </c>
      <c r="DZ151" s="92">
        <f t="shared" si="398"/>
        <v>9.832960979107512E-2</v>
      </c>
      <c r="EA151" s="92">
        <f t="shared" si="399"/>
        <v>6.313271751754769E-2</v>
      </c>
      <c r="EB151" s="92">
        <f t="shared" si="400"/>
        <v>9.832960979107512E-2</v>
      </c>
      <c r="EC151" s="92">
        <f t="shared" si="401"/>
        <v>6.7042915766642133E-2</v>
      </c>
      <c r="ED151" s="92">
        <f t="shared" si="402"/>
        <v>4.7173311045288449E-2</v>
      </c>
      <c r="EE151" s="92">
        <f t="shared" si="403"/>
        <v>0.44440577948244148</v>
      </c>
      <c r="EF151" s="92">
        <f t="shared" si="404"/>
        <v>2.6817166306656849E-2</v>
      </c>
      <c r="EG151" s="92">
        <f t="shared" si="405"/>
        <v>0.47122294578909829</v>
      </c>
      <c r="EH151" s="92">
        <f t="shared" si="406"/>
        <v>0.55559422051755858</v>
      </c>
      <c r="EI151" s="92">
        <f t="shared" si="407"/>
        <v>0.45786288893670574</v>
      </c>
      <c r="EJ151" s="122">
        <f t="shared" si="408"/>
        <v>9.7731331580852801E-2</v>
      </c>
    </row>
    <row r="152" spans="2:140" ht="12" hidden="1" customHeight="1" outlineLevel="1">
      <c r="B152" s="121">
        <v>45104</v>
      </c>
      <c r="C152" s="117">
        <v>23610</v>
      </c>
      <c r="D152" s="50" t="s">
        <v>878</v>
      </c>
      <c r="E152" s="50" t="s">
        <v>850</v>
      </c>
      <c r="F152" s="50" t="s">
        <v>851</v>
      </c>
      <c r="G152" s="50" t="s">
        <v>154</v>
      </c>
      <c r="H152" s="50" t="s">
        <v>852</v>
      </c>
      <c r="I152" s="50" t="s">
        <v>879</v>
      </c>
      <c r="J152" s="52" t="s">
        <v>230</v>
      </c>
      <c r="K152" s="50" t="s">
        <v>230</v>
      </c>
      <c r="L152" s="49">
        <v>3</v>
      </c>
      <c r="M152" s="50" t="s">
        <v>159</v>
      </c>
      <c r="N152" s="50" t="s">
        <v>160</v>
      </c>
      <c r="O152" s="50" t="s">
        <v>160</v>
      </c>
      <c r="P152" s="50" t="s">
        <v>177</v>
      </c>
      <c r="Q152" s="53">
        <v>0.04</v>
      </c>
      <c r="R152" s="49">
        <v>264</v>
      </c>
      <c r="S152" s="49">
        <v>0</v>
      </c>
      <c r="T152" s="54">
        <f t="shared" si="330"/>
        <v>264</v>
      </c>
      <c r="U152" s="55">
        <v>310332</v>
      </c>
      <c r="V152" s="49">
        <v>17.329999999999998</v>
      </c>
      <c r="W152" s="56">
        <f>IFERROR(IF(T152&gt;0,T152/V152,""),"")</f>
        <v>15.233698788228507</v>
      </c>
      <c r="X152" s="49" t="s">
        <v>163</v>
      </c>
      <c r="Y152" s="57" t="s">
        <v>162</v>
      </c>
      <c r="Z152" s="58">
        <v>40402000</v>
      </c>
      <c r="AA152" s="114">
        <v>5.6500000000000002E-2</v>
      </c>
      <c r="AB152" s="59">
        <v>16</v>
      </c>
      <c r="AC152" s="60">
        <v>40</v>
      </c>
      <c r="AD152" s="61">
        <v>5.6500000000000002E-2</v>
      </c>
      <c r="AE152" s="62">
        <v>40402000</v>
      </c>
      <c r="AF152" s="63">
        <v>1.1499999999999999</v>
      </c>
      <c r="AG152" s="59"/>
      <c r="AH152" s="60"/>
      <c r="AI152" s="61"/>
      <c r="AJ152" s="64"/>
      <c r="AK152" s="65">
        <f>IFERROR(IF(AE152&gt;0,AJ152+AE152,""),"")</f>
        <v>40402000</v>
      </c>
      <c r="AL152" s="66">
        <v>3800000</v>
      </c>
      <c r="AM152" s="49" t="s">
        <v>257</v>
      </c>
      <c r="AN152" s="67">
        <v>0.88</v>
      </c>
      <c r="AO152" s="62">
        <v>47797022</v>
      </c>
      <c r="AP152" s="62">
        <v>0</v>
      </c>
      <c r="AQ152" s="68">
        <v>10546022</v>
      </c>
      <c r="AR152" s="69">
        <f>IFERROR(IF(AK152&gt;0,AK152/T152,""),"")</f>
        <v>153037.87878787878</v>
      </c>
      <c r="AS152" s="70">
        <f>IFERROR(IF(AL152&gt;0,AL152/T152,""),"")</f>
        <v>14393.939393939394</v>
      </c>
      <c r="AT152" s="70">
        <f>IFERROR(IF(AO152&gt;0,AO152/T152,""),"")</f>
        <v>181049.32575757575</v>
      </c>
      <c r="AU152" s="70" t="str">
        <f>IFERROR(IF(AP152&gt;0,AP152/T152,""),"")</f>
        <v/>
      </c>
      <c r="AV152" s="71">
        <f>IFERROR(IF(AQ152&gt;0,AQ152/T152,""),"")</f>
        <v>39947.053030303032</v>
      </c>
      <c r="AW152" s="115">
        <f>IFERROR(IF(SUM(BB152:BC152)&gt;0,SUM(BB152:BC152)/T152,""),"")</f>
        <v>188135.73106060605</v>
      </c>
      <c r="AX152" s="116">
        <f>IFERROR(IF(SUM(BB152:BC152)&gt;0,SUM(BB152:BC152)/U152,""),"")</f>
        <v>160.04741051519019</v>
      </c>
      <c r="AY152" s="72">
        <f>IFERROR(IF(SUM(BL152:BO152)&gt;0,SUM(BL152:BO152),""),"")</f>
        <v>225374.89393939392</v>
      </c>
      <c r="AZ152" s="73">
        <f>IFERROR(IF(SUM(BV152:BY152)&gt;0,SUM(BV152:BY152),""),"")</f>
        <v>191.72683448693655</v>
      </c>
      <c r="BA152" s="66">
        <v>5275000</v>
      </c>
      <c r="BB152" s="62">
        <v>5805000</v>
      </c>
      <c r="BC152" s="62">
        <v>43862833</v>
      </c>
      <c r="BD152" s="62">
        <v>2951142</v>
      </c>
      <c r="BE152" s="62">
        <v>6879997</v>
      </c>
      <c r="BF152" s="62">
        <v>5289772</v>
      </c>
      <c r="BG152" s="62">
        <v>11145943</v>
      </c>
      <c r="BH152" s="62">
        <v>10589835</v>
      </c>
      <c r="BI152" s="62">
        <v>200000</v>
      </c>
      <c r="BJ152" s="47">
        <f>IFERROR(IF(SUM(BA152:BI152)&gt;0,SUM(BA152:BI152),""),"")</f>
        <v>91999522</v>
      </c>
      <c r="BK152" s="69">
        <f t="shared" ref="BK152:BT153" si="445">IFERROR(IF(BA152&gt;0,BA152/$T152,""),"")</f>
        <v>19981.060606060608</v>
      </c>
      <c r="BL152" s="70">
        <f t="shared" si="445"/>
        <v>21988.636363636364</v>
      </c>
      <c r="BM152" s="70">
        <f t="shared" si="445"/>
        <v>166147.0946969697</v>
      </c>
      <c r="BN152" s="70">
        <f t="shared" si="445"/>
        <v>11178.568181818182</v>
      </c>
      <c r="BO152" s="70">
        <f t="shared" si="445"/>
        <v>26060.594696969696</v>
      </c>
      <c r="BP152" s="70">
        <f t="shared" si="445"/>
        <v>20037.015151515152</v>
      </c>
      <c r="BQ152" s="70">
        <f t="shared" si="445"/>
        <v>42219.481060606064</v>
      </c>
      <c r="BR152" s="70">
        <f t="shared" si="445"/>
        <v>40113.01136363636</v>
      </c>
      <c r="BS152" s="70">
        <f t="shared" si="445"/>
        <v>757.57575757575762</v>
      </c>
      <c r="BT152" s="71">
        <f t="shared" si="445"/>
        <v>348483.0378787879</v>
      </c>
      <c r="BU152" s="65">
        <f t="shared" ref="BU152:CD153" si="446">IFERROR(IF(BA152&gt;0,BA152/$U152,""),"")</f>
        <v>16.997924803114085</v>
      </c>
      <c r="BV152" s="48">
        <f t="shared" si="446"/>
        <v>18.705773171957773</v>
      </c>
      <c r="BW152" s="48">
        <f t="shared" si="446"/>
        <v>141.34163734323241</v>
      </c>
      <c r="BX152" s="48">
        <f t="shared" si="446"/>
        <v>9.509628397973783</v>
      </c>
      <c r="BY152" s="48">
        <f t="shared" si="446"/>
        <v>22.169795573772603</v>
      </c>
      <c r="BZ152" s="48">
        <f t="shared" si="446"/>
        <v>17.045525437273628</v>
      </c>
      <c r="CA152" s="48">
        <f t="shared" si="446"/>
        <v>35.916189758065556</v>
      </c>
      <c r="CB152" s="48">
        <f t="shared" si="446"/>
        <v>34.124212134101541</v>
      </c>
      <c r="CC152" s="48">
        <f t="shared" si="446"/>
        <v>0.6444710825825245</v>
      </c>
      <c r="CD152" s="47">
        <f t="shared" si="446"/>
        <v>296.4551577020739</v>
      </c>
      <c r="CE152" s="66">
        <v>4461840</v>
      </c>
      <c r="CF152" s="62">
        <v>95040</v>
      </c>
      <c r="CG152" s="74">
        <v>-341766</v>
      </c>
      <c r="CH152" s="75">
        <f>IFERROR(IF(SUM(CE152:CG152)&gt;0,SUM(CE152:CG152),""),"")</f>
        <v>4215114</v>
      </c>
      <c r="CI152" s="62">
        <v>182560</v>
      </c>
      <c r="CJ152" s="62">
        <v>105378</v>
      </c>
      <c r="CK152" s="62">
        <v>356400</v>
      </c>
      <c r="CL152" s="62">
        <v>368280</v>
      </c>
      <c r="CM152" s="62">
        <v>198000</v>
      </c>
      <c r="CN152" s="62">
        <v>105600</v>
      </c>
      <c r="CO152" s="62">
        <v>0</v>
      </c>
      <c r="CP152" s="75">
        <f t="shared" si="331"/>
        <v>1316218</v>
      </c>
      <c r="CQ152" s="62">
        <v>66000</v>
      </c>
      <c r="CR152" s="75">
        <f t="shared" si="332"/>
        <v>1382218</v>
      </c>
      <c r="CS152" s="75">
        <f>IFERROR(IF(CH152-CR152&gt;0,CH152-CP152,""),"")</f>
        <v>2898896</v>
      </c>
      <c r="CT152" s="62">
        <v>2590650</v>
      </c>
      <c r="CU152" s="47">
        <f>IFERROR(IF(CS152-CT152&gt;0,CS152-CT152,""),"")</f>
        <v>308246</v>
      </c>
      <c r="CV152" s="76">
        <f>IFERROR(IF(CU152&gt;0,CS152/CH152,""),"")</f>
        <v>0.6877384573703107</v>
      </c>
      <c r="CW152" s="75">
        <f>IFERROR(IF(CU152&gt;0,CR152/T152,""),"")</f>
        <v>5235.674242424242</v>
      </c>
      <c r="CX152" s="77">
        <f>IFERROR(IF(CU152&gt;0,CR152/CH152,""),"")</f>
        <v>0.3279194821302579</v>
      </c>
      <c r="CY152" s="75">
        <f>IFERROR(IF(CU152&gt;0,CU152/T152,""),"")</f>
        <v>1167.5984848484848</v>
      </c>
      <c r="CZ152" s="77">
        <f>IFERROR(IF(CU152&gt;0,CU152/CH152,""),"")</f>
        <v>7.3128745746852866E-2</v>
      </c>
      <c r="DA152" s="77">
        <f>IFERROR(IF(CT152&gt;0,CT152/CH152,""),"")</f>
        <v>0.6146097116234579</v>
      </c>
      <c r="DB152" s="47">
        <f>IFERROR(IF(AR152&gt;0,AR152,""),"")</f>
        <v>153037.87878787878</v>
      </c>
      <c r="DC152" s="69">
        <f t="shared" ref="DC152:DL153" si="447">IFERROR(IF(ABS(CE152)&gt;0,CE152/$T152,""),"")</f>
        <v>16900.909090909092</v>
      </c>
      <c r="DD152" s="70">
        <f t="shared" si="447"/>
        <v>360</v>
      </c>
      <c r="DE152" s="70">
        <f t="shared" si="447"/>
        <v>-1294.5681818181818</v>
      </c>
      <c r="DF152" s="70">
        <f t="shared" si="447"/>
        <v>15966.34090909091</v>
      </c>
      <c r="DG152" s="70">
        <f t="shared" si="447"/>
        <v>691.5151515151515</v>
      </c>
      <c r="DH152" s="70">
        <f t="shared" si="447"/>
        <v>399.15909090909093</v>
      </c>
      <c r="DI152" s="70">
        <f t="shared" si="447"/>
        <v>1350</v>
      </c>
      <c r="DJ152" s="70">
        <f t="shared" si="447"/>
        <v>1395</v>
      </c>
      <c r="DK152" s="70">
        <f t="shared" si="447"/>
        <v>750</v>
      </c>
      <c r="DL152" s="70">
        <f t="shared" si="447"/>
        <v>400</v>
      </c>
      <c r="DM152" s="70" t="str">
        <f t="shared" si="385"/>
        <v/>
      </c>
      <c r="DN152" s="70">
        <f t="shared" si="386"/>
        <v>4985.674242424242</v>
      </c>
      <c r="DO152" s="70">
        <f t="shared" si="387"/>
        <v>250</v>
      </c>
      <c r="DP152" s="70">
        <f t="shared" si="388"/>
        <v>5235.674242424242</v>
      </c>
      <c r="DQ152" s="70">
        <f t="shared" si="389"/>
        <v>10980.666666666666</v>
      </c>
      <c r="DR152" s="70">
        <f t="shared" si="390"/>
        <v>9813.068181818182</v>
      </c>
      <c r="DS152" s="71">
        <f t="shared" si="391"/>
        <v>1167.5984848484848</v>
      </c>
      <c r="DT152" s="106">
        <f t="shared" ref="DT152:EC153" si="448">IFERROR(IF(ABS(CE152&gt;0),CE152/$CH152,""),"")</f>
        <v>1.0585336482002623</v>
      </c>
      <c r="DU152" s="92">
        <f t="shared" si="448"/>
        <v>2.2547432880818882E-2</v>
      </c>
      <c r="DV152" s="92" t="str">
        <f t="shared" si="448"/>
        <v/>
      </c>
      <c r="DW152" s="92">
        <f t="shared" si="448"/>
        <v>1</v>
      </c>
      <c r="DX152" s="92">
        <f t="shared" si="448"/>
        <v>4.3310809624603271E-2</v>
      </c>
      <c r="DY152" s="92">
        <f t="shared" si="448"/>
        <v>2.5000035586226137E-2</v>
      </c>
      <c r="DZ152" s="92">
        <f t="shared" si="448"/>
        <v>8.4552873303070805E-2</v>
      </c>
      <c r="EA152" s="92">
        <f t="shared" si="448"/>
        <v>8.737130241317316E-2</v>
      </c>
      <c r="EB152" s="92">
        <f t="shared" si="448"/>
        <v>4.6973818501706004E-2</v>
      </c>
      <c r="EC152" s="92">
        <f t="shared" si="448"/>
        <v>2.5052703200909868E-2</v>
      </c>
      <c r="ED152" s="92" t="str">
        <f t="shared" si="402"/>
        <v/>
      </c>
      <c r="EE152" s="92">
        <f t="shared" si="403"/>
        <v>0.31226154262968925</v>
      </c>
      <c r="EF152" s="92">
        <f t="shared" si="404"/>
        <v>1.5657939500568669E-2</v>
      </c>
      <c r="EG152" s="92">
        <f t="shared" si="405"/>
        <v>0.3279194821302579</v>
      </c>
      <c r="EH152" s="92">
        <f t="shared" si="406"/>
        <v>0.6877384573703107</v>
      </c>
      <c r="EI152" s="92">
        <f t="shared" si="407"/>
        <v>0.6146097116234579</v>
      </c>
      <c r="EJ152" s="122">
        <f t="shared" si="408"/>
        <v>7.3128745746852866E-2</v>
      </c>
    </row>
    <row r="153" spans="2:140" ht="12" hidden="1" customHeight="1" outlineLevel="1">
      <c r="B153" s="121">
        <v>45104</v>
      </c>
      <c r="C153" s="117">
        <v>23606</v>
      </c>
      <c r="D153" s="50" t="s">
        <v>880</v>
      </c>
      <c r="E153" s="50" t="s">
        <v>881</v>
      </c>
      <c r="F153" s="50" t="s">
        <v>882</v>
      </c>
      <c r="G153" s="50" t="s">
        <v>162</v>
      </c>
      <c r="H153" s="50" t="s">
        <v>155</v>
      </c>
      <c r="I153" s="50" t="s">
        <v>321</v>
      </c>
      <c r="J153" s="52" t="s">
        <v>175</v>
      </c>
      <c r="K153" s="50" t="s">
        <v>176</v>
      </c>
      <c r="L153" s="49">
        <v>6</v>
      </c>
      <c r="M153" s="50" t="s">
        <v>159</v>
      </c>
      <c r="N153" s="50" t="s">
        <v>160</v>
      </c>
      <c r="O153" s="50" t="s">
        <v>160</v>
      </c>
      <c r="P153" s="50" t="s">
        <v>161</v>
      </c>
      <c r="Q153" s="53">
        <v>0.04</v>
      </c>
      <c r="R153" s="49">
        <v>245</v>
      </c>
      <c r="S153" s="49">
        <v>11</v>
      </c>
      <c r="T153" s="54">
        <f t="shared" si="330"/>
        <v>256</v>
      </c>
      <c r="U153" s="55">
        <v>261376</v>
      </c>
      <c r="V153" s="49">
        <v>10.75</v>
      </c>
      <c r="W153" s="56">
        <f>IFERROR(IF(T153&gt;0,T153/V153,""),"")</f>
        <v>23.813953488372093</v>
      </c>
      <c r="X153" s="49">
        <v>1982</v>
      </c>
      <c r="Y153" s="57" t="s">
        <v>162</v>
      </c>
      <c r="Z153" s="58">
        <v>19950000</v>
      </c>
      <c r="AA153" s="114">
        <v>5.6800000000000003E-2</v>
      </c>
      <c r="AB153" s="59">
        <v>15</v>
      </c>
      <c r="AC153" s="60">
        <v>40</v>
      </c>
      <c r="AD153" s="61">
        <v>5.6800000000000003E-2</v>
      </c>
      <c r="AE153" s="62">
        <v>19950000</v>
      </c>
      <c r="AF153" s="63">
        <v>1.18</v>
      </c>
      <c r="AG153" s="59"/>
      <c r="AH153" s="60"/>
      <c r="AI153" s="61"/>
      <c r="AJ153" s="64"/>
      <c r="AK153" s="65">
        <f>IFERROR(IF(AE153&gt;0,AJ153+AE153,""),"")</f>
        <v>19950000</v>
      </c>
      <c r="AL153" s="66">
        <v>12830306</v>
      </c>
      <c r="AM153" s="49" t="s">
        <v>883</v>
      </c>
      <c r="AN153" s="67">
        <v>0.89</v>
      </c>
      <c r="AO153" s="62">
        <v>20166910</v>
      </c>
      <c r="AP153" s="62">
        <v>0</v>
      </c>
      <c r="AQ153" s="68">
        <v>3544229</v>
      </c>
      <c r="AR153" s="69">
        <f>IFERROR(IF(AK153&gt;0,AK153/T153,""),"")</f>
        <v>77929.6875</v>
      </c>
      <c r="AS153" s="70">
        <f>IFERROR(IF(AL153&gt;0,AL153/T153,""),"")</f>
        <v>50118.3828125</v>
      </c>
      <c r="AT153" s="70">
        <f>IFERROR(IF(AO153&gt;0,AO153/T153,""),"")</f>
        <v>78776.9921875</v>
      </c>
      <c r="AU153" s="70" t="str">
        <f>IFERROR(IF(AP153&gt;0,AP153/T153,""),"")</f>
        <v/>
      </c>
      <c r="AV153" s="71">
        <f>IFERROR(IF(AQ153&gt;0,AQ153/T153,""),"")</f>
        <v>13844.64453125</v>
      </c>
      <c r="AW153" s="115">
        <f>IFERROR(IF(SUM(BB153:BC153)&gt;0,SUM(BB153:BC153)/T153,""),"")</f>
        <v>39019.59765625</v>
      </c>
      <c r="AX153" s="116">
        <f>IFERROR(IF(SUM(BB153:BC153)&gt;0,SUM(BB153:BC153)/U153,""),"")</f>
        <v>38.217039820029385</v>
      </c>
      <c r="AY153" s="72">
        <f>IFERROR(IF(SUM(BL153:BO153)&gt;0,SUM(BL153:BO153),""),"")</f>
        <v>48930.578125</v>
      </c>
      <c r="AZ153" s="73">
        <f>IFERROR(IF(SUM(BV153:BY153)&gt;0,SUM(BV153:BY153),""),"")</f>
        <v>47.924170543584722</v>
      </c>
      <c r="BA153" s="66">
        <v>25200000</v>
      </c>
      <c r="BB153" s="62">
        <v>539772</v>
      </c>
      <c r="BC153" s="62">
        <v>9449245</v>
      </c>
      <c r="BD153" s="62">
        <v>998902</v>
      </c>
      <c r="BE153" s="62">
        <v>1538309</v>
      </c>
      <c r="BF153" s="62">
        <v>1284462</v>
      </c>
      <c r="BG153" s="62">
        <v>6664428</v>
      </c>
      <c r="BH153" s="62">
        <v>5727519</v>
      </c>
      <c r="BI153" s="62">
        <v>1544579</v>
      </c>
      <c r="BJ153" s="47">
        <f>IFERROR(IF(SUM(BA153:BI153)&gt;0,SUM(BA153:BI153),""),"")</f>
        <v>52947216</v>
      </c>
      <c r="BK153" s="69">
        <f t="shared" si="445"/>
        <v>98437.5</v>
      </c>
      <c r="BL153" s="70">
        <f t="shared" si="445"/>
        <v>2108.484375</v>
      </c>
      <c r="BM153" s="70">
        <f t="shared" si="445"/>
        <v>36911.11328125</v>
      </c>
      <c r="BN153" s="70">
        <f t="shared" si="445"/>
        <v>3901.9609375</v>
      </c>
      <c r="BO153" s="70">
        <f t="shared" si="445"/>
        <v>6009.01953125</v>
      </c>
      <c r="BP153" s="70">
        <f t="shared" si="445"/>
        <v>5017.4296875</v>
      </c>
      <c r="BQ153" s="70">
        <f t="shared" si="445"/>
        <v>26032.921875</v>
      </c>
      <c r="BR153" s="70">
        <f t="shared" si="445"/>
        <v>22373.12109375</v>
      </c>
      <c r="BS153" s="70">
        <f t="shared" si="445"/>
        <v>6033.51171875</v>
      </c>
      <c r="BT153" s="71">
        <f t="shared" si="445"/>
        <v>206825.0625</v>
      </c>
      <c r="BU153" s="65">
        <f t="shared" si="446"/>
        <v>96.412830558276198</v>
      </c>
      <c r="BV153" s="48">
        <f t="shared" si="446"/>
        <v>2.0651169196865817</v>
      </c>
      <c r="BW153" s="48">
        <f t="shared" si="446"/>
        <v>36.151922900342804</v>
      </c>
      <c r="BX153" s="48">
        <f t="shared" si="446"/>
        <v>3.8217051297747306</v>
      </c>
      <c r="BY153" s="48">
        <f t="shared" si="446"/>
        <v>5.8854255937806075</v>
      </c>
      <c r="BZ153" s="48">
        <f t="shared" si="446"/>
        <v>4.9142308398628796</v>
      </c>
      <c r="CA153" s="48">
        <f t="shared" si="446"/>
        <v>25.497474902056808</v>
      </c>
      <c r="CB153" s="48">
        <f t="shared" si="446"/>
        <v>21.912949161361411</v>
      </c>
      <c r="CC153" s="48">
        <f t="shared" si="446"/>
        <v>5.9094140242409399</v>
      </c>
      <c r="CD153" s="47">
        <f t="shared" si="446"/>
        <v>202.57107002938295</v>
      </c>
      <c r="CE153" s="66">
        <v>3526368</v>
      </c>
      <c r="CF153" s="62">
        <v>61440</v>
      </c>
      <c r="CG153" s="74">
        <v>-269086</v>
      </c>
      <c r="CH153" s="75">
        <f>IFERROR(IF(SUM(CE153:CG153)&gt;0,SUM(CE153:CG153),""),"")</f>
        <v>3318722</v>
      </c>
      <c r="CI153" s="62">
        <v>100283</v>
      </c>
      <c r="CJ153" s="62">
        <v>132749</v>
      </c>
      <c r="CK153" s="62">
        <v>467135</v>
      </c>
      <c r="CL153" s="62">
        <v>135921</v>
      </c>
      <c r="CM153" s="62">
        <v>382744</v>
      </c>
      <c r="CN153" s="62">
        <v>232576</v>
      </c>
      <c r="CO153" s="62">
        <v>271792</v>
      </c>
      <c r="CP153" s="75">
        <f t="shared" si="331"/>
        <v>1723200</v>
      </c>
      <c r="CQ153" s="62">
        <v>76800</v>
      </c>
      <c r="CR153" s="75">
        <f t="shared" si="332"/>
        <v>1800000</v>
      </c>
      <c r="CS153" s="75">
        <f>IFERROR(IF(CH153-CR153&gt;0,CH153-CP153,""),"")</f>
        <v>1595522</v>
      </c>
      <c r="CT153" s="62">
        <v>1284158</v>
      </c>
      <c r="CU153" s="47">
        <f>IFERROR(IF(CS153-CT153&gt;0,CS153-CT153,""),"")</f>
        <v>311364</v>
      </c>
      <c r="CV153" s="76">
        <f>IFERROR(IF(CU153&gt;0,CS153/CH153,""),"")</f>
        <v>0.48076398083358596</v>
      </c>
      <c r="CW153" s="75">
        <f>IFERROR(IF(CU153&gt;0,CR153/T153,""),"")</f>
        <v>7031.25</v>
      </c>
      <c r="CX153" s="77">
        <f>IFERROR(IF(CU153&gt;0,CR153/CH153,""),"")</f>
        <v>0.54237745734653275</v>
      </c>
      <c r="CY153" s="75">
        <f>IFERROR(IF(CU153&gt;0,CU153/T153,""),"")</f>
        <v>1216.265625</v>
      </c>
      <c r="CZ153" s="77">
        <f>IFERROR(IF(CU153&gt;0,CU153/CH153,""),"")</f>
        <v>9.3820452571803242E-2</v>
      </c>
      <c r="DA153" s="77">
        <f>IFERROR(IF(CT153&gt;0,CT153/CH153,""),"")</f>
        <v>0.38694352826178269</v>
      </c>
      <c r="DB153" s="47">
        <f>IFERROR(IF(AR153&gt;0,AR153,""),"")</f>
        <v>77929.6875</v>
      </c>
      <c r="DC153" s="69">
        <f t="shared" si="447"/>
        <v>13774.875</v>
      </c>
      <c r="DD153" s="70">
        <f t="shared" si="447"/>
        <v>240</v>
      </c>
      <c r="DE153" s="70">
        <f t="shared" si="447"/>
        <v>-1051.1171875</v>
      </c>
      <c r="DF153" s="70">
        <f t="shared" si="447"/>
        <v>12963.7578125</v>
      </c>
      <c r="DG153" s="70">
        <f t="shared" si="447"/>
        <v>391.73046875</v>
      </c>
      <c r="DH153" s="70">
        <f t="shared" si="447"/>
        <v>518.55078125</v>
      </c>
      <c r="DI153" s="70">
        <f t="shared" si="447"/>
        <v>1824.74609375</v>
      </c>
      <c r="DJ153" s="70">
        <f t="shared" si="447"/>
        <v>530.94140625</v>
      </c>
      <c r="DK153" s="70">
        <f t="shared" si="447"/>
        <v>1495.09375</v>
      </c>
      <c r="DL153" s="70">
        <f t="shared" si="447"/>
        <v>908.5</v>
      </c>
      <c r="DM153" s="70">
        <f t="shared" si="385"/>
        <v>1061.6875</v>
      </c>
      <c r="DN153" s="70">
        <f t="shared" si="386"/>
        <v>6731.25</v>
      </c>
      <c r="DO153" s="70">
        <f t="shared" si="387"/>
        <v>300</v>
      </c>
      <c r="DP153" s="70">
        <f t="shared" si="388"/>
        <v>7031.25</v>
      </c>
      <c r="DQ153" s="70">
        <f t="shared" si="389"/>
        <v>6232.5078125</v>
      </c>
      <c r="DR153" s="70">
        <f t="shared" si="390"/>
        <v>5016.2421875</v>
      </c>
      <c r="DS153" s="71">
        <f t="shared" si="391"/>
        <v>1216.265625</v>
      </c>
      <c r="DT153" s="106">
        <f t="shared" si="448"/>
        <v>1.0625680608378767</v>
      </c>
      <c r="DU153" s="92">
        <f t="shared" si="448"/>
        <v>1.8513150544094987E-2</v>
      </c>
      <c r="DV153" s="92" t="str">
        <f t="shared" si="448"/>
        <v/>
      </c>
      <c r="DW153" s="92">
        <f t="shared" si="448"/>
        <v>1</v>
      </c>
      <c r="DX153" s="92">
        <f t="shared" si="448"/>
        <v>3.0217354752823528E-2</v>
      </c>
      <c r="DY153" s="92">
        <f t="shared" si="448"/>
        <v>4.0000036158497156E-2</v>
      </c>
      <c r="DZ153" s="92">
        <f t="shared" si="448"/>
        <v>0.14075749640976257</v>
      </c>
      <c r="EA153" s="92">
        <f t="shared" si="448"/>
        <v>4.09558257666656E-2</v>
      </c>
      <c r="EB153" s="92">
        <f t="shared" si="448"/>
        <v>0.11532873196368963</v>
      </c>
      <c r="EC153" s="92">
        <f t="shared" si="448"/>
        <v>7.0079988622126221E-2</v>
      </c>
      <c r="ED153" s="92">
        <f t="shared" si="402"/>
        <v>8.1896585492849353E-2</v>
      </c>
      <c r="EE153" s="92">
        <f t="shared" si="403"/>
        <v>0.51923601916641404</v>
      </c>
      <c r="EF153" s="92">
        <f t="shared" si="404"/>
        <v>2.3141438180118733E-2</v>
      </c>
      <c r="EG153" s="92">
        <f t="shared" si="405"/>
        <v>0.54237745734653275</v>
      </c>
      <c r="EH153" s="92">
        <f t="shared" si="406"/>
        <v>0.48076398083358596</v>
      </c>
      <c r="EI153" s="92">
        <f t="shared" si="407"/>
        <v>0.38694352826178269</v>
      </c>
      <c r="EJ153" s="122">
        <f t="shared" si="408"/>
        <v>9.3820452571803242E-2</v>
      </c>
    </row>
    <row r="154" spans="2:140" ht="12" hidden="1" customHeight="1" outlineLevel="1">
      <c r="B154" s="121">
        <v>45104</v>
      </c>
      <c r="C154" s="117">
        <v>23432</v>
      </c>
      <c r="D154" s="50" t="s">
        <v>884</v>
      </c>
      <c r="E154" s="50" t="s">
        <v>165</v>
      </c>
      <c r="F154" s="50" t="s">
        <v>378</v>
      </c>
      <c r="G154" s="50" t="s">
        <v>162</v>
      </c>
      <c r="H154" s="50" t="s">
        <v>155</v>
      </c>
      <c r="I154" s="50" t="s">
        <v>167</v>
      </c>
      <c r="J154" s="52" t="s">
        <v>885</v>
      </c>
      <c r="K154" s="50" t="s">
        <v>885</v>
      </c>
      <c r="L154" s="49">
        <v>9</v>
      </c>
      <c r="M154" s="50" t="s">
        <v>283</v>
      </c>
      <c r="N154" s="50" t="s">
        <v>160</v>
      </c>
      <c r="O154" s="50" t="s">
        <v>160</v>
      </c>
      <c r="P154" s="50" t="s">
        <v>161</v>
      </c>
      <c r="Q154" s="53">
        <v>0.04</v>
      </c>
      <c r="R154" s="49">
        <v>76</v>
      </c>
      <c r="S154" s="49">
        <v>0</v>
      </c>
      <c r="T154" s="54">
        <f t="shared" si="330"/>
        <v>76</v>
      </c>
      <c r="U154" s="55">
        <v>73120</v>
      </c>
      <c r="V154" s="49">
        <v>6.24</v>
      </c>
      <c r="W154" s="56">
        <f t="shared" si="333"/>
        <v>12.179487179487179</v>
      </c>
      <c r="X154" s="49">
        <v>2005</v>
      </c>
      <c r="Y154" s="57" t="s">
        <v>162</v>
      </c>
      <c r="Z154" s="58">
        <v>4380000</v>
      </c>
      <c r="AA154" s="114">
        <v>5.9799999999999999E-2</v>
      </c>
      <c r="AB154" s="59">
        <v>15</v>
      </c>
      <c r="AC154" s="60">
        <v>40</v>
      </c>
      <c r="AD154" s="61">
        <v>5.9799999999999999E-2</v>
      </c>
      <c r="AE154" s="62">
        <v>4380000</v>
      </c>
      <c r="AF154" s="63">
        <v>1.1499999999999999</v>
      </c>
      <c r="AG154" s="59"/>
      <c r="AH154" s="60"/>
      <c r="AI154" s="61"/>
      <c r="AJ154" s="64"/>
      <c r="AK154" s="65">
        <f t="shared" si="334"/>
        <v>4380000</v>
      </c>
      <c r="AL154" s="66">
        <v>2258246</v>
      </c>
      <c r="AM154" s="49" t="s">
        <v>886</v>
      </c>
      <c r="AN154" s="67">
        <v>0.85</v>
      </c>
      <c r="AO154" s="62">
        <v>3925379</v>
      </c>
      <c r="AP154" s="62">
        <v>0</v>
      </c>
      <c r="AQ154" s="68">
        <v>697409</v>
      </c>
      <c r="AR154" s="69">
        <f t="shared" si="335"/>
        <v>57631.57894736842</v>
      </c>
      <c r="AS154" s="70">
        <f t="shared" si="336"/>
        <v>29713.763157894737</v>
      </c>
      <c r="AT154" s="70">
        <f t="shared" si="337"/>
        <v>51649.723684210527</v>
      </c>
      <c r="AU154" s="70" t="str">
        <f t="shared" si="338"/>
        <v/>
      </c>
      <c r="AV154" s="71">
        <f t="shared" si="339"/>
        <v>9176.4342105263149</v>
      </c>
      <c r="AW154" s="115">
        <f t="shared" si="340"/>
        <v>38642.32894736842</v>
      </c>
      <c r="AX154" s="116">
        <f t="shared" si="341"/>
        <v>40.164346280087528</v>
      </c>
      <c r="AY154" s="72">
        <f t="shared" si="342"/>
        <v>48457.48684210526</v>
      </c>
      <c r="AZ154" s="73">
        <f t="shared" si="343"/>
        <v>50.366096827133482</v>
      </c>
      <c r="BA154" s="66">
        <v>4025000</v>
      </c>
      <c r="BB154" s="62">
        <v>309470</v>
      </c>
      <c r="BC154" s="62">
        <v>2627347</v>
      </c>
      <c r="BD154" s="62">
        <v>293682</v>
      </c>
      <c r="BE154" s="62">
        <v>452270</v>
      </c>
      <c r="BF154" s="62">
        <v>526482</v>
      </c>
      <c r="BG154" s="62">
        <v>719834</v>
      </c>
      <c r="BH154" s="62">
        <v>1238933</v>
      </c>
      <c r="BI154" s="62">
        <v>370607</v>
      </c>
      <c r="BJ154" s="47">
        <f t="shared" si="344"/>
        <v>10563625</v>
      </c>
      <c r="BK154" s="69">
        <f t="shared" si="345"/>
        <v>52960.526315789473</v>
      </c>
      <c r="BL154" s="70">
        <f t="shared" si="346"/>
        <v>4071.9736842105262</v>
      </c>
      <c r="BM154" s="70">
        <f t="shared" si="347"/>
        <v>34570.355263157893</v>
      </c>
      <c r="BN154" s="70">
        <f t="shared" si="348"/>
        <v>3864.2368421052633</v>
      </c>
      <c r="BO154" s="70">
        <f t="shared" si="349"/>
        <v>5950.9210526315792</v>
      </c>
      <c r="BP154" s="70">
        <f t="shared" si="350"/>
        <v>6927.394736842105</v>
      </c>
      <c r="BQ154" s="70">
        <f t="shared" si="351"/>
        <v>9471.5</v>
      </c>
      <c r="BR154" s="70">
        <f t="shared" si="352"/>
        <v>16301.75</v>
      </c>
      <c r="BS154" s="70">
        <f t="shared" si="353"/>
        <v>4876.4078947368425</v>
      </c>
      <c r="BT154" s="71">
        <f t="shared" si="354"/>
        <v>138995.06578947368</v>
      </c>
      <c r="BU154" s="65">
        <f t="shared" si="355"/>
        <v>55.046498905908095</v>
      </c>
      <c r="BV154" s="48">
        <f t="shared" si="356"/>
        <v>4.2323577680525162</v>
      </c>
      <c r="BW154" s="48">
        <f t="shared" si="357"/>
        <v>35.931988512035012</v>
      </c>
      <c r="BX154" s="48">
        <f t="shared" si="358"/>
        <v>4.016438730853392</v>
      </c>
      <c r="BY154" s="48">
        <f t="shared" si="359"/>
        <v>6.1853118161925602</v>
      </c>
      <c r="BZ154" s="48">
        <f t="shared" si="360"/>
        <v>7.2002461706783372</v>
      </c>
      <c r="CA154" s="48">
        <f t="shared" si="361"/>
        <v>9.8445568927789928</v>
      </c>
      <c r="CB154" s="48">
        <f t="shared" si="362"/>
        <v>16.943832056892781</v>
      </c>
      <c r="CC154" s="48">
        <f t="shared" si="363"/>
        <v>5.0684764770240704</v>
      </c>
      <c r="CD154" s="47">
        <f t="shared" si="364"/>
        <v>144.46970733041576</v>
      </c>
      <c r="CE154" s="66">
        <v>834912</v>
      </c>
      <c r="CF154" s="62">
        <v>22800</v>
      </c>
      <c r="CG154" s="74">
        <v>-64328</v>
      </c>
      <c r="CH154" s="75">
        <f t="shared" si="365"/>
        <v>793384</v>
      </c>
      <c r="CI154" s="62">
        <v>51460</v>
      </c>
      <c r="CJ154" s="62">
        <v>31735</v>
      </c>
      <c r="CK154" s="62">
        <v>100753</v>
      </c>
      <c r="CL154" s="62">
        <v>51666</v>
      </c>
      <c r="CM154" s="62">
        <v>36108</v>
      </c>
      <c r="CN154" s="62">
        <v>60724</v>
      </c>
      <c r="CO154" s="62">
        <v>100404</v>
      </c>
      <c r="CP154" s="75">
        <f t="shared" si="331"/>
        <v>432850</v>
      </c>
      <c r="CQ154" s="62">
        <v>22800</v>
      </c>
      <c r="CR154" s="75">
        <f t="shared" si="332"/>
        <v>455650</v>
      </c>
      <c r="CS154" s="75">
        <f t="shared" si="366"/>
        <v>360534</v>
      </c>
      <c r="CT154" s="62">
        <v>291460</v>
      </c>
      <c r="CU154" s="47">
        <f t="shared" si="367"/>
        <v>69074</v>
      </c>
      <c r="CV154" s="76">
        <f t="shared" si="368"/>
        <v>0.45442559970959839</v>
      </c>
      <c r="CW154" s="75">
        <f t="shared" si="369"/>
        <v>5995.394736842105</v>
      </c>
      <c r="CX154" s="77">
        <f t="shared" si="370"/>
        <v>0.57431206074233909</v>
      </c>
      <c r="CY154" s="75">
        <f t="shared" si="371"/>
        <v>908.86842105263156</v>
      </c>
      <c r="CZ154" s="77">
        <f t="shared" si="372"/>
        <v>8.7062506932330377E-2</v>
      </c>
      <c r="DA154" s="77">
        <f t="shared" si="373"/>
        <v>0.36736309277726803</v>
      </c>
      <c r="DB154" s="47">
        <f t="shared" si="374"/>
        <v>57631.57894736842</v>
      </c>
      <c r="DC154" s="69">
        <f t="shared" si="375"/>
        <v>10985.684210526315</v>
      </c>
      <c r="DD154" s="70">
        <f t="shared" si="376"/>
        <v>300</v>
      </c>
      <c r="DE154" s="70">
        <f t="shared" si="377"/>
        <v>-846.42105263157896</v>
      </c>
      <c r="DF154" s="70">
        <f t="shared" si="378"/>
        <v>10439.263157894737</v>
      </c>
      <c r="DG154" s="70">
        <f t="shared" si="379"/>
        <v>677.10526315789468</v>
      </c>
      <c r="DH154" s="70">
        <f t="shared" si="380"/>
        <v>417.56578947368422</v>
      </c>
      <c r="DI154" s="70">
        <f t="shared" si="381"/>
        <v>1325.6973684210527</v>
      </c>
      <c r="DJ154" s="70">
        <f t="shared" si="382"/>
        <v>679.81578947368416</v>
      </c>
      <c r="DK154" s="70">
        <f t="shared" si="383"/>
        <v>475.10526315789474</v>
      </c>
      <c r="DL154" s="70">
        <f t="shared" si="384"/>
        <v>799</v>
      </c>
      <c r="DM154" s="70">
        <f t="shared" si="385"/>
        <v>1321.1052631578948</v>
      </c>
      <c r="DN154" s="70">
        <f t="shared" si="386"/>
        <v>5695.394736842105</v>
      </c>
      <c r="DO154" s="70">
        <f t="shared" si="387"/>
        <v>300</v>
      </c>
      <c r="DP154" s="70">
        <f t="shared" si="388"/>
        <v>5995.394736842105</v>
      </c>
      <c r="DQ154" s="70">
        <f t="shared" si="389"/>
        <v>4743.8684210526317</v>
      </c>
      <c r="DR154" s="70">
        <f t="shared" si="390"/>
        <v>3835</v>
      </c>
      <c r="DS154" s="71">
        <f t="shared" si="391"/>
        <v>908.86842105263156</v>
      </c>
      <c r="DT154" s="106">
        <f t="shared" si="392"/>
        <v>1.0523428755810553</v>
      </c>
      <c r="DU154" s="92">
        <f t="shared" si="393"/>
        <v>2.8737660451937524E-2</v>
      </c>
      <c r="DV154" s="92" t="str">
        <f t="shared" si="394"/>
        <v/>
      </c>
      <c r="DW154" s="92">
        <f t="shared" si="395"/>
        <v>1</v>
      </c>
      <c r="DX154" s="92">
        <f t="shared" si="396"/>
        <v>6.48614038095046E-2</v>
      </c>
      <c r="DY154" s="92">
        <f t="shared" si="397"/>
        <v>3.9999546247466551E-2</v>
      </c>
      <c r="DZ154" s="92">
        <f t="shared" si="398"/>
        <v>0.12699146945237111</v>
      </c>
      <c r="EA154" s="92">
        <f t="shared" si="399"/>
        <v>6.512105109253527E-2</v>
      </c>
      <c r="EB154" s="92">
        <f t="shared" si="400"/>
        <v>4.5511379105200006E-2</v>
      </c>
      <c r="EC154" s="92">
        <f t="shared" si="401"/>
        <v>7.6537969003660264E-2</v>
      </c>
      <c r="ED154" s="92">
        <f t="shared" si="402"/>
        <v>0.12655158157966381</v>
      </c>
      <c r="EE154" s="92">
        <f t="shared" si="403"/>
        <v>0.54557440029040161</v>
      </c>
      <c r="EF154" s="92">
        <f t="shared" si="404"/>
        <v>2.8737660451937524E-2</v>
      </c>
      <c r="EG154" s="92">
        <f t="shared" si="405"/>
        <v>0.57431206074233909</v>
      </c>
      <c r="EH154" s="92">
        <f t="shared" si="406"/>
        <v>0.45442559970959839</v>
      </c>
      <c r="EI154" s="92">
        <f t="shared" si="407"/>
        <v>0.36736309277726803</v>
      </c>
      <c r="EJ154" s="122">
        <f t="shared" si="408"/>
        <v>8.7062506932330377E-2</v>
      </c>
    </row>
    <row r="155" spans="2:140" ht="12" hidden="1" customHeight="1" outlineLevel="1">
      <c r="B155" s="121">
        <v>45104</v>
      </c>
      <c r="C155" s="117">
        <v>23433</v>
      </c>
      <c r="D155" s="50" t="s">
        <v>887</v>
      </c>
      <c r="E155" s="50" t="s">
        <v>165</v>
      </c>
      <c r="F155" s="50" t="s">
        <v>378</v>
      </c>
      <c r="G155" s="50" t="s">
        <v>162</v>
      </c>
      <c r="H155" s="50" t="s">
        <v>155</v>
      </c>
      <c r="I155" s="50" t="s">
        <v>167</v>
      </c>
      <c r="J155" s="52" t="s">
        <v>354</v>
      </c>
      <c r="K155" s="50" t="s">
        <v>355</v>
      </c>
      <c r="L155" s="49">
        <v>9</v>
      </c>
      <c r="M155" s="50" t="s">
        <v>283</v>
      </c>
      <c r="N155" s="50" t="s">
        <v>160</v>
      </c>
      <c r="O155" s="50" t="s">
        <v>160</v>
      </c>
      <c r="P155" s="50" t="s">
        <v>161</v>
      </c>
      <c r="Q155" s="53">
        <v>0.04</v>
      </c>
      <c r="R155" s="49">
        <v>71</v>
      </c>
      <c r="S155" s="49">
        <v>36</v>
      </c>
      <c r="T155" s="54">
        <f t="shared" si="330"/>
        <v>107</v>
      </c>
      <c r="U155" s="55">
        <v>95793</v>
      </c>
      <c r="V155" s="49">
        <v>5.67</v>
      </c>
      <c r="W155" s="56">
        <f t="shared" si="333"/>
        <v>18.871252204585538</v>
      </c>
      <c r="X155" s="49">
        <v>1999</v>
      </c>
      <c r="Y155" s="57" t="s">
        <v>162</v>
      </c>
      <c r="Z155" s="58">
        <v>11630000</v>
      </c>
      <c r="AA155" s="114">
        <v>5.9799999999999999E-2</v>
      </c>
      <c r="AB155" s="59">
        <v>15</v>
      </c>
      <c r="AC155" s="60">
        <v>40</v>
      </c>
      <c r="AD155" s="61">
        <v>5.9799999999999999E-2</v>
      </c>
      <c r="AE155" s="62">
        <v>11630000</v>
      </c>
      <c r="AF155" s="63">
        <v>1.1599999999999999</v>
      </c>
      <c r="AG155" s="59"/>
      <c r="AH155" s="60"/>
      <c r="AI155" s="61"/>
      <c r="AJ155" s="64"/>
      <c r="AK155" s="65">
        <f t="shared" si="334"/>
        <v>11630000</v>
      </c>
      <c r="AL155" s="66">
        <v>1841740</v>
      </c>
      <c r="AM155" s="49" t="s">
        <v>886</v>
      </c>
      <c r="AN155" s="67">
        <v>0.85</v>
      </c>
      <c r="AO155" s="62">
        <v>4747535</v>
      </c>
      <c r="AP155" s="62">
        <v>0</v>
      </c>
      <c r="AQ155" s="68">
        <v>1395378</v>
      </c>
      <c r="AR155" s="69">
        <f t="shared" si="335"/>
        <v>108691.58878504673</v>
      </c>
      <c r="AS155" s="70">
        <f t="shared" si="336"/>
        <v>17212.52336448598</v>
      </c>
      <c r="AT155" s="70">
        <f t="shared" si="337"/>
        <v>44369.485981308411</v>
      </c>
      <c r="AU155" s="70" t="str">
        <f t="shared" si="338"/>
        <v/>
      </c>
      <c r="AV155" s="71">
        <f t="shared" si="339"/>
        <v>13040.915887850468</v>
      </c>
      <c r="AW155" s="115">
        <f t="shared" si="340"/>
        <v>39073.616822429904</v>
      </c>
      <c r="AX155" s="116">
        <f t="shared" si="341"/>
        <v>43.64491142359045</v>
      </c>
      <c r="AY155" s="72">
        <f t="shared" si="342"/>
        <v>48998.317757009339</v>
      </c>
      <c r="AZ155" s="73">
        <f t="shared" si="343"/>
        <v>54.730721451463047</v>
      </c>
      <c r="BA155" s="66">
        <v>8400000</v>
      </c>
      <c r="BB155" s="62">
        <v>256603</v>
      </c>
      <c r="BC155" s="62">
        <v>3924274</v>
      </c>
      <c r="BD155" s="62">
        <v>418088</v>
      </c>
      <c r="BE155" s="62">
        <v>643855</v>
      </c>
      <c r="BF155" s="62">
        <v>526482</v>
      </c>
      <c r="BG155" s="62">
        <v>1395310</v>
      </c>
      <c r="BH155" s="62">
        <v>1983030</v>
      </c>
      <c r="BI155" s="62">
        <v>671633</v>
      </c>
      <c r="BJ155" s="47">
        <f t="shared" si="344"/>
        <v>18219275</v>
      </c>
      <c r="BK155" s="69">
        <f t="shared" si="345"/>
        <v>78504.672897196258</v>
      </c>
      <c r="BL155" s="70">
        <f t="shared" si="346"/>
        <v>2398.1588785046729</v>
      </c>
      <c r="BM155" s="70">
        <f t="shared" si="347"/>
        <v>36675.457943925234</v>
      </c>
      <c r="BN155" s="70">
        <f t="shared" si="348"/>
        <v>3907.3644859813085</v>
      </c>
      <c r="BO155" s="70">
        <f t="shared" si="349"/>
        <v>6017.336448598131</v>
      </c>
      <c r="BP155" s="70">
        <f t="shared" si="350"/>
        <v>4920.3925233644859</v>
      </c>
      <c r="BQ155" s="70">
        <f t="shared" si="351"/>
        <v>13040.280373831776</v>
      </c>
      <c r="BR155" s="70">
        <f t="shared" si="352"/>
        <v>18532.990654205609</v>
      </c>
      <c r="BS155" s="70">
        <f t="shared" si="353"/>
        <v>6276.9439252336451</v>
      </c>
      <c r="BT155" s="71">
        <f t="shared" si="354"/>
        <v>170273.59813084113</v>
      </c>
      <c r="BU155" s="65">
        <f t="shared" si="355"/>
        <v>87.689079577839721</v>
      </c>
      <c r="BV155" s="48">
        <f t="shared" si="356"/>
        <v>2.6787239151086197</v>
      </c>
      <c r="BW155" s="48">
        <f t="shared" si="357"/>
        <v>40.966187508481831</v>
      </c>
      <c r="BX155" s="48">
        <f t="shared" si="358"/>
        <v>4.3644942741118875</v>
      </c>
      <c r="BY155" s="48">
        <f t="shared" si="359"/>
        <v>6.7213157537607131</v>
      </c>
      <c r="BZ155" s="48">
        <f t="shared" si="360"/>
        <v>5.4960383326547868</v>
      </c>
      <c r="CA155" s="48">
        <f t="shared" si="361"/>
        <v>14.565886860208993</v>
      </c>
      <c r="CB155" s="48">
        <f t="shared" si="362"/>
        <v>20.701199461338511</v>
      </c>
      <c r="CC155" s="48">
        <f t="shared" si="363"/>
        <v>7.0112951885837171</v>
      </c>
      <c r="CD155" s="47">
        <f t="shared" si="364"/>
        <v>190.19422087208878</v>
      </c>
      <c r="CE155" s="66">
        <v>1777776</v>
      </c>
      <c r="CF155" s="62">
        <v>32100</v>
      </c>
      <c r="CG155" s="74">
        <v>-135741</v>
      </c>
      <c r="CH155" s="75">
        <f t="shared" si="365"/>
        <v>1674135</v>
      </c>
      <c r="CI155" s="62">
        <v>41204</v>
      </c>
      <c r="CJ155" s="62">
        <v>66965</v>
      </c>
      <c r="CK155" s="62">
        <v>183244</v>
      </c>
      <c r="CL155" s="62">
        <v>63994</v>
      </c>
      <c r="CM155" s="62">
        <v>181800</v>
      </c>
      <c r="CN155" s="62">
        <v>63552</v>
      </c>
      <c r="CO155" s="62">
        <v>134981</v>
      </c>
      <c r="CP155" s="75">
        <f t="shared" si="331"/>
        <v>735740</v>
      </c>
      <c r="CQ155" s="62">
        <v>32100</v>
      </c>
      <c r="CR155" s="75">
        <f t="shared" si="332"/>
        <v>767840</v>
      </c>
      <c r="CS155" s="75">
        <f t="shared" si="366"/>
        <v>938395</v>
      </c>
      <c r="CT155" s="62">
        <v>781623</v>
      </c>
      <c r="CU155" s="47">
        <f t="shared" si="367"/>
        <v>156772</v>
      </c>
      <c r="CV155" s="76">
        <f t="shared" si="368"/>
        <v>0.56052528619257114</v>
      </c>
      <c r="CW155" s="75">
        <f t="shared" si="369"/>
        <v>7176.0747663551401</v>
      </c>
      <c r="CX155" s="77">
        <f t="shared" si="370"/>
        <v>0.45864879475072201</v>
      </c>
      <c r="CY155" s="75">
        <f t="shared" si="371"/>
        <v>1465.1588785046729</v>
      </c>
      <c r="CZ155" s="77">
        <f t="shared" si="372"/>
        <v>9.3643583104110487E-2</v>
      </c>
      <c r="DA155" s="77">
        <f t="shared" si="373"/>
        <v>0.46688170308846061</v>
      </c>
      <c r="DB155" s="47">
        <f t="shared" si="374"/>
        <v>108691.58878504673</v>
      </c>
      <c r="DC155" s="69">
        <f t="shared" si="375"/>
        <v>16614.728971962617</v>
      </c>
      <c r="DD155" s="70">
        <f t="shared" si="376"/>
        <v>300</v>
      </c>
      <c r="DE155" s="70">
        <f t="shared" si="377"/>
        <v>-1268.6074766355141</v>
      </c>
      <c r="DF155" s="70">
        <f t="shared" si="378"/>
        <v>15646.121495327103</v>
      </c>
      <c r="DG155" s="70">
        <f t="shared" si="379"/>
        <v>385.0841121495327</v>
      </c>
      <c r="DH155" s="70">
        <f t="shared" si="380"/>
        <v>625.84112149532712</v>
      </c>
      <c r="DI155" s="70">
        <f t="shared" si="381"/>
        <v>1712.5607476635514</v>
      </c>
      <c r="DJ155" s="70">
        <f t="shared" si="382"/>
        <v>598.07476635514024</v>
      </c>
      <c r="DK155" s="70">
        <f t="shared" si="383"/>
        <v>1699.0654205607477</v>
      </c>
      <c r="DL155" s="70">
        <f t="shared" si="384"/>
        <v>593.9439252336449</v>
      </c>
      <c r="DM155" s="70">
        <f t="shared" si="385"/>
        <v>1261.5046728971963</v>
      </c>
      <c r="DN155" s="70">
        <f t="shared" si="386"/>
        <v>6876.0747663551401</v>
      </c>
      <c r="DO155" s="70">
        <f t="shared" si="387"/>
        <v>300</v>
      </c>
      <c r="DP155" s="70">
        <f t="shared" si="388"/>
        <v>7176.0747663551401</v>
      </c>
      <c r="DQ155" s="70">
        <f t="shared" si="389"/>
        <v>8770.0467289719618</v>
      </c>
      <c r="DR155" s="70">
        <f t="shared" si="390"/>
        <v>7304.8878504672894</v>
      </c>
      <c r="DS155" s="71">
        <f t="shared" si="391"/>
        <v>1465.1588785046729</v>
      </c>
      <c r="DT155" s="106">
        <f t="shared" si="392"/>
        <v>1.0619071938642941</v>
      </c>
      <c r="DU155" s="92">
        <f t="shared" si="393"/>
        <v>1.9174080943293103E-2</v>
      </c>
      <c r="DV155" s="92" t="str">
        <f t="shared" si="394"/>
        <v/>
      </c>
      <c r="DW155" s="92">
        <f t="shared" si="395"/>
        <v>1</v>
      </c>
      <c r="DX155" s="92">
        <f t="shared" si="396"/>
        <v>2.4612113121104333E-2</v>
      </c>
      <c r="DY155" s="92">
        <f t="shared" si="397"/>
        <v>3.9999761070642452E-2</v>
      </c>
      <c r="DZ155" s="92">
        <f t="shared" si="398"/>
        <v>0.10945592798669164</v>
      </c>
      <c r="EA155" s="92">
        <f t="shared" si="399"/>
        <v>3.8225113267448561E-2</v>
      </c>
      <c r="EB155" s="92">
        <f t="shared" si="400"/>
        <v>0.10859339300594038</v>
      </c>
      <c r="EC155" s="92">
        <f t="shared" si="401"/>
        <v>3.7961096327357113E-2</v>
      </c>
      <c r="ED155" s="92">
        <f t="shared" si="402"/>
        <v>8.0627309028244443E-2</v>
      </c>
      <c r="EE155" s="92">
        <f t="shared" si="403"/>
        <v>0.43947471380742892</v>
      </c>
      <c r="EF155" s="92">
        <f t="shared" si="404"/>
        <v>1.9174080943293103E-2</v>
      </c>
      <c r="EG155" s="92">
        <f t="shared" si="405"/>
        <v>0.45864879475072201</v>
      </c>
      <c r="EH155" s="92">
        <f t="shared" si="406"/>
        <v>0.56052528619257114</v>
      </c>
      <c r="EI155" s="92">
        <f t="shared" si="407"/>
        <v>0.46688170308846061</v>
      </c>
      <c r="EJ155" s="122">
        <f t="shared" si="408"/>
        <v>9.3643583104110487E-2</v>
      </c>
    </row>
    <row r="156" spans="2:140" ht="12" hidden="1" customHeight="1" outlineLevel="1">
      <c r="B156" s="121">
        <v>45105</v>
      </c>
      <c r="C156" s="117">
        <v>23420</v>
      </c>
      <c r="D156" s="50" t="s">
        <v>888</v>
      </c>
      <c r="E156" s="50" t="s">
        <v>889</v>
      </c>
      <c r="F156" s="50" t="s">
        <v>890</v>
      </c>
      <c r="G156" s="50" t="s">
        <v>162</v>
      </c>
      <c r="H156" s="50" t="s">
        <v>891</v>
      </c>
      <c r="I156" s="50" t="s">
        <v>182</v>
      </c>
      <c r="J156" s="52" t="s">
        <v>230</v>
      </c>
      <c r="K156" s="50" t="s">
        <v>230</v>
      </c>
      <c r="L156" s="49">
        <v>3</v>
      </c>
      <c r="M156" s="50" t="s">
        <v>159</v>
      </c>
      <c r="N156" s="50" t="s">
        <v>160</v>
      </c>
      <c r="O156" s="50" t="s">
        <v>160</v>
      </c>
      <c r="P156" s="50" t="s">
        <v>161</v>
      </c>
      <c r="Q156" s="53">
        <v>0.04</v>
      </c>
      <c r="R156" s="49">
        <v>280</v>
      </c>
      <c r="S156" s="49">
        <v>0</v>
      </c>
      <c r="T156" s="54">
        <f t="shared" si="330"/>
        <v>280</v>
      </c>
      <c r="U156" s="55">
        <v>50629</v>
      </c>
      <c r="V156" s="49">
        <v>3.23</v>
      </c>
      <c r="W156" s="56">
        <f t="shared" si="333"/>
        <v>86.687306501547994</v>
      </c>
      <c r="X156" s="49">
        <v>1978</v>
      </c>
      <c r="Y156" s="57" t="s">
        <v>162</v>
      </c>
      <c r="Z156" s="58">
        <v>10230000</v>
      </c>
      <c r="AA156" s="114">
        <v>5.3999999999999999E-2</v>
      </c>
      <c r="AB156" s="59">
        <v>16</v>
      </c>
      <c r="AC156" s="60">
        <v>40</v>
      </c>
      <c r="AD156" s="61">
        <v>5.3999999999999999E-2</v>
      </c>
      <c r="AE156" s="62">
        <v>10230000</v>
      </c>
      <c r="AF156" s="63">
        <v>1.1499999999999999</v>
      </c>
      <c r="AG156" s="59"/>
      <c r="AH156" s="60"/>
      <c r="AI156" s="61"/>
      <c r="AJ156" s="64"/>
      <c r="AK156" s="65">
        <f t="shared" si="334"/>
        <v>10230000</v>
      </c>
      <c r="AL156" s="66">
        <v>412611</v>
      </c>
      <c r="AM156" s="49" t="s">
        <v>866</v>
      </c>
      <c r="AN156" s="67">
        <v>0.86</v>
      </c>
      <c r="AO156" s="62">
        <v>6849771</v>
      </c>
      <c r="AP156" s="62">
        <v>0</v>
      </c>
      <c r="AQ156" s="68">
        <v>770613</v>
      </c>
      <c r="AR156" s="69">
        <f t="shared" si="335"/>
        <v>36535.714285714283</v>
      </c>
      <c r="AS156" s="70">
        <f t="shared" si="336"/>
        <v>1473.6107142857143</v>
      </c>
      <c r="AT156" s="70">
        <f t="shared" si="337"/>
        <v>24463.467857142856</v>
      </c>
      <c r="AU156" s="70" t="str">
        <f t="shared" si="338"/>
        <v/>
      </c>
      <c r="AV156" s="71">
        <f t="shared" si="339"/>
        <v>2752.1892857142857</v>
      </c>
      <c r="AW156" s="115">
        <f t="shared" si="340"/>
        <v>12721.25</v>
      </c>
      <c r="AX156" s="116">
        <f t="shared" si="341"/>
        <v>70.353947342432207</v>
      </c>
      <c r="AY156" s="72">
        <f t="shared" si="342"/>
        <v>15789.614285714286</v>
      </c>
      <c r="AZ156" s="73">
        <f t="shared" si="343"/>
        <v>87.323312725908082</v>
      </c>
      <c r="BA156" s="66">
        <v>8585125</v>
      </c>
      <c r="BB156" s="62">
        <v>509072</v>
      </c>
      <c r="BC156" s="62">
        <v>3052878</v>
      </c>
      <c r="BD156" s="62">
        <v>356195</v>
      </c>
      <c r="BE156" s="62">
        <v>502947</v>
      </c>
      <c r="BF156" s="62">
        <v>607795</v>
      </c>
      <c r="BG156" s="62">
        <v>1433622</v>
      </c>
      <c r="BH156" s="62">
        <v>2057408</v>
      </c>
      <c r="BI156" s="62">
        <v>387340</v>
      </c>
      <c r="BJ156" s="47">
        <f t="shared" si="344"/>
        <v>17492382</v>
      </c>
      <c r="BK156" s="69">
        <f t="shared" si="345"/>
        <v>30661.160714285714</v>
      </c>
      <c r="BL156" s="70">
        <f t="shared" si="346"/>
        <v>1818.1142857142856</v>
      </c>
      <c r="BM156" s="70">
        <f t="shared" si="347"/>
        <v>10903.135714285714</v>
      </c>
      <c r="BN156" s="70">
        <f t="shared" si="348"/>
        <v>1272.125</v>
      </c>
      <c r="BO156" s="70">
        <f t="shared" si="349"/>
        <v>1796.2392857142856</v>
      </c>
      <c r="BP156" s="70">
        <f t="shared" si="350"/>
        <v>2170.6964285714284</v>
      </c>
      <c r="BQ156" s="70">
        <f t="shared" si="351"/>
        <v>5120.0785714285712</v>
      </c>
      <c r="BR156" s="70">
        <f t="shared" si="352"/>
        <v>7347.8857142857141</v>
      </c>
      <c r="BS156" s="70">
        <f t="shared" si="353"/>
        <v>1383.3571428571429</v>
      </c>
      <c r="BT156" s="71">
        <f t="shared" si="354"/>
        <v>62472.792857142857</v>
      </c>
      <c r="BU156" s="65">
        <f t="shared" si="355"/>
        <v>169.56931797981395</v>
      </c>
      <c r="BV156" s="48">
        <f t="shared" si="356"/>
        <v>10.054948744790535</v>
      </c>
      <c r="BW156" s="48">
        <f t="shared" si="357"/>
        <v>60.29899859764167</v>
      </c>
      <c r="BX156" s="48">
        <f t="shared" si="358"/>
        <v>7.0353947342432201</v>
      </c>
      <c r="BY156" s="48">
        <f t="shared" si="359"/>
        <v>9.9339706492326538</v>
      </c>
      <c r="BZ156" s="48">
        <f t="shared" si="360"/>
        <v>12.004878626873927</v>
      </c>
      <c r="CA156" s="48">
        <f t="shared" si="361"/>
        <v>28.31622192814395</v>
      </c>
      <c r="CB156" s="48">
        <f t="shared" si="362"/>
        <v>40.63694720417152</v>
      </c>
      <c r="CC156" s="48">
        <f t="shared" si="363"/>
        <v>7.6505560054514214</v>
      </c>
      <c r="CD156" s="47">
        <f t="shared" si="364"/>
        <v>345.50123447036282</v>
      </c>
      <c r="CE156" s="66">
        <v>1315200</v>
      </c>
      <c r="CF156" s="62">
        <v>7052</v>
      </c>
      <c r="CG156" s="74">
        <v>-66113</v>
      </c>
      <c r="CH156" s="75">
        <f t="shared" si="365"/>
        <v>1256139</v>
      </c>
      <c r="CI156" s="62">
        <v>47848</v>
      </c>
      <c r="CJ156" s="62">
        <v>54000</v>
      </c>
      <c r="CK156" s="62">
        <v>160722</v>
      </c>
      <c r="CL156" s="62">
        <v>42000</v>
      </c>
      <c r="CM156" s="62">
        <v>126225</v>
      </c>
      <c r="CN156" s="62">
        <v>60000</v>
      </c>
      <c r="CO156" s="62">
        <v>0</v>
      </c>
      <c r="CP156" s="75">
        <f t="shared" si="331"/>
        <v>490795</v>
      </c>
      <c r="CQ156" s="62">
        <v>30000</v>
      </c>
      <c r="CR156" s="75">
        <f t="shared" si="332"/>
        <v>520795</v>
      </c>
      <c r="CS156" s="75">
        <f t="shared" si="366"/>
        <v>765344</v>
      </c>
      <c r="CT156" s="62">
        <v>624828</v>
      </c>
      <c r="CU156" s="47">
        <f t="shared" si="367"/>
        <v>140516</v>
      </c>
      <c r="CV156" s="76">
        <f t="shared" si="368"/>
        <v>0.60928288987126422</v>
      </c>
      <c r="CW156" s="75">
        <f t="shared" si="369"/>
        <v>1859.9821428571429</v>
      </c>
      <c r="CX156" s="77">
        <f t="shared" si="370"/>
        <v>0.41459981737689855</v>
      </c>
      <c r="CY156" s="75">
        <f t="shared" si="371"/>
        <v>501.84285714285716</v>
      </c>
      <c r="CZ156" s="77">
        <f t="shared" si="372"/>
        <v>0.11186341638942825</v>
      </c>
      <c r="DA156" s="77">
        <f t="shared" si="373"/>
        <v>0.49741947348183602</v>
      </c>
      <c r="DB156" s="47">
        <f t="shared" si="374"/>
        <v>36535.714285714283</v>
      </c>
      <c r="DC156" s="69">
        <f t="shared" si="375"/>
        <v>4697.1428571428569</v>
      </c>
      <c r="DD156" s="70">
        <f t="shared" si="376"/>
        <v>25.185714285714287</v>
      </c>
      <c r="DE156" s="70">
        <f t="shared" si="377"/>
        <v>-236.11785714285713</v>
      </c>
      <c r="DF156" s="70">
        <f t="shared" si="378"/>
        <v>4486.2107142857139</v>
      </c>
      <c r="DG156" s="70">
        <f t="shared" si="379"/>
        <v>170.88571428571427</v>
      </c>
      <c r="DH156" s="70">
        <f t="shared" si="380"/>
        <v>192.85714285714286</v>
      </c>
      <c r="DI156" s="70">
        <f t="shared" si="381"/>
        <v>574.00714285714287</v>
      </c>
      <c r="DJ156" s="70">
        <f t="shared" si="382"/>
        <v>150</v>
      </c>
      <c r="DK156" s="70">
        <f t="shared" si="383"/>
        <v>450.80357142857144</v>
      </c>
      <c r="DL156" s="70">
        <f t="shared" si="384"/>
        <v>214.28571428571428</v>
      </c>
      <c r="DM156" s="70" t="str">
        <f t="shared" si="385"/>
        <v/>
      </c>
      <c r="DN156" s="70">
        <f t="shared" si="386"/>
        <v>1752.8392857142858</v>
      </c>
      <c r="DO156" s="70">
        <f t="shared" si="387"/>
        <v>107.14285714285714</v>
      </c>
      <c r="DP156" s="70">
        <f t="shared" si="388"/>
        <v>1859.9821428571429</v>
      </c>
      <c r="DQ156" s="70">
        <f t="shared" si="389"/>
        <v>2733.3714285714286</v>
      </c>
      <c r="DR156" s="70">
        <f t="shared" si="390"/>
        <v>2231.5285714285715</v>
      </c>
      <c r="DS156" s="71">
        <f t="shared" si="391"/>
        <v>501.84285714285716</v>
      </c>
      <c r="DT156" s="106">
        <f t="shared" si="392"/>
        <v>1.0470178857594581</v>
      </c>
      <c r="DU156" s="92">
        <f t="shared" si="393"/>
        <v>5.6140283838014742E-3</v>
      </c>
      <c r="DV156" s="92" t="str">
        <f t="shared" si="394"/>
        <v/>
      </c>
      <c r="DW156" s="92">
        <f t="shared" si="395"/>
        <v>1</v>
      </c>
      <c r="DX156" s="92">
        <f t="shared" si="396"/>
        <v>3.8091325880336493E-2</v>
      </c>
      <c r="DY156" s="92">
        <f t="shared" si="397"/>
        <v>4.2988873046693084E-2</v>
      </c>
      <c r="DZ156" s="92">
        <f t="shared" si="398"/>
        <v>0.1279492158113075</v>
      </c>
      <c r="EA156" s="92">
        <f t="shared" si="399"/>
        <v>3.3435790147427952E-2</v>
      </c>
      <c r="EB156" s="92">
        <f t="shared" si="400"/>
        <v>0.10048649074664508</v>
      </c>
      <c r="EC156" s="92">
        <f t="shared" si="401"/>
        <v>4.7765414496325646E-2</v>
      </c>
      <c r="ED156" s="92" t="str">
        <f t="shared" si="402"/>
        <v/>
      </c>
      <c r="EE156" s="92">
        <f t="shared" si="403"/>
        <v>0.39071711012873578</v>
      </c>
      <c r="EF156" s="92">
        <f t="shared" si="404"/>
        <v>2.3882707248162823E-2</v>
      </c>
      <c r="EG156" s="92">
        <f t="shared" si="405"/>
        <v>0.41459981737689855</v>
      </c>
      <c r="EH156" s="92">
        <f t="shared" si="406"/>
        <v>0.60928288987126422</v>
      </c>
      <c r="EI156" s="92">
        <f t="shared" si="407"/>
        <v>0.49741947348183602</v>
      </c>
      <c r="EJ156" s="122">
        <f t="shared" si="408"/>
        <v>0.11186341638942825</v>
      </c>
    </row>
    <row r="157" spans="2:140" ht="12" hidden="1" customHeight="1" outlineLevel="1">
      <c r="B157" s="121">
        <v>45107</v>
      </c>
      <c r="C157" s="117">
        <v>23437</v>
      </c>
      <c r="D157" s="50" t="s">
        <v>892</v>
      </c>
      <c r="E157" s="50" t="s">
        <v>889</v>
      </c>
      <c r="F157" s="50" t="s">
        <v>890</v>
      </c>
      <c r="G157" s="50" t="s">
        <v>162</v>
      </c>
      <c r="H157" s="50" t="s">
        <v>672</v>
      </c>
      <c r="I157" s="50" t="s">
        <v>875</v>
      </c>
      <c r="J157" s="52" t="s">
        <v>183</v>
      </c>
      <c r="K157" s="50" t="s">
        <v>184</v>
      </c>
      <c r="L157" s="49">
        <v>9</v>
      </c>
      <c r="M157" s="50" t="s">
        <v>893</v>
      </c>
      <c r="N157" s="50" t="s">
        <v>160</v>
      </c>
      <c r="O157" s="50" t="s">
        <v>160</v>
      </c>
      <c r="P157" s="50" t="s">
        <v>161</v>
      </c>
      <c r="Q157" s="53">
        <v>0.04</v>
      </c>
      <c r="R157" s="49">
        <v>176</v>
      </c>
      <c r="S157" s="49">
        <v>0</v>
      </c>
      <c r="T157" s="54">
        <f t="shared" si="330"/>
        <v>176</v>
      </c>
      <c r="U157" s="55">
        <v>199856</v>
      </c>
      <c r="V157" s="49">
        <v>10.74</v>
      </c>
      <c r="W157" s="56">
        <f t="shared" si="333"/>
        <v>16.387337057728118</v>
      </c>
      <c r="X157" s="49">
        <v>2008</v>
      </c>
      <c r="Y157" s="57" t="s">
        <v>162</v>
      </c>
      <c r="Z157" s="58">
        <v>17201772</v>
      </c>
      <c r="AA157" s="114">
        <v>5.3999999999999999E-2</v>
      </c>
      <c r="AB157" s="59">
        <v>18</v>
      </c>
      <c r="AC157" s="60">
        <v>42</v>
      </c>
      <c r="AD157" s="61">
        <v>5.3999999999999999E-2</v>
      </c>
      <c r="AE157" s="62">
        <v>17201772</v>
      </c>
      <c r="AF157" s="63">
        <v>1.19</v>
      </c>
      <c r="AG157" s="59"/>
      <c r="AH157" s="60"/>
      <c r="AI157" s="61"/>
      <c r="AJ157" s="64"/>
      <c r="AK157" s="65">
        <f t="shared" si="334"/>
        <v>17201772</v>
      </c>
      <c r="AL157" s="66">
        <v>10073467</v>
      </c>
      <c r="AM157" s="49" t="s">
        <v>894</v>
      </c>
      <c r="AN157" s="67">
        <v>0.9</v>
      </c>
      <c r="AO157" s="62">
        <v>18088480</v>
      </c>
      <c r="AP157" s="62">
        <v>0</v>
      </c>
      <c r="AQ157" s="68">
        <v>2641477</v>
      </c>
      <c r="AR157" s="69">
        <f t="shared" si="335"/>
        <v>97737.340909090912</v>
      </c>
      <c r="AS157" s="70">
        <f t="shared" si="336"/>
        <v>57235.607954545456</v>
      </c>
      <c r="AT157" s="70">
        <f t="shared" si="337"/>
        <v>102775.45454545454</v>
      </c>
      <c r="AU157" s="70" t="str">
        <f t="shared" si="338"/>
        <v/>
      </c>
      <c r="AV157" s="71">
        <f t="shared" si="339"/>
        <v>15008.392045454546</v>
      </c>
      <c r="AW157" s="115">
        <f t="shared" si="340"/>
        <v>50000</v>
      </c>
      <c r="AX157" s="116">
        <f t="shared" si="341"/>
        <v>44.031702826034746</v>
      </c>
      <c r="AY157" s="72">
        <f t="shared" si="342"/>
        <v>62000</v>
      </c>
      <c r="AZ157" s="73">
        <f t="shared" si="343"/>
        <v>54.599311504283087</v>
      </c>
      <c r="BA157" s="66">
        <v>25615000</v>
      </c>
      <c r="BB157" s="62">
        <v>822488</v>
      </c>
      <c r="BC157" s="62">
        <v>7977512</v>
      </c>
      <c r="BD157" s="62">
        <v>880000</v>
      </c>
      <c r="BE157" s="62">
        <v>1232000</v>
      </c>
      <c r="BF157" s="62">
        <v>1872495</v>
      </c>
      <c r="BG157" s="62">
        <v>1314529</v>
      </c>
      <c r="BH157" s="62">
        <v>5052703</v>
      </c>
      <c r="BI157" s="62">
        <v>596992</v>
      </c>
      <c r="BJ157" s="47">
        <f t="shared" si="344"/>
        <v>45363719</v>
      </c>
      <c r="BK157" s="69">
        <f t="shared" si="345"/>
        <v>145539.77272727274</v>
      </c>
      <c r="BL157" s="70">
        <f t="shared" si="346"/>
        <v>4673.227272727273</v>
      </c>
      <c r="BM157" s="70">
        <f t="shared" si="347"/>
        <v>45326.772727272728</v>
      </c>
      <c r="BN157" s="70">
        <f t="shared" si="348"/>
        <v>5000</v>
      </c>
      <c r="BO157" s="70">
        <f t="shared" si="349"/>
        <v>7000</v>
      </c>
      <c r="BP157" s="70">
        <f t="shared" si="350"/>
        <v>10639.176136363636</v>
      </c>
      <c r="BQ157" s="70">
        <f t="shared" si="351"/>
        <v>7468.914772727273</v>
      </c>
      <c r="BR157" s="70">
        <f t="shared" si="352"/>
        <v>28708.539772727272</v>
      </c>
      <c r="BS157" s="70">
        <f t="shared" si="353"/>
        <v>3392</v>
      </c>
      <c r="BT157" s="71">
        <f t="shared" si="354"/>
        <v>257748.40340909091</v>
      </c>
      <c r="BU157" s="65">
        <f t="shared" si="355"/>
        <v>128.16728044191819</v>
      </c>
      <c r="BV157" s="48">
        <f t="shared" si="356"/>
        <v>4.1154030902249623</v>
      </c>
      <c r="BW157" s="48">
        <f t="shared" si="357"/>
        <v>39.91629973580978</v>
      </c>
      <c r="BX157" s="48">
        <f t="shared" si="358"/>
        <v>4.4031702826034742</v>
      </c>
      <c r="BY157" s="48">
        <f t="shared" si="359"/>
        <v>6.1644383956448641</v>
      </c>
      <c r="BZ157" s="48">
        <f t="shared" si="360"/>
        <v>9.3692208390040825</v>
      </c>
      <c r="CA157" s="48">
        <f t="shared" si="361"/>
        <v>6.5773807141141623</v>
      </c>
      <c r="CB157" s="48">
        <f t="shared" si="362"/>
        <v>25.281717836842528</v>
      </c>
      <c r="CC157" s="48">
        <f t="shared" si="363"/>
        <v>2.987110719718197</v>
      </c>
      <c r="CD157" s="47">
        <f t="shared" si="364"/>
        <v>226.98202205588024</v>
      </c>
      <c r="CE157" s="66">
        <v>2364768</v>
      </c>
      <c r="CF157" s="62">
        <v>44808</v>
      </c>
      <c r="CG157" s="74">
        <v>-180718</v>
      </c>
      <c r="CH157" s="75">
        <f t="shared" si="365"/>
        <v>2228858</v>
      </c>
      <c r="CI157" s="62">
        <v>84304</v>
      </c>
      <c r="CJ157" s="62">
        <v>79200</v>
      </c>
      <c r="CK157" s="62">
        <v>230936</v>
      </c>
      <c r="CL157" s="62">
        <v>104400</v>
      </c>
      <c r="CM157" s="62">
        <v>336070</v>
      </c>
      <c r="CN157" s="62">
        <v>105600</v>
      </c>
      <c r="CO157" s="62">
        <v>0</v>
      </c>
      <c r="CP157" s="75">
        <f t="shared" si="331"/>
        <v>940510</v>
      </c>
      <c r="CQ157" s="62">
        <v>52800</v>
      </c>
      <c r="CR157" s="75">
        <f t="shared" si="332"/>
        <v>993310</v>
      </c>
      <c r="CS157" s="75">
        <f t="shared" si="366"/>
        <v>1288348</v>
      </c>
      <c r="CT157" s="62">
        <v>1036768</v>
      </c>
      <c r="CU157" s="47">
        <f t="shared" si="367"/>
        <v>251580</v>
      </c>
      <c r="CV157" s="76">
        <f t="shared" si="368"/>
        <v>0.578030542995561</v>
      </c>
      <c r="CW157" s="75">
        <f t="shared" si="369"/>
        <v>5643.806818181818</v>
      </c>
      <c r="CX157" s="77">
        <f t="shared" si="370"/>
        <v>0.44565871850068511</v>
      </c>
      <c r="CY157" s="75">
        <f t="shared" si="371"/>
        <v>1429.4318181818182</v>
      </c>
      <c r="CZ157" s="77">
        <f t="shared" si="372"/>
        <v>0.11287394710654515</v>
      </c>
      <c r="DA157" s="77">
        <f t="shared" si="373"/>
        <v>0.46515659588901581</v>
      </c>
      <c r="DB157" s="47">
        <f t="shared" si="374"/>
        <v>97737.340909090912</v>
      </c>
      <c r="DC157" s="69">
        <f t="shared" si="375"/>
        <v>13436.181818181818</v>
      </c>
      <c r="DD157" s="70">
        <f t="shared" si="376"/>
        <v>254.59090909090909</v>
      </c>
      <c r="DE157" s="70">
        <f t="shared" si="377"/>
        <v>-1026.8068181818182</v>
      </c>
      <c r="DF157" s="70">
        <f t="shared" si="378"/>
        <v>12663.96590909091</v>
      </c>
      <c r="DG157" s="70">
        <f t="shared" si="379"/>
        <v>479</v>
      </c>
      <c r="DH157" s="70">
        <f t="shared" si="380"/>
        <v>450</v>
      </c>
      <c r="DI157" s="70">
        <f t="shared" si="381"/>
        <v>1312.1363636363637</v>
      </c>
      <c r="DJ157" s="70">
        <f t="shared" si="382"/>
        <v>593.18181818181813</v>
      </c>
      <c r="DK157" s="70">
        <f t="shared" si="383"/>
        <v>1909.4886363636363</v>
      </c>
      <c r="DL157" s="70">
        <f t="shared" si="384"/>
        <v>600</v>
      </c>
      <c r="DM157" s="70" t="str">
        <f t="shared" si="385"/>
        <v/>
      </c>
      <c r="DN157" s="70">
        <f t="shared" si="386"/>
        <v>5343.806818181818</v>
      </c>
      <c r="DO157" s="70">
        <f t="shared" si="387"/>
        <v>300</v>
      </c>
      <c r="DP157" s="70">
        <f t="shared" si="388"/>
        <v>5643.806818181818</v>
      </c>
      <c r="DQ157" s="70">
        <f t="shared" si="389"/>
        <v>7320.159090909091</v>
      </c>
      <c r="DR157" s="70">
        <f t="shared" si="390"/>
        <v>5890.727272727273</v>
      </c>
      <c r="DS157" s="71">
        <f t="shared" si="391"/>
        <v>1429.4318181818182</v>
      </c>
      <c r="DT157" s="106">
        <f t="shared" si="392"/>
        <v>1.0609774153400531</v>
      </c>
      <c r="DU157" s="92">
        <f t="shared" si="393"/>
        <v>2.0103568733405179E-2</v>
      </c>
      <c r="DV157" s="92" t="str">
        <f t="shared" si="394"/>
        <v/>
      </c>
      <c r="DW157" s="92">
        <f t="shared" si="395"/>
        <v>1</v>
      </c>
      <c r="DX157" s="92">
        <f t="shared" si="396"/>
        <v>3.782385418900621E-2</v>
      </c>
      <c r="DY157" s="92">
        <f t="shared" si="397"/>
        <v>3.5533892244369092E-2</v>
      </c>
      <c r="DZ157" s="92">
        <f t="shared" si="398"/>
        <v>0.10361180478971742</v>
      </c>
      <c r="EA157" s="92">
        <f t="shared" si="399"/>
        <v>4.6840130685759256E-2</v>
      </c>
      <c r="EB157" s="92">
        <f t="shared" si="400"/>
        <v>0.15078125210309495</v>
      </c>
      <c r="EC157" s="92">
        <f t="shared" si="401"/>
        <v>4.7378522992492123E-2</v>
      </c>
      <c r="ED157" s="92" t="str">
        <f t="shared" si="402"/>
        <v/>
      </c>
      <c r="EE157" s="92">
        <f t="shared" si="403"/>
        <v>0.42196945700443905</v>
      </c>
      <c r="EF157" s="92">
        <f t="shared" si="404"/>
        <v>2.3689261496246061E-2</v>
      </c>
      <c r="EG157" s="92">
        <f t="shared" si="405"/>
        <v>0.44565871850068511</v>
      </c>
      <c r="EH157" s="92">
        <f t="shared" si="406"/>
        <v>0.578030542995561</v>
      </c>
      <c r="EI157" s="92">
        <f t="shared" si="407"/>
        <v>0.46515659588901581</v>
      </c>
      <c r="EJ157" s="122">
        <f t="shared" si="408"/>
        <v>0.11287394710654515</v>
      </c>
    </row>
    <row r="158" spans="2:140" ht="12" hidden="1" customHeight="1" outlineLevel="1">
      <c r="B158" s="121">
        <v>45112</v>
      </c>
      <c r="C158" s="117" t="s">
        <v>895</v>
      </c>
      <c r="D158" s="50" t="s">
        <v>531</v>
      </c>
      <c r="E158" s="50" t="s">
        <v>896</v>
      </c>
      <c r="F158" s="50" t="s">
        <v>533</v>
      </c>
      <c r="G158" s="50" t="s">
        <v>154</v>
      </c>
      <c r="H158" s="50" t="s">
        <v>182</v>
      </c>
      <c r="I158" s="50" t="s">
        <v>182</v>
      </c>
      <c r="J158" s="52" t="s">
        <v>254</v>
      </c>
      <c r="K158" s="50" t="s">
        <v>255</v>
      </c>
      <c r="L158" s="49">
        <v>4</v>
      </c>
      <c r="M158" s="50" t="s">
        <v>159</v>
      </c>
      <c r="N158" s="50" t="s">
        <v>244</v>
      </c>
      <c r="O158" s="50" t="s">
        <v>160</v>
      </c>
      <c r="P158" s="50" t="s">
        <v>177</v>
      </c>
      <c r="Q158" s="53">
        <v>0.09</v>
      </c>
      <c r="R158" s="49">
        <v>60</v>
      </c>
      <c r="S158" s="49">
        <v>0</v>
      </c>
      <c r="T158" s="54">
        <f t="shared" si="330"/>
        <v>60</v>
      </c>
      <c r="U158" s="55">
        <v>43400</v>
      </c>
      <c r="V158" s="49">
        <v>3.49</v>
      </c>
      <c r="W158" s="56">
        <f t="shared" si="333"/>
        <v>17.191977077363894</v>
      </c>
      <c r="X158" s="49" t="s">
        <v>163</v>
      </c>
      <c r="Y158" s="57" t="s">
        <v>162</v>
      </c>
      <c r="Z158" s="58">
        <v>3200000</v>
      </c>
      <c r="AA158" s="114">
        <v>3.2500000000000001E-2</v>
      </c>
      <c r="AB158" s="59">
        <v>0</v>
      </c>
      <c r="AC158" s="60">
        <v>40</v>
      </c>
      <c r="AD158" s="61">
        <v>3.2500000000000001E-2</v>
      </c>
      <c r="AE158" s="62">
        <v>3200000</v>
      </c>
      <c r="AF158" s="63">
        <v>1.18</v>
      </c>
      <c r="AG158" s="59"/>
      <c r="AH158" s="60"/>
      <c r="AI158" s="61"/>
      <c r="AJ158" s="64"/>
      <c r="AK158" s="65">
        <f t="shared" si="334"/>
        <v>3200000</v>
      </c>
      <c r="AL158" s="66">
        <v>500</v>
      </c>
      <c r="AM158" s="49" t="s">
        <v>897</v>
      </c>
      <c r="AN158" s="67">
        <v>0.9</v>
      </c>
      <c r="AO158" s="62">
        <v>9301050</v>
      </c>
      <c r="AP158" s="62">
        <v>0</v>
      </c>
      <c r="AQ158" s="68">
        <v>511683</v>
      </c>
      <c r="AR158" s="69">
        <f t="shared" si="335"/>
        <v>53333.333333333336</v>
      </c>
      <c r="AS158" s="70">
        <f t="shared" si="336"/>
        <v>8.3333333333333339</v>
      </c>
      <c r="AT158" s="70">
        <f t="shared" si="337"/>
        <v>155017.5</v>
      </c>
      <c r="AU158" s="70" t="str">
        <f t="shared" si="338"/>
        <v/>
      </c>
      <c r="AV158" s="71">
        <f t="shared" si="339"/>
        <v>8528.0499999999993</v>
      </c>
      <c r="AW158" s="115">
        <f t="shared" si="340"/>
        <v>125194.78333333334</v>
      </c>
      <c r="AX158" s="116">
        <f t="shared" si="341"/>
        <v>173.08034562211981</v>
      </c>
      <c r="AY158" s="72">
        <f t="shared" si="342"/>
        <v>146971.43333333332</v>
      </c>
      <c r="AZ158" s="73">
        <f t="shared" si="343"/>
        <v>203.18631336405531</v>
      </c>
      <c r="BA158" s="66">
        <v>1064171</v>
      </c>
      <c r="BB158" s="62">
        <v>1390482</v>
      </c>
      <c r="BC158" s="62">
        <v>6121205</v>
      </c>
      <c r="BD158" s="62">
        <v>375848</v>
      </c>
      <c r="BE158" s="62">
        <v>930751</v>
      </c>
      <c r="BF158" s="62">
        <v>525725</v>
      </c>
      <c r="BG158" s="62">
        <v>807095</v>
      </c>
      <c r="BH158" s="62">
        <v>1088845</v>
      </c>
      <c r="BI158" s="62">
        <v>197693</v>
      </c>
      <c r="BJ158" s="47">
        <f t="shared" si="344"/>
        <v>12501815</v>
      </c>
      <c r="BK158" s="69">
        <f t="shared" si="345"/>
        <v>17736.183333333334</v>
      </c>
      <c r="BL158" s="70">
        <f t="shared" si="346"/>
        <v>23174.7</v>
      </c>
      <c r="BM158" s="70">
        <f t="shared" si="347"/>
        <v>102020.08333333333</v>
      </c>
      <c r="BN158" s="70">
        <f t="shared" si="348"/>
        <v>6264.1333333333332</v>
      </c>
      <c r="BO158" s="70">
        <f t="shared" si="349"/>
        <v>15512.516666666666</v>
      </c>
      <c r="BP158" s="70">
        <f t="shared" si="350"/>
        <v>8762.0833333333339</v>
      </c>
      <c r="BQ158" s="70">
        <f t="shared" si="351"/>
        <v>13451.583333333334</v>
      </c>
      <c r="BR158" s="70">
        <f t="shared" si="352"/>
        <v>18147.416666666668</v>
      </c>
      <c r="BS158" s="70">
        <f t="shared" si="353"/>
        <v>3294.8833333333332</v>
      </c>
      <c r="BT158" s="71">
        <f t="shared" si="354"/>
        <v>208363.58333333334</v>
      </c>
      <c r="BU158" s="65">
        <f t="shared" si="355"/>
        <v>24.520069124423962</v>
      </c>
      <c r="BV158" s="48">
        <f t="shared" si="356"/>
        <v>32.038755760368666</v>
      </c>
      <c r="BW158" s="48">
        <f t="shared" si="357"/>
        <v>141.04158986175116</v>
      </c>
      <c r="BX158" s="48">
        <f t="shared" si="358"/>
        <v>8.6600921658986181</v>
      </c>
      <c r="BY158" s="48">
        <f t="shared" si="359"/>
        <v>21.445875576036865</v>
      </c>
      <c r="BZ158" s="48">
        <f t="shared" si="360"/>
        <v>12.113479262672811</v>
      </c>
      <c r="CA158" s="48">
        <f t="shared" si="361"/>
        <v>18.596658986175115</v>
      </c>
      <c r="CB158" s="48">
        <f t="shared" si="362"/>
        <v>25.088594470046083</v>
      </c>
      <c r="CC158" s="48">
        <f t="shared" si="363"/>
        <v>4.5551382488479266</v>
      </c>
      <c r="CD158" s="47">
        <f t="shared" si="364"/>
        <v>288.06025345622118</v>
      </c>
      <c r="CE158" s="66">
        <v>516768</v>
      </c>
      <c r="CF158" s="62">
        <v>21600</v>
      </c>
      <c r="CG158" s="74">
        <v>-40378</v>
      </c>
      <c r="CH158" s="75">
        <f t="shared" si="365"/>
        <v>497990</v>
      </c>
      <c r="CI158" s="62">
        <v>25874</v>
      </c>
      <c r="CJ158" s="62">
        <v>23372</v>
      </c>
      <c r="CK158" s="62">
        <v>60000</v>
      </c>
      <c r="CL158" s="62">
        <v>37500</v>
      </c>
      <c r="CM158" s="62">
        <v>31500</v>
      </c>
      <c r="CN158" s="62">
        <v>20952</v>
      </c>
      <c r="CO158" s="62">
        <v>28080</v>
      </c>
      <c r="CP158" s="75">
        <f t="shared" si="331"/>
        <v>227278</v>
      </c>
      <c r="CQ158" s="62">
        <v>15000</v>
      </c>
      <c r="CR158" s="75">
        <f t="shared" si="332"/>
        <v>242278</v>
      </c>
      <c r="CS158" s="75">
        <f t="shared" si="366"/>
        <v>270712</v>
      </c>
      <c r="CT158" s="62">
        <v>151056</v>
      </c>
      <c r="CU158" s="47">
        <f t="shared" si="367"/>
        <v>119656</v>
      </c>
      <c r="CV158" s="76">
        <f t="shared" si="368"/>
        <v>0.54360930942388397</v>
      </c>
      <c r="CW158" s="75">
        <f t="shared" si="369"/>
        <v>4037.9666666666667</v>
      </c>
      <c r="CX158" s="77">
        <f t="shared" si="370"/>
        <v>0.48651177734492662</v>
      </c>
      <c r="CY158" s="75">
        <f t="shared" si="371"/>
        <v>1994.2666666666667</v>
      </c>
      <c r="CZ158" s="77">
        <f t="shared" si="372"/>
        <v>0.24027791722725356</v>
      </c>
      <c r="DA158" s="77">
        <f t="shared" si="373"/>
        <v>0.30333139219663047</v>
      </c>
      <c r="DB158" s="47">
        <f t="shared" si="374"/>
        <v>53333.333333333336</v>
      </c>
      <c r="DC158" s="69">
        <f t="shared" si="375"/>
        <v>8612.7999999999993</v>
      </c>
      <c r="DD158" s="70">
        <f t="shared" si="376"/>
        <v>360</v>
      </c>
      <c r="DE158" s="70">
        <f t="shared" si="377"/>
        <v>-672.9666666666667</v>
      </c>
      <c r="DF158" s="70">
        <f t="shared" si="378"/>
        <v>8299.8333333333339</v>
      </c>
      <c r="DG158" s="70">
        <f t="shared" si="379"/>
        <v>431.23333333333335</v>
      </c>
      <c r="DH158" s="70">
        <f t="shared" si="380"/>
        <v>389.53333333333336</v>
      </c>
      <c r="DI158" s="70">
        <f t="shared" si="381"/>
        <v>1000</v>
      </c>
      <c r="DJ158" s="70">
        <f t="shared" si="382"/>
        <v>625</v>
      </c>
      <c r="DK158" s="70">
        <f t="shared" si="383"/>
        <v>525</v>
      </c>
      <c r="DL158" s="70">
        <f t="shared" si="384"/>
        <v>349.2</v>
      </c>
      <c r="DM158" s="70">
        <f t="shared" si="385"/>
        <v>468</v>
      </c>
      <c r="DN158" s="70">
        <f t="shared" si="386"/>
        <v>3787.9666666666667</v>
      </c>
      <c r="DO158" s="70">
        <f t="shared" si="387"/>
        <v>250</v>
      </c>
      <c r="DP158" s="70">
        <f t="shared" si="388"/>
        <v>4037.9666666666667</v>
      </c>
      <c r="DQ158" s="70">
        <f t="shared" si="389"/>
        <v>4511.8666666666668</v>
      </c>
      <c r="DR158" s="70">
        <f t="shared" si="390"/>
        <v>2517.6</v>
      </c>
      <c r="DS158" s="71">
        <f t="shared" si="391"/>
        <v>1994.2666666666667</v>
      </c>
      <c r="DT158" s="106">
        <f t="shared" si="392"/>
        <v>1.0377075844896484</v>
      </c>
      <c r="DU158" s="92">
        <f t="shared" si="393"/>
        <v>4.3374364947087289E-2</v>
      </c>
      <c r="DV158" s="92" t="str">
        <f t="shared" si="394"/>
        <v/>
      </c>
      <c r="DW158" s="92">
        <f t="shared" si="395"/>
        <v>1</v>
      </c>
      <c r="DX158" s="92">
        <f t="shared" si="396"/>
        <v>5.1956866603747064E-2</v>
      </c>
      <c r="DY158" s="92">
        <f t="shared" si="397"/>
        <v>4.6932669330709449E-2</v>
      </c>
      <c r="DZ158" s="92">
        <f t="shared" si="398"/>
        <v>0.12048434707524247</v>
      </c>
      <c r="EA158" s="92">
        <f t="shared" si="399"/>
        <v>7.5302716922026544E-2</v>
      </c>
      <c r="EB158" s="92">
        <f t="shared" si="400"/>
        <v>6.32542822145023E-2</v>
      </c>
      <c r="EC158" s="92">
        <f t="shared" si="401"/>
        <v>4.2073133998674669E-2</v>
      </c>
      <c r="ED158" s="92">
        <f t="shared" si="402"/>
        <v>5.6386674431213479E-2</v>
      </c>
      <c r="EE158" s="92">
        <f t="shared" si="403"/>
        <v>0.45639069057611598</v>
      </c>
      <c r="EF158" s="92">
        <f t="shared" si="404"/>
        <v>3.0121086768810618E-2</v>
      </c>
      <c r="EG158" s="92">
        <f t="shared" si="405"/>
        <v>0.48651177734492662</v>
      </c>
      <c r="EH158" s="92">
        <f t="shared" si="406"/>
        <v>0.54360930942388397</v>
      </c>
      <c r="EI158" s="92">
        <f t="shared" si="407"/>
        <v>0.30333139219663047</v>
      </c>
      <c r="EJ158" s="122">
        <f t="shared" si="408"/>
        <v>0.24027791722725356</v>
      </c>
    </row>
    <row r="159" spans="2:140" ht="12" hidden="1" customHeight="1" outlineLevel="1">
      <c r="B159" s="121">
        <v>45114</v>
      </c>
      <c r="C159" s="117" t="s">
        <v>898</v>
      </c>
      <c r="D159" s="50" t="s">
        <v>554</v>
      </c>
      <c r="E159" s="50" t="s">
        <v>899</v>
      </c>
      <c r="F159" s="50" t="s">
        <v>555</v>
      </c>
      <c r="G159" s="50" t="s">
        <v>162</v>
      </c>
      <c r="H159" s="50" t="s">
        <v>724</v>
      </c>
      <c r="I159" s="50" t="s">
        <v>556</v>
      </c>
      <c r="J159" s="52" t="s">
        <v>175</v>
      </c>
      <c r="K159" s="50" t="s">
        <v>176</v>
      </c>
      <c r="L159" s="49">
        <v>6</v>
      </c>
      <c r="M159" s="50" t="s">
        <v>159</v>
      </c>
      <c r="N159" s="50" t="s">
        <v>160</v>
      </c>
      <c r="O159" s="50" t="s">
        <v>160</v>
      </c>
      <c r="P159" s="50" t="s">
        <v>177</v>
      </c>
      <c r="Q159" s="53">
        <v>0.09</v>
      </c>
      <c r="R159" s="49">
        <v>90</v>
      </c>
      <c r="S159" s="49">
        <v>10</v>
      </c>
      <c r="T159" s="54">
        <f t="shared" si="330"/>
        <v>100</v>
      </c>
      <c r="U159" s="55">
        <v>88194</v>
      </c>
      <c r="V159" s="49">
        <v>2.79</v>
      </c>
      <c r="W159" s="56">
        <f t="shared" si="333"/>
        <v>35.842293906810035</v>
      </c>
      <c r="X159" s="49" t="s">
        <v>163</v>
      </c>
      <c r="Y159" s="57" t="s">
        <v>162</v>
      </c>
      <c r="Z159" s="58">
        <v>6500000</v>
      </c>
      <c r="AA159" s="114">
        <v>4.7100000000000003E-2</v>
      </c>
      <c r="AB159" s="59">
        <v>18</v>
      </c>
      <c r="AC159" s="60">
        <v>35</v>
      </c>
      <c r="AD159" s="61">
        <v>4.7100000000000003E-2</v>
      </c>
      <c r="AE159" s="62">
        <v>6500000</v>
      </c>
      <c r="AF159" s="63">
        <v>1.2</v>
      </c>
      <c r="AG159" s="59"/>
      <c r="AH159" s="60"/>
      <c r="AI159" s="61"/>
      <c r="AJ159" s="64"/>
      <c r="AK159" s="65">
        <f t="shared" si="334"/>
        <v>6500000</v>
      </c>
      <c r="AL159" s="66">
        <v>110500</v>
      </c>
      <c r="AM159" s="49" t="s">
        <v>900</v>
      </c>
      <c r="AN159" s="67">
        <v>0.95</v>
      </c>
      <c r="AO159" s="62">
        <v>14991713</v>
      </c>
      <c r="AP159" s="62">
        <v>0</v>
      </c>
      <c r="AQ159" s="68">
        <v>743138</v>
      </c>
      <c r="AR159" s="69">
        <f t="shared" si="335"/>
        <v>65000</v>
      </c>
      <c r="AS159" s="70">
        <f t="shared" si="336"/>
        <v>1105</v>
      </c>
      <c r="AT159" s="70">
        <f t="shared" si="337"/>
        <v>149917.13</v>
      </c>
      <c r="AU159" s="70" t="str">
        <f t="shared" si="338"/>
        <v/>
      </c>
      <c r="AV159" s="71">
        <f t="shared" si="339"/>
        <v>7431.38</v>
      </c>
      <c r="AW159" s="115">
        <f t="shared" si="340"/>
        <v>92625.23</v>
      </c>
      <c r="AX159" s="116">
        <f t="shared" si="341"/>
        <v>105.02441209152551</v>
      </c>
      <c r="AY159" s="72">
        <f t="shared" si="342"/>
        <v>111322.18999999999</v>
      </c>
      <c r="AZ159" s="73">
        <f t="shared" si="343"/>
        <v>126.22422160237659</v>
      </c>
      <c r="BA159" s="66">
        <v>7300000</v>
      </c>
      <c r="BB159" s="62">
        <v>1716800</v>
      </c>
      <c r="BC159" s="62">
        <v>7545723</v>
      </c>
      <c r="BD159" s="62">
        <v>522415</v>
      </c>
      <c r="BE159" s="62">
        <v>1347281</v>
      </c>
      <c r="BF159" s="62">
        <v>1175300</v>
      </c>
      <c r="BG159" s="62">
        <v>1043750</v>
      </c>
      <c r="BH159" s="62">
        <v>1935000</v>
      </c>
      <c r="BI159" s="62">
        <v>455944</v>
      </c>
      <c r="BJ159" s="47">
        <f t="shared" si="344"/>
        <v>23042213</v>
      </c>
      <c r="BK159" s="69">
        <f t="shared" si="345"/>
        <v>73000</v>
      </c>
      <c r="BL159" s="70">
        <f t="shared" si="346"/>
        <v>17168</v>
      </c>
      <c r="BM159" s="70">
        <f t="shared" si="347"/>
        <v>75457.23</v>
      </c>
      <c r="BN159" s="70">
        <f t="shared" si="348"/>
        <v>5224.1499999999996</v>
      </c>
      <c r="BO159" s="70">
        <f t="shared" si="349"/>
        <v>13472.81</v>
      </c>
      <c r="BP159" s="70">
        <f t="shared" si="350"/>
        <v>11753</v>
      </c>
      <c r="BQ159" s="70">
        <f t="shared" si="351"/>
        <v>10437.5</v>
      </c>
      <c r="BR159" s="70">
        <f t="shared" si="352"/>
        <v>19350</v>
      </c>
      <c r="BS159" s="70">
        <f t="shared" si="353"/>
        <v>4559.4399999999996</v>
      </c>
      <c r="BT159" s="71">
        <f t="shared" si="354"/>
        <v>230422.13</v>
      </c>
      <c r="BU159" s="65">
        <f t="shared" si="355"/>
        <v>82.772070662403337</v>
      </c>
      <c r="BV159" s="48">
        <f t="shared" si="356"/>
        <v>19.466176837426584</v>
      </c>
      <c r="BW159" s="48">
        <f t="shared" si="357"/>
        <v>85.558235254098918</v>
      </c>
      <c r="BX159" s="48">
        <f t="shared" si="358"/>
        <v>5.9234755198766358</v>
      </c>
      <c r="BY159" s="48">
        <f t="shared" si="359"/>
        <v>15.276333990974443</v>
      </c>
      <c r="BZ159" s="48">
        <f t="shared" si="360"/>
        <v>13.326303376646937</v>
      </c>
      <c r="CA159" s="48">
        <f t="shared" si="361"/>
        <v>11.834705308751163</v>
      </c>
      <c r="CB159" s="48">
        <f t="shared" si="362"/>
        <v>21.940268045445269</v>
      </c>
      <c r="CC159" s="48">
        <f t="shared" si="363"/>
        <v>5.1697847926162774</v>
      </c>
      <c r="CD159" s="47">
        <f t="shared" si="364"/>
        <v>261.26735378823957</v>
      </c>
      <c r="CE159" s="66">
        <v>1186680</v>
      </c>
      <c r="CF159" s="62">
        <v>36000</v>
      </c>
      <c r="CG159" s="74">
        <v>-91701</v>
      </c>
      <c r="CH159" s="75">
        <f t="shared" si="365"/>
        <v>1130979</v>
      </c>
      <c r="CI159" s="62">
        <v>48100</v>
      </c>
      <c r="CJ159" s="62">
        <v>33930</v>
      </c>
      <c r="CK159" s="62">
        <v>140000</v>
      </c>
      <c r="CL159" s="62">
        <v>41000</v>
      </c>
      <c r="CM159" s="62">
        <v>69000</v>
      </c>
      <c r="CN159" s="62">
        <v>135000</v>
      </c>
      <c r="CO159" s="62">
        <v>91000</v>
      </c>
      <c r="CP159" s="75">
        <f t="shared" si="331"/>
        <v>558030</v>
      </c>
      <c r="CQ159" s="62">
        <v>25000</v>
      </c>
      <c r="CR159" s="75">
        <f t="shared" si="332"/>
        <v>583030</v>
      </c>
      <c r="CS159" s="75">
        <f t="shared" si="366"/>
        <v>572949</v>
      </c>
      <c r="CT159" s="62">
        <v>483904</v>
      </c>
      <c r="CU159" s="47">
        <f t="shared" si="367"/>
        <v>89045</v>
      </c>
      <c r="CV159" s="76">
        <f t="shared" si="368"/>
        <v>0.50659561318114665</v>
      </c>
      <c r="CW159" s="75">
        <f t="shared" si="369"/>
        <v>5830.3</v>
      </c>
      <c r="CX159" s="77">
        <f t="shared" si="370"/>
        <v>0.51550912970090512</v>
      </c>
      <c r="CY159" s="75">
        <f t="shared" si="371"/>
        <v>890.45</v>
      </c>
      <c r="CZ159" s="77">
        <f t="shared" si="372"/>
        <v>7.8732673197291908E-2</v>
      </c>
      <c r="DA159" s="77">
        <f t="shared" si="373"/>
        <v>0.42786293998385472</v>
      </c>
      <c r="DB159" s="47">
        <f t="shared" si="374"/>
        <v>65000</v>
      </c>
      <c r="DC159" s="69">
        <f t="shared" si="375"/>
        <v>11866.8</v>
      </c>
      <c r="DD159" s="70">
        <f t="shared" si="376"/>
        <v>360</v>
      </c>
      <c r="DE159" s="70">
        <f t="shared" si="377"/>
        <v>-917.01</v>
      </c>
      <c r="DF159" s="70">
        <f t="shared" si="378"/>
        <v>11309.79</v>
      </c>
      <c r="DG159" s="70">
        <f t="shared" si="379"/>
        <v>481</v>
      </c>
      <c r="DH159" s="70">
        <f t="shared" si="380"/>
        <v>339.3</v>
      </c>
      <c r="DI159" s="70">
        <f t="shared" si="381"/>
        <v>1400</v>
      </c>
      <c r="DJ159" s="70">
        <f t="shared" si="382"/>
        <v>410</v>
      </c>
      <c r="DK159" s="70">
        <f t="shared" si="383"/>
        <v>690</v>
      </c>
      <c r="DL159" s="70">
        <f t="shared" si="384"/>
        <v>1350</v>
      </c>
      <c r="DM159" s="70">
        <f t="shared" si="385"/>
        <v>910</v>
      </c>
      <c r="DN159" s="70">
        <f t="shared" si="386"/>
        <v>5580.3</v>
      </c>
      <c r="DO159" s="70">
        <f t="shared" si="387"/>
        <v>250</v>
      </c>
      <c r="DP159" s="70">
        <f t="shared" si="388"/>
        <v>5830.3</v>
      </c>
      <c r="DQ159" s="70">
        <f t="shared" si="389"/>
        <v>5729.49</v>
      </c>
      <c r="DR159" s="70">
        <f t="shared" si="390"/>
        <v>4839.04</v>
      </c>
      <c r="DS159" s="71">
        <f t="shared" si="391"/>
        <v>890.45</v>
      </c>
      <c r="DT159" s="106">
        <f t="shared" si="392"/>
        <v>1.0492502513309265</v>
      </c>
      <c r="DU159" s="92">
        <f t="shared" si="393"/>
        <v>3.1830829750154513E-2</v>
      </c>
      <c r="DV159" s="92" t="str">
        <f t="shared" si="394"/>
        <v/>
      </c>
      <c r="DW159" s="92">
        <f t="shared" si="395"/>
        <v>1</v>
      </c>
      <c r="DX159" s="92">
        <f t="shared" si="396"/>
        <v>4.2529525305067553E-2</v>
      </c>
      <c r="DY159" s="92">
        <f t="shared" si="397"/>
        <v>3.0000557039520627E-2</v>
      </c>
      <c r="DZ159" s="92">
        <f t="shared" si="398"/>
        <v>0.12378656013948977</v>
      </c>
      <c r="EA159" s="92">
        <f t="shared" si="399"/>
        <v>3.6251778326564864E-2</v>
      </c>
      <c r="EB159" s="92">
        <f t="shared" si="400"/>
        <v>6.1009090354462815E-2</v>
      </c>
      <c r="EC159" s="92">
        <f t="shared" si="401"/>
        <v>0.11936561156307943</v>
      </c>
      <c r="ED159" s="92">
        <f t="shared" si="402"/>
        <v>8.0461264090668352E-2</v>
      </c>
      <c r="EE159" s="92">
        <f t="shared" si="403"/>
        <v>0.4934043868188534</v>
      </c>
      <c r="EF159" s="92">
        <f t="shared" si="404"/>
        <v>2.2104742882051744E-2</v>
      </c>
      <c r="EG159" s="92">
        <f t="shared" si="405"/>
        <v>0.51550912970090512</v>
      </c>
      <c r="EH159" s="92">
        <f t="shared" si="406"/>
        <v>0.50659561318114665</v>
      </c>
      <c r="EI159" s="92">
        <f t="shared" si="407"/>
        <v>0.42786293998385472</v>
      </c>
      <c r="EJ159" s="122">
        <f t="shared" si="408"/>
        <v>7.8732673197291908E-2</v>
      </c>
    </row>
    <row r="160" spans="2:140" ht="12" hidden="1" customHeight="1" outlineLevel="1">
      <c r="B160" s="121">
        <v>45124</v>
      </c>
      <c r="C160" s="117" t="s">
        <v>901</v>
      </c>
      <c r="D160" s="50" t="s">
        <v>902</v>
      </c>
      <c r="E160" s="50" t="s">
        <v>649</v>
      </c>
      <c r="F160" s="50" t="s">
        <v>650</v>
      </c>
      <c r="G160" s="50" t="s">
        <v>291</v>
      </c>
      <c r="H160" s="50" t="s">
        <v>415</v>
      </c>
      <c r="I160" s="50" t="s">
        <v>215</v>
      </c>
      <c r="J160" s="52" t="s">
        <v>613</v>
      </c>
      <c r="K160" s="50" t="s">
        <v>192</v>
      </c>
      <c r="L160" s="49">
        <v>3</v>
      </c>
      <c r="M160" s="50" t="s">
        <v>159</v>
      </c>
      <c r="N160" s="50" t="s">
        <v>244</v>
      </c>
      <c r="O160" s="50" t="s">
        <v>160</v>
      </c>
      <c r="P160" s="50" t="s">
        <v>177</v>
      </c>
      <c r="Q160" s="53">
        <v>0.09</v>
      </c>
      <c r="R160" s="49">
        <v>63</v>
      </c>
      <c r="S160" s="49">
        <v>6</v>
      </c>
      <c r="T160" s="54">
        <f t="shared" si="330"/>
        <v>69</v>
      </c>
      <c r="U160" s="55">
        <v>49719</v>
      </c>
      <c r="V160" s="49">
        <v>2.39</v>
      </c>
      <c r="W160" s="56">
        <f t="shared" si="333"/>
        <v>28.870292887029287</v>
      </c>
      <c r="X160" s="49" t="s">
        <v>163</v>
      </c>
      <c r="Y160" s="57" t="s">
        <v>162</v>
      </c>
      <c r="Z160" s="58">
        <v>3850000</v>
      </c>
      <c r="AA160" s="114">
        <v>3.5000000000000003E-2</v>
      </c>
      <c r="AB160" s="59">
        <v>40</v>
      </c>
      <c r="AC160" s="60">
        <v>40</v>
      </c>
      <c r="AD160" s="61">
        <v>3.5000000000000003E-2</v>
      </c>
      <c r="AE160" s="62">
        <v>3850000</v>
      </c>
      <c r="AF160" s="63">
        <v>1.22</v>
      </c>
      <c r="AG160" s="59"/>
      <c r="AH160" s="60"/>
      <c r="AI160" s="61"/>
      <c r="AJ160" s="64"/>
      <c r="AK160" s="65">
        <f t="shared" si="334"/>
        <v>3850000</v>
      </c>
      <c r="AL160" s="66">
        <v>0</v>
      </c>
      <c r="AM160" s="49"/>
      <c r="AN160" s="67">
        <v>0.91</v>
      </c>
      <c r="AO160" s="62">
        <v>12985326</v>
      </c>
      <c r="AP160" s="62">
        <v>0</v>
      </c>
      <c r="AQ160" s="68">
        <v>555969</v>
      </c>
      <c r="AR160" s="69">
        <f>IFERROR(IF(AK160&gt;0,AK160/T160,""),"")</f>
        <v>55797.10144927536</v>
      </c>
      <c r="AS160" s="70" t="str">
        <f>IFERROR(IF(AL160&gt;0,AL160/T160,""),"")</f>
        <v/>
      </c>
      <c r="AT160" s="70">
        <f>IFERROR(IF(AO160&gt;0,AO160/T160,""),"")</f>
        <v>188193.13043478262</v>
      </c>
      <c r="AU160" s="70" t="str">
        <f>IFERROR(IF(AP160&gt;0,AP160/T160,""),"")</f>
        <v/>
      </c>
      <c r="AV160" s="71">
        <f>IFERROR(IF(AQ160&gt;0,AQ160/T160,""),"")</f>
        <v>8057.521739130435</v>
      </c>
      <c r="AW160" s="115">
        <f>IFERROR(IF(SUM(BB160:BC160)&gt;0,SUM(BB160:BC160)/T160,""),"")</f>
        <v>105012.04347826086</v>
      </c>
      <c r="AX160" s="116">
        <f>IFERROR(IF(SUM(BB160:BC160)&gt;0,SUM(BB160:BC160)/U160,""),"")</f>
        <v>145.73565437760212</v>
      </c>
      <c r="AY160" s="72">
        <f>IFERROR(IF(SUM(BL160:BO160)&gt;0,SUM(BL160:BO160),""),"")</f>
        <v>128093.68115942029</v>
      </c>
      <c r="AZ160" s="73">
        <f>IFERROR(IF(SUM(BV160:BY160)&gt;0,SUM(BV160:BY160),""),"")</f>
        <v>177.76833805989662</v>
      </c>
      <c r="BA160" s="66">
        <v>2100000</v>
      </c>
      <c r="BB160" s="62">
        <v>1954000</v>
      </c>
      <c r="BC160" s="62">
        <v>5291831</v>
      </c>
      <c r="BD160" s="62">
        <v>507208</v>
      </c>
      <c r="BE160" s="62">
        <v>1085425</v>
      </c>
      <c r="BF160" s="62">
        <v>2173173</v>
      </c>
      <c r="BG160" s="62">
        <v>1629256</v>
      </c>
      <c r="BH160" s="62">
        <v>1830555</v>
      </c>
      <c r="BI160" s="62">
        <v>263878</v>
      </c>
      <c r="BJ160" s="47">
        <f>IFERROR(IF(SUM(BA160:BI160)&gt;0,SUM(BA160:BI160),""),"")</f>
        <v>16835326</v>
      </c>
      <c r="BK160" s="69">
        <f t="shared" ref="BK160:BT160" si="449">IFERROR(IF(BA160&gt;0,BA160/$T160,""),"")</f>
        <v>30434.782608695652</v>
      </c>
      <c r="BL160" s="70">
        <f t="shared" si="449"/>
        <v>28318.840579710144</v>
      </c>
      <c r="BM160" s="70">
        <f t="shared" si="449"/>
        <v>76693.20289855072</v>
      </c>
      <c r="BN160" s="70">
        <f t="shared" si="449"/>
        <v>7350.840579710145</v>
      </c>
      <c r="BO160" s="70">
        <f t="shared" si="449"/>
        <v>15730.797101449276</v>
      </c>
      <c r="BP160" s="70">
        <f t="shared" si="449"/>
        <v>31495.260869565216</v>
      </c>
      <c r="BQ160" s="70">
        <f t="shared" si="449"/>
        <v>23612.405797101448</v>
      </c>
      <c r="BR160" s="70">
        <f t="shared" si="449"/>
        <v>26529.782608695652</v>
      </c>
      <c r="BS160" s="70">
        <f t="shared" si="449"/>
        <v>3824.31884057971</v>
      </c>
      <c r="BT160" s="71">
        <f t="shared" si="449"/>
        <v>243990.23188405798</v>
      </c>
      <c r="BU160" s="65">
        <f t="shared" ref="BU160:CD160" si="450">IFERROR(IF(BA160&gt;0,BA160/$U160,""),"")</f>
        <v>42.237374042116699</v>
      </c>
      <c r="BV160" s="48">
        <f t="shared" si="450"/>
        <v>39.30087089442668</v>
      </c>
      <c r="BW160" s="48">
        <f t="shared" si="450"/>
        <v>106.43478348317545</v>
      </c>
      <c r="BX160" s="48">
        <f t="shared" si="450"/>
        <v>10.201492387216154</v>
      </c>
      <c r="BY160" s="48">
        <f t="shared" si="450"/>
        <v>21.831191295078341</v>
      </c>
      <c r="BZ160" s="48">
        <f t="shared" si="450"/>
        <v>43.709105171061367</v>
      </c>
      <c r="CA160" s="48">
        <f t="shared" si="450"/>
        <v>32.769283372553751</v>
      </c>
      <c r="CB160" s="48">
        <f t="shared" si="450"/>
        <v>36.818017256984248</v>
      </c>
      <c r="CC160" s="48">
        <f t="shared" si="450"/>
        <v>5.3073875178503185</v>
      </c>
      <c r="CD160" s="47">
        <f t="shared" si="450"/>
        <v>338.60950542046299</v>
      </c>
      <c r="CE160" s="66">
        <v>654552</v>
      </c>
      <c r="CF160" s="62">
        <v>12420</v>
      </c>
      <c r="CG160" s="74">
        <v>-50023</v>
      </c>
      <c r="CH160" s="75">
        <f t="shared" si="365"/>
        <v>616949</v>
      </c>
      <c r="CI160" s="62">
        <v>29270</v>
      </c>
      <c r="CJ160" s="62">
        <v>30847</v>
      </c>
      <c r="CK160" s="62">
        <v>89600</v>
      </c>
      <c r="CL160" s="62">
        <v>48016</v>
      </c>
      <c r="CM160" s="62">
        <v>44625</v>
      </c>
      <c r="CN160" s="62">
        <v>41400</v>
      </c>
      <c r="CO160" s="62">
        <v>86500</v>
      </c>
      <c r="CP160" s="75">
        <f t="shared" si="331"/>
        <v>370258</v>
      </c>
      <c r="CQ160" s="62">
        <v>17250</v>
      </c>
      <c r="CR160" s="75">
        <f t="shared" si="332"/>
        <v>387508</v>
      </c>
      <c r="CS160" s="75">
        <f>IFERROR(IF(CH160-CR160&gt;0,CH160-CP160,""),"")</f>
        <v>246691</v>
      </c>
      <c r="CT160" s="62">
        <v>188600</v>
      </c>
      <c r="CU160" s="47">
        <f>IFERROR(IF(CS160-CT160&gt;0,CS160-CT160,""),"")</f>
        <v>58091</v>
      </c>
      <c r="CV160" s="76">
        <f>IFERROR(IF(CU160&gt;0,CS160/CH160,""),"")</f>
        <v>0.39985639007438217</v>
      </c>
      <c r="CW160" s="75">
        <f>IFERROR(IF(CU160&gt;0,CR160/T160,""),"")</f>
        <v>5616.057971014493</v>
      </c>
      <c r="CX160" s="77">
        <f>IFERROR(IF(CU160&gt;0,CR160/CH160,""),"")</f>
        <v>0.62810378167401193</v>
      </c>
      <c r="CY160" s="75">
        <f>IFERROR(IF(CU160&gt;0,CU160/T160,""),"")</f>
        <v>841.89855072463763</v>
      </c>
      <c r="CZ160" s="77">
        <f>IFERROR(IF(CU160&gt;0,CU160/CH160,""),"")</f>
        <v>9.4158512291939847E-2</v>
      </c>
      <c r="DA160" s="77">
        <f>IFERROR(IF(CT160&gt;0,CT160/CH160,""),"")</f>
        <v>0.30569787778244228</v>
      </c>
      <c r="DB160" s="47">
        <f>IFERROR(IF(AR160&gt;0,AR160,""),"")</f>
        <v>55797.10144927536</v>
      </c>
      <c r="DC160" s="69">
        <f t="shared" ref="DC160:DS160" si="451">IFERROR(IF(ABS(CE160)&gt;0,CE160/$T160,""),"")</f>
        <v>9486.2608695652179</v>
      </c>
      <c r="DD160" s="70">
        <f t="shared" si="451"/>
        <v>180</v>
      </c>
      <c r="DE160" s="70">
        <f t="shared" si="451"/>
        <v>-724.97101449275362</v>
      </c>
      <c r="DF160" s="70">
        <f t="shared" si="451"/>
        <v>8941.289855072464</v>
      </c>
      <c r="DG160" s="70">
        <f t="shared" si="451"/>
        <v>424.20289855072463</v>
      </c>
      <c r="DH160" s="70">
        <f t="shared" si="451"/>
        <v>447.05797101449275</v>
      </c>
      <c r="DI160" s="70">
        <f t="shared" si="451"/>
        <v>1298.5507246376812</v>
      </c>
      <c r="DJ160" s="70">
        <f t="shared" si="451"/>
        <v>695.8840579710145</v>
      </c>
      <c r="DK160" s="70">
        <f t="shared" si="451"/>
        <v>646.73913043478262</v>
      </c>
      <c r="DL160" s="70">
        <f t="shared" si="451"/>
        <v>600</v>
      </c>
      <c r="DM160" s="70">
        <f t="shared" si="451"/>
        <v>1253.623188405797</v>
      </c>
      <c r="DN160" s="70">
        <f t="shared" si="451"/>
        <v>5366.057971014493</v>
      </c>
      <c r="DO160" s="70">
        <f t="shared" si="451"/>
        <v>250</v>
      </c>
      <c r="DP160" s="70">
        <f t="shared" si="451"/>
        <v>5616.057971014493</v>
      </c>
      <c r="DQ160" s="70">
        <f t="shared" si="451"/>
        <v>3575.231884057971</v>
      </c>
      <c r="DR160" s="70">
        <f t="shared" si="451"/>
        <v>2733.3333333333335</v>
      </c>
      <c r="DS160" s="71">
        <f t="shared" si="451"/>
        <v>841.89855072463763</v>
      </c>
      <c r="DT160" s="106">
        <f t="shared" ref="DT160:EJ160" si="452">IFERROR(IF(ABS(CE160&gt;0),CE160/$CH160,""),"")</f>
        <v>1.0609499326524559</v>
      </c>
      <c r="DU160" s="92">
        <f t="shared" si="452"/>
        <v>2.013132365884376E-2</v>
      </c>
      <c r="DV160" s="92" t="str">
        <f t="shared" si="452"/>
        <v/>
      </c>
      <c r="DW160" s="92">
        <f t="shared" si="452"/>
        <v>1</v>
      </c>
      <c r="DX160" s="92">
        <f t="shared" si="452"/>
        <v>4.7443143598579464E-2</v>
      </c>
      <c r="DY160" s="92">
        <f t="shared" si="452"/>
        <v>4.999927060421526E-2</v>
      </c>
      <c r="DZ160" s="92">
        <f t="shared" si="452"/>
        <v>0.14523080513948478</v>
      </c>
      <c r="EA160" s="92">
        <f t="shared" si="452"/>
        <v>7.7828151111356048E-2</v>
      </c>
      <c r="EB160" s="92">
        <f t="shared" si="452"/>
        <v>7.2331748653454334E-2</v>
      </c>
      <c r="EC160" s="92">
        <f t="shared" si="452"/>
        <v>6.7104412196145879E-2</v>
      </c>
      <c r="ED160" s="92">
        <f t="shared" si="452"/>
        <v>0.14020607862238207</v>
      </c>
      <c r="EE160" s="92">
        <f t="shared" si="452"/>
        <v>0.60014360992561788</v>
      </c>
      <c r="EF160" s="92">
        <f t="shared" si="452"/>
        <v>2.7960171748394113E-2</v>
      </c>
      <c r="EG160" s="92">
        <f t="shared" si="452"/>
        <v>0.62810378167401193</v>
      </c>
      <c r="EH160" s="92">
        <f t="shared" si="452"/>
        <v>0.39985639007438217</v>
      </c>
      <c r="EI160" s="92">
        <f t="shared" si="452"/>
        <v>0.30569787778244228</v>
      </c>
      <c r="EJ160" s="122">
        <f t="shared" si="452"/>
        <v>9.4158512291939847E-2</v>
      </c>
    </row>
    <row r="161" spans="2:140" ht="12" hidden="1" customHeight="1" outlineLevel="1">
      <c r="B161" s="121">
        <v>45125</v>
      </c>
      <c r="C161" s="117" t="s">
        <v>903</v>
      </c>
      <c r="D161" s="50" t="s">
        <v>904</v>
      </c>
      <c r="E161" s="50" t="s">
        <v>905</v>
      </c>
      <c r="F161" s="50" t="s">
        <v>906</v>
      </c>
      <c r="G161" s="50" t="s">
        <v>154</v>
      </c>
      <c r="H161" s="50" t="s">
        <v>907</v>
      </c>
      <c r="I161" s="50" t="s">
        <v>908</v>
      </c>
      <c r="J161" s="52" t="s">
        <v>541</v>
      </c>
      <c r="K161" s="50" t="s">
        <v>542</v>
      </c>
      <c r="L161" s="49">
        <v>11</v>
      </c>
      <c r="M161" s="50" t="s">
        <v>159</v>
      </c>
      <c r="N161" s="50" t="s">
        <v>361</v>
      </c>
      <c r="O161" s="50" t="s">
        <v>318</v>
      </c>
      <c r="P161" s="50" t="s">
        <v>161</v>
      </c>
      <c r="Q161" s="53">
        <v>0.04</v>
      </c>
      <c r="R161" s="49">
        <v>40</v>
      </c>
      <c r="S161" s="49">
        <v>0</v>
      </c>
      <c r="T161" s="54">
        <f t="shared" si="330"/>
        <v>40</v>
      </c>
      <c r="U161" s="55">
        <v>11406</v>
      </c>
      <c r="V161" s="49">
        <v>0.14000000000000001</v>
      </c>
      <c r="W161" s="56">
        <f>IFERROR(IF(T161&gt;0,T161/V161,""),"")</f>
        <v>285.71428571428567</v>
      </c>
      <c r="X161" s="49" t="s">
        <v>163</v>
      </c>
      <c r="Y161" s="57" t="s">
        <v>162</v>
      </c>
      <c r="Z161" s="58">
        <v>1081291</v>
      </c>
      <c r="AA161" s="114"/>
      <c r="AB161" s="59">
        <v>40</v>
      </c>
      <c r="AC161" s="60"/>
      <c r="AD161" s="61"/>
      <c r="AE161" s="62">
        <v>1081291</v>
      </c>
      <c r="AF161" s="63"/>
      <c r="AG161" s="59">
        <v>40</v>
      </c>
      <c r="AH161" s="60">
        <v>0</v>
      </c>
      <c r="AI161" s="61"/>
      <c r="AJ161" s="64">
        <v>1600000</v>
      </c>
      <c r="AK161" s="65">
        <f>IFERROR(IF(AE161&gt;0,AJ161+AE161,""),"")</f>
        <v>2681291</v>
      </c>
      <c r="AL161" s="66">
        <v>0</v>
      </c>
      <c r="AM161" s="49"/>
      <c r="AN161" s="67">
        <v>0.88</v>
      </c>
      <c r="AO161" s="62">
        <v>0</v>
      </c>
      <c r="AP161" s="62">
        <v>0</v>
      </c>
      <c r="AQ161" s="68">
        <v>0</v>
      </c>
      <c r="AR161" s="69">
        <f>IFERROR(IF(AK161&gt;0,AK161/T161,""),"")</f>
        <v>67032.274999999994</v>
      </c>
      <c r="AS161" s="70" t="str">
        <f>IFERROR(IF(AL161&gt;0,AL161/T161,""),"")</f>
        <v/>
      </c>
      <c r="AT161" s="70" t="str">
        <f>IFERROR(IF(AO161&gt;0,AO161/T161,""),"")</f>
        <v/>
      </c>
      <c r="AU161" s="70" t="str">
        <f>IFERROR(IF(AP161&gt;0,AP161/T161,""),"")</f>
        <v/>
      </c>
      <c r="AV161" s="71" t="str">
        <f>IFERROR(IF(AQ161&gt;0,AQ161/T161,""),"")</f>
        <v/>
      </c>
      <c r="AW161" s="115">
        <f>IFERROR(IF(SUM(BB161:BC161)&gt;0,SUM(BB161:BC161)/T161,""),"")</f>
        <v>94725</v>
      </c>
      <c r="AX161" s="116">
        <f>IFERROR(IF(SUM(BB161:BC161)&gt;0,SUM(BB161:BC161)/U161,""),"")</f>
        <v>332.19358232509205</v>
      </c>
      <c r="AY161" s="72">
        <f>IFERROR(IF(SUM(BL161:BO161)&gt;0,SUM(BL161:BO161),""),"")</f>
        <v>117705.27499999999</v>
      </c>
      <c r="AZ161" s="73">
        <f>IFERROR(IF(SUM(BV161:BY161)&gt;0,SUM(BV161:BY161),""),"")</f>
        <v>412.78371032789761</v>
      </c>
      <c r="BA161" s="66">
        <v>1260000</v>
      </c>
      <c r="BB161" s="62">
        <v>17000</v>
      </c>
      <c r="BC161" s="62">
        <v>3772000</v>
      </c>
      <c r="BD161" s="62">
        <v>341010</v>
      </c>
      <c r="BE161" s="62">
        <v>578201</v>
      </c>
      <c r="BF161" s="62">
        <v>628580</v>
      </c>
      <c r="BG161" s="62">
        <v>124000</v>
      </c>
      <c r="BH161" s="62">
        <v>610000</v>
      </c>
      <c r="BI161" s="62">
        <v>578000</v>
      </c>
      <c r="BJ161" s="47">
        <f>IFERROR(IF(SUM(BA161:BI161)&gt;0,SUM(BA161:BI161),""),"")</f>
        <v>7908791</v>
      </c>
      <c r="BK161" s="69">
        <f t="shared" ref="BK161:BT161" si="453">IFERROR(IF(BA161&gt;0,BA161/$T161,""),"")</f>
        <v>31500</v>
      </c>
      <c r="BL161" s="70">
        <f t="shared" si="453"/>
        <v>425</v>
      </c>
      <c r="BM161" s="70">
        <f t="shared" si="453"/>
        <v>94300</v>
      </c>
      <c r="BN161" s="70">
        <f t="shared" si="453"/>
        <v>8525.25</v>
      </c>
      <c r="BO161" s="70">
        <f t="shared" si="453"/>
        <v>14455.025</v>
      </c>
      <c r="BP161" s="70">
        <f t="shared" si="453"/>
        <v>15714.5</v>
      </c>
      <c r="BQ161" s="70">
        <f t="shared" si="453"/>
        <v>3100</v>
      </c>
      <c r="BR161" s="70">
        <f t="shared" si="453"/>
        <v>15250</v>
      </c>
      <c r="BS161" s="70">
        <f t="shared" si="453"/>
        <v>14450</v>
      </c>
      <c r="BT161" s="71">
        <f t="shared" si="453"/>
        <v>197719.77499999999</v>
      </c>
      <c r="BU161" s="65">
        <f t="shared" ref="BU161:CD161" si="454">IFERROR(IF(BA161&gt;0,BA161/$U161,""),"")</f>
        <v>110.46817464492372</v>
      </c>
      <c r="BV161" s="48">
        <f t="shared" si="454"/>
        <v>1.4904436261616694</v>
      </c>
      <c r="BW161" s="48">
        <f t="shared" si="454"/>
        <v>330.70313869893039</v>
      </c>
      <c r="BX161" s="48">
        <f t="shared" si="454"/>
        <v>29.897422409258287</v>
      </c>
      <c r="BY161" s="48">
        <f t="shared" si="454"/>
        <v>50.692705593547252</v>
      </c>
      <c r="BZ161" s="48">
        <f t="shared" si="454"/>
        <v>55.109591443100122</v>
      </c>
      <c r="CA161" s="48">
        <f t="shared" si="454"/>
        <v>10.871471155532175</v>
      </c>
      <c r="CB161" s="48">
        <f t="shared" si="454"/>
        <v>53.480624232859896</v>
      </c>
      <c r="CC161" s="48">
        <f t="shared" si="454"/>
        <v>50.675083289496754</v>
      </c>
      <c r="CD161" s="47">
        <f t="shared" si="454"/>
        <v>693.38865509381026</v>
      </c>
      <c r="CE161" s="66">
        <v>242496</v>
      </c>
      <c r="CF161" s="62">
        <v>12720</v>
      </c>
      <c r="CG161" s="74">
        <v>-17674</v>
      </c>
      <c r="CH161" s="75">
        <f>IFERROR(IF(SUM(CE161:CG161)&gt;0,SUM(CE161:CG161),""),"")</f>
        <v>237542</v>
      </c>
      <c r="CI161" s="62">
        <v>17538</v>
      </c>
      <c r="CJ161" s="62">
        <v>14979</v>
      </c>
      <c r="CK161" s="62">
        <v>57260</v>
      </c>
      <c r="CL161" s="62">
        <v>35146</v>
      </c>
      <c r="CM161" s="62">
        <v>35496</v>
      </c>
      <c r="CN161" s="62">
        <v>36913</v>
      </c>
      <c r="CO161" s="62">
        <v>0</v>
      </c>
      <c r="CP161" s="75">
        <f t="shared" si="331"/>
        <v>197332</v>
      </c>
      <c r="CQ161" s="62">
        <v>10000</v>
      </c>
      <c r="CR161" s="75">
        <f t="shared" si="332"/>
        <v>207332</v>
      </c>
      <c r="CS161" s="75">
        <f>IFERROR(IF(CH161-CR161&gt;0,CH161-CP161,""),"")</f>
        <v>40210</v>
      </c>
      <c r="CT161" s="62">
        <v>0</v>
      </c>
      <c r="CU161" s="47">
        <f>IFERROR(IF(CS161-CT161&gt;0,CS161-CT161,""),"")</f>
        <v>40210</v>
      </c>
      <c r="CV161" s="76">
        <f>IFERROR(IF(CU161&gt;0,CS161/CH161,""),"")</f>
        <v>0.16927532815249513</v>
      </c>
      <c r="CW161" s="75">
        <f>IFERROR(IF(CU161&gt;0,CR161/T161,""),"")</f>
        <v>5183.3</v>
      </c>
      <c r="CX161" s="77">
        <f>IFERROR(IF(CU161&gt;0,CR161/CH161,""),"")</f>
        <v>0.87282249033855064</v>
      </c>
      <c r="CY161" s="75">
        <f>IFERROR(IF(CU161&gt;0,CU161/T161,""),"")</f>
        <v>1005.25</v>
      </c>
      <c r="CZ161" s="77">
        <f>IFERROR(IF(CU161&gt;0,CU161/CH161,""),"")</f>
        <v>0.16927532815249513</v>
      </c>
      <c r="DA161" s="77" t="str">
        <f>IFERROR(IF(CT161&gt;0,CT161/CH161,""),"")</f>
        <v/>
      </c>
      <c r="DB161" s="47">
        <f>IFERROR(IF(AR161&gt;0,AR161,""),"")</f>
        <v>67032.274999999994</v>
      </c>
      <c r="DC161" s="69">
        <f t="shared" ref="DC161:DS161" si="455">IFERROR(IF(ABS(CE161)&gt;0,CE161/$T161,""),"")</f>
        <v>6062.4</v>
      </c>
      <c r="DD161" s="70">
        <f t="shared" si="455"/>
        <v>318</v>
      </c>
      <c r="DE161" s="70">
        <f t="shared" si="455"/>
        <v>-441.85</v>
      </c>
      <c r="DF161" s="70">
        <f t="shared" si="455"/>
        <v>5938.55</v>
      </c>
      <c r="DG161" s="70">
        <f t="shared" si="455"/>
        <v>438.45</v>
      </c>
      <c r="DH161" s="70">
        <f t="shared" si="455"/>
        <v>374.47500000000002</v>
      </c>
      <c r="DI161" s="70">
        <f t="shared" si="455"/>
        <v>1431.5</v>
      </c>
      <c r="DJ161" s="70">
        <f t="shared" si="455"/>
        <v>878.65</v>
      </c>
      <c r="DK161" s="70">
        <f t="shared" si="455"/>
        <v>887.4</v>
      </c>
      <c r="DL161" s="70">
        <f t="shared" si="455"/>
        <v>922.82500000000005</v>
      </c>
      <c r="DM161" s="70" t="str">
        <f t="shared" si="455"/>
        <v/>
      </c>
      <c r="DN161" s="70">
        <f t="shared" si="455"/>
        <v>4933.3</v>
      </c>
      <c r="DO161" s="70">
        <f t="shared" si="455"/>
        <v>250</v>
      </c>
      <c r="DP161" s="70">
        <f t="shared" si="455"/>
        <v>5183.3</v>
      </c>
      <c r="DQ161" s="70">
        <f t="shared" si="455"/>
        <v>1005.25</v>
      </c>
      <c r="DR161" s="70" t="str">
        <f t="shared" si="455"/>
        <v/>
      </c>
      <c r="DS161" s="71">
        <f t="shared" si="455"/>
        <v>1005.25</v>
      </c>
      <c r="DT161" s="106">
        <f t="shared" ref="DT161:EJ161" si="456">IFERROR(IF(ABS(CE161&gt;0),CE161/$CH161,""),"")</f>
        <v>1.0208552592804641</v>
      </c>
      <c r="DU161" s="92">
        <f t="shared" si="456"/>
        <v>5.3548425120610248E-2</v>
      </c>
      <c r="DV161" s="92" t="str">
        <f t="shared" si="456"/>
        <v/>
      </c>
      <c r="DW161" s="92">
        <f t="shared" si="456"/>
        <v>1</v>
      </c>
      <c r="DX161" s="92">
        <f t="shared" si="456"/>
        <v>7.3831154069596117E-2</v>
      </c>
      <c r="DY161" s="92">
        <f t="shared" si="456"/>
        <v>6.3058322317737489E-2</v>
      </c>
      <c r="DZ161" s="92">
        <f t="shared" si="456"/>
        <v>0.24105210867972821</v>
      </c>
      <c r="EA161" s="92">
        <f t="shared" si="456"/>
        <v>0.14795699286862954</v>
      </c>
      <c r="EB161" s="92">
        <f t="shared" si="456"/>
        <v>0.14943041651581615</v>
      </c>
      <c r="EC161" s="92">
        <f t="shared" si="456"/>
        <v>0.15539567739599733</v>
      </c>
      <c r="ED161" s="92" t="str">
        <f t="shared" si="456"/>
        <v/>
      </c>
      <c r="EE161" s="92">
        <f t="shared" si="456"/>
        <v>0.83072467184750487</v>
      </c>
      <c r="EF161" s="92">
        <f t="shared" si="456"/>
        <v>4.2097818491045796E-2</v>
      </c>
      <c r="EG161" s="92">
        <f t="shared" si="456"/>
        <v>0.87282249033855064</v>
      </c>
      <c r="EH161" s="92">
        <f t="shared" si="456"/>
        <v>0.16927532815249513</v>
      </c>
      <c r="EI161" s="92" t="str">
        <f t="shared" si="456"/>
        <v/>
      </c>
      <c r="EJ161" s="122">
        <f t="shared" si="456"/>
        <v>0.16927532815249513</v>
      </c>
    </row>
    <row r="162" spans="2:140" ht="12" hidden="1" customHeight="1" outlineLevel="1">
      <c r="B162" s="121">
        <v>45125</v>
      </c>
      <c r="C162" s="117">
        <v>23443</v>
      </c>
      <c r="D162" s="50" t="s">
        <v>909</v>
      </c>
      <c r="E162" s="50" t="s">
        <v>910</v>
      </c>
      <c r="F162" s="50" t="s">
        <v>911</v>
      </c>
      <c r="G162" s="50" t="s">
        <v>162</v>
      </c>
      <c r="H162" s="50" t="s">
        <v>912</v>
      </c>
      <c r="I162" s="50" t="s">
        <v>328</v>
      </c>
      <c r="J162" s="52" t="s">
        <v>913</v>
      </c>
      <c r="K162" s="50" t="s">
        <v>529</v>
      </c>
      <c r="L162" s="49">
        <v>7</v>
      </c>
      <c r="M162" s="50" t="s">
        <v>159</v>
      </c>
      <c r="N162" s="50" t="s">
        <v>160</v>
      </c>
      <c r="O162" s="50" t="s">
        <v>160</v>
      </c>
      <c r="P162" s="50" t="s">
        <v>177</v>
      </c>
      <c r="Q162" s="53">
        <v>0.04</v>
      </c>
      <c r="R162" s="49">
        <v>252</v>
      </c>
      <c r="S162" s="49">
        <v>0</v>
      </c>
      <c r="T162" s="54">
        <f t="shared" si="330"/>
        <v>252</v>
      </c>
      <c r="U162" s="55">
        <v>273456</v>
      </c>
      <c r="V162" s="49">
        <v>11.32</v>
      </c>
      <c r="W162" s="56">
        <f>IFERROR(IF(T162&gt;0,T162/V162,""),"")</f>
        <v>22.261484098939928</v>
      </c>
      <c r="X162" s="49" t="s">
        <v>163</v>
      </c>
      <c r="Y162" s="57" t="s">
        <v>162</v>
      </c>
      <c r="Z162" s="58">
        <v>41140000</v>
      </c>
      <c r="AA162" s="114">
        <v>5.2999999999999999E-2</v>
      </c>
      <c r="AB162" s="59">
        <v>15</v>
      </c>
      <c r="AC162" s="60">
        <v>40</v>
      </c>
      <c r="AD162" s="61">
        <v>5.2999999999999999E-2</v>
      </c>
      <c r="AE162" s="62">
        <v>41140000</v>
      </c>
      <c r="AF162" s="63">
        <v>1.19</v>
      </c>
      <c r="AG162" s="59"/>
      <c r="AH162" s="60"/>
      <c r="AI162" s="61"/>
      <c r="AJ162" s="64"/>
      <c r="AK162" s="65">
        <f t="shared" si="334"/>
        <v>41140000</v>
      </c>
      <c r="AL162" s="66">
        <v>1125232</v>
      </c>
      <c r="AM162" s="49" t="s">
        <v>914</v>
      </c>
      <c r="AN162" s="67">
        <v>0.92</v>
      </c>
      <c r="AO162" s="62">
        <v>31462085</v>
      </c>
      <c r="AP162" s="62">
        <v>0</v>
      </c>
      <c r="AQ162" s="68">
        <v>7890085</v>
      </c>
      <c r="AR162" s="69">
        <f>IFERROR(IF(AK162&gt;0,AK162/T162,""),"")</f>
        <v>163253.96825396825</v>
      </c>
      <c r="AS162" s="70">
        <f>IFERROR(IF(AL162&gt;0,AL162/T162,""),"")</f>
        <v>4465.2063492063489</v>
      </c>
      <c r="AT162" s="70">
        <f>IFERROR(IF(AO162&gt;0,AO162/T162,""),"")</f>
        <v>124849.54365079365</v>
      </c>
      <c r="AU162" s="70" t="str">
        <f>IFERROR(IF(AP162&gt;0,AP162/T162,""),"")</f>
        <v/>
      </c>
      <c r="AV162" s="71">
        <f>IFERROR(IF(AQ162&gt;0,AQ162/T162,""),"")</f>
        <v>31309.861111111109</v>
      </c>
      <c r="AW162" s="115">
        <f>IFERROR(IF(SUM(BB162:BC162)&gt;0,SUM(BB162:BC162)/T162,""),"")</f>
        <v>156701.10317460317</v>
      </c>
      <c r="AX162" s="116">
        <f>IFERROR(IF(SUM(BB162:BC162)&gt;0,SUM(BB162:BC162)/U162,""),"")</f>
        <v>144.40596659060324</v>
      </c>
      <c r="AY162" s="72">
        <f>IFERROR(IF(SUM(BL162:BO162)&gt;0,SUM(BL162:BO162),""),"")</f>
        <v>185838.67063492065</v>
      </c>
      <c r="AZ162" s="73">
        <f>IFERROR(IF(SUM(BV162:BY162)&gt;0,SUM(BV162:BY162),""),"")</f>
        <v>171.25733207536129</v>
      </c>
      <c r="BA162" s="66">
        <v>4073440</v>
      </c>
      <c r="BB162" s="62">
        <v>10013475</v>
      </c>
      <c r="BC162" s="62">
        <v>29475203</v>
      </c>
      <c r="BD162" s="62">
        <v>2116000</v>
      </c>
      <c r="BE162" s="62">
        <v>5226667</v>
      </c>
      <c r="BF162" s="62">
        <v>3094986</v>
      </c>
      <c r="BG162" s="62">
        <v>8579790</v>
      </c>
      <c r="BH162" s="62">
        <v>8356358</v>
      </c>
      <c r="BI162" s="62">
        <v>1981399</v>
      </c>
      <c r="BJ162" s="47">
        <f>IFERROR(IF(SUM(BA162:BI162)&gt;0,SUM(BA162:BI162),""),"")</f>
        <v>72917318</v>
      </c>
      <c r="BK162" s="69">
        <f t="shared" ref="BK162:BT164" si="457">IFERROR(IF(BA162&gt;0,BA162/$T162,""),"")</f>
        <v>16164.444444444445</v>
      </c>
      <c r="BL162" s="70">
        <f t="shared" si="457"/>
        <v>39736.011904761908</v>
      </c>
      <c r="BM162" s="70">
        <f t="shared" si="457"/>
        <v>116965.09126984127</v>
      </c>
      <c r="BN162" s="70">
        <f t="shared" si="457"/>
        <v>8396.8253968253975</v>
      </c>
      <c r="BO162" s="70">
        <f t="shared" si="457"/>
        <v>20740.742063492064</v>
      </c>
      <c r="BP162" s="70">
        <f t="shared" si="457"/>
        <v>12281.690476190477</v>
      </c>
      <c r="BQ162" s="70">
        <f t="shared" si="457"/>
        <v>34046.785714285717</v>
      </c>
      <c r="BR162" s="70">
        <f t="shared" si="457"/>
        <v>33160.150793650791</v>
      </c>
      <c r="BS162" s="70">
        <f t="shared" si="457"/>
        <v>7862.6944444444443</v>
      </c>
      <c r="BT162" s="71">
        <f t="shared" si="457"/>
        <v>289354.43650793651</v>
      </c>
      <c r="BU162" s="65">
        <f t="shared" ref="BU162:CD164" si="458">IFERROR(IF(BA162&gt;0,BA162/$U162,""),"")</f>
        <v>14.896144169445908</v>
      </c>
      <c r="BV162" s="48">
        <f t="shared" si="458"/>
        <v>36.618231086536774</v>
      </c>
      <c r="BW162" s="48">
        <f t="shared" si="458"/>
        <v>107.78773550406646</v>
      </c>
      <c r="BX162" s="48">
        <f t="shared" si="458"/>
        <v>7.7379907553683225</v>
      </c>
      <c r="BY162" s="48">
        <f t="shared" si="458"/>
        <v>19.113374729389736</v>
      </c>
      <c r="BZ162" s="48">
        <f t="shared" si="458"/>
        <v>11.3180401965947</v>
      </c>
      <c r="CA162" s="48">
        <f t="shared" si="458"/>
        <v>31.37539494470774</v>
      </c>
      <c r="CB162" s="48">
        <f t="shared" si="458"/>
        <v>30.558327482300626</v>
      </c>
      <c r="CC162" s="48">
        <f t="shared" si="458"/>
        <v>7.2457689719735532</v>
      </c>
      <c r="CD162" s="47">
        <f t="shared" si="458"/>
        <v>266.65100784038384</v>
      </c>
      <c r="CE162" s="66">
        <v>4505832</v>
      </c>
      <c r="CF162" s="62">
        <v>90480</v>
      </c>
      <c r="CG162" s="74">
        <v>-344723</v>
      </c>
      <c r="CH162" s="75">
        <f>IFERROR(IF(SUM(CE162:CG162)&gt;0,SUM(CE162:CG162),""),"")</f>
        <v>4251589</v>
      </c>
      <c r="CI162" s="62">
        <v>132830</v>
      </c>
      <c r="CJ162" s="62">
        <v>119949</v>
      </c>
      <c r="CK162" s="62">
        <v>296600</v>
      </c>
      <c r="CL162" s="62">
        <v>126000</v>
      </c>
      <c r="CM162" s="62">
        <v>126000</v>
      </c>
      <c r="CN162" s="62">
        <v>113400</v>
      </c>
      <c r="CO162" s="62">
        <v>239400</v>
      </c>
      <c r="CP162" s="75">
        <f t="shared" si="331"/>
        <v>1154179</v>
      </c>
      <c r="CQ162" s="62">
        <v>63000</v>
      </c>
      <c r="CR162" s="75">
        <f t="shared" si="332"/>
        <v>1217179</v>
      </c>
      <c r="CS162" s="75">
        <f>IFERROR(IF(CH162-CR162&gt;0,CH162-CP162,""),"")</f>
        <v>3097410</v>
      </c>
      <c r="CT162" s="62">
        <v>2541131</v>
      </c>
      <c r="CU162" s="47">
        <f>IFERROR(IF(CS162-CT162&gt;0,CS162-CT162,""),"")</f>
        <v>556279</v>
      </c>
      <c r="CV162" s="76">
        <f>IFERROR(IF(CU162&gt;0,CS162/CH162,""),"")</f>
        <v>0.72852996844238704</v>
      </c>
      <c r="CW162" s="75">
        <f>IFERROR(IF(CU162&gt;0,CR162/T162,""),"")</f>
        <v>4830.0753968253966</v>
      </c>
      <c r="CX162" s="77">
        <f>IFERROR(IF(CU162&gt;0,CR162/CH162,""),"")</f>
        <v>0.28628802078469956</v>
      </c>
      <c r="CY162" s="75">
        <f>IFERROR(IF(CU162&gt;0,CU162/T162,""),"")</f>
        <v>2207.4563492063494</v>
      </c>
      <c r="CZ162" s="77">
        <f>IFERROR(IF(CU162&gt;0,CU162/CH162,""),"")</f>
        <v>0.13084025760721463</v>
      </c>
      <c r="DA162" s="77">
        <f>IFERROR(IF(CT162&gt;0,CT162/CH162,""),"")</f>
        <v>0.59768971083517242</v>
      </c>
      <c r="DB162" s="47">
        <f>IFERROR(IF(AR162&gt;0,AR162,""),"")</f>
        <v>163253.96825396825</v>
      </c>
      <c r="DC162" s="69">
        <f t="shared" ref="DC162:DL164" si="459">IFERROR(IF(ABS(CE162)&gt;0,CE162/$T162,""),"")</f>
        <v>17880.285714285714</v>
      </c>
      <c r="DD162" s="70">
        <f t="shared" si="459"/>
        <v>359.04761904761904</v>
      </c>
      <c r="DE162" s="70">
        <f t="shared" si="459"/>
        <v>-1367.9484126984128</v>
      </c>
      <c r="DF162" s="70">
        <f t="shared" si="459"/>
        <v>16871.384920634922</v>
      </c>
      <c r="DG162" s="70">
        <f t="shared" si="459"/>
        <v>527.10317460317458</v>
      </c>
      <c r="DH162" s="70">
        <f t="shared" si="459"/>
        <v>475.98809523809524</v>
      </c>
      <c r="DI162" s="70">
        <f t="shared" si="459"/>
        <v>1176.984126984127</v>
      </c>
      <c r="DJ162" s="70">
        <f t="shared" si="459"/>
        <v>500</v>
      </c>
      <c r="DK162" s="70">
        <f t="shared" si="459"/>
        <v>500</v>
      </c>
      <c r="DL162" s="70">
        <f t="shared" si="459"/>
        <v>450</v>
      </c>
      <c r="DM162" s="70">
        <f t="shared" ref="DM162:DS164" si="460">IFERROR(IF(ABS(CO162)&gt;0,CO162/$T162,""),"")</f>
        <v>950</v>
      </c>
      <c r="DN162" s="70">
        <f t="shared" si="460"/>
        <v>4580.0753968253966</v>
      </c>
      <c r="DO162" s="70">
        <f t="shared" si="460"/>
        <v>250</v>
      </c>
      <c r="DP162" s="70">
        <f t="shared" si="460"/>
        <v>4830.0753968253966</v>
      </c>
      <c r="DQ162" s="70">
        <f t="shared" si="460"/>
        <v>12291.309523809523</v>
      </c>
      <c r="DR162" s="70">
        <f t="shared" si="460"/>
        <v>10083.853174603175</v>
      </c>
      <c r="DS162" s="71">
        <f t="shared" si="460"/>
        <v>2207.4563492063494</v>
      </c>
      <c r="DT162" s="106">
        <f t="shared" ref="DT162:EC164" si="461">IFERROR(IF(ABS(CE162&gt;0),CE162/$CH162,""),"")</f>
        <v>1.0597995243660665</v>
      </c>
      <c r="DU162" s="92">
        <f t="shared" si="461"/>
        <v>2.1281455004234888E-2</v>
      </c>
      <c r="DV162" s="92" t="str">
        <f t="shared" si="461"/>
        <v/>
      </c>
      <c r="DW162" s="92">
        <f t="shared" si="461"/>
        <v>1</v>
      </c>
      <c r="DX162" s="92">
        <f t="shared" si="461"/>
        <v>3.1242436651332008E-2</v>
      </c>
      <c r="DY162" s="92">
        <f t="shared" si="461"/>
        <v>2.8212745869838313E-2</v>
      </c>
      <c r="DZ162" s="92">
        <f t="shared" si="461"/>
        <v>6.9762152456411E-2</v>
      </c>
      <c r="EA162" s="92">
        <f t="shared" si="461"/>
        <v>2.9635978454173251E-2</v>
      </c>
      <c r="EB162" s="92">
        <f t="shared" si="461"/>
        <v>2.9635978454173251E-2</v>
      </c>
      <c r="EC162" s="92">
        <f t="shared" si="461"/>
        <v>2.6672380608755927E-2</v>
      </c>
      <c r="ED162" s="92">
        <f t="shared" ref="ED162:EJ164" si="462">IFERROR(IF(ABS(CO162&gt;0),CO162/$CH162,""),"")</f>
        <v>5.6308359062929178E-2</v>
      </c>
      <c r="EE162" s="92">
        <f t="shared" si="462"/>
        <v>0.27147003155761296</v>
      </c>
      <c r="EF162" s="92">
        <f t="shared" si="462"/>
        <v>1.4817989227086626E-2</v>
      </c>
      <c r="EG162" s="92">
        <f t="shared" si="462"/>
        <v>0.28628802078469956</v>
      </c>
      <c r="EH162" s="92">
        <f t="shared" si="462"/>
        <v>0.72852996844238704</v>
      </c>
      <c r="EI162" s="92">
        <f t="shared" si="462"/>
        <v>0.59768971083517242</v>
      </c>
      <c r="EJ162" s="122">
        <f t="shared" si="462"/>
        <v>0.13084025760721463</v>
      </c>
    </row>
    <row r="163" spans="2:140" ht="12" hidden="1" customHeight="1" outlineLevel="1">
      <c r="B163" s="121">
        <v>45128</v>
      </c>
      <c r="C163" s="117">
        <v>23446</v>
      </c>
      <c r="D163" s="50" t="s">
        <v>915</v>
      </c>
      <c r="E163" s="50" t="s">
        <v>916</v>
      </c>
      <c r="F163" s="50" t="s">
        <v>917</v>
      </c>
      <c r="G163" s="50" t="s">
        <v>162</v>
      </c>
      <c r="H163" s="50" t="s">
        <v>220</v>
      </c>
      <c r="I163" s="50" t="s">
        <v>174</v>
      </c>
      <c r="J163" s="52" t="s">
        <v>360</v>
      </c>
      <c r="K163" s="50" t="s">
        <v>294</v>
      </c>
      <c r="L163" s="49">
        <v>7</v>
      </c>
      <c r="M163" s="50" t="s">
        <v>159</v>
      </c>
      <c r="N163" s="50" t="s">
        <v>160</v>
      </c>
      <c r="O163" s="50" t="s">
        <v>160</v>
      </c>
      <c r="P163" s="50" t="s">
        <v>177</v>
      </c>
      <c r="Q163" s="53">
        <v>0.04</v>
      </c>
      <c r="R163" s="49">
        <v>204</v>
      </c>
      <c r="S163" s="49">
        <v>0</v>
      </c>
      <c r="T163" s="54">
        <f t="shared" si="330"/>
        <v>204</v>
      </c>
      <c r="U163" s="55">
        <v>162541</v>
      </c>
      <c r="V163" s="49">
        <v>3.05</v>
      </c>
      <c r="W163" s="56">
        <f>IFERROR(IF(T163&gt;0,T163/V163,""),"")</f>
        <v>66.885245901639351</v>
      </c>
      <c r="X163" s="49" t="s">
        <v>163</v>
      </c>
      <c r="Y163" s="57" t="s">
        <v>162</v>
      </c>
      <c r="Z163" s="58">
        <v>23654682</v>
      </c>
      <c r="AA163" s="114">
        <v>5.7000000000000002E-2</v>
      </c>
      <c r="AB163" s="59">
        <v>19</v>
      </c>
      <c r="AC163" s="60">
        <v>40</v>
      </c>
      <c r="AD163" s="61">
        <v>5.7000000000000002E-2</v>
      </c>
      <c r="AE163" s="62">
        <v>23654682</v>
      </c>
      <c r="AF163" s="63">
        <v>1.1399999999999999</v>
      </c>
      <c r="AG163" s="59">
        <v>19</v>
      </c>
      <c r="AH163" s="60">
        <v>40</v>
      </c>
      <c r="AI163" s="61">
        <v>5.7000000000000002E-2</v>
      </c>
      <c r="AJ163" s="64">
        <v>-272000</v>
      </c>
      <c r="AK163" s="65">
        <f>IFERROR(IF(AE163&gt;0,AJ163+AE163,""),"")</f>
        <v>23382682</v>
      </c>
      <c r="AL163" s="66">
        <v>14256032</v>
      </c>
      <c r="AM163" s="49" t="s">
        <v>918</v>
      </c>
      <c r="AN163" s="67">
        <v>0.87</v>
      </c>
      <c r="AO163" s="62">
        <v>36853612</v>
      </c>
      <c r="AP163" s="62">
        <v>0</v>
      </c>
      <c r="AQ163" s="68">
        <v>5215068</v>
      </c>
      <c r="AR163" s="69">
        <f>IFERROR(IF(AK163&gt;0,AK163/T163,""),"")</f>
        <v>114620.99019607843</v>
      </c>
      <c r="AS163" s="70">
        <f>IFERROR(IF(AL163&gt;0,AL163/T163,""),"")</f>
        <v>69882.509803921566</v>
      </c>
      <c r="AT163" s="70">
        <f>IFERROR(IF(AO163&gt;0,AO163/T163,""),"")</f>
        <v>180654.96078431373</v>
      </c>
      <c r="AU163" s="70" t="str">
        <f>IFERROR(IF(AP163&gt;0,AP163/T163,""),"")</f>
        <v/>
      </c>
      <c r="AV163" s="71">
        <f>IFERROR(IF(AQ163&gt;0,AQ163/T163,""),"")</f>
        <v>25564.058823529413</v>
      </c>
      <c r="AW163" s="115">
        <f>IFERROR(IF(SUM(BB163:BC163)&gt;0,SUM(BB163:BC163)/T163,""),"")</f>
        <v>217312.53431372548</v>
      </c>
      <c r="AX163" s="116">
        <f>IFERROR(IF(SUM(BB163:BC163)&gt;0,SUM(BB163:BC163)/U163,""),"")</f>
        <v>272.741997403732</v>
      </c>
      <c r="AY163" s="72">
        <f>IFERROR(IF(SUM(BL163:BO163)&gt;0,SUM(BL163:BO163),""),"")</f>
        <v>260965.86274509807</v>
      </c>
      <c r="AZ163" s="73">
        <f>IFERROR(IF(SUM(BV163:BY163)&gt;0,SUM(BV163:BY163),""),"")</f>
        <v>327.52989091982948</v>
      </c>
      <c r="BA163" s="66">
        <v>40000</v>
      </c>
      <c r="BB163" s="62">
        <v>6116446</v>
      </c>
      <c r="BC163" s="62">
        <v>38215311</v>
      </c>
      <c r="BD163" s="62">
        <v>2683051</v>
      </c>
      <c r="BE163" s="62">
        <v>6222228</v>
      </c>
      <c r="BF163" s="62">
        <v>3089034</v>
      </c>
      <c r="BG163" s="62">
        <v>7536831</v>
      </c>
      <c r="BH163" s="62">
        <v>9174614</v>
      </c>
      <c r="BI163" s="62">
        <v>1414811</v>
      </c>
      <c r="BJ163" s="47">
        <f>IFERROR(IF(SUM(BA163:BI163)&gt;0,SUM(BA163:BI163),""),"")</f>
        <v>74492326</v>
      </c>
      <c r="BK163" s="69">
        <f t="shared" si="457"/>
        <v>196.07843137254903</v>
      </c>
      <c r="BL163" s="70">
        <f t="shared" si="457"/>
        <v>29982.578431372549</v>
      </c>
      <c r="BM163" s="70">
        <f t="shared" si="457"/>
        <v>187329.95588235295</v>
      </c>
      <c r="BN163" s="70">
        <f t="shared" si="457"/>
        <v>13152.210784313726</v>
      </c>
      <c r="BO163" s="70">
        <f t="shared" si="457"/>
        <v>30501.117647058825</v>
      </c>
      <c r="BP163" s="70">
        <f t="shared" si="457"/>
        <v>15142.323529411764</v>
      </c>
      <c r="BQ163" s="70">
        <f t="shared" si="457"/>
        <v>36945.25</v>
      </c>
      <c r="BR163" s="70">
        <f t="shared" si="457"/>
        <v>44973.598039215685</v>
      </c>
      <c r="BS163" s="70">
        <f t="shared" si="457"/>
        <v>6935.3480392156862</v>
      </c>
      <c r="BT163" s="71">
        <f t="shared" si="457"/>
        <v>365158.46078431373</v>
      </c>
      <c r="BU163" s="65">
        <f t="shared" si="458"/>
        <v>0.24609175531096769</v>
      </c>
      <c r="BV163" s="48">
        <f t="shared" si="458"/>
        <v>37.630173310118678</v>
      </c>
      <c r="BW163" s="48">
        <f t="shared" si="458"/>
        <v>235.11182409361331</v>
      </c>
      <c r="BX163" s="48">
        <f t="shared" si="458"/>
        <v>16.506918254471181</v>
      </c>
      <c r="BY163" s="48">
        <f t="shared" si="458"/>
        <v>38.280975261626295</v>
      </c>
      <c r="BZ163" s="48">
        <f t="shared" si="458"/>
        <v>19.004644981881494</v>
      </c>
      <c r="CA163" s="48">
        <f t="shared" si="458"/>
        <v>46.368799256802902</v>
      </c>
      <c r="CB163" s="48">
        <f t="shared" si="458"/>
        <v>56.444921589014463</v>
      </c>
      <c r="CC163" s="48">
        <f t="shared" si="458"/>
        <v>8.7043330605816376</v>
      </c>
      <c r="CD163" s="47">
        <f t="shared" si="458"/>
        <v>458.29868156342093</v>
      </c>
      <c r="CE163" s="66">
        <v>2967876</v>
      </c>
      <c r="CF163" s="62">
        <v>73440</v>
      </c>
      <c r="CG163" s="74">
        <v>-288099</v>
      </c>
      <c r="CH163" s="75">
        <f>IFERROR(IF(SUM(CE163:CG163)&gt;0,SUM(CE163:CG163),""),"")</f>
        <v>2753217</v>
      </c>
      <c r="CI163" s="62">
        <v>86660</v>
      </c>
      <c r="CJ163" s="62">
        <v>84992</v>
      </c>
      <c r="CK163" s="62">
        <v>336000</v>
      </c>
      <c r="CL163" s="62">
        <v>180000</v>
      </c>
      <c r="CM163" s="62">
        <v>144002</v>
      </c>
      <c r="CN163" s="62">
        <v>202000</v>
      </c>
      <c r="CO163" s="62">
        <v>0</v>
      </c>
      <c r="CP163" s="75">
        <f t="shared" si="331"/>
        <v>1033654</v>
      </c>
      <c r="CQ163" s="62">
        <v>51000</v>
      </c>
      <c r="CR163" s="75">
        <f t="shared" si="332"/>
        <v>1084654</v>
      </c>
      <c r="CS163" s="75">
        <f>IFERROR(IF(CH163-CR163&gt;0,CH163-CP163,""),"")</f>
        <v>1719563</v>
      </c>
      <c r="CT163" s="62">
        <v>1485587</v>
      </c>
      <c r="CU163" s="47">
        <f>IFERROR(IF(CS163-CT163&gt;0,CS163-CT163,""),"")</f>
        <v>233976</v>
      </c>
      <c r="CV163" s="76">
        <f>IFERROR(IF(CU163&gt;0,CS163/CH163,""),"")</f>
        <v>0.62456500886054389</v>
      </c>
      <c r="CW163" s="75">
        <f>IFERROR(IF(CU163&gt;0,CR163/T163,""),"")</f>
        <v>5316.9313725490192</v>
      </c>
      <c r="CX163" s="77">
        <f>IFERROR(IF(CU163&gt;0,CR163/CH163,""),"")</f>
        <v>0.39395877622432229</v>
      </c>
      <c r="CY163" s="75">
        <f>IFERROR(IF(CU163&gt;0,CU163/T163,""),"")</f>
        <v>1146.9411764705883</v>
      </c>
      <c r="CZ163" s="77">
        <f>IFERROR(IF(CU163&gt;0,CU163/CH163,""),"")</f>
        <v>8.4982767431698997E-2</v>
      </c>
      <c r="DA163" s="77">
        <f>IFERROR(IF(CT163&gt;0,CT163/CH163,""),"")</f>
        <v>0.53958224142884492</v>
      </c>
      <c r="DB163" s="47">
        <f>IFERROR(IF(AR163&gt;0,AR163,""),"")</f>
        <v>114620.99019607843</v>
      </c>
      <c r="DC163" s="69">
        <f t="shared" si="459"/>
        <v>14548.411764705883</v>
      </c>
      <c r="DD163" s="70">
        <f t="shared" si="459"/>
        <v>360</v>
      </c>
      <c r="DE163" s="70">
        <f t="shared" si="459"/>
        <v>-1412.25</v>
      </c>
      <c r="DF163" s="70">
        <f t="shared" si="459"/>
        <v>13496.161764705883</v>
      </c>
      <c r="DG163" s="70">
        <f t="shared" si="459"/>
        <v>424.80392156862746</v>
      </c>
      <c r="DH163" s="70">
        <f t="shared" si="459"/>
        <v>416.62745098039215</v>
      </c>
      <c r="DI163" s="70">
        <f t="shared" si="459"/>
        <v>1647.0588235294117</v>
      </c>
      <c r="DJ163" s="70">
        <f t="shared" si="459"/>
        <v>882.35294117647061</v>
      </c>
      <c r="DK163" s="70">
        <f t="shared" si="459"/>
        <v>705.89215686274508</v>
      </c>
      <c r="DL163" s="70">
        <f t="shared" si="459"/>
        <v>990.1960784313726</v>
      </c>
      <c r="DM163" s="70" t="str">
        <f t="shared" si="460"/>
        <v/>
      </c>
      <c r="DN163" s="70">
        <f t="shared" si="460"/>
        <v>5066.9313725490192</v>
      </c>
      <c r="DO163" s="70">
        <f t="shared" si="460"/>
        <v>250</v>
      </c>
      <c r="DP163" s="70">
        <f t="shared" si="460"/>
        <v>5316.9313725490192</v>
      </c>
      <c r="DQ163" s="70">
        <f t="shared" si="460"/>
        <v>8429.2303921568619</v>
      </c>
      <c r="DR163" s="70">
        <f t="shared" si="460"/>
        <v>7282.2892156862745</v>
      </c>
      <c r="DS163" s="71">
        <f t="shared" si="460"/>
        <v>1146.9411764705883</v>
      </c>
      <c r="DT163" s="106">
        <f t="shared" si="461"/>
        <v>1.0779666114222017</v>
      </c>
      <c r="DU163" s="92">
        <f t="shared" si="461"/>
        <v>2.6674250522207295E-2</v>
      </c>
      <c r="DV163" s="92" t="str">
        <f t="shared" si="461"/>
        <v/>
      </c>
      <c r="DW163" s="92">
        <f t="shared" si="461"/>
        <v>1</v>
      </c>
      <c r="DX163" s="92">
        <f t="shared" si="461"/>
        <v>3.1475906185382409E-2</v>
      </c>
      <c r="DY163" s="92">
        <f t="shared" si="461"/>
        <v>3.087006944966561E-2</v>
      </c>
      <c r="DZ163" s="92">
        <f t="shared" si="461"/>
        <v>0.1220390546767654</v>
      </c>
      <c r="EA163" s="92">
        <f t="shared" si="461"/>
        <v>6.5378065005410033E-2</v>
      </c>
      <c r="EB163" s="92">
        <f t="shared" si="461"/>
        <v>5.2303178427272536E-2</v>
      </c>
      <c r="EC163" s="92">
        <f t="shared" si="461"/>
        <v>7.3368717394960148E-2</v>
      </c>
      <c r="ED163" s="92" t="str">
        <f t="shared" si="462"/>
        <v/>
      </c>
      <c r="EE163" s="92">
        <f t="shared" si="462"/>
        <v>0.37543499113945611</v>
      </c>
      <c r="EF163" s="92">
        <f t="shared" si="462"/>
        <v>1.8523785084866178E-2</v>
      </c>
      <c r="EG163" s="92">
        <f t="shared" si="462"/>
        <v>0.39395877622432229</v>
      </c>
      <c r="EH163" s="92">
        <f t="shared" si="462"/>
        <v>0.62456500886054389</v>
      </c>
      <c r="EI163" s="92">
        <f t="shared" si="462"/>
        <v>0.53958224142884492</v>
      </c>
      <c r="EJ163" s="122">
        <f t="shared" si="462"/>
        <v>8.4982767431698997E-2</v>
      </c>
    </row>
    <row r="164" spans="2:140" ht="12" hidden="1" customHeight="1" outlineLevel="1">
      <c r="B164" s="121">
        <v>45133</v>
      </c>
      <c r="C164" s="117">
        <v>23408</v>
      </c>
      <c r="D164" s="50" t="s">
        <v>919</v>
      </c>
      <c r="E164" s="50" t="s">
        <v>920</v>
      </c>
      <c r="F164" s="50" t="s">
        <v>921</v>
      </c>
      <c r="G164" s="50" t="s">
        <v>154</v>
      </c>
      <c r="H164" s="50" t="s">
        <v>922</v>
      </c>
      <c r="I164" s="50" t="s">
        <v>156</v>
      </c>
      <c r="J164" s="52" t="s">
        <v>157</v>
      </c>
      <c r="K164" s="50" t="s">
        <v>158</v>
      </c>
      <c r="L164" s="49">
        <v>8</v>
      </c>
      <c r="M164" s="50" t="s">
        <v>159</v>
      </c>
      <c r="N164" s="50" t="s">
        <v>160</v>
      </c>
      <c r="O164" s="50" t="s">
        <v>160</v>
      </c>
      <c r="P164" s="50" t="s">
        <v>923</v>
      </c>
      <c r="Q164" s="53">
        <v>0.04</v>
      </c>
      <c r="R164" s="49">
        <v>140</v>
      </c>
      <c r="S164" s="49">
        <v>0</v>
      </c>
      <c r="T164" s="54">
        <f t="shared" si="330"/>
        <v>140</v>
      </c>
      <c r="U164" s="55">
        <v>142940</v>
      </c>
      <c r="V164" s="49">
        <v>25.09</v>
      </c>
      <c r="W164" s="56">
        <f>IFERROR(IF(T164&gt;0,T164/V164,""),"")</f>
        <v>5.579912315663611</v>
      </c>
      <c r="X164" s="49">
        <v>2005</v>
      </c>
      <c r="Y164" s="57" t="s">
        <v>162</v>
      </c>
      <c r="Z164" s="58">
        <v>13300000</v>
      </c>
      <c r="AA164" s="114">
        <v>5.3999999999999999E-2</v>
      </c>
      <c r="AB164" s="59">
        <v>15</v>
      </c>
      <c r="AC164" s="60">
        <v>45</v>
      </c>
      <c r="AD164" s="61">
        <v>5.3999999999999999E-2</v>
      </c>
      <c r="AE164" s="62">
        <v>13300000</v>
      </c>
      <c r="AF164" s="63">
        <v>1.1599999999999999</v>
      </c>
      <c r="AG164" s="59"/>
      <c r="AH164" s="60"/>
      <c r="AI164" s="61"/>
      <c r="AJ164" s="64"/>
      <c r="AK164" s="65">
        <f>IFERROR(IF(AE164&gt;0,AJ164+AE164,""),"")</f>
        <v>13300000</v>
      </c>
      <c r="AL164" s="66">
        <v>1431722</v>
      </c>
      <c r="AM164" s="49" t="s">
        <v>924</v>
      </c>
      <c r="AN164" s="67">
        <v>0.96</v>
      </c>
      <c r="AO164" s="62">
        <v>9258406</v>
      </c>
      <c r="AP164" s="62">
        <v>0</v>
      </c>
      <c r="AQ164" s="68">
        <v>497468</v>
      </c>
      <c r="AR164" s="69">
        <f>IFERROR(IF(AK164&gt;0,AK164/T164,""),"")</f>
        <v>95000</v>
      </c>
      <c r="AS164" s="70">
        <f>IFERROR(IF(AL164&gt;0,AL164/T164,""),"")</f>
        <v>10226.585714285715</v>
      </c>
      <c r="AT164" s="70">
        <f>IFERROR(IF(AO164&gt;0,AO164/T164,""),"")</f>
        <v>66131.471428571429</v>
      </c>
      <c r="AU164" s="70" t="str">
        <f>IFERROR(IF(AP164&gt;0,AP164/T164,""),"")</f>
        <v/>
      </c>
      <c r="AV164" s="71">
        <f>IFERROR(IF(AQ164&gt;0,AQ164/T164,""),"")</f>
        <v>3553.3428571428572</v>
      </c>
      <c r="AW164" s="115">
        <f>IFERROR(IF(SUM(BB164:BC164)&gt;0,SUM(BB164:BC164)/T164,""),"")</f>
        <v>43542.357142857145</v>
      </c>
      <c r="AX164" s="116">
        <f>IFERROR(IF(SUM(BB164:BC164)&gt;0,SUM(BB164:BC164)/U164,""),"")</f>
        <v>42.646774870575065</v>
      </c>
      <c r="AY164" s="72">
        <f>IFERROR(IF(SUM(BL164:BO164)&gt;0,SUM(BL164:BO164),""),"")</f>
        <v>53668.521428571432</v>
      </c>
      <c r="AZ164" s="73">
        <f>IFERROR(IF(SUM(BV164:BY164)&gt;0,SUM(BV164:BY164),""),"")</f>
        <v>52.564663495172795</v>
      </c>
      <c r="BA164" s="66">
        <v>9200000</v>
      </c>
      <c r="BB164" s="62">
        <v>572891</v>
      </c>
      <c r="BC164" s="62">
        <v>5523039</v>
      </c>
      <c r="BD164" s="62">
        <v>609593</v>
      </c>
      <c r="BE164" s="62">
        <v>808070</v>
      </c>
      <c r="BF164" s="62">
        <v>1686838</v>
      </c>
      <c r="BG164" s="62">
        <v>1604582</v>
      </c>
      <c r="BH164" s="62">
        <v>2535352</v>
      </c>
      <c r="BI164" s="62">
        <v>1449763</v>
      </c>
      <c r="BJ164" s="47">
        <f>IFERROR(IF(SUM(BA164:BI164)&gt;0,SUM(BA164:BI164),""),"")</f>
        <v>23990128</v>
      </c>
      <c r="BK164" s="69">
        <f t="shared" si="457"/>
        <v>65714.28571428571</v>
      </c>
      <c r="BL164" s="70">
        <f t="shared" si="457"/>
        <v>4092.0785714285716</v>
      </c>
      <c r="BM164" s="70">
        <f t="shared" si="457"/>
        <v>39450.278571428571</v>
      </c>
      <c r="BN164" s="70">
        <f t="shared" si="457"/>
        <v>4354.2357142857145</v>
      </c>
      <c r="BO164" s="70">
        <f t="shared" si="457"/>
        <v>5771.9285714285716</v>
      </c>
      <c r="BP164" s="70">
        <f t="shared" si="457"/>
        <v>12048.842857142858</v>
      </c>
      <c r="BQ164" s="70">
        <f t="shared" si="457"/>
        <v>11461.3</v>
      </c>
      <c r="BR164" s="70">
        <f t="shared" si="457"/>
        <v>18109.657142857144</v>
      </c>
      <c r="BS164" s="70">
        <f t="shared" si="457"/>
        <v>10355.450000000001</v>
      </c>
      <c r="BT164" s="71">
        <f t="shared" si="457"/>
        <v>171358.05714285714</v>
      </c>
      <c r="BU164" s="65">
        <f t="shared" si="458"/>
        <v>64.362669651602076</v>
      </c>
      <c r="BV164" s="48">
        <f t="shared" si="458"/>
        <v>4.007912410801735</v>
      </c>
      <c r="BW164" s="48">
        <f t="shared" si="458"/>
        <v>38.638862459773328</v>
      </c>
      <c r="BX164" s="48">
        <f t="shared" si="458"/>
        <v>4.264677487057507</v>
      </c>
      <c r="BY164" s="48">
        <f t="shared" si="458"/>
        <v>5.653211137540227</v>
      </c>
      <c r="BZ164" s="48">
        <f t="shared" si="458"/>
        <v>11.801021407583601</v>
      </c>
      <c r="CA164" s="48">
        <f t="shared" si="458"/>
        <v>11.225563173359452</v>
      </c>
      <c r="CB164" s="48">
        <f t="shared" si="458"/>
        <v>17.737176437666154</v>
      </c>
      <c r="CC164" s="48">
        <f t="shared" si="458"/>
        <v>10.142458374142997</v>
      </c>
      <c r="CD164" s="47">
        <f t="shared" si="458"/>
        <v>167.83355253952706</v>
      </c>
      <c r="CE164" s="66">
        <v>1608480</v>
      </c>
      <c r="CF164" s="62">
        <v>34140</v>
      </c>
      <c r="CG164" s="74">
        <v>-123196</v>
      </c>
      <c r="CH164" s="75">
        <f>IFERROR(IF(SUM(CE164:CG164)&gt;0,SUM(CE164:CG164),""),"")</f>
        <v>1519424</v>
      </c>
      <c r="CI164" s="62">
        <v>75850</v>
      </c>
      <c r="CJ164" s="62">
        <v>53184</v>
      </c>
      <c r="CK164" s="62">
        <v>168000</v>
      </c>
      <c r="CL164" s="62">
        <v>105000</v>
      </c>
      <c r="CM164" s="62">
        <v>105000</v>
      </c>
      <c r="CN164" s="62">
        <v>52500</v>
      </c>
      <c r="CO164" s="62">
        <v>0</v>
      </c>
      <c r="CP164" s="75">
        <f t="shared" si="331"/>
        <v>559534</v>
      </c>
      <c r="CQ164" s="62">
        <v>49000</v>
      </c>
      <c r="CR164" s="75">
        <f t="shared" si="332"/>
        <v>608534</v>
      </c>
      <c r="CS164" s="75">
        <f>IFERROR(IF(CH164-CR164&gt;0,CH164-CP164,""),"")</f>
        <v>959890</v>
      </c>
      <c r="CT164" s="62">
        <v>787948</v>
      </c>
      <c r="CU164" s="47">
        <f>IFERROR(IF(CS164-CT164&gt;0,CS164-CT164,""),"")</f>
        <v>171942</v>
      </c>
      <c r="CV164" s="76">
        <f>IFERROR(IF(CU164&gt;0,CS164/CH164,""),"")</f>
        <v>0.63174597742302341</v>
      </c>
      <c r="CW164" s="75">
        <f>IFERROR(IF(CU164&gt;0,CR164/T164,""),"")</f>
        <v>4346.6714285714288</v>
      </c>
      <c r="CX164" s="77">
        <f>IFERROR(IF(CU164&gt;0,CR164/CH164,""),"")</f>
        <v>0.40050308537972285</v>
      </c>
      <c r="CY164" s="75">
        <f>IFERROR(IF(CU164&gt;0,CU164/T164,""),"")</f>
        <v>1228.1571428571428</v>
      </c>
      <c r="CZ164" s="77">
        <f>IFERROR(IF(CU164&gt;0,CU164/CH164,""),"")</f>
        <v>0.11316261951897562</v>
      </c>
      <c r="DA164" s="77">
        <f>IFERROR(IF(CT164&gt;0,CT164/CH164,""),"")</f>
        <v>0.51858335790404786</v>
      </c>
      <c r="DB164" s="47">
        <f>IFERROR(IF(AR164&gt;0,AR164,""),"")</f>
        <v>95000</v>
      </c>
      <c r="DC164" s="69">
        <f t="shared" si="459"/>
        <v>11489.142857142857</v>
      </c>
      <c r="DD164" s="70">
        <f t="shared" si="459"/>
        <v>243.85714285714286</v>
      </c>
      <c r="DE164" s="70">
        <f t="shared" si="459"/>
        <v>-879.97142857142853</v>
      </c>
      <c r="DF164" s="70">
        <f t="shared" si="459"/>
        <v>10853.028571428571</v>
      </c>
      <c r="DG164" s="70">
        <f t="shared" si="459"/>
        <v>541.78571428571433</v>
      </c>
      <c r="DH164" s="70">
        <f t="shared" si="459"/>
        <v>379.8857142857143</v>
      </c>
      <c r="DI164" s="70">
        <f t="shared" si="459"/>
        <v>1200</v>
      </c>
      <c r="DJ164" s="70">
        <f t="shared" si="459"/>
        <v>750</v>
      </c>
      <c r="DK164" s="70">
        <f t="shared" si="459"/>
        <v>750</v>
      </c>
      <c r="DL164" s="70">
        <f t="shared" si="459"/>
        <v>375</v>
      </c>
      <c r="DM164" s="70" t="str">
        <f t="shared" si="460"/>
        <v/>
      </c>
      <c r="DN164" s="70">
        <f t="shared" si="460"/>
        <v>3996.6714285714284</v>
      </c>
      <c r="DO164" s="70">
        <f t="shared" si="460"/>
        <v>350</v>
      </c>
      <c r="DP164" s="70">
        <f t="shared" si="460"/>
        <v>4346.6714285714288</v>
      </c>
      <c r="DQ164" s="70">
        <f t="shared" si="460"/>
        <v>6856.3571428571431</v>
      </c>
      <c r="DR164" s="70">
        <f t="shared" si="460"/>
        <v>5628.2</v>
      </c>
      <c r="DS164" s="71">
        <f t="shared" si="460"/>
        <v>1228.1571428571428</v>
      </c>
      <c r="DT164" s="106">
        <f t="shared" si="461"/>
        <v>1.0586116844277831</v>
      </c>
      <c r="DU164" s="92">
        <f t="shared" si="461"/>
        <v>2.2469040899709365E-2</v>
      </c>
      <c r="DV164" s="92" t="str">
        <f t="shared" si="461"/>
        <v/>
      </c>
      <c r="DW164" s="92">
        <f t="shared" si="461"/>
        <v>1</v>
      </c>
      <c r="DX164" s="92">
        <f t="shared" si="461"/>
        <v>4.9920232930373613E-2</v>
      </c>
      <c r="DY164" s="92">
        <f t="shared" si="461"/>
        <v>3.5002737879617538E-2</v>
      </c>
      <c r="DZ164" s="92">
        <f t="shared" si="461"/>
        <v>0.11056821532370162</v>
      </c>
      <c r="EA164" s="92">
        <f t="shared" si="461"/>
        <v>6.9105134577313515E-2</v>
      </c>
      <c r="EB164" s="92">
        <f t="shared" si="461"/>
        <v>6.9105134577313515E-2</v>
      </c>
      <c r="EC164" s="92">
        <f t="shared" si="461"/>
        <v>3.4552567288656758E-2</v>
      </c>
      <c r="ED164" s="92" t="str">
        <f t="shared" si="462"/>
        <v/>
      </c>
      <c r="EE164" s="92">
        <f t="shared" si="462"/>
        <v>0.36825402257697654</v>
      </c>
      <c r="EF164" s="92">
        <f t="shared" si="462"/>
        <v>3.2249062802746302E-2</v>
      </c>
      <c r="EG164" s="92">
        <f t="shared" si="462"/>
        <v>0.40050308537972285</v>
      </c>
      <c r="EH164" s="92">
        <f t="shared" si="462"/>
        <v>0.63174597742302341</v>
      </c>
      <c r="EI164" s="92">
        <f t="shared" si="462"/>
        <v>0.51858335790404786</v>
      </c>
      <c r="EJ164" s="122">
        <f t="shared" si="462"/>
        <v>0.11316261951897562</v>
      </c>
    </row>
    <row r="165" spans="2:140" ht="12" hidden="1" customHeight="1" outlineLevel="1">
      <c r="B165" s="121">
        <v>45140</v>
      </c>
      <c r="C165" s="117">
        <v>23444</v>
      </c>
      <c r="D165" s="50" t="s">
        <v>925</v>
      </c>
      <c r="E165" s="50" t="s">
        <v>926</v>
      </c>
      <c r="F165" s="50" t="s">
        <v>927</v>
      </c>
      <c r="G165" s="50" t="s">
        <v>154</v>
      </c>
      <c r="H165" s="50" t="s">
        <v>561</v>
      </c>
      <c r="I165" s="50" t="s">
        <v>826</v>
      </c>
      <c r="J165" s="52" t="s">
        <v>191</v>
      </c>
      <c r="K165" s="50" t="s">
        <v>192</v>
      </c>
      <c r="L165" s="49">
        <v>3</v>
      </c>
      <c r="M165" s="50" t="s">
        <v>159</v>
      </c>
      <c r="N165" s="50" t="s">
        <v>160</v>
      </c>
      <c r="O165" s="50" t="s">
        <v>160</v>
      </c>
      <c r="P165" s="50" t="s">
        <v>177</v>
      </c>
      <c r="Q165" s="53">
        <v>0.04</v>
      </c>
      <c r="R165" s="49">
        <v>288</v>
      </c>
      <c r="S165" s="49">
        <v>0</v>
      </c>
      <c r="T165" s="54">
        <f t="shared" si="330"/>
        <v>288</v>
      </c>
      <c r="U165" s="55">
        <v>247434</v>
      </c>
      <c r="V165" s="49">
        <v>10.885999999999999</v>
      </c>
      <c r="W165" s="56">
        <f t="shared" si="333"/>
        <v>26.455998530222306</v>
      </c>
      <c r="X165" s="49" t="s">
        <v>163</v>
      </c>
      <c r="Y165" s="57" t="s">
        <v>162</v>
      </c>
      <c r="Z165" s="58">
        <v>49746415</v>
      </c>
      <c r="AA165" s="114">
        <v>6.25E-2</v>
      </c>
      <c r="AB165" s="59">
        <v>40</v>
      </c>
      <c r="AC165" s="60">
        <v>40</v>
      </c>
      <c r="AD165" s="61">
        <v>6.25E-2</v>
      </c>
      <c r="AE165" s="62">
        <v>28750000</v>
      </c>
      <c r="AF165" s="63">
        <v>1.1599999999999999</v>
      </c>
      <c r="AG165" s="59">
        <v>40</v>
      </c>
      <c r="AH165" s="60">
        <v>40</v>
      </c>
      <c r="AI165" s="61">
        <v>6.25E-2</v>
      </c>
      <c r="AJ165" s="64">
        <v>20996415</v>
      </c>
      <c r="AK165" s="65">
        <f t="shared" si="334"/>
        <v>49746415</v>
      </c>
      <c r="AL165" s="66">
        <v>12837500</v>
      </c>
      <c r="AM165" s="49" t="s">
        <v>826</v>
      </c>
      <c r="AN165" s="67">
        <v>0.88</v>
      </c>
      <c r="AO165" s="62">
        <v>33265796</v>
      </c>
      <c r="AP165" s="62">
        <v>0</v>
      </c>
      <c r="AQ165" s="68">
        <v>2546276</v>
      </c>
      <c r="AR165" s="69">
        <f t="shared" si="335"/>
        <v>172730.60763888888</v>
      </c>
      <c r="AS165" s="70">
        <f t="shared" si="336"/>
        <v>44574.652777777781</v>
      </c>
      <c r="AT165" s="70">
        <f t="shared" si="337"/>
        <v>115506.23611111111</v>
      </c>
      <c r="AU165" s="70" t="str">
        <f t="shared" si="338"/>
        <v/>
      </c>
      <c r="AV165" s="71">
        <f t="shared" si="339"/>
        <v>8841.2361111111113</v>
      </c>
      <c r="AW165" s="115">
        <f t="shared" si="340"/>
        <v>157892.85763888888</v>
      </c>
      <c r="AX165" s="116">
        <f t="shared" si="341"/>
        <v>183.77887840797951</v>
      </c>
      <c r="AY165" s="72">
        <f t="shared" si="342"/>
        <v>188869.05902777775</v>
      </c>
      <c r="AZ165" s="73">
        <f t="shared" si="343"/>
        <v>219.83352732445823</v>
      </c>
      <c r="BA165" s="66">
        <v>1577002</v>
      </c>
      <c r="BB165" s="62">
        <v>14531825</v>
      </c>
      <c r="BC165" s="62">
        <v>30941318</v>
      </c>
      <c r="BD165" s="62">
        <v>2723958</v>
      </c>
      <c r="BE165" s="62">
        <v>6197188</v>
      </c>
      <c r="BF165" s="62">
        <v>3198697</v>
      </c>
      <c r="BG165" s="62">
        <v>6998638</v>
      </c>
      <c r="BH165" s="62">
        <v>9528488</v>
      </c>
      <c r="BI165" s="62">
        <v>1702458</v>
      </c>
      <c r="BJ165" s="47">
        <f t="shared" si="344"/>
        <v>77399572</v>
      </c>
      <c r="BK165" s="69">
        <f t="shared" si="345"/>
        <v>5475.7013888888887</v>
      </c>
      <c r="BL165" s="70">
        <f t="shared" si="346"/>
        <v>50457.725694444445</v>
      </c>
      <c r="BM165" s="70">
        <f t="shared" si="347"/>
        <v>107435.13194444444</v>
      </c>
      <c r="BN165" s="70">
        <f t="shared" si="348"/>
        <v>9458.1875</v>
      </c>
      <c r="BO165" s="70">
        <f t="shared" si="349"/>
        <v>21518.013888888891</v>
      </c>
      <c r="BP165" s="70">
        <f t="shared" si="350"/>
        <v>11106.586805555555</v>
      </c>
      <c r="BQ165" s="70">
        <f t="shared" si="351"/>
        <v>24300.826388888891</v>
      </c>
      <c r="BR165" s="70">
        <f t="shared" si="352"/>
        <v>33085.027777777781</v>
      </c>
      <c r="BS165" s="70">
        <f t="shared" si="353"/>
        <v>5911.3125</v>
      </c>
      <c r="BT165" s="71">
        <f t="shared" si="354"/>
        <v>268748.51388888888</v>
      </c>
      <c r="BU165" s="65">
        <f t="shared" si="355"/>
        <v>6.3734248324805804</v>
      </c>
      <c r="BV165" s="48">
        <f t="shared" si="356"/>
        <v>58.730105805992707</v>
      </c>
      <c r="BW165" s="48">
        <f t="shared" si="357"/>
        <v>125.0487726019868</v>
      </c>
      <c r="BX165" s="48">
        <f t="shared" si="358"/>
        <v>11.008826596183225</v>
      </c>
      <c r="BY165" s="48">
        <f t="shared" si="359"/>
        <v>25.045822320295514</v>
      </c>
      <c r="BZ165" s="48">
        <f t="shared" si="360"/>
        <v>12.927475609657526</v>
      </c>
      <c r="CA165" s="48">
        <f t="shared" si="361"/>
        <v>28.284867883960974</v>
      </c>
      <c r="CB165" s="48">
        <f t="shared" si="362"/>
        <v>38.509210536951265</v>
      </c>
      <c r="CC165" s="48">
        <f t="shared" si="363"/>
        <v>6.8804529692766554</v>
      </c>
      <c r="CD165" s="47">
        <f t="shared" si="364"/>
        <v>312.80895915678525</v>
      </c>
      <c r="CE165" s="66">
        <v>3433752</v>
      </c>
      <c r="CF165" s="62">
        <v>103680</v>
      </c>
      <c r="CG165" s="74">
        <v>-265317</v>
      </c>
      <c r="CH165" s="75">
        <f t="shared" si="365"/>
        <v>3272115</v>
      </c>
      <c r="CI165" s="62">
        <f>57600+11520</f>
        <v>69120</v>
      </c>
      <c r="CJ165" s="62">
        <v>89983</v>
      </c>
      <c r="CK165" s="62">
        <v>338401</v>
      </c>
      <c r="CL165" s="62">
        <f>115200+0</f>
        <v>115200</v>
      </c>
      <c r="CM165" s="62">
        <f>43200+79200</f>
        <v>122400</v>
      </c>
      <c r="CN165" s="62">
        <v>187200</v>
      </c>
      <c r="CO165" s="62">
        <v>0</v>
      </c>
      <c r="CP165" s="75">
        <f t="shared" si="331"/>
        <v>922304</v>
      </c>
      <c r="CQ165" s="62">
        <v>72000</v>
      </c>
      <c r="CR165" s="75">
        <f t="shared" si="332"/>
        <v>994304</v>
      </c>
      <c r="CS165" s="75">
        <f t="shared" si="366"/>
        <v>2349811</v>
      </c>
      <c r="CT165" s="62">
        <f>(6000+50000+10000+100)+1912687</f>
        <v>1978787</v>
      </c>
      <c r="CU165" s="47">
        <f t="shared" si="367"/>
        <v>371024</v>
      </c>
      <c r="CV165" s="76">
        <f t="shared" si="368"/>
        <v>0.718132156113095</v>
      </c>
      <c r="CW165" s="75">
        <f t="shared" si="369"/>
        <v>3452.4444444444443</v>
      </c>
      <c r="CX165" s="77">
        <f t="shared" si="370"/>
        <v>0.30387196049038617</v>
      </c>
      <c r="CY165" s="75">
        <f t="shared" si="371"/>
        <v>1288.2777777777778</v>
      </c>
      <c r="CZ165" s="77">
        <f t="shared" si="372"/>
        <v>0.11338965775958364</v>
      </c>
      <c r="DA165" s="77">
        <f t="shared" si="373"/>
        <v>0.60474249835351146</v>
      </c>
      <c r="DB165" s="47">
        <f t="shared" si="374"/>
        <v>172730.60763888888</v>
      </c>
      <c r="DC165" s="69">
        <f t="shared" si="375"/>
        <v>11922.75</v>
      </c>
      <c r="DD165" s="70">
        <f t="shared" si="376"/>
        <v>360</v>
      </c>
      <c r="DE165" s="70">
        <f t="shared" si="377"/>
        <v>-921.23958333333337</v>
      </c>
      <c r="DF165" s="70">
        <f t="shared" si="378"/>
        <v>11361.510416666666</v>
      </c>
      <c r="DG165" s="70">
        <f t="shared" si="379"/>
        <v>240</v>
      </c>
      <c r="DH165" s="70">
        <f t="shared" si="380"/>
        <v>312.44097222222223</v>
      </c>
      <c r="DI165" s="70">
        <f t="shared" si="381"/>
        <v>1175.0034722222222</v>
      </c>
      <c r="DJ165" s="70">
        <f t="shared" si="382"/>
        <v>400</v>
      </c>
      <c r="DK165" s="70">
        <f t="shared" si="383"/>
        <v>425</v>
      </c>
      <c r="DL165" s="70">
        <f t="shared" si="384"/>
        <v>650</v>
      </c>
      <c r="DM165" s="70" t="str">
        <f t="shared" si="385"/>
        <v/>
      </c>
      <c r="DN165" s="70">
        <f t="shared" si="386"/>
        <v>3202.4444444444443</v>
      </c>
      <c r="DO165" s="70">
        <f t="shared" si="387"/>
        <v>250</v>
      </c>
      <c r="DP165" s="70">
        <f t="shared" si="388"/>
        <v>3452.4444444444443</v>
      </c>
      <c r="DQ165" s="70">
        <f t="shared" si="389"/>
        <v>8159.0659722222226</v>
      </c>
      <c r="DR165" s="70">
        <f t="shared" si="390"/>
        <v>6870.7881944444443</v>
      </c>
      <c r="DS165" s="71">
        <f t="shared" si="391"/>
        <v>1288.2777777777778</v>
      </c>
      <c r="DT165" s="106">
        <f t="shared" si="392"/>
        <v>1.0493983249366237</v>
      </c>
      <c r="DU165" s="92">
        <f t="shared" si="393"/>
        <v>3.1685927909012979E-2</v>
      </c>
      <c r="DV165" s="92" t="str">
        <f t="shared" si="394"/>
        <v/>
      </c>
      <c r="DW165" s="92">
        <f t="shared" si="395"/>
        <v>1</v>
      </c>
      <c r="DX165" s="92">
        <f t="shared" si="396"/>
        <v>2.1123951939341985E-2</v>
      </c>
      <c r="DY165" s="92">
        <f t="shared" si="397"/>
        <v>2.7499950337931275E-2</v>
      </c>
      <c r="DZ165" s="92">
        <f t="shared" si="398"/>
        <v>0.10341965364909241</v>
      </c>
      <c r="EA165" s="92">
        <f t="shared" si="399"/>
        <v>3.5206586565569978E-2</v>
      </c>
      <c r="EB165" s="92">
        <f t="shared" si="400"/>
        <v>3.7406998225918101E-2</v>
      </c>
      <c r="EC165" s="92">
        <f t="shared" si="401"/>
        <v>5.7210703169051212E-2</v>
      </c>
      <c r="ED165" s="92" t="str">
        <f t="shared" si="402"/>
        <v/>
      </c>
      <c r="EE165" s="92">
        <f t="shared" si="403"/>
        <v>0.28186784388690495</v>
      </c>
      <c r="EF165" s="92">
        <f t="shared" si="404"/>
        <v>2.2004116603481234E-2</v>
      </c>
      <c r="EG165" s="92">
        <f t="shared" si="405"/>
        <v>0.30387196049038617</v>
      </c>
      <c r="EH165" s="92">
        <f t="shared" si="406"/>
        <v>0.718132156113095</v>
      </c>
      <c r="EI165" s="92">
        <f t="shared" si="407"/>
        <v>0.60474249835351146</v>
      </c>
      <c r="EJ165" s="122">
        <f t="shared" si="408"/>
        <v>0.11338965775958364</v>
      </c>
    </row>
    <row r="166" spans="2:140" ht="12" hidden="1" customHeight="1" outlineLevel="1">
      <c r="B166" s="121">
        <v>45141</v>
      </c>
      <c r="C166" s="117">
        <v>23421</v>
      </c>
      <c r="D166" s="50" t="s">
        <v>928</v>
      </c>
      <c r="E166" s="50" t="s">
        <v>929</v>
      </c>
      <c r="F166" s="50" t="s">
        <v>930</v>
      </c>
      <c r="G166" s="50" t="s">
        <v>154</v>
      </c>
      <c r="H166" s="50" t="s">
        <v>182</v>
      </c>
      <c r="I166" s="50" t="s">
        <v>182</v>
      </c>
      <c r="J166" s="52" t="s">
        <v>230</v>
      </c>
      <c r="K166" s="50" t="s">
        <v>230</v>
      </c>
      <c r="L166" s="49">
        <v>3</v>
      </c>
      <c r="M166" s="50" t="s">
        <v>159</v>
      </c>
      <c r="N166" s="50" t="s">
        <v>244</v>
      </c>
      <c r="O166" s="50" t="s">
        <v>160</v>
      </c>
      <c r="P166" s="50" t="s">
        <v>161</v>
      </c>
      <c r="Q166" s="53">
        <v>0.04</v>
      </c>
      <c r="R166" s="49">
        <v>232</v>
      </c>
      <c r="S166" s="49">
        <v>0</v>
      </c>
      <c r="T166" s="54">
        <f t="shared" si="330"/>
        <v>232</v>
      </c>
      <c r="U166" s="55">
        <v>213076</v>
      </c>
      <c r="V166" s="49">
        <v>19.96</v>
      </c>
      <c r="W166" s="56">
        <f t="shared" si="333"/>
        <v>11.623246492985972</v>
      </c>
      <c r="X166" s="49">
        <v>2006</v>
      </c>
      <c r="Y166" s="57" t="s">
        <v>162</v>
      </c>
      <c r="Z166" s="58">
        <v>69120000</v>
      </c>
      <c r="AA166" s="114">
        <f>(((18720000*0.055)/(Table1[[#This Row],[Construction Loan Principal]]))+((15400000*0.07)/(Table1[[#This Row],[Construction Loan Principal]]))+((35000000*0.05)/(Table1[[#This Row],[Construction Loan Principal]])))</f>
        <v>5.5810185185185185E-2</v>
      </c>
      <c r="AB166" s="59">
        <v>40</v>
      </c>
      <c r="AC166" s="60">
        <v>40</v>
      </c>
      <c r="AD166" s="61">
        <v>5.5E-2</v>
      </c>
      <c r="AE166" s="62">
        <v>18720000</v>
      </c>
      <c r="AF166" s="63">
        <v>1.1399999999999999</v>
      </c>
      <c r="AG166" s="59"/>
      <c r="AH166" s="60"/>
      <c r="AI166" s="61"/>
      <c r="AJ166" s="64"/>
      <c r="AK166" s="65">
        <f t="shared" si="334"/>
        <v>18720000</v>
      </c>
      <c r="AL166" s="66">
        <v>15234931</v>
      </c>
      <c r="AM166" s="49" t="s">
        <v>931</v>
      </c>
      <c r="AN166" s="67">
        <v>0.9</v>
      </c>
      <c r="AO166" s="62">
        <v>21710739</v>
      </c>
      <c r="AP166" s="62">
        <v>0</v>
      </c>
      <c r="AQ166" s="68">
        <v>4083926</v>
      </c>
      <c r="AR166" s="69">
        <f t="shared" si="335"/>
        <v>80689.655172413797</v>
      </c>
      <c r="AS166" s="70">
        <f t="shared" si="336"/>
        <v>65667.806034482754</v>
      </c>
      <c r="AT166" s="70">
        <f t="shared" si="337"/>
        <v>93580.771551724145</v>
      </c>
      <c r="AU166" s="70" t="str">
        <f t="shared" si="338"/>
        <v/>
      </c>
      <c r="AV166" s="71">
        <f t="shared" si="339"/>
        <v>17603.129310344826</v>
      </c>
      <c r="AW166" s="115">
        <f t="shared" si="340"/>
        <v>49166.288793103449</v>
      </c>
      <c r="AX166" s="116">
        <f t="shared" si="341"/>
        <v>53.532913138973889</v>
      </c>
      <c r="AY166" s="72">
        <f t="shared" si="342"/>
        <v>60842.5</v>
      </c>
      <c r="AZ166" s="73">
        <f t="shared" si="343"/>
        <v>66.24612814207137</v>
      </c>
      <c r="BA166" s="66">
        <v>30906000</v>
      </c>
      <c r="BB166" s="62">
        <v>0</v>
      </c>
      <c r="BC166" s="62">
        <v>11406579</v>
      </c>
      <c r="BD166" s="62">
        <v>1140658</v>
      </c>
      <c r="BE166" s="62">
        <v>1568223</v>
      </c>
      <c r="BF166" s="62">
        <v>2646000</v>
      </c>
      <c r="BG166" s="62">
        <v>4385134</v>
      </c>
      <c r="BH166" s="62">
        <v>6879002</v>
      </c>
      <c r="BI166" s="62">
        <v>688000</v>
      </c>
      <c r="BJ166" s="47">
        <f t="shared" si="344"/>
        <v>59619596</v>
      </c>
      <c r="BK166" s="69">
        <f t="shared" si="345"/>
        <v>133215.5172413793</v>
      </c>
      <c r="BL166" s="70" t="str">
        <f t="shared" si="346"/>
        <v/>
      </c>
      <c r="BM166" s="70">
        <f t="shared" si="347"/>
        <v>49166.288793103449</v>
      </c>
      <c r="BN166" s="70">
        <f t="shared" si="348"/>
        <v>4916.6293103448279</v>
      </c>
      <c r="BO166" s="70">
        <f t="shared" si="349"/>
        <v>6759.5818965517237</v>
      </c>
      <c r="BP166" s="70">
        <f t="shared" si="350"/>
        <v>11405.172413793103</v>
      </c>
      <c r="BQ166" s="70">
        <f t="shared" si="351"/>
        <v>18901.439655172413</v>
      </c>
      <c r="BR166" s="70">
        <f t="shared" si="352"/>
        <v>29650.870689655174</v>
      </c>
      <c r="BS166" s="70">
        <f t="shared" si="353"/>
        <v>2965.5172413793102</v>
      </c>
      <c r="BT166" s="71">
        <f t="shared" si="354"/>
        <v>256981.0172413793</v>
      </c>
      <c r="BU166" s="65">
        <f t="shared" si="355"/>
        <v>145.04683774803357</v>
      </c>
      <c r="BV166" s="48" t="str">
        <f t="shared" si="356"/>
        <v/>
      </c>
      <c r="BW166" s="48">
        <f t="shared" si="357"/>
        <v>53.532913138973889</v>
      </c>
      <c r="BX166" s="48">
        <f t="shared" si="358"/>
        <v>5.3532917832135016</v>
      </c>
      <c r="BY166" s="48">
        <f t="shared" si="359"/>
        <v>7.359923219883985</v>
      </c>
      <c r="BZ166" s="48">
        <f t="shared" si="360"/>
        <v>12.418104338358145</v>
      </c>
      <c r="CA166" s="48">
        <f t="shared" si="361"/>
        <v>20.580140419380879</v>
      </c>
      <c r="CB166" s="48">
        <f t="shared" si="362"/>
        <v>32.284264769378062</v>
      </c>
      <c r="CC166" s="48">
        <f t="shared" si="363"/>
        <v>3.2288948544181419</v>
      </c>
      <c r="CD166" s="47">
        <f t="shared" si="364"/>
        <v>279.80437027164015</v>
      </c>
      <c r="CE166" s="66">
        <v>2895840</v>
      </c>
      <c r="CF166" s="62">
        <f>37272+24636+21600</f>
        <v>83508</v>
      </c>
      <c r="CG166" s="74">
        <f>-(2979348-2755897)</f>
        <v>-223451</v>
      </c>
      <c r="CH166" s="75">
        <f t="shared" si="365"/>
        <v>2755897</v>
      </c>
      <c r="CI166" s="62">
        <f>137651+9280</f>
        <v>146931</v>
      </c>
      <c r="CJ166" s="62">
        <v>104400</v>
      </c>
      <c r="CK166" s="62">
        <v>344056</v>
      </c>
      <c r="CL166" s="62">
        <v>188650</v>
      </c>
      <c r="CM166" s="62">
        <f>60552+175529</f>
        <v>236081</v>
      </c>
      <c r="CN166" s="62">
        <v>289536</v>
      </c>
      <c r="CO166" s="62">
        <v>0</v>
      </c>
      <c r="CP166" s="75">
        <f t="shared" si="331"/>
        <v>1309654</v>
      </c>
      <c r="CQ166" s="62">
        <v>69600</v>
      </c>
      <c r="CR166" s="75">
        <f t="shared" si="332"/>
        <v>1379254</v>
      </c>
      <c r="CS166" s="75">
        <f t="shared" si="366"/>
        <v>1446243</v>
      </c>
      <c r="CT166" s="62">
        <f>1205426-8371</f>
        <v>1197055</v>
      </c>
      <c r="CU166" s="47">
        <f t="shared" si="367"/>
        <v>249188</v>
      </c>
      <c r="CV166" s="76">
        <f t="shared" si="368"/>
        <v>0.52478122368143654</v>
      </c>
      <c r="CW166" s="75">
        <f t="shared" si="369"/>
        <v>5945.0603448275861</v>
      </c>
      <c r="CX166" s="77">
        <f t="shared" si="370"/>
        <v>0.50047371146309172</v>
      </c>
      <c r="CY166" s="75">
        <f t="shared" si="371"/>
        <v>1074.0862068965516</v>
      </c>
      <c r="CZ166" s="77">
        <f t="shared" si="372"/>
        <v>9.0419924982682587E-2</v>
      </c>
      <c r="DA166" s="77">
        <f t="shared" si="373"/>
        <v>0.43436129869875401</v>
      </c>
      <c r="DB166" s="47">
        <f t="shared" si="374"/>
        <v>80689.655172413797</v>
      </c>
      <c r="DC166" s="69">
        <f t="shared" si="375"/>
        <v>12482.068965517241</v>
      </c>
      <c r="DD166" s="70">
        <f t="shared" si="376"/>
        <v>359.94827586206895</v>
      </c>
      <c r="DE166" s="70">
        <f t="shared" si="377"/>
        <v>-963.15086206896547</v>
      </c>
      <c r="DF166" s="70">
        <f t="shared" si="378"/>
        <v>11878.866379310344</v>
      </c>
      <c r="DG166" s="70">
        <f t="shared" si="379"/>
        <v>633.32327586206895</v>
      </c>
      <c r="DH166" s="70">
        <f t="shared" si="380"/>
        <v>450</v>
      </c>
      <c r="DI166" s="70">
        <f t="shared" si="381"/>
        <v>1483</v>
      </c>
      <c r="DJ166" s="70">
        <f t="shared" si="382"/>
        <v>813.14655172413791</v>
      </c>
      <c r="DK166" s="70">
        <f t="shared" si="383"/>
        <v>1017.5905172413793</v>
      </c>
      <c r="DL166" s="70">
        <f t="shared" si="384"/>
        <v>1248</v>
      </c>
      <c r="DM166" s="70" t="str">
        <f t="shared" si="385"/>
        <v/>
      </c>
      <c r="DN166" s="70">
        <f t="shared" si="386"/>
        <v>5645.0603448275861</v>
      </c>
      <c r="DO166" s="70">
        <f t="shared" si="387"/>
        <v>300</v>
      </c>
      <c r="DP166" s="70">
        <f t="shared" si="388"/>
        <v>5945.0603448275861</v>
      </c>
      <c r="DQ166" s="70">
        <f t="shared" si="389"/>
        <v>6233.8060344827591</v>
      </c>
      <c r="DR166" s="70">
        <f t="shared" si="390"/>
        <v>5159.7198275862065</v>
      </c>
      <c r="DS166" s="71">
        <f t="shared" si="391"/>
        <v>1074.0862068965516</v>
      </c>
      <c r="DT166" s="106">
        <f t="shared" si="392"/>
        <v>1.0507794739788896</v>
      </c>
      <c r="DU166" s="92">
        <f t="shared" si="393"/>
        <v>3.0301567874271063E-2</v>
      </c>
      <c r="DV166" s="92" t="str">
        <f t="shared" si="394"/>
        <v/>
      </c>
      <c r="DW166" s="92">
        <f t="shared" si="395"/>
        <v>1</v>
      </c>
      <c r="DX166" s="92">
        <f t="shared" si="396"/>
        <v>5.3315127524722443E-2</v>
      </c>
      <c r="DY166" s="92">
        <f t="shared" si="397"/>
        <v>3.7882402716792392E-2</v>
      </c>
      <c r="DZ166" s="92">
        <f t="shared" si="398"/>
        <v>0.12484356273111803</v>
      </c>
      <c r="EA166" s="92">
        <f t="shared" si="399"/>
        <v>6.8453211422632998E-2</v>
      </c>
      <c r="EB166" s="92">
        <f t="shared" si="400"/>
        <v>8.5663941722060002E-2</v>
      </c>
      <c r="EC166" s="92">
        <f t="shared" si="401"/>
        <v>0.10506053020123757</v>
      </c>
      <c r="ED166" s="92" t="str">
        <f t="shared" si="402"/>
        <v/>
      </c>
      <c r="EE166" s="92">
        <f t="shared" si="403"/>
        <v>0.47521877631856341</v>
      </c>
      <c r="EF166" s="92">
        <f t="shared" si="404"/>
        <v>2.525493514452826E-2</v>
      </c>
      <c r="EG166" s="92">
        <f t="shared" si="405"/>
        <v>0.50047371146309172</v>
      </c>
      <c r="EH166" s="92">
        <f t="shared" si="406"/>
        <v>0.52478122368143654</v>
      </c>
      <c r="EI166" s="92">
        <f t="shared" si="407"/>
        <v>0.43436129869875401</v>
      </c>
      <c r="EJ166" s="122">
        <f t="shared" si="408"/>
        <v>9.0419924982682587E-2</v>
      </c>
    </row>
    <row r="167" spans="2:140" ht="12" hidden="1" customHeight="1" outlineLevel="1">
      <c r="B167" s="121">
        <v>45148</v>
      </c>
      <c r="C167" s="117">
        <v>23452</v>
      </c>
      <c r="D167" s="50" t="s">
        <v>932</v>
      </c>
      <c r="E167" s="50" t="s">
        <v>933</v>
      </c>
      <c r="F167" s="50" t="s">
        <v>934</v>
      </c>
      <c r="G167" s="50" t="s">
        <v>154</v>
      </c>
      <c r="H167" s="50" t="s">
        <v>935</v>
      </c>
      <c r="I167" s="50" t="s">
        <v>672</v>
      </c>
      <c r="J167" s="52" t="s">
        <v>360</v>
      </c>
      <c r="K167" s="50" t="s">
        <v>294</v>
      </c>
      <c r="L167" s="49">
        <v>7</v>
      </c>
      <c r="M167" s="50" t="s">
        <v>159</v>
      </c>
      <c r="N167" s="50" t="s">
        <v>160</v>
      </c>
      <c r="O167" s="50" t="s">
        <v>160</v>
      </c>
      <c r="P167" s="50" t="s">
        <v>177</v>
      </c>
      <c r="Q167" s="53">
        <v>0.04</v>
      </c>
      <c r="R167" s="49">
        <v>247</v>
      </c>
      <c r="S167" s="49">
        <v>0</v>
      </c>
      <c r="T167" s="54">
        <f t="shared" si="330"/>
        <v>247</v>
      </c>
      <c r="U167" s="55">
        <v>267625</v>
      </c>
      <c r="V167" s="49">
        <v>9.4499999999999993</v>
      </c>
      <c r="W167" s="56">
        <f t="shared" si="333"/>
        <v>26.137566137566139</v>
      </c>
      <c r="X167" s="49" t="s">
        <v>163</v>
      </c>
      <c r="Y167" s="57" t="s">
        <v>162</v>
      </c>
      <c r="Z167" s="58">
        <v>45000000</v>
      </c>
      <c r="AA167" s="114">
        <v>5.5E-2</v>
      </c>
      <c r="AB167" s="59">
        <v>15</v>
      </c>
      <c r="AC167" s="60">
        <v>40</v>
      </c>
      <c r="AD167" s="61">
        <v>5.5E-2</v>
      </c>
      <c r="AE167" s="62">
        <v>38720900</v>
      </c>
      <c r="AF167" s="63">
        <v>1.1599999999999999</v>
      </c>
      <c r="AG167" s="59">
        <v>15</v>
      </c>
      <c r="AH167" s="60">
        <v>40</v>
      </c>
      <c r="AI167" s="61">
        <v>5.5E-2</v>
      </c>
      <c r="AJ167" s="64">
        <v>6279100</v>
      </c>
      <c r="AK167" s="65">
        <f t="shared" si="334"/>
        <v>45000000</v>
      </c>
      <c r="AL167" s="66">
        <v>0</v>
      </c>
      <c r="AM167" s="49"/>
      <c r="AN167" s="67">
        <v>0.92</v>
      </c>
      <c r="AO167" s="62">
        <v>33532326</v>
      </c>
      <c r="AP167" s="62">
        <v>0</v>
      </c>
      <c r="AQ167" s="68">
        <v>8460377</v>
      </c>
      <c r="AR167" s="69">
        <f t="shared" si="335"/>
        <v>182186.23481781376</v>
      </c>
      <c r="AS167" s="70" t="str">
        <f t="shared" si="336"/>
        <v/>
      </c>
      <c r="AT167" s="70">
        <f t="shared" si="337"/>
        <v>135758.40485829959</v>
      </c>
      <c r="AU167" s="70" t="str">
        <f t="shared" si="338"/>
        <v/>
      </c>
      <c r="AV167" s="71">
        <f t="shared" si="339"/>
        <v>34252.538461538461</v>
      </c>
      <c r="AW167" s="115">
        <f t="shared" si="340"/>
        <v>174509.23886639677</v>
      </c>
      <c r="AX167" s="116">
        <f t="shared" si="341"/>
        <v>161.06037178888369</v>
      </c>
      <c r="AY167" s="72">
        <f t="shared" si="342"/>
        <v>208887.55870445343</v>
      </c>
      <c r="AZ167" s="73">
        <f t="shared" si="343"/>
        <v>192.78926482951888</v>
      </c>
      <c r="BA167" s="66">
        <v>3700000</v>
      </c>
      <c r="BB167" s="62">
        <v>7205475</v>
      </c>
      <c r="BC167" s="62">
        <v>35898307</v>
      </c>
      <c r="BD167" s="62">
        <v>2155189</v>
      </c>
      <c r="BE167" s="62">
        <v>6336256</v>
      </c>
      <c r="BF167" s="62">
        <v>4012000</v>
      </c>
      <c r="BG167" s="62">
        <v>10231755</v>
      </c>
      <c r="BH167" s="62">
        <v>9143209</v>
      </c>
      <c r="BI167" s="62">
        <v>2031412</v>
      </c>
      <c r="BJ167" s="47">
        <f t="shared" si="344"/>
        <v>80713603</v>
      </c>
      <c r="BK167" s="69">
        <f t="shared" si="345"/>
        <v>14979.757085020243</v>
      </c>
      <c r="BL167" s="70">
        <f t="shared" si="346"/>
        <v>29171.963562753037</v>
      </c>
      <c r="BM167" s="70">
        <f t="shared" si="347"/>
        <v>145337.27530364372</v>
      </c>
      <c r="BN167" s="70">
        <f t="shared" si="348"/>
        <v>8725.461538461539</v>
      </c>
      <c r="BO167" s="70">
        <f t="shared" si="349"/>
        <v>25652.85829959514</v>
      </c>
      <c r="BP167" s="70">
        <f t="shared" si="350"/>
        <v>16242.914979757084</v>
      </c>
      <c r="BQ167" s="70">
        <f t="shared" si="351"/>
        <v>41424.109311740889</v>
      </c>
      <c r="BR167" s="70">
        <f t="shared" si="352"/>
        <v>37017.040485829959</v>
      </c>
      <c r="BS167" s="70">
        <f t="shared" si="353"/>
        <v>8224.3400809716604</v>
      </c>
      <c r="BT167" s="71">
        <f t="shared" si="354"/>
        <v>326775.7206477733</v>
      </c>
      <c r="BU167" s="65">
        <f t="shared" si="355"/>
        <v>13.825315273236805</v>
      </c>
      <c r="BV167" s="48">
        <f t="shared" si="356"/>
        <v>26.923773937412424</v>
      </c>
      <c r="BW167" s="48">
        <f t="shared" si="357"/>
        <v>134.13659785147127</v>
      </c>
      <c r="BX167" s="48">
        <f t="shared" si="358"/>
        <v>8.0530182157870147</v>
      </c>
      <c r="BY167" s="48">
        <f t="shared" si="359"/>
        <v>23.675874824848201</v>
      </c>
      <c r="BZ167" s="48">
        <f t="shared" si="360"/>
        <v>14.99112564222326</v>
      </c>
      <c r="CA167" s="48">
        <f t="shared" si="361"/>
        <v>38.231686127977582</v>
      </c>
      <c r="CB167" s="48">
        <f t="shared" si="362"/>
        <v>34.164255955161138</v>
      </c>
      <c r="CC167" s="48">
        <f t="shared" si="363"/>
        <v>7.5905165810368986</v>
      </c>
      <c r="CD167" s="47">
        <f t="shared" si="364"/>
        <v>301.59216440915458</v>
      </c>
      <c r="CE167" s="66">
        <v>4160076</v>
      </c>
      <c r="CF167" s="62">
        <v>71136</v>
      </c>
      <c r="CG167" s="74">
        <v>-317341</v>
      </c>
      <c r="CH167" s="75">
        <f t="shared" si="365"/>
        <v>3913871</v>
      </c>
      <c r="CI167" s="62">
        <f>72736+35000+9880</f>
        <v>117616</v>
      </c>
      <c r="CJ167" s="62">
        <v>117416</v>
      </c>
      <c r="CK167" s="62">
        <v>303837</v>
      </c>
      <c r="CL167" s="62">
        <f>133200</f>
        <v>133200</v>
      </c>
      <c r="CM167" s="62">
        <f>91874+120426</f>
        <v>212300</v>
      </c>
      <c r="CN167" s="62">
        <v>185250</v>
      </c>
      <c r="CO167" s="62">
        <v>0</v>
      </c>
      <c r="CP167" s="75">
        <f t="shared" si="331"/>
        <v>1069619</v>
      </c>
      <c r="CQ167" s="62">
        <v>61750</v>
      </c>
      <c r="CR167" s="75">
        <f t="shared" si="332"/>
        <v>1131369</v>
      </c>
      <c r="CS167" s="75">
        <f t="shared" si="366"/>
        <v>2844252</v>
      </c>
      <c r="CT167" s="62">
        <f>5000+2403718</f>
        <v>2408718</v>
      </c>
      <c r="CU167" s="47">
        <f t="shared" si="367"/>
        <v>435534</v>
      </c>
      <c r="CV167" s="76">
        <f t="shared" si="368"/>
        <v>0.72671071683251698</v>
      </c>
      <c r="CW167" s="75">
        <f t="shared" si="369"/>
        <v>4580.4412955465586</v>
      </c>
      <c r="CX167" s="77">
        <f t="shared" si="370"/>
        <v>0.28906650219181979</v>
      </c>
      <c r="CY167" s="75">
        <f t="shared" si="371"/>
        <v>1763.2955465587045</v>
      </c>
      <c r="CZ167" s="77">
        <f t="shared" si="372"/>
        <v>0.11127960017077722</v>
      </c>
      <c r="DA167" s="77">
        <f t="shared" si="373"/>
        <v>0.61543111666173977</v>
      </c>
      <c r="DB167" s="47">
        <f t="shared" si="374"/>
        <v>182186.23481781376</v>
      </c>
      <c r="DC167" s="69">
        <f t="shared" si="375"/>
        <v>16842.412955465588</v>
      </c>
      <c r="DD167" s="70">
        <f t="shared" si="376"/>
        <v>288</v>
      </c>
      <c r="DE167" s="70">
        <f t="shared" si="377"/>
        <v>-1284.7813765182186</v>
      </c>
      <c r="DF167" s="70">
        <f t="shared" si="378"/>
        <v>15845.631578947368</v>
      </c>
      <c r="DG167" s="70">
        <f t="shared" si="379"/>
        <v>476.17813765182188</v>
      </c>
      <c r="DH167" s="70">
        <f t="shared" si="380"/>
        <v>475.36842105263156</v>
      </c>
      <c r="DI167" s="70">
        <f t="shared" si="381"/>
        <v>1230.1093117408907</v>
      </c>
      <c r="DJ167" s="70">
        <f t="shared" si="382"/>
        <v>539.27125506072878</v>
      </c>
      <c r="DK167" s="70">
        <f t="shared" si="383"/>
        <v>859.51417004048585</v>
      </c>
      <c r="DL167" s="70">
        <f t="shared" si="384"/>
        <v>750</v>
      </c>
      <c r="DM167" s="70" t="str">
        <f t="shared" si="385"/>
        <v/>
      </c>
      <c r="DN167" s="70">
        <f t="shared" si="386"/>
        <v>4330.4412955465586</v>
      </c>
      <c r="DO167" s="70">
        <f t="shared" si="387"/>
        <v>250</v>
      </c>
      <c r="DP167" s="70">
        <f t="shared" si="388"/>
        <v>4580.4412955465586</v>
      </c>
      <c r="DQ167" s="70">
        <f t="shared" si="389"/>
        <v>11515.190283400811</v>
      </c>
      <c r="DR167" s="70">
        <f t="shared" si="390"/>
        <v>9751.894736842105</v>
      </c>
      <c r="DS167" s="71">
        <f t="shared" si="391"/>
        <v>1763.2955465587045</v>
      </c>
      <c r="DT167" s="106">
        <f t="shared" si="392"/>
        <v>1.0629057523868313</v>
      </c>
      <c r="DU167" s="92">
        <f t="shared" si="393"/>
        <v>1.8175356316035965E-2</v>
      </c>
      <c r="DV167" s="92" t="str">
        <f t="shared" si="394"/>
        <v/>
      </c>
      <c r="DW167" s="92">
        <f t="shared" si="395"/>
        <v>1</v>
      </c>
      <c r="DX167" s="92">
        <f t="shared" si="396"/>
        <v>3.0051067089334318E-2</v>
      </c>
      <c r="DY167" s="92">
        <f t="shared" si="397"/>
        <v>2.9999966784802053E-2</v>
      </c>
      <c r="DZ167" s="92">
        <f t="shared" si="398"/>
        <v>7.7630816140848796E-2</v>
      </c>
      <c r="EA167" s="92">
        <f t="shared" si="399"/>
        <v>3.4032802818488396E-2</v>
      </c>
      <c r="EB167" s="92">
        <f t="shared" si="400"/>
        <v>5.4242973260999146E-2</v>
      </c>
      <c r="EC167" s="92">
        <f t="shared" si="401"/>
        <v>4.7331657073010326E-2</v>
      </c>
      <c r="ED167" s="92" t="str">
        <f t="shared" si="402"/>
        <v/>
      </c>
      <c r="EE167" s="92">
        <f t="shared" si="403"/>
        <v>0.27328928316748302</v>
      </c>
      <c r="EF167" s="92">
        <f t="shared" si="404"/>
        <v>1.5777219024336774E-2</v>
      </c>
      <c r="EG167" s="92">
        <f t="shared" si="405"/>
        <v>0.28906650219181979</v>
      </c>
      <c r="EH167" s="92">
        <f t="shared" si="406"/>
        <v>0.72671071683251698</v>
      </c>
      <c r="EI167" s="92">
        <f t="shared" si="407"/>
        <v>0.61543111666173977</v>
      </c>
      <c r="EJ167" s="122">
        <f t="shared" si="408"/>
        <v>0.11127960017077722</v>
      </c>
    </row>
    <row r="168" spans="2:140" ht="12" hidden="1" customHeight="1" outlineLevel="1">
      <c r="B168" s="121">
        <v>45149</v>
      </c>
      <c r="C168" s="117">
        <v>23460</v>
      </c>
      <c r="D168" s="50" t="s">
        <v>936</v>
      </c>
      <c r="E168" s="50" t="s">
        <v>937</v>
      </c>
      <c r="F168" s="50" t="s">
        <v>938</v>
      </c>
      <c r="G168" s="50" t="s">
        <v>162</v>
      </c>
      <c r="H168" s="50" t="s">
        <v>173</v>
      </c>
      <c r="I168" s="50" t="s">
        <v>802</v>
      </c>
      <c r="J168" s="52" t="s">
        <v>175</v>
      </c>
      <c r="K168" s="50" t="s">
        <v>176</v>
      </c>
      <c r="L168" s="49">
        <v>6</v>
      </c>
      <c r="M168" s="50" t="s">
        <v>159</v>
      </c>
      <c r="N168" s="50" t="s">
        <v>160</v>
      </c>
      <c r="O168" s="50" t="s">
        <v>160</v>
      </c>
      <c r="P168" s="50" t="s">
        <v>177</v>
      </c>
      <c r="Q168" s="53">
        <v>0.04</v>
      </c>
      <c r="R168" s="49">
        <v>264</v>
      </c>
      <c r="S168" s="49">
        <v>0</v>
      </c>
      <c r="T168" s="54">
        <f t="shared" si="330"/>
        <v>264</v>
      </c>
      <c r="U168" s="55">
        <v>246951</v>
      </c>
      <c r="V168" s="49">
        <v>11.12</v>
      </c>
      <c r="W168" s="56">
        <f t="shared" si="333"/>
        <v>23.741007194244606</v>
      </c>
      <c r="X168" s="49" t="s">
        <v>163</v>
      </c>
      <c r="Y168" s="57" t="s">
        <v>162</v>
      </c>
      <c r="Z168" s="58">
        <v>57798591</v>
      </c>
      <c r="AA168" s="114">
        <f>(((32850000*0.0576)/(Table1[[#This Row],[Construction Loan Principal]]))+((7150000*0.0626)/(Table1[[#This Row],[Construction Loan Principal]]))+((17798591*0.0676)/(Table1[[#This Row],[Construction Loan Principal]])))</f>
        <v>6.1297943259551083E-2</v>
      </c>
      <c r="AB168" s="59">
        <v>15</v>
      </c>
      <c r="AC168" s="60">
        <v>40</v>
      </c>
      <c r="AD168" s="61">
        <v>5.5599999999999997E-2</v>
      </c>
      <c r="AE168" s="62">
        <v>32850000</v>
      </c>
      <c r="AF168" s="63">
        <v>1.1499999999999999</v>
      </c>
      <c r="AG168" s="59"/>
      <c r="AH168" s="60"/>
      <c r="AI168" s="61"/>
      <c r="AJ168" s="64"/>
      <c r="AK168" s="65">
        <f t="shared" si="334"/>
        <v>32850000</v>
      </c>
      <c r="AL168" s="66">
        <v>2906775</v>
      </c>
      <c r="AM168" s="49" t="s">
        <v>939</v>
      </c>
      <c r="AN168" s="67">
        <v>0.92</v>
      </c>
      <c r="AO168" s="62">
        <v>32325014</v>
      </c>
      <c r="AP168" s="62">
        <v>0</v>
      </c>
      <c r="AQ168" s="68">
        <v>7612139</v>
      </c>
      <c r="AR168" s="69">
        <f t="shared" si="335"/>
        <v>124431.81818181818</v>
      </c>
      <c r="AS168" s="70">
        <f t="shared" si="336"/>
        <v>11010.511363636364</v>
      </c>
      <c r="AT168" s="70">
        <f t="shared" si="337"/>
        <v>122443.23484848485</v>
      </c>
      <c r="AU168" s="70" t="str">
        <f t="shared" si="338"/>
        <v/>
      </c>
      <c r="AV168" s="71">
        <f t="shared" si="339"/>
        <v>28833.859848484848</v>
      </c>
      <c r="AW168" s="115">
        <f t="shared" si="340"/>
        <v>166188.57196969696</v>
      </c>
      <c r="AX168" s="116">
        <f t="shared" si="341"/>
        <v>177.66189648958701</v>
      </c>
      <c r="AY168" s="72">
        <f t="shared" si="342"/>
        <v>197809.85606060608</v>
      </c>
      <c r="AZ168" s="73">
        <f t="shared" si="343"/>
        <v>211.46625038975341</v>
      </c>
      <c r="BA168" s="66">
        <v>3595000</v>
      </c>
      <c r="BB168" s="62">
        <v>5305235</v>
      </c>
      <c r="BC168" s="62">
        <v>38568548</v>
      </c>
      <c r="BD168" s="62">
        <v>2233689</v>
      </c>
      <c r="BE168" s="62">
        <v>6114330</v>
      </c>
      <c r="BF168" s="62">
        <v>2249059</v>
      </c>
      <c r="BG168" s="62">
        <v>8033309</v>
      </c>
      <c r="BH168" s="62">
        <v>8814230</v>
      </c>
      <c r="BI168" s="62">
        <v>780528</v>
      </c>
      <c r="BJ168" s="47">
        <f t="shared" si="344"/>
        <v>75693928</v>
      </c>
      <c r="BK168" s="69">
        <f t="shared" si="345"/>
        <v>13617.424242424242</v>
      </c>
      <c r="BL168" s="70">
        <f t="shared" si="346"/>
        <v>20095.58712121212</v>
      </c>
      <c r="BM168" s="70">
        <f t="shared" si="347"/>
        <v>146092.98484848486</v>
      </c>
      <c r="BN168" s="70">
        <f t="shared" si="348"/>
        <v>8460.943181818182</v>
      </c>
      <c r="BO168" s="70">
        <f t="shared" si="349"/>
        <v>23160.340909090908</v>
      </c>
      <c r="BP168" s="70">
        <f t="shared" si="350"/>
        <v>8519.1628787878781</v>
      </c>
      <c r="BQ168" s="70">
        <f t="shared" si="351"/>
        <v>30429.200757575756</v>
      </c>
      <c r="BR168" s="70">
        <f t="shared" si="352"/>
        <v>33387.234848484848</v>
      </c>
      <c r="BS168" s="70">
        <f t="shared" si="353"/>
        <v>2956.5454545454545</v>
      </c>
      <c r="BT168" s="71">
        <f t="shared" si="354"/>
        <v>286719.42424242425</v>
      </c>
      <c r="BU168" s="65">
        <f t="shared" si="355"/>
        <v>14.557543804236468</v>
      </c>
      <c r="BV168" s="48">
        <f t="shared" si="356"/>
        <v>21.482946009532256</v>
      </c>
      <c r="BW168" s="48">
        <f t="shared" si="357"/>
        <v>156.17895048005474</v>
      </c>
      <c r="BX168" s="48">
        <f t="shared" si="358"/>
        <v>9.0450696696915589</v>
      </c>
      <c r="BY168" s="48">
        <f t="shared" si="359"/>
        <v>24.759284230474872</v>
      </c>
      <c r="BZ168" s="48">
        <f t="shared" si="360"/>
        <v>9.107308737360853</v>
      </c>
      <c r="CA168" s="48">
        <f t="shared" si="361"/>
        <v>32.529971532814201</v>
      </c>
      <c r="CB168" s="48">
        <f t="shared" si="362"/>
        <v>35.692222343703811</v>
      </c>
      <c r="CC168" s="48">
        <f t="shared" si="363"/>
        <v>3.1606594020676169</v>
      </c>
      <c r="CD168" s="47">
        <f t="shared" si="364"/>
        <v>306.5139562099364</v>
      </c>
      <c r="CE168" s="66">
        <v>3613140</v>
      </c>
      <c r="CF168" s="62">
        <v>95040</v>
      </c>
      <c r="CG168" s="74">
        <v>-278114</v>
      </c>
      <c r="CH168" s="75">
        <f t="shared" si="365"/>
        <v>3430066</v>
      </c>
      <c r="CI168" s="62">
        <f>73456+31680+10560</f>
        <v>115696</v>
      </c>
      <c r="CJ168" s="62">
        <v>120052</v>
      </c>
      <c r="CK168" s="62">
        <v>335281</v>
      </c>
      <c r="CL168" s="62">
        <f>187176+0</f>
        <v>187176</v>
      </c>
      <c r="CM168" s="62">
        <f>24816+29568</f>
        <v>54384</v>
      </c>
      <c r="CN168" s="62">
        <v>174240</v>
      </c>
      <c r="CO168" s="62">
        <v>0</v>
      </c>
      <c r="CP168" s="75">
        <f t="shared" si="331"/>
        <v>986829</v>
      </c>
      <c r="CQ168" s="62">
        <v>66000</v>
      </c>
      <c r="CR168" s="75">
        <f t="shared" si="332"/>
        <v>1052829</v>
      </c>
      <c r="CS168" s="75">
        <f t="shared" si="366"/>
        <v>2443237</v>
      </c>
      <c r="CT168" s="62">
        <f>20000+2049284</f>
        <v>2069284</v>
      </c>
      <c r="CU168" s="47">
        <f t="shared" si="367"/>
        <v>373953</v>
      </c>
      <c r="CV168" s="76">
        <f t="shared" si="368"/>
        <v>0.7123002880994127</v>
      </c>
      <c r="CW168" s="75">
        <f t="shared" si="369"/>
        <v>3987.9886363636365</v>
      </c>
      <c r="CX168" s="77">
        <f t="shared" si="370"/>
        <v>0.30694132416110942</v>
      </c>
      <c r="CY168" s="75">
        <f t="shared" si="371"/>
        <v>1416.4886363636363</v>
      </c>
      <c r="CZ168" s="77">
        <f t="shared" si="372"/>
        <v>0.10902210044937911</v>
      </c>
      <c r="DA168" s="77">
        <f t="shared" si="373"/>
        <v>0.6032781876500336</v>
      </c>
      <c r="DB168" s="47">
        <f t="shared" si="374"/>
        <v>124431.81818181818</v>
      </c>
      <c r="DC168" s="69">
        <f t="shared" si="375"/>
        <v>13686.136363636364</v>
      </c>
      <c r="DD168" s="70">
        <f t="shared" si="376"/>
        <v>360</v>
      </c>
      <c r="DE168" s="70">
        <f t="shared" si="377"/>
        <v>-1053.4621212121212</v>
      </c>
      <c r="DF168" s="70">
        <f t="shared" si="378"/>
        <v>12992.674242424242</v>
      </c>
      <c r="DG168" s="70">
        <f t="shared" si="379"/>
        <v>438.24242424242425</v>
      </c>
      <c r="DH168" s="70">
        <f t="shared" si="380"/>
        <v>454.74242424242425</v>
      </c>
      <c r="DI168" s="70">
        <f t="shared" si="381"/>
        <v>1270.003787878788</v>
      </c>
      <c r="DJ168" s="70">
        <f t="shared" si="382"/>
        <v>709</v>
      </c>
      <c r="DK168" s="70">
        <f t="shared" si="383"/>
        <v>206</v>
      </c>
      <c r="DL168" s="70">
        <f t="shared" si="384"/>
        <v>660</v>
      </c>
      <c r="DM168" s="70" t="str">
        <f t="shared" si="385"/>
        <v/>
      </c>
      <c r="DN168" s="70">
        <f t="shared" si="386"/>
        <v>3737.9886363636365</v>
      </c>
      <c r="DO168" s="70">
        <f t="shared" si="387"/>
        <v>250</v>
      </c>
      <c r="DP168" s="70">
        <f t="shared" si="388"/>
        <v>3987.9886363636365</v>
      </c>
      <c r="DQ168" s="70">
        <f t="shared" si="389"/>
        <v>9254.685606060606</v>
      </c>
      <c r="DR168" s="70">
        <f t="shared" si="390"/>
        <v>7838.19696969697</v>
      </c>
      <c r="DS168" s="71">
        <f t="shared" si="391"/>
        <v>1416.4886363636363</v>
      </c>
      <c r="DT168" s="106">
        <f t="shared" si="392"/>
        <v>1.0533733170148913</v>
      </c>
      <c r="DU168" s="92">
        <f t="shared" si="393"/>
        <v>2.7707921655151825E-2</v>
      </c>
      <c r="DV168" s="92" t="str">
        <f t="shared" si="394"/>
        <v/>
      </c>
      <c r="DW168" s="92">
        <f t="shared" si="395"/>
        <v>1</v>
      </c>
      <c r="DX168" s="92">
        <f t="shared" si="396"/>
        <v>3.372996321353583E-2</v>
      </c>
      <c r="DY168" s="92">
        <f t="shared" si="397"/>
        <v>3.4999909622730294E-2</v>
      </c>
      <c r="DZ168" s="92">
        <f t="shared" si="398"/>
        <v>9.7747681823031979E-2</v>
      </c>
      <c r="EA168" s="92">
        <f t="shared" si="399"/>
        <v>5.4569212370840676E-2</v>
      </c>
      <c r="EB168" s="92">
        <f t="shared" si="400"/>
        <v>1.5855088502670211E-2</v>
      </c>
      <c r="EC168" s="92">
        <f t="shared" si="401"/>
        <v>5.0797856367778345E-2</v>
      </c>
      <c r="ED168" s="92" t="str">
        <f t="shared" si="402"/>
        <v/>
      </c>
      <c r="EE168" s="92">
        <f t="shared" si="403"/>
        <v>0.28769971190058735</v>
      </c>
      <c r="EF168" s="92">
        <f t="shared" si="404"/>
        <v>1.9241612260522102E-2</v>
      </c>
      <c r="EG168" s="92">
        <f t="shared" si="405"/>
        <v>0.30694132416110942</v>
      </c>
      <c r="EH168" s="92">
        <f t="shared" si="406"/>
        <v>0.7123002880994127</v>
      </c>
      <c r="EI168" s="92">
        <f t="shared" si="407"/>
        <v>0.6032781876500336</v>
      </c>
      <c r="EJ168" s="122">
        <f t="shared" si="408"/>
        <v>0.10902210044937911</v>
      </c>
    </row>
    <row r="169" spans="2:140" ht="12" hidden="1" customHeight="1" outlineLevel="1">
      <c r="B169" s="121">
        <v>45149</v>
      </c>
      <c r="C169" s="117">
        <v>23456</v>
      </c>
      <c r="D169" s="50" t="s">
        <v>940</v>
      </c>
      <c r="E169" s="50" t="s">
        <v>941</v>
      </c>
      <c r="F169" s="50" t="s">
        <v>235</v>
      </c>
      <c r="G169" s="50" t="s">
        <v>162</v>
      </c>
      <c r="H169" s="50" t="s">
        <v>942</v>
      </c>
      <c r="I169" s="50" t="s">
        <v>943</v>
      </c>
      <c r="J169" s="52" t="s">
        <v>183</v>
      </c>
      <c r="K169" s="50" t="s">
        <v>184</v>
      </c>
      <c r="L169" s="49">
        <v>9</v>
      </c>
      <c r="M169" s="50" t="s">
        <v>159</v>
      </c>
      <c r="N169" s="50" t="s">
        <v>160</v>
      </c>
      <c r="O169" s="50" t="s">
        <v>160</v>
      </c>
      <c r="P169" s="50" t="s">
        <v>177</v>
      </c>
      <c r="Q169" s="53">
        <v>0.04</v>
      </c>
      <c r="R169" s="49">
        <v>288</v>
      </c>
      <c r="S169" s="49">
        <v>0</v>
      </c>
      <c r="T169" s="54">
        <f t="shared" si="330"/>
        <v>288</v>
      </c>
      <c r="U169" s="55">
        <v>317250</v>
      </c>
      <c r="V169" s="49">
        <v>17.489999999999998</v>
      </c>
      <c r="W169" s="56">
        <f t="shared" si="333"/>
        <v>16.466552315608922</v>
      </c>
      <c r="X169" s="49" t="s">
        <v>163</v>
      </c>
      <c r="Y169" s="57" t="s">
        <v>162</v>
      </c>
      <c r="Z169" s="58">
        <v>55227552</v>
      </c>
      <c r="AA169" s="114">
        <f>(((33888510*0.0525)/(Table1[[#This Row],[Construction Loan Principal]]))+((21339042*0.0575)/(Table1[[#This Row],[Construction Loan Principal]])))</f>
        <v>5.4431919959081296E-2</v>
      </c>
      <c r="AB169" s="59">
        <v>15</v>
      </c>
      <c r="AC169" s="60">
        <v>40</v>
      </c>
      <c r="AD169" s="61">
        <v>5.2499999999999998E-2</v>
      </c>
      <c r="AE169" s="62">
        <v>33888510</v>
      </c>
      <c r="AF169" s="63">
        <v>1.1499999999999999</v>
      </c>
      <c r="AG169" s="59"/>
      <c r="AH169" s="60"/>
      <c r="AI169" s="61"/>
      <c r="AJ169" s="64"/>
      <c r="AK169" s="65">
        <f t="shared" si="334"/>
        <v>33888510</v>
      </c>
      <c r="AL169" s="66">
        <v>3738880</v>
      </c>
      <c r="AM169" s="49" t="s">
        <v>857</v>
      </c>
      <c r="AN169" s="67">
        <v>0.9</v>
      </c>
      <c r="AO169" s="62">
        <v>28230609</v>
      </c>
      <c r="AP169" s="62">
        <v>0</v>
      </c>
      <c r="AQ169" s="68">
        <v>2047802</v>
      </c>
      <c r="AR169" s="69">
        <f t="shared" si="335"/>
        <v>117668.4375</v>
      </c>
      <c r="AS169" s="70">
        <f t="shared" si="336"/>
        <v>12982.222222222223</v>
      </c>
      <c r="AT169" s="70">
        <f t="shared" si="337"/>
        <v>98022.947916666672</v>
      </c>
      <c r="AU169" s="70" t="str">
        <f t="shared" si="338"/>
        <v/>
      </c>
      <c r="AV169" s="71">
        <f t="shared" si="339"/>
        <v>7110.4236111111113</v>
      </c>
      <c r="AW169" s="115">
        <f t="shared" si="340"/>
        <v>138860.07291666666</v>
      </c>
      <c r="AX169" s="116">
        <f t="shared" si="341"/>
        <v>126.05737115839243</v>
      </c>
      <c r="AY169" s="72">
        <f t="shared" si="342"/>
        <v>166215.50694444444</v>
      </c>
      <c r="AZ169" s="73">
        <f t="shared" si="343"/>
        <v>150.89067297084321</v>
      </c>
      <c r="BA169" s="66">
        <v>2400000</v>
      </c>
      <c r="BB169" s="62">
        <v>5472300</v>
      </c>
      <c r="BC169" s="62">
        <v>34519401</v>
      </c>
      <c r="BD169" s="62">
        <v>2279527</v>
      </c>
      <c r="BE169" s="62">
        <v>5598838</v>
      </c>
      <c r="BF169" s="62">
        <v>2281607</v>
      </c>
      <c r="BG169" s="62">
        <v>7754619</v>
      </c>
      <c r="BH169" s="62">
        <v>5938895</v>
      </c>
      <c r="BI169" s="62">
        <v>1660614</v>
      </c>
      <c r="BJ169" s="47">
        <f t="shared" si="344"/>
        <v>67905801</v>
      </c>
      <c r="BK169" s="69">
        <f t="shared" si="345"/>
        <v>8333.3333333333339</v>
      </c>
      <c r="BL169" s="70">
        <f t="shared" si="346"/>
        <v>19001.041666666668</v>
      </c>
      <c r="BM169" s="70">
        <f t="shared" si="347"/>
        <v>119859.03125</v>
      </c>
      <c r="BN169" s="70">
        <f t="shared" si="348"/>
        <v>7915.0243055555557</v>
      </c>
      <c r="BO169" s="70">
        <f t="shared" si="349"/>
        <v>19440.409722222223</v>
      </c>
      <c r="BP169" s="70">
        <f t="shared" si="350"/>
        <v>7922.2465277777774</v>
      </c>
      <c r="BQ169" s="70">
        <f t="shared" si="351"/>
        <v>26925.760416666668</v>
      </c>
      <c r="BR169" s="70">
        <f t="shared" si="352"/>
        <v>20621.163194444445</v>
      </c>
      <c r="BS169" s="70">
        <f t="shared" si="353"/>
        <v>5766.020833333333</v>
      </c>
      <c r="BT169" s="71">
        <f t="shared" si="354"/>
        <v>235784.03125</v>
      </c>
      <c r="BU169" s="65">
        <f t="shared" si="355"/>
        <v>7.5650118203309695</v>
      </c>
      <c r="BV169" s="48">
        <f t="shared" si="356"/>
        <v>17.249172576832152</v>
      </c>
      <c r="BW169" s="48">
        <f t="shared" si="357"/>
        <v>108.80819858156029</v>
      </c>
      <c r="BX169" s="48">
        <f t="shared" si="358"/>
        <v>7.1852702915681643</v>
      </c>
      <c r="BY169" s="48">
        <f t="shared" si="359"/>
        <v>17.648031520882586</v>
      </c>
      <c r="BZ169" s="48">
        <f t="shared" si="360"/>
        <v>7.1918266351457838</v>
      </c>
      <c r="CA169" s="48">
        <f t="shared" si="361"/>
        <v>24.443243498817967</v>
      </c>
      <c r="CB169" s="48">
        <f t="shared" si="362"/>
        <v>18.719921197793539</v>
      </c>
      <c r="CC169" s="48">
        <f t="shared" si="363"/>
        <v>5.2344018912529551</v>
      </c>
      <c r="CD169" s="47">
        <f t="shared" si="364"/>
        <v>214.04507801418438</v>
      </c>
      <c r="CE169" s="66">
        <v>3834972</v>
      </c>
      <c r="CF169" s="62">
        <v>84528</v>
      </c>
      <c r="CG169" s="74">
        <v>-293963</v>
      </c>
      <c r="CH169" s="75">
        <f t="shared" si="365"/>
        <v>3625537</v>
      </c>
      <c r="CI169" s="62">
        <f>114015+11520</f>
        <v>125535</v>
      </c>
      <c r="CJ169" s="62">
        <v>145022</v>
      </c>
      <c r="CK169" s="62">
        <v>347885</v>
      </c>
      <c r="CL169" s="62">
        <v>158893</v>
      </c>
      <c r="CM169" s="62">
        <f>36554+201023</f>
        <v>237577</v>
      </c>
      <c r="CN169" s="62">
        <v>187200</v>
      </c>
      <c r="CO169" s="62">
        <v>0</v>
      </c>
      <c r="CP169" s="75">
        <f t="shared" si="331"/>
        <v>1202112</v>
      </c>
      <c r="CQ169" s="62">
        <v>72000</v>
      </c>
      <c r="CR169" s="75">
        <f t="shared" si="332"/>
        <v>1274112</v>
      </c>
      <c r="CS169" s="75">
        <f t="shared" si="366"/>
        <v>2423425</v>
      </c>
      <c r="CT169" s="62">
        <f>12640+2028717</f>
        <v>2041357</v>
      </c>
      <c r="CU169" s="47">
        <f t="shared" si="367"/>
        <v>382068</v>
      </c>
      <c r="CV169" s="76">
        <f t="shared" si="368"/>
        <v>0.66843201434711608</v>
      </c>
      <c r="CW169" s="75">
        <f t="shared" si="369"/>
        <v>4424</v>
      </c>
      <c r="CX169" s="77">
        <f t="shared" si="370"/>
        <v>0.3514271127284041</v>
      </c>
      <c r="CY169" s="75">
        <f t="shared" si="371"/>
        <v>1326.625</v>
      </c>
      <c r="CZ169" s="77">
        <f t="shared" si="372"/>
        <v>0.10538245782624753</v>
      </c>
      <c r="DA169" s="77">
        <f t="shared" si="373"/>
        <v>0.56304955652086852</v>
      </c>
      <c r="DB169" s="47">
        <f t="shared" si="374"/>
        <v>117668.4375</v>
      </c>
      <c r="DC169" s="69">
        <f t="shared" si="375"/>
        <v>13315.875</v>
      </c>
      <c r="DD169" s="70">
        <f t="shared" si="376"/>
        <v>293.5</v>
      </c>
      <c r="DE169" s="70">
        <f t="shared" si="377"/>
        <v>-1020.7048611111111</v>
      </c>
      <c r="DF169" s="70">
        <f t="shared" si="378"/>
        <v>12588.670138888889</v>
      </c>
      <c r="DG169" s="70">
        <f t="shared" si="379"/>
        <v>435.88541666666669</v>
      </c>
      <c r="DH169" s="70">
        <f t="shared" si="380"/>
        <v>503.54861111111109</v>
      </c>
      <c r="DI169" s="70">
        <f t="shared" si="381"/>
        <v>1207.9340277777778</v>
      </c>
      <c r="DJ169" s="70">
        <f t="shared" si="382"/>
        <v>551.71180555555554</v>
      </c>
      <c r="DK169" s="70">
        <f t="shared" si="383"/>
        <v>824.92013888888891</v>
      </c>
      <c r="DL169" s="70">
        <f t="shared" si="384"/>
        <v>650</v>
      </c>
      <c r="DM169" s="70" t="str">
        <f t="shared" si="385"/>
        <v/>
      </c>
      <c r="DN169" s="70">
        <f t="shared" si="386"/>
        <v>4174</v>
      </c>
      <c r="DO169" s="70">
        <f t="shared" si="387"/>
        <v>250</v>
      </c>
      <c r="DP169" s="70">
        <f t="shared" si="388"/>
        <v>4424</v>
      </c>
      <c r="DQ169" s="70">
        <f t="shared" si="389"/>
        <v>8414.6701388888887</v>
      </c>
      <c r="DR169" s="70">
        <f t="shared" si="390"/>
        <v>7088.0451388888887</v>
      </c>
      <c r="DS169" s="71">
        <f t="shared" si="391"/>
        <v>1326.625</v>
      </c>
      <c r="DT169" s="106">
        <f t="shared" si="392"/>
        <v>1.057766614986966</v>
      </c>
      <c r="DU169" s="92">
        <f t="shared" si="393"/>
        <v>2.3314615186660625E-2</v>
      </c>
      <c r="DV169" s="92" t="str">
        <f t="shared" si="394"/>
        <v/>
      </c>
      <c r="DW169" s="92">
        <f t="shared" si="395"/>
        <v>1</v>
      </c>
      <c r="DX169" s="92">
        <f t="shared" si="396"/>
        <v>3.4625215519797484E-2</v>
      </c>
      <c r="DY169" s="92">
        <f t="shared" si="397"/>
        <v>4.0000143427028879E-2</v>
      </c>
      <c r="DZ169" s="92">
        <f t="shared" si="398"/>
        <v>9.5954061425934975E-2</v>
      </c>
      <c r="EA169" s="92">
        <f t="shared" si="399"/>
        <v>4.3826059422369709E-2</v>
      </c>
      <c r="EB169" s="92">
        <f t="shared" si="400"/>
        <v>6.552877546140061E-2</v>
      </c>
      <c r="EC169" s="92">
        <f t="shared" si="401"/>
        <v>5.1633730396352322E-2</v>
      </c>
      <c r="ED169" s="92" t="str">
        <f t="shared" si="402"/>
        <v/>
      </c>
      <c r="EE169" s="92">
        <f t="shared" si="403"/>
        <v>0.33156798565288398</v>
      </c>
      <c r="EF169" s="92">
        <f t="shared" si="404"/>
        <v>1.9859127075520122E-2</v>
      </c>
      <c r="EG169" s="92">
        <f t="shared" si="405"/>
        <v>0.3514271127284041</v>
      </c>
      <c r="EH169" s="92">
        <f t="shared" si="406"/>
        <v>0.66843201434711608</v>
      </c>
      <c r="EI169" s="92">
        <f t="shared" si="407"/>
        <v>0.56304955652086852</v>
      </c>
      <c r="EJ169" s="122">
        <f t="shared" si="408"/>
        <v>0.10538245782624753</v>
      </c>
    </row>
    <row r="170" spans="2:140" ht="12" hidden="1" customHeight="1" outlineLevel="1">
      <c r="B170" s="121">
        <v>45162</v>
      </c>
      <c r="C170" s="117">
        <v>23453</v>
      </c>
      <c r="D170" s="50" t="s">
        <v>944</v>
      </c>
      <c r="E170" s="50" t="s">
        <v>945</v>
      </c>
      <c r="F170" s="50" t="s">
        <v>946</v>
      </c>
      <c r="G170" s="50" t="s">
        <v>154</v>
      </c>
      <c r="H170" s="50" t="s">
        <v>801</v>
      </c>
      <c r="I170" s="50" t="s">
        <v>947</v>
      </c>
      <c r="J170" s="52" t="s">
        <v>948</v>
      </c>
      <c r="K170" s="50" t="s">
        <v>205</v>
      </c>
      <c r="L170" s="49">
        <v>6</v>
      </c>
      <c r="M170" s="50" t="s">
        <v>159</v>
      </c>
      <c r="N170" s="50" t="s">
        <v>160</v>
      </c>
      <c r="O170" s="50" t="s">
        <v>160</v>
      </c>
      <c r="P170" s="50" t="s">
        <v>161</v>
      </c>
      <c r="Q170" s="53">
        <v>0.04</v>
      </c>
      <c r="R170" s="49">
        <v>520</v>
      </c>
      <c r="S170" s="49">
        <v>0</v>
      </c>
      <c r="T170" s="54">
        <f t="shared" si="330"/>
        <v>520</v>
      </c>
      <c r="U170" s="55">
        <v>357500</v>
      </c>
      <c r="V170" s="49">
        <v>24.02</v>
      </c>
      <c r="W170" s="56">
        <f t="shared" si="333"/>
        <v>21.648626144879266</v>
      </c>
      <c r="X170" s="49">
        <v>1976</v>
      </c>
      <c r="Y170" s="57" t="s">
        <v>162</v>
      </c>
      <c r="Z170" s="58">
        <v>44364361</v>
      </c>
      <c r="AA170" s="114">
        <v>4.7500000000000001E-2</v>
      </c>
      <c r="AB170" s="59">
        <v>35</v>
      </c>
      <c r="AC170" s="60">
        <v>35</v>
      </c>
      <c r="AD170" s="61">
        <v>4.7500000000000001E-2</v>
      </c>
      <c r="AE170" s="62">
        <v>44364361</v>
      </c>
      <c r="AF170" s="63">
        <v>1.1499999999999999</v>
      </c>
      <c r="AG170" s="59"/>
      <c r="AH170" s="60"/>
      <c r="AI170" s="61"/>
      <c r="AJ170" s="64"/>
      <c r="AK170" s="65">
        <f t="shared" si="334"/>
        <v>44364361</v>
      </c>
      <c r="AL170" s="66">
        <v>16000000</v>
      </c>
      <c r="AM170" s="49" t="s">
        <v>949</v>
      </c>
      <c r="AN170" s="67">
        <v>0.85</v>
      </c>
      <c r="AO170" s="62">
        <v>28651386</v>
      </c>
      <c r="AP170" s="62">
        <v>0</v>
      </c>
      <c r="AQ170" s="68">
        <v>6796516</v>
      </c>
      <c r="AR170" s="69">
        <f t="shared" si="335"/>
        <v>85316.078846153847</v>
      </c>
      <c r="AS170" s="70">
        <f t="shared" si="336"/>
        <v>30769.23076923077</v>
      </c>
      <c r="AT170" s="70">
        <f t="shared" si="337"/>
        <v>55098.81923076923</v>
      </c>
      <c r="AU170" s="70" t="str">
        <f t="shared" si="338"/>
        <v/>
      </c>
      <c r="AV170" s="71">
        <f t="shared" si="339"/>
        <v>13070.223076923077</v>
      </c>
      <c r="AW170" s="115">
        <f t="shared" si="340"/>
        <v>31879.469230769231</v>
      </c>
      <c r="AX170" s="116">
        <f t="shared" si="341"/>
        <v>46.370137062937062</v>
      </c>
      <c r="AY170" s="72">
        <f t="shared" si="342"/>
        <v>39530.540384615386</v>
      </c>
      <c r="AZ170" s="73">
        <f t="shared" si="343"/>
        <v>57.498967832167828</v>
      </c>
      <c r="BA170" s="66">
        <v>53000000</v>
      </c>
      <c r="BB170" s="62">
        <v>3487738</v>
      </c>
      <c r="BC170" s="62">
        <v>13089586</v>
      </c>
      <c r="BD170" s="62">
        <v>1657732</v>
      </c>
      <c r="BE170" s="62">
        <v>2320825</v>
      </c>
      <c r="BF170" s="62">
        <v>2017336</v>
      </c>
      <c r="BG170" s="62">
        <v>6094589</v>
      </c>
      <c r="BH170" s="62">
        <v>10997897</v>
      </c>
      <c r="BI170" s="62">
        <v>3146559</v>
      </c>
      <c r="BJ170" s="47">
        <f t="shared" si="344"/>
        <v>95812262</v>
      </c>
      <c r="BK170" s="69">
        <f t="shared" si="345"/>
        <v>101923.07692307692</v>
      </c>
      <c r="BL170" s="70">
        <f t="shared" si="346"/>
        <v>6707.1884615384615</v>
      </c>
      <c r="BM170" s="70">
        <f t="shared" si="347"/>
        <v>25172.280769230769</v>
      </c>
      <c r="BN170" s="70">
        <f t="shared" si="348"/>
        <v>3187.9461538461537</v>
      </c>
      <c r="BO170" s="70">
        <f t="shared" si="349"/>
        <v>4463.125</v>
      </c>
      <c r="BP170" s="70">
        <f t="shared" si="350"/>
        <v>3879.4923076923078</v>
      </c>
      <c r="BQ170" s="70">
        <f t="shared" si="351"/>
        <v>11720.363461538462</v>
      </c>
      <c r="BR170" s="70">
        <f t="shared" si="352"/>
        <v>21149.801923076924</v>
      </c>
      <c r="BS170" s="70">
        <f t="shared" si="353"/>
        <v>6051.0749999999998</v>
      </c>
      <c r="BT170" s="71">
        <f t="shared" si="354"/>
        <v>184254.35</v>
      </c>
      <c r="BU170" s="65">
        <f t="shared" si="355"/>
        <v>148.25174825174824</v>
      </c>
      <c r="BV170" s="48">
        <f t="shared" si="356"/>
        <v>9.7559104895104891</v>
      </c>
      <c r="BW170" s="48">
        <f t="shared" si="357"/>
        <v>36.614226573426571</v>
      </c>
      <c r="BX170" s="48">
        <f t="shared" si="358"/>
        <v>4.6370125874125874</v>
      </c>
      <c r="BY170" s="48">
        <f t="shared" si="359"/>
        <v>6.4918181818181822</v>
      </c>
      <c r="BZ170" s="48">
        <f t="shared" si="360"/>
        <v>5.6428979020979018</v>
      </c>
      <c r="CA170" s="48">
        <f t="shared" si="361"/>
        <v>17.047801398601397</v>
      </c>
      <c r="CB170" s="48">
        <f t="shared" si="362"/>
        <v>30.763348251748251</v>
      </c>
      <c r="CC170" s="48">
        <f t="shared" si="363"/>
        <v>8.8015636363636371</v>
      </c>
      <c r="CD170" s="47">
        <f t="shared" si="364"/>
        <v>268.00632727272728</v>
      </c>
      <c r="CE170" s="66">
        <v>6678144</v>
      </c>
      <c r="CF170" s="62">
        <v>187200</v>
      </c>
      <c r="CG170" s="74">
        <v>-514901</v>
      </c>
      <c r="CH170" s="75">
        <f t="shared" si="365"/>
        <v>6350443</v>
      </c>
      <c r="CI170" s="62">
        <f>20800+234000</f>
        <v>254800</v>
      </c>
      <c r="CJ170" s="62">
        <v>190210</v>
      </c>
      <c r="CK170" s="62">
        <v>598000</v>
      </c>
      <c r="CL170" s="62">
        <v>559000</v>
      </c>
      <c r="CM170" s="62">
        <f>270400+325000</f>
        <v>595400</v>
      </c>
      <c r="CN170" s="62">
        <v>338000</v>
      </c>
      <c r="CO170" s="62">
        <v>469560</v>
      </c>
      <c r="CP170" s="75">
        <f t="shared" si="331"/>
        <v>3004970</v>
      </c>
      <c r="CQ170" s="62">
        <v>156000</v>
      </c>
      <c r="CR170" s="75">
        <f t="shared" si="332"/>
        <v>3160970</v>
      </c>
      <c r="CS170" s="75">
        <f t="shared" si="366"/>
        <v>3345473</v>
      </c>
      <c r="CT170" s="62">
        <f>3500+55200+2713449</f>
        <v>2772149</v>
      </c>
      <c r="CU170" s="47">
        <f t="shared" si="367"/>
        <v>573324</v>
      </c>
      <c r="CV170" s="76">
        <f t="shared" si="368"/>
        <v>0.52680938951818002</v>
      </c>
      <c r="CW170" s="75">
        <f t="shared" si="369"/>
        <v>6078.7884615384619</v>
      </c>
      <c r="CX170" s="77">
        <f t="shared" si="370"/>
        <v>0.49775582585340894</v>
      </c>
      <c r="CY170" s="75">
        <f t="shared" si="371"/>
        <v>1102.5461538461539</v>
      </c>
      <c r="CZ170" s="77">
        <f t="shared" si="372"/>
        <v>9.0280945754493039E-2</v>
      </c>
      <c r="DA170" s="77">
        <f t="shared" si="373"/>
        <v>0.43652844376368705</v>
      </c>
      <c r="DB170" s="47">
        <f t="shared" si="374"/>
        <v>85316.078846153847</v>
      </c>
      <c r="DC170" s="69">
        <f t="shared" si="375"/>
        <v>12842.584615384616</v>
      </c>
      <c r="DD170" s="70">
        <f t="shared" si="376"/>
        <v>360</v>
      </c>
      <c r="DE170" s="70">
        <f t="shared" si="377"/>
        <v>-990.19423076923078</v>
      </c>
      <c r="DF170" s="70">
        <f t="shared" si="378"/>
        <v>12212.390384615384</v>
      </c>
      <c r="DG170" s="70">
        <f t="shared" si="379"/>
        <v>490</v>
      </c>
      <c r="DH170" s="70">
        <f t="shared" si="380"/>
        <v>365.78846153846155</v>
      </c>
      <c r="DI170" s="70">
        <f t="shared" si="381"/>
        <v>1150</v>
      </c>
      <c r="DJ170" s="70">
        <f t="shared" si="382"/>
        <v>1075</v>
      </c>
      <c r="DK170" s="70">
        <f t="shared" si="383"/>
        <v>1145</v>
      </c>
      <c r="DL170" s="70">
        <f t="shared" si="384"/>
        <v>650</v>
      </c>
      <c r="DM170" s="70">
        <f t="shared" si="385"/>
        <v>903</v>
      </c>
      <c r="DN170" s="70">
        <f t="shared" si="386"/>
        <v>5778.7884615384619</v>
      </c>
      <c r="DO170" s="70">
        <f t="shared" si="387"/>
        <v>300</v>
      </c>
      <c r="DP170" s="70">
        <f t="shared" si="388"/>
        <v>6078.7884615384619</v>
      </c>
      <c r="DQ170" s="70">
        <f t="shared" si="389"/>
        <v>6433.6019230769234</v>
      </c>
      <c r="DR170" s="70">
        <f t="shared" si="390"/>
        <v>5331.0557692307693</v>
      </c>
      <c r="DS170" s="71">
        <f t="shared" si="391"/>
        <v>1102.5461538461539</v>
      </c>
      <c r="DT170" s="106">
        <f t="shared" si="392"/>
        <v>1.0516028566825968</v>
      </c>
      <c r="DU170" s="92">
        <f t="shared" si="393"/>
        <v>2.9478258445906843E-2</v>
      </c>
      <c r="DV170" s="92" t="str">
        <f t="shared" si="394"/>
        <v/>
      </c>
      <c r="DW170" s="92">
        <f t="shared" si="395"/>
        <v>1</v>
      </c>
      <c r="DX170" s="92">
        <f t="shared" si="396"/>
        <v>4.0123185106928763E-2</v>
      </c>
      <c r="DY170" s="92">
        <f t="shared" si="397"/>
        <v>2.9952241127115069E-2</v>
      </c>
      <c r="DZ170" s="92">
        <f t="shared" si="398"/>
        <v>9.4166658924424648E-2</v>
      </c>
      <c r="EA170" s="92">
        <f t="shared" si="399"/>
        <v>8.8025355081527382E-2</v>
      </c>
      <c r="EB170" s="92">
        <f t="shared" si="400"/>
        <v>9.3757238668231491E-2</v>
      </c>
      <c r="EC170" s="92">
        <f t="shared" si="401"/>
        <v>5.3224633305109584E-2</v>
      </c>
      <c r="ED170" s="92">
        <f t="shared" si="402"/>
        <v>7.3941298268483002E-2</v>
      </c>
      <c r="EE170" s="92">
        <f t="shared" si="403"/>
        <v>0.47319061048181993</v>
      </c>
      <c r="EF170" s="92">
        <f t="shared" si="404"/>
        <v>2.4565215371589039E-2</v>
      </c>
      <c r="EG170" s="92">
        <f t="shared" si="405"/>
        <v>0.49775582585340894</v>
      </c>
      <c r="EH170" s="92">
        <f t="shared" si="406"/>
        <v>0.52680938951818002</v>
      </c>
      <c r="EI170" s="92">
        <f t="shared" si="407"/>
        <v>0.43652844376368705</v>
      </c>
      <c r="EJ170" s="122">
        <f t="shared" si="408"/>
        <v>9.0280945754493039E-2</v>
      </c>
    </row>
    <row r="171" spans="2:140" ht="12" hidden="1" customHeight="1" outlineLevel="1">
      <c r="B171" s="121">
        <v>45167</v>
      </c>
      <c r="C171" s="117">
        <v>23462</v>
      </c>
      <c r="D171" s="50" t="s">
        <v>950</v>
      </c>
      <c r="E171" s="50" t="s">
        <v>357</v>
      </c>
      <c r="F171" s="50" t="s">
        <v>358</v>
      </c>
      <c r="G171" s="50" t="s">
        <v>291</v>
      </c>
      <c r="H171" s="50" t="s">
        <v>573</v>
      </c>
      <c r="I171" s="50" t="s">
        <v>573</v>
      </c>
      <c r="J171" s="52" t="s">
        <v>360</v>
      </c>
      <c r="K171" s="50" t="s">
        <v>294</v>
      </c>
      <c r="L171" s="49">
        <v>7</v>
      </c>
      <c r="M171" s="50" t="s">
        <v>159</v>
      </c>
      <c r="N171" s="50" t="s">
        <v>160</v>
      </c>
      <c r="O171" s="50" t="s">
        <v>160</v>
      </c>
      <c r="P171" s="50" t="s">
        <v>177</v>
      </c>
      <c r="Q171" s="53">
        <v>0.04</v>
      </c>
      <c r="R171" s="49">
        <v>156</v>
      </c>
      <c r="S171" s="49">
        <v>0</v>
      </c>
      <c r="T171" s="54">
        <f t="shared" si="330"/>
        <v>156</v>
      </c>
      <c r="U171" s="55">
        <v>161889</v>
      </c>
      <c r="V171" s="49">
        <v>6.01</v>
      </c>
      <c r="W171" s="56">
        <f t="shared" si="333"/>
        <v>25.956738768718804</v>
      </c>
      <c r="X171" s="49" t="s">
        <v>163</v>
      </c>
      <c r="Y171" s="57" t="s">
        <v>162</v>
      </c>
      <c r="Z171" s="58">
        <v>38000000</v>
      </c>
      <c r="AA171" s="114">
        <v>6.83E-2</v>
      </c>
      <c r="AB171" s="59">
        <v>18</v>
      </c>
      <c r="AC171" s="60">
        <v>40</v>
      </c>
      <c r="AD171" s="61">
        <v>6.0999999999999999E-2</v>
      </c>
      <c r="AE171" s="62">
        <v>15944366</v>
      </c>
      <c r="AF171" s="63">
        <v>1.1599999999999999</v>
      </c>
      <c r="AG171" s="59"/>
      <c r="AH171" s="60"/>
      <c r="AI171" s="61"/>
      <c r="AJ171" s="64"/>
      <c r="AK171" s="65">
        <f t="shared" si="334"/>
        <v>15944366</v>
      </c>
      <c r="AL171" s="66">
        <v>13939396</v>
      </c>
      <c r="AM171" s="49" t="s">
        <v>951</v>
      </c>
      <c r="AN171" s="67">
        <v>0.91</v>
      </c>
      <c r="AO171" s="62">
        <v>28873263</v>
      </c>
      <c r="AP171" s="62">
        <v>0</v>
      </c>
      <c r="AQ171" s="68">
        <v>3455562</v>
      </c>
      <c r="AR171" s="69">
        <f t="shared" si="335"/>
        <v>102207.47435897436</v>
      </c>
      <c r="AS171" s="70">
        <f t="shared" si="336"/>
        <v>89355.102564102563</v>
      </c>
      <c r="AT171" s="70">
        <f t="shared" si="337"/>
        <v>185085.01923076922</v>
      </c>
      <c r="AU171" s="70" t="str">
        <f t="shared" si="338"/>
        <v/>
      </c>
      <c r="AV171" s="71">
        <f t="shared" si="339"/>
        <v>22151.038461538461</v>
      </c>
      <c r="AW171" s="115">
        <f t="shared" si="340"/>
        <v>245819.19230769231</v>
      </c>
      <c r="AX171" s="116">
        <f t="shared" si="341"/>
        <v>236.87708244537924</v>
      </c>
      <c r="AY171" s="72">
        <f t="shared" si="342"/>
        <v>290339.08974358975</v>
      </c>
      <c r="AZ171" s="73">
        <f t="shared" si="343"/>
        <v>279.77748951442038</v>
      </c>
      <c r="BA171" s="66">
        <v>0</v>
      </c>
      <c r="BB171" s="62">
        <v>6880049</v>
      </c>
      <c r="BC171" s="62">
        <v>31467745</v>
      </c>
      <c r="BD171" s="62">
        <v>2231468</v>
      </c>
      <c r="BE171" s="62">
        <v>4713636</v>
      </c>
      <c r="BF171" s="62">
        <v>1808078</v>
      </c>
      <c r="BG171" s="62">
        <v>6922282</v>
      </c>
      <c r="BH171" s="62">
        <v>7575000</v>
      </c>
      <c r="BI171" s="62">
        <v>614329</v>
      </c>
      <c r="BJ171" s="47">
        <f t="shared" si="344"/>
        <v>62212587</v>
      </c>
      <c r="BK171" s="69" t="str">
        <f t="shared" si="345"/>
        <v/>
      </c>
      <c r="BL171" s="70">
        <f t="shared" si="346"/>
        <v>44102.878205128203</v>
      </c>
      <c r="BM171" s="70">
        <f t="shared" si="347"/>
        <v>201716.31410256409</v>
      </c>
      <c r="BN171" s="70">
        <f t="shared" si="348"/>
        <v>14304.282051282051</v>
      </c>
      <c r="BO171" s="70">
        <f t="shared" si="349"/>
        <v>30215.615384615383</v>
      </c>
      <c r="BP171" s="70">
        <f t="shared" si="350"/>
        <v>11590.24358974359</v>
      </c>
      <c r="BQ171" s="70">
        <f t="shared" si="351"/>
        <v>44373.602564102563</v>
      </c>
      <c r="BR171" s="70">
        <f t="shared" si="352"/>
        <v>48557.692307692305</v>
      </c>
      <c r="BS171" s="70">
        <f t="shared" si="353"/>
        <v>3938.0064102564102</v>
      </c>
      <c r="BT171" s="71">
        <f t="shared" si="354"/>
        <v>398798.63461538462</v>
      </c>
      <c r="BU171" s="65" t="str">
        <f t="shared" si="355"/>
        <v/>
      </c>
      <c r="BV171" s="48">
        <f t="shared" si="356"/>
        <v>42.498557653700992</v>
      </c>
      <c r="BW171" s="48">
        <f t="shared" si="357"/>
        <v>194.37852479167825</v>
      </c>
      <c r="BX171" s="48">
        <f t="shared" si="358"/>
        <v>13.783938377530284</v>
      </c>
      <c r="BY171" s="48">
        <f t="shared" si="359"/>
        <v>29.11646869151085</v>
      </c>
      <c r="BZ171" s="48">
        <f t="shared" si="360"/>
        <v>11.168627887009</v>
      </c>
      <c r="CA171" s="48">
        <f t="shared" si="361"/>
        <v>42.759433933127021</v>
      </c>
      <c r="CB171" s="48">
        <f t="shared" si="362"/>
        <v>46.791319978503786</v>
      </c>
      <c r="CC171" s="48">
        <f t="shared" si="363"/>
        <v>3.7947544305048519</v>
      </c>
      <c r="CD171" s="47">
        <f t="shared" si="364"/>
        <v>384.29162574356502</v>
      </c>
      <c r="CE171" s="66">
        <v>2409180</v>
      </c>
      <c r="CF171" s="62">
        <v>24000</v>
      </c>
      <c r="CG171" s="74">
        <v>-182489</v>
      </c>
      <c r="CH171" s="75">
        <f t="shared" si="365"/>
        <v>2250691</v>
      </c>
      <c r="CI171" s="62">
        <f>58670+6240+10000</f>
        <v>74910</v>
      </c>
      <c r="CJ171" s="62">
        <v>134991</v>
      </c>
      <c r="CK171" s="62">
        <v>324960</v>
      </c>
      <c r="CL171" s="62">
        <f>145814+17255+7616</f>
        <v>170685</v>
      </c>
      <c r="CM171" s="62">
        <f>36299+119344+55000</f>
        <v>210643</v>
      </c>
      <c r="CN171" s="62">
        <v>62471</v>
      </c>
      <c r="CO171" s="62">
        <v>0</v>
      </c>
      <c r="CP171" s="75">
        <f t="shared" si="331"/>
        <v>978660</v>
      </c>
      <c r="CQ171" s="62">
        <v>39000</v>
      </c>
      <c r="CR171" s="75">
        <f t="shared" si="332"/>
        <v>1017660</v>
      </c>
      <c r="CS171" s="75">
        <f t="shared" si="366"/>
        <v>1272031</v>
      </c>
      <c r="CT171" s="62">
        <v>1066105</v>
      </c>
      <c r="CU171" s="47">
        <f t="shared" si="367"/>
        <v>205926</v>
      </c>
      <c r="CV171" s="76">
        <f t="shared" si="368"/>
        <v>0.56517354003725961</v>
      </c>
      <c r="CW171" s="75">
        <f t="shared" si="369"/>
        <v>6523.4615384615381</v>
      </c>
      <c r="CX171" s="77">
        <f t="shared" si="370"/>
        <v>0.45215447167114453</v>
      </c>
      <c r="CY171" s="75">
        <f t="shared" si="371"/>
        <v>1320.0384615384614</v>
      </c>
      <c r="CZ171" s="77">
        <f t="shared" si="372"/>
        <v>9.1494567668329418E-2</v>
      </c>
      <c r="DA171" s="77">
        <f t="shared" si="373"/>
        <v>0.47367897236893025</v>
      </c>
      <c r="DB171" s="47">
        <f t="shared" si="374"/>
        <v>102207.47435897436</v>
      </c>
      <c r="DC171" s="69">
        <f t="shared" si="375"/>
        <v>15443.461538461539</v>
      </c>
      <c r="DD171" s="70">
        <f t="shared" si="376"/>
        <v>153.84615384615384</v>
      </c>
      <c r="DE171" s="70">
        <f t="shared" si="377"/>
        <v>-1169.801282051282</v>
      </c>
      <c r="DF171" s="70">
        <f t="shared" si="378"/>
        <v>14427.50641025641</v>
      </c>
      <c r="DG171" s="70">
        <f t="shared" si="379"/>
        <v>480.19230769230768</v>
      </c>
      <c r="DH171" s="70">
        <f t="shared" si="380"/>
        <v>865.32692307692309</v>
      </c>
      <c r="DI171" s="70">
        <f t="shared" si="381"/>
        <v>2083.0769230769229</v>
      </c>
      <c r="DJ171" s="70">
        <f t="shared" si="382"/>
        <v>1094.1346153846155</v>
      </c>
      <c r="DK171" s="70">
        <f t="shared" si="383"/>
        <v>1350.2756410256411</v>
      </c>
      <c r="DL171" s="70">
        <f t="shared" si="384"/>
        <v>400.45512820512823</v>
      </c>
      <c r="DM171" s="70" t="str">
        <f t="shared" si="385"/>
        <v/>
      </c>
      <c r="DN171" s="70">
        <f t="shared" si="386"/>
        <v>6273.4615384615381</v>
      </c>
      <c r="DO171" s="70">
        <f t="shared" si="387"/>
        <v>250</v>
      </c>
      <c r="DP171" s="70">
        <f t="shared" si="388"/>
        <v>6523.4615384615381</v>
      </c>
      <c r="DQ171" s="70">
        <f t="shared" si="389"/>
        <v>8154.0448717948721</v>
      </c>
      <c r="DR171" s="70">
        <f t="shared" si="390"/>
        <v>6834.0064102564102</v>
      </c>
      <c r="DS171" s="71">
        <f t="shared" si="391"/>
        <v>1320.0384615384614</v>
      </c>
      <c r="DT171" s="106">
        <f t="shared" si="392"/>
        <v>1.0704179294270071</v>
      </c>
      <c r="DU171" s="92">
        <f t="shared" si="393"/>
        <v>1.0663391820556442E-2</v>
      </c>
      <c r="DV171" s="92" t="str">
        <f t="shared" si="394"/>
        <v/>
      </c>
      <c r="DW171" s="92">
        <f t="shared" si="395"/>
        <v>1</v>
      </c>
      <c r="DX171" s="92">
        <f t="shared" si="396"/>
        <v>3.3283111719911794E-2</v>
      </c>
      <c r="DY171" s="92">
        <f t="shared" si="397"/>
        <v>5.9977580218697278E-2</v>
      </c>
      <c r="DZ171" s="92">
        <f t="shared" si="398"/>
        <v>0.14438232525033423</v>
      </c>
      <c r="EA171" s="92">
        <f t="shared" si="399"/>
        <v>7.5836709703819852E-2</v>
      </c>
      <c r="EB171" s="92">
        <f t="shared" si="400"/>
        <v>9.3590368469061283E-2</v>
      </c>
      <c r="EC171" s="92">
        <f t="shared" si="401"/>
        <v>2.7756364600915896E-2</v>
      </c>
      <c r="ED171" s="92" t="str">
        <f t="shared" si="402"/>
        <v/>
      </c>
      <c r="EE171" s="92">
        <f t="shared" si="403"/>
        <v>0.43482645996274033</v>
      </c>
      <c r="EF171" s="92">
        <f t="shared" si="404"/>
        <v>1.7328011708404218E-2</v>
      </c>
      <c r="EG171" s="92">
        <f t="shared" si="405"/>
        <v>0.45215447167114453</v>
      </c>
      <c r="EH171" s="92">
        <f t="shared" si="406"/>
        <v>0.56517354003725961</v>
      </c>
      <c r="EI171" s="92">
        <f t="shared" si="407"/>
        <v>0.47367897236893025</v>
      </c>
      <c r="EJ171" s="122">
        <f t="shared" si="408"/>
        <v>9.1494567668329418E-2</v>
      </c>
    </row>
    <row r="172" spans="2:140" ht="12" hidden="1" customHeight="1" outlineLevel="1">
      <c r="B172" s="121">
        <v>45169</v>
      </c>
      <c r="C172" s="117">
        <v>23459</v>
      </c>
      <c r="D172" s="50" t="s">
        <v>952</v>
      </c>
      <c r="E172" s="50" t="s">
        <v>953</v>
      </c>
      <c r="F172" s="50" t="s">
        <v>954</v>
      </c>
      <c r="G172" s="50" t="s">
        <v>154</v>
      </c>
      <c r="H172" s="50" t="s">
        <v>955</v>
      </c>
      <c r="I172" s="50" t="s">
        <v>956</v>
      </c>
      <c r="J172" s="52" t="s">
        <v>360</v>
      </c>
      <c r="K172" s="50" t="s">
        <v>294</v>
      </c>
      <c r="L172" s="49">
        <v>7</v>
      </c>
      <c r="M172" s="50" t="s">
        <v>159</v>
      </c>
      <c r="N172" s="50" t="s">
        <v>160</v>
      </c>
      <c r="O172" s="50" t="s">
        <v>160</v>
      </c>
      <c r="P172" s="50" t="s">
        <v>177</v>
      </c>
      <c r="Q172" s="53">
        <v>0.04</v>
      </c>
      <c r="R172" s="49">
        <v>300</v>
      </c>
      <c r="S172" s="49">
        <v>0</v>
      </c>
      <c r="T172" s="54">
        <f t="shared" si="330"/>
        <v>300</v>
      </c>
      <c r="U172" s="55">
        <v>291120</v>
      </c>
      <c r="V172" s="49">
        <v>17.54</v>
      </c>
      <c r="W172" s="56">
        <f t="shared" si="333"/>
        <v>17.103762827822123</v>
      </c>
      <c r="X172" s="49" t="s">
        <v>163</v>
      </c>
      <c r="Y172" s="57" t="s">
        <v>162</v>
      </c>
      <c r="Z172" s="58">
        <v>55000000</v>
      </c>
      <c r="AA172" s="114">
        <v>0.04</v>
      </c>
      <c r="AB172" s="59">
        <v>40</v>
      </c>
      <c r="AC172" s="60">
        <v>40</v>
      </c>
      <c r="AD172" s="61">
        <v>0.04</v>
      </c>
      <c r="AE172" s="62">
        <v>55000000</v>
      </c>
      <c r="AF172" s="63">
        <v>1.25</v>
      </c>
      <c r="AG172" s="59"/>
      <c r="AH172" s="60"/>
      <c r="AI172" s="61"/>
      <c r="AJ172" s="64"/>
      <c r="AK172" s="65">
        <f t="shared" si="334"/>
        <v>55000000</v>
      </c>
      <c r="AL172" s="66">
        <v>0</v>
      </c>
      <c r="AM172" s="49"/>
      <c r="AN172" s="67">
        <v>0.89</v>
      </c>
      <c r="AO172" s="62">
        <v>28216240</v>
      </c>
      <c r="AP172" s="62">
        <v>0</v>
      </c>
      <c r="AQ172" s="68">
        <v>10339178</v>
      </c>
      <c r="AR172" s="69">
        <f t="shared" si="335"/>
        <v>183333.33333333334</v>
      </c>
      <c r="AS172" s="70" t="str">
        <f t="shared" si="336"/>
        <v/>
      </c>
      <c r="AT172" s="70">
        <f t="shared" si="337"/>
        <v>94054.133333333331</v>
      </c>
      <c r="AU172" s="70" t="str">
        <f t="shared" si="338"/>
        <v/>
      </c>
      <c r="AV172" s="71">
        <f t="shared" si="339"/>
        <v>34463.926666666666</v>
      </c>
      <c r="AW172" s="115">
        <f t="shared" si="340"/>
        <v>165418.56</v>
      </c>
      <c r="AX172" s="116">
        <f t="shared" si="341"/>
        <v>170.46430338004947</v>
      </c>
      <c r="AY172" s="72">
        <f t="shared" si="342"/>
        <v>198077.16</v>
      </c>
      <c r="AZ172" s="73">
        <f t="shared" si="343"/>
        <v>204.11908491343777</v>
      </c>
      <c r="BA172" s="66">
        <v>9500000</v>
      </c>
      <c r="BB172" s="62">
        <v>13221668</v>
      </c>
      <c r="BC172" s="62">
        <v>36403900</v>
      </c>
      <c r="BD172" s="62">
        <v>2500000</v>
      </c>
      <c r="BE172" s="62">
        <v>7297580</v>
      </c>
      <c r="BF172" s="62">
        <v>2328975</v>
      </c>
      <c r="BG172" s="62">
        <v>11530957</v>
      </c>
      <c r="BH172" s="62">
        <v>10339178</v>
      </c>
      <c r="BI172" s="62">
        <v>1100000</v>
      </c>
      <c r="BJ172" s="47">
        <f t="shared" si="344"/>
        <v>94222258</v>
      </c>
      <c r="BK172" s="69">
        <f t="shared" si="345"/>
        <v>31666.666666666668</v>
      </c>
      <c r="BL172" s="70">
        <f t="shared" si="346"/>
        <v>44072.226666666669</v>
      </c>
      <c r="BM172" s="70">
        <f t="shared" si="347"/>
        <v>121346.33333333333</v>
      </c>
      <c r="BN172" s="70">
        <f t="shared" si="348"/>
        <v>8333.3333333333339</v>
      </c>
      <c r="BO172" s="70">
        <f t="shared" si="349"/>
        <v>24325.266666666666</v>
      </c>
      <c r="BP172" s="70">
        <f t="shared" si="350"/>
        <v>7763.25</v>
      </c>
      <c r="BQ172" s="70">
        <f t="shared" si="351"/>
        <v>38436.523333333331</v>
      </c>
      <c r="BR172" s="70">
        <f t="shared" si="352"/>
        <v>34463.926666666666</v>
      </c>
      <c r="BS172" s="70">
        <f t="shared" si="353"/>
        <v>3666.6666666666665</v>
      </c>
      <c r="BT172" s="71">
        <f t="shared" si="354"/>
        <v>314074.19333333336</v>
      </c>
      <c r="BU172" s="65">
        <f t="shared" si="355"/>
        <v>32.632591371255842</v>
      </c>
      <c r="BV172" s="48">
        <f t="shared" si="356"/>
        <v>45.416556746358893</v>
      </c>
      <c r="BW172" s="48">
        <f t="shared" si="357"/>
        <v>125.04774663369058</v>
      </c>
      <c r="BX172" s="48">
        <f t="shared" si="358"/>
        <v>8.587524045067326</v>
      </c>
      <c r="BY172" s="48">
        <f t="shared" si="359"/>
        <v>25.067257488320966</v>
      </c>
      <c r="BZ172" s="48">
        <f t="shared" si="360"/>
        <v>8.0000515251442703</v>
      </c>
      <c r="CA172" s="48">
        <f t="shared" si="361"/>
        <v>39.608948200054961</v>
      </c>
      <c r="CB172" s="48">
        <f t="shared" si="362"/>
        <v>35.515175872492442</v>
      </c>
      <c r="CC172" s="48">
        <f t="shared" si="363"/>
        <v>3.7785105798296237</v>
      </c>
      <c r="CD172" s="47">
        <f t="shared" si="364"/>
        <v>323.65436246221492</v>
      </c>
      <c r="CE172" s="66">
        <v>5276736</v>
      </c>
      <c r="CF172" s="62">
        <v>108000</v>
      </c>
      <c r="CG172" s="74">
        <v>-403855</v>
      </c>
      <c r="CH172" s="75">
        <f t="shared" si="365"/>
        <v>4980881</v>
      </c>
      <c r="CI172" s="62">
        <f>135150+18000+12000</f>
        <v>165150</v>
      </c>
      <c r="CJ172" s="62">
        <v>149426</v>
      </c>
      <c r="CK172" s="62">
        <v>329528</v>
      </c>
      <c r="CL172" s="62">
        <v>208080</v>
      </c>
      <c r="CM172" s="62">
        <f>39420+220860</f>
        <v>260280</v>
      </c>
      <c r="CN172" s="62">
        <v>96372</v>
      </c>
      <c r="CO172" s="62">
        <v>0</v>
      </c>
      <c r="CP172" s="75">
        <f t="shared" si="331"/>
        <v>1208836</v>
      </c>
      <c r="CQ172" s="62">
        <v>90000</v>
      </c>
      <c r="CR172" s="75">
        <f t="shared" si="332"/>
        <v>1298836</v>
      </c>
      <c r="CS172" s="75">
        <f t="shared" si="366"/>
        <v>3772045</v>
      </c>
      <c r="CT172" s="62">
        <v>2950894</v>
      </c>
      <c r="CU172" s="47">
        <f t="shared" si="367"/>
        <v>821151</v>
      </c>
      <c r="CV172" s="76">
        <f t="shared" si="368"/>
        <v>0.7573047820255091</v>
      </c>
      <c r="CW172" s="75">
        <f t="shared" si="369"/>
        <v>4329.4533333333329</v>
      </c>
      <c r="CX172" s="77">
        <f t="shared" si="370"/>
        <v>0.26076431057076049</v>
      </c>
      <c r="CY172" s="75">
        <f t="shared" si="371"/>
        <v>2737.17</v>
      </c>
      <c r="CZ172" s="77">
        <f t="shared" si="372"/>
        <v>0.16486059393910435</v>
      </c>
      <c r="DA172" s="77">
        <f t="shared" si="373"/>
        <v>0.59244418808640475</v>
      </c>
      <c r="DB172" s="47">
        <f t="shared" si="374"/>
        <v>183333.33333333334</v>
      </c>
      <c r="DC172" s="69">
        <f t="shared" si="375"/>
        <v>17589.12</v>
      </c>
      <c r="DD172" s="70">
        <f t="shared" si="376"/>
        <v>360</v>
      </c>
      <c r="DE172" s="70">
        <f t="shared" si="377"/>
        <v>-1346.1833333333334</v>
      </c>
      <c r="DF172" s="70">
        <f t="shared" si="378"/>
        <v>16602.936666666668</v>
      </c>
      <c r="DG172" s="70">
        <f t="shared" si="379"/>
        <v>550.5</v>
      </c>
      <c r="DH172" s="70">
        <f t="shared" si="380"/>
        <v>498.08666666666664</v>
      </c>
      <c r="DI172" s="70">
        <f t="shared" si="381"/>
        <v>1098.4266666666667</v>
      </c>
      <c r="DJ172" s="70">
        <f t="shared" si="382"/>
        <v>693.6</v>
      </c>
      <c r="DK172" s="70">
        <f t="shared" si="383"/>
        <v>867.6</v>
      </c>
      <c r="DL172" s="70">
        <f t="shared" si="384"/>
        <v>321.24</v>
      </c>
      <c r="DM172" s="70" t="str">
        <f t="shared" si="385"/>
        <v/>
      </c>
      <c r="DN172" s="70">
        <f t="shared" si="386"/>
        <v>4029.4533333333334</v>
      </c>
      <c r="DO172" s="70">
        <f t="shared" si="387"/>
        <v>300</v>
      </c>
      <c r="DP172" s="70">
        <f t="shared" si="388"/>
        <v>4329.4533333333329</v>
      </c>
      <c r="DQ172" s="70">
        <f t="shared" si="389"/>
        <v>12573.483333333334</v>
      </c>
      <c r="DR172" s="70">
        <f t="shared" si="390"/>
        <v>9836.3133333333335</v>
      </c>
      <c r="DS172" s="71">
        <f t="shared" si="391"/>
        <v>2737.17</v>
      </c>
      <c r="DT172" s="106">
        <f t="shared" si="392"/>
        <v>1.0593981265563261</v>
      </c>
      <c r="DU172" s="92">
        <f t="shared" si="393"/>
        <v>2.1682911115523538E-2</v>
      </c>
      <c r="DV172" s="92" t="str">
        <f t="shared" si="394"/>
        <v/>
      </c>
      <c r="DW172" s="92">
        <f t="shared" si="395"/>
        <v>1</v>
      </c>
      <c r="DX172" s="92">
        <f t="shared" si="396"/>
        <v>3.3156784914154747E-2</v>
      </c>
      <c r="DY172" s="92">
        <f t="shared" si="397"/>
        <v>2.9999913669890931E-2</v>
      </c>
      <c r="DZ172" s="92">
        <f t="shared" si="398"/>
        <v>6.6158577167372598E-2</v>
      </c>
      <c r="EA172" s="92">
        <f t="shared" si="399"/>
        <v>4.1775742082575354E-2</v>
      </c>
      <c r="EB172" s="92">
        <f t="shared" si="400"/>
        <v>5.2255815788411729E-2</v>
      </c>
      <c r="EC172" s="92">
        <f t="shared" si="401"/>
        <v>1.9348384352085503E-2</v>
      </c>
      <c r="ED172" s="92" t="str">
        <f t="shared" si="402"/>
        <v/>
      </c>
      <c r="EE172" s="92">
        <f t="shared" si="403"/>
        <v>0.24269521797449087</v>
      </c>
      <c r="EF172" s="92">
        <f t="shared" si="404"/>
        <v>1.8069092596269615E-2</v>
      </c>
      <c r="EG172" s="92">
        <f t="shared" si="405"/>
        <v>0.26076431057076049</v>
      </c>
      <c r="EH172" s="92">
        <f t="shared" si="406"/>
        <v>0.7573047820255091</v>
      </c>
      <c r="EI172" s="92">
        <f t="shared" si="407"/>
        <v>0.59244418808640475</v>
      </c>
      <c r="EJ172" s="122">
        <f t="shared" si="408"/>
        <v>0.16486059393910435</v>
      </c>
    </row>
    <row r="173" spans="2:140" ht="12" hidden="1" customHeight="1" outlineLevel="1">
      <c r="B173" s="121">
        <v>45183</v>
      </c>
      <c r="C173" s="117">
        <v>23461</v>
      </c>
      <c r="D173" s="50" t="s">
        <v>957</v>
      </c>
      <c r="E173" s="50" t="s">
        <v>958</v>
      </c>
      <c r="F173" s="50" t="s">
        <v>959</v>
      </c>
      <c r="G173" s="50" t="s">
        <v>162</v>
      </c>
      <c r="H173" s="50" t="s">
        <v>960</v>
      </c>
      <c r="I173" s="50" t="s">
        <v>321</v>
      </c>
      <c r="J173" s="52" t="s">
        <v>230</v>
      </c>
      <c r="K173" s="50" t="s">
        <v>230</v>
      </c>
      <c r="L173" s="49">
        <v>3</v>
      </c>
      <c r="M173" s="50" t="s">
        <v>159</v>
      </c>
      <c r="N173" s="50" t="s">
        <v>244</v>
      </c>
      <c r="O173" s="50" t="s">
        <v>160</v>
      </c>
      <c r="P173" s="50" t="s">
        <v>177</v>
      </c>
      <c r="Q173" s="53">
        <v>0.04</v>
      </c>
      <c r="R173" s="49">
        <v>164</v>
      </c>
      <c r="S173" s="49">
        <v>0</v>
      </c>
      <c r="T173" s="54">
        <f t="shared" si="330"/>
        <v>164</v>
      </c>
      <c r="U173" s="55">
        <v>136209</v>
      </c>
      <c r="V173" s="49">
        <v>5.75</v>
      </c>
      <c r="W173" s="56">
        <f>IFERROR(IF(T173&gt;0,T173/V173,""),"")</f>
        <v>28.521739130434781</v>
      </c>
      <c r="X173" s="49" t="s">
        <v>163</v>
      </c>
      <c r="Y173" s="57" t="s">
        <v>162</v>
      </c>
      <c r="Z173" s="58">
        <v>25000000</v>
      </c>
      <c r="AA173" s="114">
        <v>7.9899999999999999E-2</v>
      </c>
      <c r="AB173" s="59">
        <v>18</v>
      </c>
      <c r="AC173" s="60">
        <v>40</v>
      </c>
      <c r="AD173" s="61">
        <v>6.0999999999999999E-2</v>
      </c>
      <c r="AE173" s="62">
        <v>16000000</v>
      </c>
      <c r="AF173" s="63">
        <v>1.19</v>
      </c>
      <c r="AG173" s="59"/>
      <c r="AH173" s="60"/>
      <c r="AI173" s="61"/>
      <c r="AJ173" s="64"/>
      <c r="AK173" s="65">
        <f>IFERROR(IF(AE173&gt;0,AJ173+AE173,""),"")</f>
        <v>16000000</v>
      </c>
      <c r="AL173" s="66">
        <v>8903487</v>
      </c>
      <c r="AM173" s="49" t="s">
        <v>961</v>
      </c>
      <c r="AN173" s="67">
        <v>0.88</v>
      </c>
      <c r="AO173" s="62">
        <v>15992420</v>
      </c>
      <c r="AP173" s="62">
        <v>0</v>
      </c>
      <c r="AQ173" s="68">
        <v>2575420</v>
      </c>
      <c r="AR173" s="69">
        <f>IFERROR(IF(AK173&gt;0,AK173/T173,""),"")</f>
        <v>97560.975609756104</v>
      </c>
      <c r="AS173" s="70">
        <f>IFERROR(IF(AL173&gt;0,AL173/T173,""),"")</f>
        <v>54289.554878048781</v>
      </c>
      <c r="AT173" s="70">
        <f>IFERROR(IF(AO173&gt;0,AO173/T173,""),"")</f>
        <v>97514.756097560981</v>
      </c>
      <c r="AU173" s="70" t="str">
        <f>IFERROR(IF(AP173&gt;0,AP173/T173,""),"")</f>
        <v/>
      </c>
      <c r="AV173" s="71">
        <f>IFERROR(IF(AQ173&gt;0,AQ173/T173,""),"")</f>
        <v>15703.780487804877</v>
      </c>
      <c r="AW173" s="115">
        <f>IFERROR(IF(SUM(BB173:BC173)&gt;0,SUM(BB173:BC173)/T173,""),"")</f>
        <v>114634.14634146342</v>
      </c>
      <c r="AX173" s="116">
        <f>IFERROR(IF(SUM(BB173:BC173)&gt;0,SUM(BB173:BC173)/U173,""),"")</f>
        <v>138.0231849584095</v>
      </c>
      <c r="AY173" s="72">
        <f>IFERROR(IF(SUM(BL173:BO173)&gt;0,SUM(BL173:BO173),""),"")</f>
        <v>139164.10975609755</v>
      </c>
      <c r="AZ173" s="73">
        <f>IFERROR(IF(SUM(BV173:BY173)&gt;0,SUM(BV173:BY173),""),"")</f>
        <v>167.55804682509967</v>
      </c>
      <c r="BA173" s="66">
        <v>3965000</v>
      </c>
      <c r="BB173" s="62">
        <v>2500000</v>
      </c>
      <c r="BC173" s="62">
        <v>16300000</v>
      </c>
      <c r="BD173" s="62">
        <v>1220100</v>
      </c>
      <c r="BE173" s="62">
        <v>2802814</v>
      </c>
      <c r="BF173" s="62">
        <v>2819500</v>
      </c>
      <c r="BG173" s="62">
        <v>8267630</v>
      </c>
      <c r="BH173" s="62">
        <v>4609452</v>
      </c>
      <c r="BI173" s="62">
        <v>986979</v>
      </c>
      <c r="BJ173" s="47">
        <f>IFERROR(IF(SUM(BA173:BI173)&gt;0,SUM(BA173:BI173),""),"")</f>
        <v>43471475</v>
      </c>
      <c r="BK173" s="69">
        <f t="shared" ref="BK173:BT173" si="463">IFERROR(IF(BA173&gt;0,BA173/$T173,""),"")</f>
        <v>24176.829268292684</v>
      </c>
      <c r="BL173" s="70">
        <f t="shared" si="463"/>
        <v>15243.90243902439</v>
      </c>
      <c r="BM173" s="70">
        <f t="shared" si="463"/>
        <v>99390.243902439019</v>
      </c>
      <c r="BN173" s="70">
        <f t="shared" si="463"/>
        <v>7439.6341463414637</v>
      </c>
      <c r="BO173" s="70">
        <f t="shared" si="463"/>
        <v>17090.329268292684</v>
      </c>
      <c r="BP173" s="70">
        <f t="shared" si="463"/>
        <v>17192.073170731706</v>
      </c>
      <c r="BQ173" s="70">
        <f t="shared" si="463"/>
        <v>50412.378048780491</v>
      </c>
      <c r="BR173" s="70">
        <f t="shared" si="463"/>
        <v>28106.414634146342</v>
      </c>
      <c r="BS173" s="70">
        <f t="shared" si="463"/>
        <v>6018.1646341463411</v>
      </c>
      <c r="BT173" s="71">
        <f t="shared" si="463"/>
        <v>265069.96951219509</v>
      </c>
      <c r="BU173" s="65">
        <f t="shared" ref="BU173:CD173" si="464">IFERROR(IF(BA173&gt;0,BA173/$U173,""),"")</f>
        <v>29.109677040430515</v>
      </c>
      <c r="BV173" s="48">
        <f t="shared" si="464"/>
        <v>18.35414693595871</v>
      </c>
      <c r="BW173" s="48">
        <f t="shared" si="464"/>
        <v>119.66903802245079</v>
      </c>
      <c r="BX173" s="48">
        <f t="shared" si="464"/>
        <v>8.9575578706252887</v>
      </c>
      <c r="BY173" s="48">
        <f t="shared" si="464"/>
        <v>20.57730399606487</v>
      </c>
      <c r="BZ173" s="48">
        <f t="shared" si="464"/>
        <v>20.699806914374232</v>
      </c>
      <c r="CA173" s="48">
        <f t="shared" si="464"/>
        <v>60.698118332856126</v>
      </c>
      <c r="CB173" s="48">
        <f t="shared" si="464"/>
        <v>33.8410237208995</v>
      </c>
      <c r="CC173" s="48">
        <f t="shared" si="464"/>
        <v>7.2460630354822371</v>
      </c>
      <c r="CD173" s="47">
        <f t="shared" si="464"/>
        <v>319.15273586914225</v>
      </c>
      <c r="CE173" s="66">
        <v>2312844</v>
      </c>
      <c r="CF173" s="62">
        <v>19680</v>
      </c>
      <c r="CG173" s="74">
        <v>-174939</v>
      </c>
      <c r="CH173" s="75">
        <f>IFERROR(IF(SUM(CE173:CG173)&gt;0,SUM(CE173:CG173),""),"")</f>
        <v>2157585</v>
      </c>
      <c r="CI173" s="62">
        <f>79000+0+6560+30000</f>
        <v>115560</v>
      </c>
      <c r="CJ173" s="62">
        <v>107879</v>
      </c>
      <c r="CK173" s="62">
        <v>269000</v>
      </c>
      <c r="CL173" s="62">
        <v>111600</v>
      </c>
      <c r="CM173" s="62">
        <f>41000+113000</f>
        <v>154000</v>
      </c>
      <c r="CN173" s="62">
        <v>86100</v>
      </c>
      <c r="CO173" s="62">
        <v>0</v>
      </c>
      <c r="CP173" s="75">
        <f t="shared" si="331"/>
        <v>844139</v>
      </c>
      <c r="CQ173" s="62">
        <v>41000</v>
      </c>
      <c r="CR173" s="75">
        <f t="shared" si="332"/>
        <v>885139</v>
      </c>
      <c r="CS173" s="75">
        <f>IFERROR(IF(CH173-CR173&gt;0,CH173-CP173,""),"")</f>
        <v>1313446</v>
      </c>
      <c r="CT173" s="62">
        <v>1069825</v>
      </c>
      <c r="CU173" s="47">
        <f>IFERROR(IF(CS173-CT173&gt;0,CS173-CT173,""),"")</f>
        <v>243621</v>
      </c>
      <c r="CV173" s="76">
        <f>IFERROR(IF(CU173&gt;0,CS173/CH173,""),"")</f>
        <v>0.60875747653047274</v>
      </c>
      <c r="CW173" s="75">
        <f>IFERROR(IF(CU173&gt;0,CR173/T173,""),"")</f>
        <v>5397.1890243902435</v>
      </c>
      <c r="CX173" s="77">
        <f>IFERROR(IF(CU173&gt;0,CR173/CH173,""),"")</f>
        <v>0.41024525105615772</v>
      </c>
      <c r="CY173" s="75">
        <f>IFERROR(IF(CU173&gt;0,CU173/T173,""),"")</f>
        <v>1485.4939024390244</v>
      </c>
      <c r="CZ173" s="77">
        <f>IFERROR(IF(CU173&gt;0,CU173/CH173,""),"")</f>
        <v>0.11291374383859733</v>
      </c>
      <c r="DA173" s="77">
        <f>IFERROR(IF(CT173&gt;0,CT173/CH173,""),"")</f>
        <v>0.49584373269187543</v>
      </c>
      <c r="DB173" s="47">
        <f>IFERROR(IF(AR173&gt;0,AR173,""),"")</f>
        <v>97560.975609756104</v>
      </c>
      <c r="DC173" s="69">
        <f t="shared" ref="DC173:DS173" si="465">IFERROR(IF(ABS(CE173)&gt;0,CE173/$T173,""),"")</f>
        <v>14102.707317073171</v>
      </c>
      <c r="DD173" s="70">
        <f t="shared" si="465"/>
        <v>120</v>
      </c>
      <c r="DE173" s="70">
        <f t="shared" si="465"/>
        <v>-1066.7012195121952</v>
      </c>
      <c r="DF173" s="70">
        <f t="shared" si="465"/>
        <v>13156.006097560976</v>
      </c>
      <c r="DG173" s="70">
        <f t="shared" si="465"/>
        <v>704.63414634146341</v>
      </c>
      <c r="DH173" s="70">
        <f t="shared" si="465"/>
        <v>657.79878048780483</v>
      </c>
      <c r="DI173" s="70">
        <f t="shared" si="465"/>
        <v>1640.2439024390244</v>
      </c>
      <c r="DJ173" s="70">
        <f t="shared" si="465"/>
        <v>680.48780487804879</v>
      </c>
      <c r="DK173" s="70">
        <f t="shared" si="465"/>
        <v>939.02439024390242</v>
      </c>
      <c r="DL173" s="70">
        <f t="shared" si="465"/>
        <v>525</v>
      </c>
      <c r="DM173" s="70" t="str">
        <f t="shared" si="465"/>
        <v/>
      </c>
      <c r="DN173" s="70">
        <f t="shared" si="465"/>
        <v>5147.1890243902435</v>
      </c>
      <c r="DO173" s="70">
        <f t="shared" si="465"/>
        <v>250</v>
      </c>
      <c r="DP173" s="70">
        <f t="shared" si="465"/>
        <v>5397.1890243902435</v>
      </c>
      <c r="DQ173" s="70">
        <f t="shared" si="465"/>
        <v>8008.8170731707314</v>
      </c>
      <c r="DR173" s="70">
        <f t="shared" si="465"/>
        <v>6523.3231707317073</v>
      </c>
      <c r="DS173" s="71">
        <f t="shared" si="465"/>
        <v>1485.4939024390244</v>
      </c>
      <c r="DT173" s="106">
        <f t="shared" ref="DT173:EJ173" si="466">IFERROR(IF(ABS(CE173&gt;0),CE173/$CH173,""),"")</f>
        <v>1.0719596215212843</v>
      </c>
      <c r="DU173" s="92">
        <f t="shared" si="466"/>
        <v>9.1213092415826022E-3</v>
      </c>
      <c r="DV173" s="92" t="str">
        <f t="shared" si="466"/>
        <v/>
      </c>
      <c r="DW173" s="92">
        <f t="shared" si="466"/>
        <v>1</v>
      </c>
      <c r="DX173" s="92">
        <f t="shared" si="466"/>
        <v>5.3559882924658818E-2</v>
      </c>
      <c r="DY173" s="92">
        <f t="shared" si="466"/>
        <v>4.9999884129709835E-2</v>
      </c>
      <c r="DZ173" s="92">
        <f t="shared" si="466"/>
        <v>0.12467643221472155</v>
      </c>
      <c r="EA173" s="92">
        <f t="shared" si="466"/>
        <v>5.1724497528486714E-2</v>
      </c>
      <c r="EB173" s="92">
        <f t="shared" si="466"/>
        <v>7.137609874002647E-2</v>
      </c>
      <c r="EC173" s="92">
        <f t="shared" si="466"/>
        <v>3.9905727931923887E-2</v>
      </c>
      <c r="ED173" s="92" t="str">
        <f t="shared" si="466"/>
        <v/>
      </c>
      <c r="EE173" s="92">
        <f t="shared" si="466"/>
        <v>0.39124252346952726</v>
      </c>
      <c r="EF173" s="92">
        <f t="shared" si="466"/>
        <v>1.9002727586630422E-2</v>
      </c>
      <c r="EG173" s="92">
        <f t="shared" si="466"/>
        <v>0.41024525105615772</v>
      </c>
      <c r="EH173" s="92">
        <f t="shared" si="466"/>
        <v>0.60875747653047274</v>
      </c>
      <c r="EI173" s="92">
        <f t="shared" si="466"/>
        <v>0.49584373269187543</v>
      </c>
      <c r="EJ173" s="122">
        <f t="shared" si="466"/>
        <v>0.11291374383859733</v>
      </c>
    </row>
    <row r="174" spans="2:140" ht="12" hidden="1" customHeight="1" outlineLevel="1">
      <c r="B174" s="121">
        <v>45188</v>
      </c>
      <c r="C174" s="117">
        <v>23469</v>
      </c>
      <c r="D174" s="50" t="s">
        <v>962</v>
      </c>
      <c r="E174" s="50" t="s">
        <v>963</v>
      </c>
      <c r="F174" s="50" t="s">
        <v>235</v>
      </c>
      <c r="G174" s="50" t="s">
        <v>162</v>
      </c>
      <c r="H174" s="50" t="s">
        <v>964</v>
      </c>
      <c r="I174" s="50" t="s">
        <v>182</v>
      </c>
      <c r="J174" s="52" t="s">
        <v>191</v>
      </c>
      <c r="K174" s="50" t="s">
        <v>192</v>
      </c>
      <c r="L174" s="49">
        <v>3</v>
      </c>
      <c r="M174" s="50" t="s">
        <v>159</v>
      </c>
      <c r="N174" s="50" t="s">
        <v>160</v>
      </c>
      <c r="O174" s="50" t="s">
        <v>160</v>
      </c>
      <c r="P174" s="50" t="s">
        <v>177</v>
      </c>
      <c r="Q174" s="53">
        <v>0.04</v>
      </c>
      <c r="R174" s="49">
        <v>243</v>
      </c>
      <c r="S174" s="49">
        <v>0</v>
      </c>
      <c r="T174" s="54">
        <f t="shared" si="330"/>
        <v>243</v>
      </c>
      <c r="U174" s="55">
        <v>231940</v>
      </c>
      <c r="V174" s="49">
        <v>7.9459999999999997</v>
      </c>
      <c r="W174" s="56">
        <f t="shared" ref="W174:W181" si="467">IFERROR(IF(T174&gt;0,T174/V174,""),"")</f>
        <v>30.581424616159076</v>
      </c>
      <c r="X174" s="49" t="s">
        <v>163</v>
      </c>
      <c r="Y174" s="57" t="s">
        <v>162</v>
      </c>
      <c r="Z174" s="58">
        <v>50168408</v>
      </c>
      <c r="AA174" s="114">
        <f>((32252465*0.0195)/(Table1[[#This Row],[Construction Loan Principal]]))+((17915943*0.05)/(Table1[[#This Row],[Construction Loan Principal]]))</f>
        <v>3.0392039099586335E-2</v>
      </c>
      <c r="AB174" s="59">
        <v>40</v>
      </c>
      <c r="AC174" s="60">
        <v>40</v>
      </c>
      <c r="AD174" s="61">
        <v>4.7500000000000001E-2</v>
      </c>
      <c r="AE174" s="62">
        <v>23252465</v>
      </c>
      <c r="AF174" s="63">
        <v>1.19</v>
      </c>
      <c r="AG174" s="59"/>
      <c r="AH174" s="60"/>
      <c r="AI174" s="61"/>
      <c r="AJ174" s="64"/>
      <c r="AK174" s="65">
        <f t="shared" ref="AK174:AK181" si="468">IFERROR(IF(AE174&gt;0,AJ174+AE174,""),"")</f>
        <v>23252465</v>
      </c>
      <c r="AL174" s="66">
        <v>2000100</v>
      </c>
      <c r="AM174" s="49" t="s">
        <v>965</v>
      </c>
      <c r="AN174" s="67">
        <v>0.89</v>
      </c>
      <c r="AO174" s="62">
        <v>24333627</v>
      </c>
      <c r="AP174" s="62">
        <v>0</v>
      </c>
      <c r="AQ174" s="68">
        <v>2606381</v>
      </c>
      <c r="AR174" s="69">
        <f t="shared" ref="AR174:AR181" si="469">IFERROR(IF(AK174&gt;0,AK174/T174,""),"")</f>
        <v>95689.156378600819</v>
      </c>
      <c r="AS174" s="70">
        <f t="shared" ref="AS174:AS181" si="470">IFERROR(IF(AL174&gt;0,AL174/T174,""),"")</f>
        <v>8230.8641975308637</v>
      </c>
      <c r="AT174" s="70">
        <f t="shared" ref="AT174:AT181" si="471">IFERROR(IF(AO174&gt;0,AO174/T174,""),"")</f>
        <v>100138.38271604938</v>
      </c>
      <c r="AU174" s="70" t="str">
        <f t="shared" ref="AU174:AU181" si="472">IFERROR(IF(AP174&gt;0,AP174/T174,""),"")</f>
        <v/>
      </c>
      <c r="AV174" s="71">
        <f t="shared" ref="AV174:AV181" si="473">IFERROR(IF(AQ174&gt;0,AQ174/T174,""),"")</f>
        <v>10725.847736625514</v>
      </c>
      <c r="AW174" s="115">
        <f t="shared" ref="AW174:AW181" si="474">IFERROR(IF(SUM(BB174:BC174)&gt;0,SUM(BB174:BC174)/T174,""),"")</f>
        <v>139840.23456790124</v>
      </c>
      <c r="AX174" s="116">
        <f t="shared" ref="AX174:AX181" si="475">IFERROR(IF(SUM(BB174:BC174)&gt;0,SUM(BB174:BC174)/U174,""),"")</f>
        <v>146.50848064154522</v>
      </c>
      <c r="AY174" s="72">
        <f t="shared" ref="AY174:AY181" si="476">IFERROR(IF(SUM(BL174:BO174)&gt;0,SUM(BL174:BO174),""),"")</f>
        <v>164734.24279835389</v>
      </c>
      <c r="AZ174" s="73">
        <f t="shared" ref="AZ174:AZ181" si="477">IFERROR(IF(SUM(BV174:BY174)&gt;0,SUM(BV174:BY174),""),"")</f>
        <v>172.58955333275847</v>
      </c>
      <c r="BA174" s="66">
        <v>2575000</v>
      </c>
      <c r="BB174" s="62">
        <v>5032999</v>
      </c>
      <c r="BC174" s="62">
        <v>28948178</v>
      </c>
      <c r="BD174" s="62">
        <v>1291878</v>
      </c>
      <c r="BE174" s="62">
        <v>4757366</v>
      </c>
      <c r="BF174" s="62">
        <v>2519338</v>
      </c>
      <c r="BG174" s="62">
        <v>6356522</v>
      </c>
      <c r="BH174" s="62">
        <v>6858834</v>
      </c>
      <c r="BI174" s="62">
        <v>2852458</v>
      </c>
      <c r="BJ174" s="47">
        <f t="shared" ref="BJ174:BJ181" si="478">IFERROR(IF(SUM(BA174:BI174)&gt;0,SUM(BA174:BI174),""),"")</f>
        <v>61192573</v>
      </c>
      <c r="BK174" s="69">
        <f t="shared" ref="BK174:BK181" si="479">IFERROR(IF(BA174&gt;0,BA174/$T174,""),"")</f>
        <v>10596.707818930041</v>
      </c>
      <c r="BL174" s="70">
        <f t="shared" ref="BL174:BL181" si="480">IFERROR(IF(BB174&gt;0,BB174/$T174,""),"")</f>
        <v>20711.930041152264</v>
      </c>
      <c r="BM174" s="70">
        <f t="shared" ref="BM174:BM181" si="481">IFERROR(IF(BC174&gt;0,BC174/$T174,""),"")</f>
        <v>119128.30452674897</v>
      </c>
      <c r="BN174" s="70">
        <f t="shared" ref="BN174:BN181" si="482">IFERROR(IF(BD174&gt;0,BD174/$T174,""),"")</f>
        <v>5316.3703703703704</v>
      </c>
      <c r="BO174" s="70">
        <f t="shared" ref="BO174:BO181" si="483">IFERROR(IF(BE174&gt;0,BE174/$T174,""),"")</f>
        <v>19577.637860082305</v>
      </c>
      <c r="BP174" s="70">
        <f t="shared" ref="BP174:BP181" si="484">IFERROR(IF(BF174&gt;0,BF174/$T174,""),"")</f>
        <v>10367.64609053498</v>
      </c>
      <c r="BQ174" s="70">
        <f t="shared" ref="BQ174:BQ181" si="485">IFERROR(IF(BG174&gt;0,BG174/$T174,""),"")</f>
        <v>26158.526748971195</v>
      </c>
      <c r="BR174" s="70">
        <f t="shared" ref="BR174:BR181" si="486">IFERROR(IF(BH174&gt;0,BH174/$T174,""),"")</f>
        <v>28225.654320987655</v>
      </c>
      <c r="BS174" s="70">
        <f t="shared" ref="BS174:BS181" si="487">IFERROR(IF(BI174&gt;0,BI174/$T174,""),"")</f>
        <v>11738.510288065843</v>
      </c>
      <c r="BT174" s="71">
        <f t="shared" ref="BT174:BT181" si="488">IFERROR(IF(BJ174&gt;0,BJ174/$T174,""),"")</f>
        <v>251821.28806584363</v>
      </c>
      <c r="BU174" s="65">
        <f t="shared" ref="BU174:BU181" si="489">IFERROR(IF(BA174&gt;0,BA174/$U174,""),"")</f>
        <v>11.102009140294903</v>
      </c>
      <c r="BV174" s="48">
        <f t="shared" ref="BV174:BV181" si="490">IFERROR(IF(BB174&gt;0,BB174/$U174,""),"")</f>
        <v>21.699573165473829</v>
      </c>
      <c r="BW174" s="48">
        <f t="shared" ref="BW174:BW181" si="491">IFERROR(IF(BC174&gt;0,BC174/$U174,""),"")</f>
        <v>124.8089074760714</v>
      </c>
      <c r="BX174" s="48">
        <f t="shared" ref="BX174:BX181" si="492">IFERROR(IF(BD174&gt;0,BD174/$U174,""),"")</f>
        <v>5.5698801414158838</v>
      </c>
      <c r="BY174" s="48">
        <f t="shared" ref="BY174:BY181" si="493">IFERROR(IF(BE174&gt;0,BE174/$U174,""),"")</f>
        <v>20.511192549797361</v>
      </c>
      <c r="BZ174" s="48">
        <f t="shared" ref="BZ174:BZ181" si="494">IFERROR(IF(BF174&gt;0,BF174/$U174,""),"")</f>
        <v>10.8620246615504</v>
      </c>
      <c r="CA174" s="48">
        <f t="shared" ref="CA174:CA181" si="495">IFERROR(IF(BG174&gt;0,BG174/$U174,""),"")</f>
        <v>27.405889454169181</v>
      </c>
      <c r="CB174" s="48">
        <f t="shared" ref="CB174:CB181" si="496">IFERROR(IF(BH174&gt;0,BH174/$U174,""),"")</f>
        <v>29.571587479520566</v>
      </c>
      <c r="CC174" s="48">
        <f t="shared" ref="CC174:CC181" si="497">IFERROR(IF(BI174&gt;0,BI174/$U174,""),"")</f>
        <v>12.298258170216435</v>
      </c>
      <c r="CD174" s="47">
        <f t="shared" ref="CD174:CD181" si="498">IFERROR(IF(BJ174&gt;0,BJ174/$U174,""),"")</f>
        <v>263.82932223850997</v>
      </c>
      <c r="CE174" s="66">
        <v>3557472</v>
      </c>
      <c r="CF174" s="62">
        <v>71448</v>
      </c>
      <c r="CG174" s="74">
        <v>-272169</v>
      </c>
      <c r="CH174" s="75">
        <f t="shared" ref="CH174:CH181" si="499">IFERROR(IF(SUM(CE174:CG174)&gt;0,SUM(CE174:CG174),""),"")</f>
        <v>3356751</v>
      </c>
      <c r="CI174" s="62">
        <f>102325+9720</f>
        <v>112045</v>
      </c>
      <c r="CJ174" s="62">
        <v>134270</v>
      </c>
      <c r="CK174" s="62">
        <f>309716+14400</f>
        <v>324116</v>
      </c>
      <c r="CL174" s="62">
        <v>128257</v>
      </c>
      <c r="CM174" s="62">
        <f>30842+169613</f>
        <v>200455</v>
      </c>
      <c r="CN174" s="62">
        <v>157950</v>
      </c>
      <c r="CO174" s="62">
        <v>0</v>
      </c>
      <c r="CP174" s="75">
        <f t="shared" si="331"/>
        <v>1057093</v>
      </c>
      <c r="CQ174" s="62">
        <v>60750</v>
      </c>
      <c r="CR174" s="75">
        <f t="shared" si="332"/>
        <v>1117843</v>
      </c>
      <c r="CS174" s="75">
        <f t="shared" ref="CS174:CS181" si="500">IFERROR(IF(CH174-CR174&gt;0,CH174-CP174,""),"")</f>
        <v>2299658</v>
      </c>
      <c r="CT174" s="62">
        <v>1883252</v>
      </c>
      <c r="CU174" s="47">
        <f t="shared" ref="CU174:CU181" si="501">IFERROR(IF(CS174-CT174&gt;0,CS174-CT174,""),"")</f>
        <v>416406</v>
      </c>
      <c r="CV174" s="76">
        <f t="shared" ref="CV174:CV181" si="502">IFERROR(IF(CU174&gt;0,CS174/CH174,""),"")</f>
        <v>0.68508447603054268</v>
      </c>
      <c r="CW174" s="75">
        <f t="shared" ref="CW174:CW181" si="503">IFERROR(IF(CU174&gt;0,CR174/T174,""),"")</f>
        <v>4600.1769547325102</v>
      </c>
      <c r="CX174" s="77">
        <f t="shared" ref="CX174:CX181" si="504">IFERROR(IF(CU174&gt;0,CR174/CH174,""),"")</f>
        <v>0.33301338109380174</v>
      </c>
      <c r="CY174" s="75">
        <f t="shared" ref="CY174:CY181" si="505">IFERROR(IF(CU174&gt;0,CU174/T174,""),"")</f>
        <v>1713.6049382716049</v>
      </c>
      <c r="CZ174" s="77">
        <f t="shared" ref="CZ174:CZ181" si="506">IFERROR(IF(CU174&gt;0,CU174/CH174,""),"")</f>
        <v>0.12405030936164166</v>
      </c>
      <c r="DA174" s="77">
        <f t="shared" ref="DA174:DA181" si="507">IFERROR(IF(CT174&gt;0,CT174/CH174,""),"")</f>
        <v>0.56103416666890094</v>
      </c>
      <c r="DB174" s="47">
        <f t="shared" ref="DB174:DB181" si="508">IFERROR(IF(AR174&gt;0,AR174,""),"")</f>
        <v>95689.156378600819</v>
      </c>
      <c r="DC174" s="69">
        <f t="shared" ref="DC174:DC181" si="509">IFERROR(IF(ABS(CE174)&gt;0,CE174/$T174,""),"")</f>
        <v>14639.802469135802</v>
      </c>
      <c r="DD174" s="70">
        <f t="shared" ref="DD174:DD181" si="510">IFERROR(IF(ABS(CF174)&gt;0,CF174/$T174,""),"")</f>
        <v>294.02469135802471</v>
      </c>
      <c r="DE174" s="70">
        <f t="shared" ref="DE174:DE181" si="511">IFERROR(IF(ABS(CG174)&gt;0,CG174/$T174,""),"")</f>
        <v>-1120.037037037037</v>
      </c>
      <c r="DF174" s="70">
        <f t="shared" ref="DF174:DF181" si="512">IFERROR(IF(ABS(CH174)&gt;0,CH174/$T174,""),"")</f>
        <v>13813.790123456791</v>
      </c>
      <c r="DG174" s="70">
        <f t="shared" ref="DG174:DG181" si="513">IFERROR(IF(ABS(CI174)&gt;0,CI174/$T174,""),"")</f>
        <v>461.09053497942386</v>
      </c>
      <c r="DH174" s="70">
        <f t="shared" ref="DH174:DH181" si="514">IFERROR(IF(ABS(CJ174)&gt;0,CJ174/$T174,""),"")</f>
        <v>552.55144032921805</v>
      </c>
      <c r="DI174" s="70">
        <f t="shared" ref="DI174:DI181" si="515">IFERROR(IF(ABS(CK174)&gt;0,CK174/$T174,""),"")</f>
        <v>1333.8106995884773</v>
      </c>
      <c r="DJ174" s="70">
        <f t="shared" ref="DJ174:DJ181" si="516">IFERROR(IF(ABS(CL174)&gt;0,CL174/$T174,""),"")</f>
        <v>527.80658436213992</v>
      </c>
      <c r="DK174" s="70">
        <f t="shared" ref="DK174:DK181" si="517">IFERROR(IF(ABS(CM174)&gt;0,CM174/$T174,""),"")</f>
        <v>824.917695473251</v>
      </c>
      <c r="DL174" s="70">
        <f t="shared" ref="DL174:DL181" si="518">IFERROR(IF(ABS(CN174)&gt;0,CN174/$T174,""),"")</f>
        <v>650</v>
      </c>
      <c r="DM174" s="70" t="str">
        <f t="shared" ref="DM174:DM181" si="519">IFERROR(IF(ABS(CO174)&gt;0,CO174/$T174,""),"")</f>
        <v/>
      </c>
      <c r="DN174" s="70">
        <f t="shared" ref="DN174:DN181" si="520">IFERROR(IF(ABS(CP174)&gt;0,CP174/$T174,""),"")</f>
        <v>4350.1769547325102</v>
      </c>
      <c r="DO174" s="70">
        <f t="shared" ref="DO174:DO181" si="521">IFERROR(IF(ABS(CQ174)&gt;0,CQ174/$T174,""),"")</f>
        <v>250</v>
      </c>
      <c r="DP174" s="70">
        <f t="shared" ref="DP174:DP181" si="522">IFERROR(IF(ABS(CR174)&gt;0,CR174/$T174,""),"")</f>
        <v>4600.1769547325102</v>
      </c>
      <c r="DQ174" s="70">
        <f t="shared" ref="DQ174:DQ181" si="523">IFERROR(IF(ABS(CS174)&gt;0,CS174/$T174,""),"")</f>
        <v>9463.6131687242796</v>
      </c>
      <c r="DR174" s="70">
        <f t="shared" ref="DR174:DR181" si="524">IFERROR(IF(ABS(CT174)&gt;0,CT174/$T174,""),"")</f>
        <v>7750.008230452675</v>
      </c>
      <c r="DS174" s="71">
        <f t="shared" ref="DS174:DS181" si="525">IFERROR(IF(ABS(CU174)&gt;0,CU174/$T174,""),"")</f>
        <v>1713.6049382716049</v>
      </c>
      <c r="DT174" s="106">
        <f t="shared" ref="DT174:DT181" si="526">IFERROR(IF(ABS(CE174&gt;0),CE174/$CH174,""),"")</f>
        <v>1.0597962136601733</v>
      </c>
      <c r="DU174" s="92">
        <f t="shared" ref="DU174:DU181" si="527">IFERROR(IF(ABS(CF174&gt;0),CF174/$CH174,""),"")</f>
        <v>2.1284867420907894E-2</v>
      </c>
      <c r="DV174" s="92" t="str">
        <f t="shared" ref="DV174:DV181" si="528">IFERROR(IF(ABS(CG174&gt;0),CG174/$CH174,""),"")</f>
        <v/>
      </c>
      <c r="DW174" s="92">
        <f t="shared" ref="DW174:DW181" si="529">IFERROR(IF(ABS(CH174&gt;0),CH174/$CH174,""),"")</f>
        <v>1</v>
      </c>
      <c r="DX174" s="92">
        <f t="shared" ref="DX174:DX181" si="530">IFERROR(IF(ABS(CI174&gt;0),CI174/$CH174,""),"")</f>
        <v>3.3379002493780445E-2</v>
      </c>
      <c r="DY174" s="92">
        <f t="shared" ref="DY174:DY181" si="531">IFERROR(IF(ABS(CJ174&gt;0),CJ174/$CH174,""),"")</f>
        <v>3.9999988083715472E-2</v>
      </c>
      <c r="DZ174" s="92">
        <f t="shared" ref="DZ174:DZ181" si="532">IFERROR(IF(ABS(CK174&gt;0),CK174/$CH174,""),"")</f>
        <v>9.6556461888296155E-2</v>
      </c>
      <c r="EA174" s="92">
        <f t="shared" ref="EA174:EA181" si="533">IFERROR(IF(ABS(CL174&gt;0),CL174/$CH174,""),"")</f>
        <v>3.820867261229683E-2</v>
      </c>
      <c r="EB174" s="92">
        <f t="shared" ref="EB174:EB181" si="534">IFERROR(IF(ABS(CM174&gt;0),CM174/$CH174,""),"")</f>
        <v>5.9716970368073177E-2</v>
      </c>
      <c r="EC174" s="92">
        <f t="shared" ref="EC174:EC181" si="535">IFERROR(IF(ABS(CN174&gt;0),CN174/$CH174,""),"")</f>
        <v>4.7054428523295291E-2</v>
      </c>
      <c r="ED174" s="92" t="str">
        <f t="shared" ref="ED174:ED181" si="536">IFERROR(IF(ABS(CO174&gt;0),CO174/$CH174,""),"")</f>
        <v/>
      </c>
      <c r="EE174" s="92">
        <f t="shared" ref="EE174:EE181" si="537">IFERROR(IF(ABS(CP174&gt;0),CP174/$CH174,""),"")</f>
        <v>0.31491552396945738</v>
      </c>
      <c r="EF174" s="92">
        <f t="shared" ref="EF174:EF181" si="538">IFERROR(IF(ABS(CQ174&gt;0),CQ174/$CH174,""),"")</f>
        <v>1.8097857124344342E-2</v>
      </c>
      <c r="EG174" s="92">
        <f t="shared" ref="EG174:EG181" si="539">IFERROR(IF(ABS(CR174&gt;0),CR174/$CH174,""),"")</f>
        <v>0.33301338109380174</v>
      </c>
      <c r="EH174" s="92">
        <f t="shared" ref="EH174:EH181" si="540">IFERROR(IF(ABS(CS174&gt;0),CS174/$CH174,""),"")</f>
        <v>0.68508447603054268</v>
      </c>
      <c r="EI174" s="92">
        <f t="shared" ref="EI174:EI181" si="541">IFERROR(IF(ABS(CT174&gt;0),CT174/$CH174,""),"")</f>
        <v>0.56103416666890094</v>
      </c>
      <c r="EJ174" s="122">
        <f t="shared" ref="EJ174:EJ181" si="542">IFERROR(IF(ABS(CU174&gt;0),CU174/$CH174,""),"")</f>
        <v>0.12405030936164166</v>
      </c>
    </row>
    <row r="175" spans="2:140" ht="12" hidden="1" customHeight="1" outlineLevel="1">
      <c r="B175" s="121">
        <v>45189</v>
      </c>
      <c r="C175" s="117">
        <v>23454</v>
      </c>
      <c r="D175" s="50" t="s">
        <v>966</v>
      </c>
      <c r="E175" s="50" t="s">
        <v>967</v>
      </c>
      <c r="F175" s="50" t="s">
        <v>873</v>
      </c>
      <c r="G175" s="50" t="s">
        <v>162</v>
      </c>
      <c r="H175" s="50" t="s">
        <v>968</v>
      </c>
      <c r="I175" s="50" t="s">
        <v>182</v>
      </c>
      <c r="J175" s="52" t="s">
        <v>175</v>
      </c>
      <c r="K175" s="50" t="s">
        <v>176</v>
      </c>
      <c r="L175" s="49">
        <v>6</v>
      </c>
      <c r="M175" s="50" t="s">
        <v>159</v>
      </c>
      <c r="N175" s="50" t="s">
        <v>160</v>
      </c>
      <c r="O175" s="50" t="s">
        <v>160</v>
      </c>
      <c r="P175" s="50" t="s">
        <v>161</v>
      </c>
      <c r="Q175" s="53">
        <v>0.04</v>
      </c>
      <c r="R175" s="49">
        <v>240</v>
      </c>
      <c r="S175" s="49">
        <v>0</v>
      </c>
      <c r="T175" s="54">
        <f t="shared" si="330"/>
        <v>240</v>
      </c>
      <c r="U175" s="55">
        <v>249348</v>
      </c>
      <c r="V175" s="49">
        <v>15.51</v>
      </c>
      <c r="W175" s="56">
        <f t="shared" si="467"/>
        <v>15.473887814313347</v>
      </c>
      <c r="X175" s="49">
        <v>2005</v>
      </c>
      <c r="Y175" s="57" t="s">
        <v>162</v>
      </c>
      <c r="Z175" s="58">
        <v>32000691</v>
      </c>
      <c r="AA175" s="114">
        <f>((22439429*0.0545)/(Table1[[#This Row],[Construction Loan Principal]]))+((9561262*0.0782)/(Table1[[#This Row],[Construction Loan Principal]]))</f>
        <v>6.1581156760021218E-2</v>
      </c>
      <c r="AB175" s="59">
        <v>40</v>
      </c>
      <c r="AC175" s="60">
        <v>40</v>
      </c>
      <c r="AD175" s="61">
        <v>5.45E-2</v>
      </c>
      <c r="AE175" s="62">
        <v>22279429</v>
      </c>
      <c r="AF175" s="63">
        <v>1.1499999999999999</v>
      </c>
      <c r="AG175" s="59"/>
      <c r="AH175" s="60"/>
      <c r="AI175" s="61"/>
      <c r="AJ175" s="64"/>
      <c r="AK175" s="65">
        <f t="shared" si="468"/>
        <v>22279429</v>
      </c>
      <c r="AL175" s="66">
        <v>14895857</v>
      </c>
      <c r="AM175" s="49" t="s">
        <v>969</v>
      </c>
      <c r="AN175" s="67">
        <v>0.87</v>
      </c>
      <c r="AO175" s="62">
        <v>17136318</v>
      </c>
      <c r="AP175" s="62">
        <v>0</v>
      </c>
      <c r="AQ175" s="68">
        <v>4707614</v>
      </c>
      <c r="AR175" s="69">
        <f t="shared" si="469"/>
        <v>92830.954166666663</v>
      </c>
      <c r="AS175" s="70">
        <f t="shared" si="470"/>
        <v>62066.070833333331</v>
      </c>
      <c r="AT175" s="70">
        <f t="shared" si="471"/>
        <v>71401.324999999997</v>
      </c>
      <c r="AU175" s="70" t="str">
        <f t="shared" si="472"/>
        <v/>
      </c>
      <c r="AV175" s="71">
        <f t="shared" si="473"/>
        <v>19615.058333333334</v>
      </c>
      <c r="AW175" s="115">
        <f t="shared" si="474"/>
        <v>45419.79583333333</v>
      </c>
      <c r="AX175" s="116">
        <f t="shared" si="475"/>
        <v>43.717017982899399</v>
      </c>
      <c r="AY175" s="72">
        <f t="shared" si="476"/>
        <v>56956.424999999996</v>
      </c>
      <c r="AZ175" s="73">
        <f t="shared" si="477"/>
        <v>54.821141537128824</v>
      </c>
      <c r="BA175" s="66">
        <v>30571247</v>
      </c>
      <c r="BB175" s="62">
        <v>436988</v>
      </c>
      <c r="BC175" s="62">
        <v>10463763</v>
      </c>
      <c r="BD175" s="62">
        <v>1090075</v>
      </c>
      <c r="BE175" s="62">
        <v>1678716</v>
      </c>
      <c r="BF175" s="62">
        <v>1925269</v>
      </c>
      <c r="BG175" s="62">
        <v>5419610</v>
      </c>
      <c r="BH175" s="62">
        <v>6423551</v>
      </c>
      <c r="BI175" s="62">
        <v>1010000</v>
      </c>
      <c r="BJ175" s="47">
        <f t="shared" si="478"/>
        <v>59019219</v>
      </c>
      <c r="BK175" s="69">
        <f t="shared" si="479"/>
        <v>127380.19583333333</v>
      </c>
      <c r="BL175" s="70">
        <f t="shared" si="480"/>
        <v>1820.7833333333333</v>
      </c>
      <c r="BM175" s="70">
        <f t="shared" si="481"/>
        <v>43599.012499999997</v>
      </c>
      <c r="BN175" s="70">
        <f t="shared" si="482"/>
        <v>4541.979166666667</v>
      </c>
      <c r="BO175" s="70">
        <f t="shared" si="483"/>
        <v>6994.65</v>
      </c>
      <c r="BP175" s="70">
        <f t="shared" si="484"/>
        <v>8021.9541666666664</v>
      </c>
      <c r="BQ175" s="70">
        <f t="shared" si="485"/>
        <v>22581.708333333332</v>
      </c>
      <c r="BR175" s="70">
        <f t="shared" si="486"/>
        <v>26764.795833333334</v>
      </c>
      <c r="BS175" s="70">
        <f t="shared" si="487"/>
        <v>4208.333333333333</v>
      </c>
      <c r="BT175" s="71">
        <f t="shared" si="488"/>
        <v>245913.41250000001</v>
      </c>
      <c r="BU175" s="65">
        <f t="shared" si="489"/>
        <v>122.60474116495821</v>
      </c>
      <c r="BV175" s="48">
        <f t="shared" si="490"/>
        <v>1.7525225788857339</v>
      </c>
      <c r="BW175" s="48">
        <f t="shared" si="491"/>
        <v>41.964495404013668</v>
      </c>
      <c r="BX175" s="48">
        <f t="shared" si="492"/>
        <v>4.3717013972440126</v>
      </c>
      <c r="BY175" s="48">
        <f t="shared" si="493"/>
        <v>6.7324221569854181</v>
      </c>
      <c r="BZ175" s="48">
        <f t="shared" si="494"/>
        <v>7.7212129233039768</v>
      </c>
      <c r="CA175" s="48">
        <f t="shared" si="495"/>
        <v>21.735125206538651</v>
      </c>
      <c r="CB175" s="48">
        <f t="shared" si="496"/>
        <v>25.761389704348943</v>
      </c>
      <c r="CC175" s="48">
        <f t="shared" si="497"/>
        <v>4.0505638705744582</v>
      </c>
      <c r="CD175" s="47">
        <f t="shared" si="498"/>
        <v>236.69417440685308</v>
      </c>
      <c r="CE175" s="66">
        <v>3446064</v>
      </c>
      <c r="CF175" s="62">
        <v>33677</v>
      </c>
      <c r="CG175" s="74">
        <v>-260981</v>
      </c>
      <c r="CH175" s="75">
        <f t="shared" si="499"/>
        <v>3218760</v>
      </c>
      <c r="CI175" s="62">
        <f>129600+9600</f>
        <v>139200</v>
      </c>
      <c r="CJ175" s="62">
        <v>128750</v>
      </c>
      <c r="CK175" s="62">
        <v>420219</v>
      </c>
      <c r="CL175" s="62">
        <v>118800</v>
      </c>
      <c r="CM175" s="62">
        <f>46898+232138</f>
        <v>279036</v>
      </c>
      <c r="CN175" s="62">
        <v>421247</v>
      </c>
      <c r="CO175" s="62">
        <v>0</v>
      </c>
      <c r="CP175" s="75">
        <f t="shared" si="331"/>
        <v>1507252</v>
      </c>
      <c r="CQ175" s="62">
        <v>72000</v>
      </c>
      <c r="CR175" s="75">
        <f t="shared" si="332"/>
        <v>1579252</v>
      </c>
      <c r="CS175" s="75">
        <f t="shared" si="500"/>
        <v>1711508</v>
      </c>
      <c r="CT175" s="62">
        <f>1435780-10238</f>
        <v>1425542</v>
      </c>
      <c r="CU175" s="47">
        <f t="shared" si="501"/>
        <v>285966</v>
      </c>
      <c r="CV175" s="76">
        <f t="shared" si="502"/>
        <v>0.53172898880314157</v>
      </c>
      <c r="CW175" s="75">
        <f t="shared" si="503"/>
        <v>6580.2166666666662</v>
      </c>
      <c r="CX175" s="77">
        <f t="shared" si="504"/>
        <v>0.49063987374019807</v>
      </c>
      <c r="CY175" s="75">
        <f t="shared" si="505"/>
        <v>1191.5250000000001</v>
      </c>
      <c r="CZ175" s="77">
        <f t="shared" si="506"/>
        <v>8.8843529806509336E-2</v>
      </c>
      <c r="DA175" s="77">
        <f t="shared" si="507"/>
        <v>0.44288545899663223</v>
      </c>
      <c r="DB175" s="47">
        <f t="shared" si="508"/>
        <v>92830.954166666663</v>
      </c>
      <c r="DC175" s="69">
        <f t="shared" si="509"/>
        <v>14358.6</v>
      </c>
      <c r="DD175" s="70">
        <f t="shared" si="510"/>
        <v>140.32083333333333</v>
      </c>
      <c r="DE175" s="70">
        <f t="shared" si="511"/>
        <v>-1087.4208333333333</v>
      </c>
      <c r="DF175" s="70">
        <f t="shared" si="512"/>
        <v>13411.5</v>
      </c>
      <c r="DG175" s="70">
        <f t="shared" si="513"/>
        <v>580</v>
      </c>
      <c r="DH175" s="70">
        <f t="shared" si="514"/>
        <v>536.45833333333337</v>
      </c>
      <c r="DI175" s="70">
        <f t="shared" si="515"/>
        <v>1750.9124999999999</v>
      </c>
      <c r="DJ175" s="70">
        <f t="shared" si="516"/>
        <v>495</v>
      </c>
      <c r="DK175" s="70">
        <f t="shared" si="517"/>
        <v>1162.6500000000001</v>
      </c>
      <c r="DL175" s="70">
        <f t="shared" si="518"/>
        <v>1755.1958333333334</v>
      </c>
      <c r="DM175" s="70" t="str">
        <f t="shared" si="519"/>
        <v/>
      </c>
      <c r="DN175" s="70">
        <f t="shared" si="520"/>
        <v>6280.2166666666662</v>
      </c>
      <c r="DO175" s="70">
        <f t="shared" si="521"/>
        <v>300</v>
      </c>
      <c r="DP175" s="70">
        <f t="shared" si="522"/>
        <v>6580.2166666666662</v>
      </c>
      <c r="DQ175" s="70">
        <f t="shared" si="523"/>
        <v>7131.2833333333338</v>
      </c>
      <c r="DR175" s="70">
        <f t="shared" si="524"/>
        <v>5939.7583333333332</v>
      </c>
      <c r="DS175" s="71">
        <f t="shared" si="525"/>
        <v>1191.5250000000001</v>
      </c>
      <c r="DT175" s="106">
        <f t="shared" si="526"/>
        <v>1.0706184990493233</v>
      </c>
      <c r="DU175" s="92">
        <f t="shared" si="527"/>
        <v>1.0462724776000696E-2</v>
      </c>
      <c r="DV175" s="92" t="str">
        <f t="shared" si="528"/>
        <v/>
      </c>
      <c r="DW175" s="92">
        <f t="shared" si="529"/>
        <v>1</v>
      </c>
      <c r="DX175" s="92">
        <f t="shared" si="530"/>
        <v>4.3246467583790034E-2</v>
      </c>
      <c r="DY175" s="92">
        <f t="shared" si="531"/>
        <v>3.9999875728541426E-2</v>
      </c>
      <c r="DZ175" s="92">
        <f t="shared" si="532"/>
        <v>0.13055307012638406</v>
      </c>
      <c r="EA175" s="92">
        <f t="shared" si="533"/>
        <v>3.6908623196510455E-2</v>
      </c>
      <c r="EB175" s="92">
        <f t="shared" si="534"/>
        <v>8.6690526786712893E-2</v>
      </c>
      <c r="EC175" s="92">
        <f t="shared" si="535"/>
        <v>0.13087244777491955</v>
      </c>
      <c r="ED175" s="92" t="str">
        <f t="shared" si="536"/>
        <v/>
      </c>
      <c r="EE175" s="92">
        <f t="shared" si="537"/>
        <v>0.46827101119685843</v>
      </c>
      <c r="EF175" s="92">
        <f t="shared" si="538"/>
        <v>2.2368862543339672E-2</v>
      </c>
      <c r="EG175" s="92">
        <f t="shared" si="539"/>
        <v>0.49063987374019807</v>
      </c>
      <c r="EH175" s="92">
        <f t="shared" si="540"/>
        <v>0.53172898880314157</v>
      </c>
      <c r="EI175" s="92">
        <f t="shared" si="541"/>
        <v>0.44288545899663223</v>
      </c>
      <c r="EJ175" s="122">
        <f t="shared" si="542"/>
        <v>8.8843529806509336E-2</v>
      </c>
    </row>
    <row r="176" spans="2:140" ht="12" hidden="1" customHeight="1" outlineLevel="1">
      <c r="B176" s="121">
        <v>45190</v>
      </c>
      <c r="C176" s="117">
        <v>22254</v>
      </c>
      <c r="D176" s="50" t="s">
        <v>970</v>
      </c>
      <c r="E176" s="50" t="s">
        <v>451</v>
      </c>
      <c r="F176" s="50" t="s">
        <v>971</v>
      </c>
      <c r="G176" s="50" t="s">
        <v>972</v>
      </c>
      <c r="H176" s="50" t="s">
        <v>731</v>
      </c>
      <c r="I176" s="50" t="s">
        <v>593</v>
      </c>
      <c r="J176" s="52" t="s">
        <v>973</v>
      </c>
      <c r="K176" s="50" t="s">
        <v>974</v>
      </c>
      <c r="L176" s="49">
        <v>6</v>
      </c>
      <c r="M176" s="50" t="s">
        <v>159</v>
      </c>
      <c r="N176" s="50" t="s">
        <v>244</v>
      </c>
      <c r="O176" s="50" t="s">
        <v>160</v>
      </c>
      <c r="P176" s="50" t="s">
        <v>273</v>
      </c>
      <c r="Q176" s="53">
        <v>0.09</v>
      </c>
      <c r="R176" s="49">
        <v>48</v>
      </c>
      <c r="S176" s="49">
        <v>0</v>
      </c>
      <c r="T176" s="54">
        <f t="shared" si="330"/>
        <v>48</v>
      </c>
      <c r="U176" s="55">
        <v>35333</v>
      </c>
      <c r="V176" s="49">
        <v>1.8</v>
      </c>
      <c r="W176" s="56">
        <f t="shared" si="467"/>
        <v>26.666666666666664</v>
      </c>
      <c r="X176" s="49">
        <v>1930</v>
      </c>
      <c r="Y176" s="57" t="s">
        <v>162</v>
      </c>
      <c r="Z176" s="58">
        <v>2430000</v>
      </c>
      <c r="AA176" s="114">
        <v>5.2499999999999998E-2</v>
      </c>
      <c r="AB176" s="59">
        <v>15</v>
      </c>
      <c r="AC176" s="60">
        <v>40</v>
      </c>
      <c r="AD176" s="61">
        <v>5.2499999999999998E-2</v>
      </c>
      <c r="AE176" s="62">
        <v>2430000</v>
      </c>
      <c r="AF176" s="63">
        <v>1.22</v>
      </c>
      <c r="AG176" s="59"/>
      <c r="AH176" s="60"/>
      <c r="AI176" s="61"/>
      <c r="AJ176" s="64"/>
      <c r="AK176" s="65">
        <f t="shared" si="468"/>
        <v>2430000</v>
      </c>
      <c r="AL176" s="66">
        <v>500</v>
      </c>
      <c r="AM176" s="49" t="s">
        <v>975</v>
      </c>
      <c r="AN176" s="67">
        <v>0.89</v>
      </c>
      <c r="AO176" s="62">
        <v>14031335</v>
      </c>
      <c r="AP176" s="62">
        <v>0</v>
      </c>
      <c r="AQ176" s="68">
        <v>288924</v>
      </c>
      <c r="AR176" s="69">
        <f t="shared" si="469"/>
        <v>50625</v>
      </c>
      <c r="AS176" s="70">
        <f t="shared" si="470"/>
        <v>10.416666666666666</v>
      </c>
      <c r="AT176" s="70">
        <f t="shared" si="471"/>
        <v>292319.47916666669</v>
      </c>
      <c r="AU176" s="70" t="str">
        <f t="shared" si="472"/>
        <v/>
      </c>
      <c r="AV176" s="71">
        <f t="shared" si="473"/>
        <v>6019.25</v>
      </c>
      <c r="AW176" s="115">
        <f t="shared" si="474"/>
        <v>165859.89583333334</v>
      </c>
      <c r="AX176" s="116">
        <f t="shared" si="475"/>
        <v>225.32122944556082</v>
      </c>
      <c r="AY176" s="72">
        <f t="shared" si="476"/>
        <v>205053.29166666666</v>
      </c>
      <c r="AZ176" s="73">
        <f t="shared" si="477"/>
        <v>278.56559024141734</v>
      </c>
      <c r="BA176" s="66">
        <v>1500000</v>
      </c>
      <c r="BB176" s="62">
        <v>1368076</v>
      </c>
      <c r="BC176" s="62">
        <v>6593199</v>
      </c>
      <c r="BD176" s="62">
        <v>796028</v>
      </c>
      <c r="BE176" s="62">
        <v>1085255</v>
      </c>
      <c r="BF176" s="62">
        <v>1150967</v>
      </c>
      <c r="BG176" s="62">
        <v>1197412</v>
      </c>
      <c r="BH176" s="62">
        <v>2326899</v>
      </c>
      <c r="BI176" s="62">
        <v>392077</v>
      </c>
      <c r="BJ176" s="47">
        <f t="shared" si="478"/>
        <v>16409913</v>
      </c>
      <c r="BK176" s="69">
        <f t="shared" si="479"/>
        <v>31250</v>
      </c>
      <c r="BL176" s="70">
        <f t="shared" si="480"/>
        <v>28501.583333333332</v>
      </c>
      <c r="BM176" s="70">
        <f t="shared" si="481"/>
        <v>137358.3125</v>
      </c>
      <c r="BN176" s="70">
        <f t="shared" si="482"/>
        <v>16583.916666666668</v>
      </c>
      <c r="BO176" s="70">
        <f t="shared" si="483"/>
        <v>22609.479166666668</v>
      </c>
      <c r="BP176" s="70">
        <f t="shared" si="484"/>
        <v>23978.479166666668</v>
      </c>
      <c r="BQ176" s="70">
        <f t="shared" si="485"/>
        <v>24946.083333333332</v>
      </c>
      <c r="BR176" s="70">
        <f t="shared" si="486"/>
        <v>48477.0625</v>
      </c>
      <c r="BS176" s="70">
        <f t="shared" si="487"/>
        <v>8168.270833333333</v>
      </c>
      <c r="BT176" s="71">
        <f t="shared" si="488"/>
        <v>341873.1875</v>
      </c>
      <c r="BU176" s="65">
        <f t="shared" si="489"/>
        <v>42.453230690855577</v>
      </c>
      <c r="BV176" s="48">
        <f t="shared" si="490"/>
        <v>38.719497353748622</v>
      </c>
      <c r="BW176" s="48">
        <f t="shared" si="491"/>
        <v>186.60173209181218</v>
      </c>
      <c r="BX176" s="48">
        <f t="shared" si="492"/>
        <v>22.529306880253586</v>
      </c>
      <c r="BY176" s="48">
        <f t="shared" si="493"/>
        <v>30.715053915602976</v>
      </c>
      <c r="BZ176" s="48">
        <f t="shared" si="494"/>
        <v>32.574845045707981</v>
      </c>
      <c r="CA176" s="48">
        <f t="shared" si="495"/>
        <v>33.889338578665836</v>
      </c>
      <c r="CB176" s="48">
        <f t="shared" si="496"/>
        <v>65.856253360880757</v>
      </c>
      <c r="CC176" s="48">
        <f t="shared" si="497"/>
        <v>11.096623553052387</v>
      </c>
      <c r="CD176" s="47">
        <f t="shared" si="498"/>
        <v>464.43588147057989</v>
      </c>
      <c r="CE176" s="66">
        <v>436656</v>
      </c>
      <c r="CF176" s="62">
        <v>17280</v>
      </c>
      <c r="CG176" s="74">
        <v>-34045</v>
      </c>
      <c r="CH176" s="75">
        <f t="shared" si="499"/>
        <v>419891</v>
      </c>
      <c r="CI176" s="62">
        <f>20400+0+1920</f>
        <v>22320</v>
      </c>
      <c r="CJ176" s="62">
        <v>20995</v>
      </c>
      <c r="CK176" s="62">
        <v>60000</v>
      </c>
      <c r="CL176" s="62">
        <v>31200</v>
      </c>
      <c r="CM176" s="62">
        <f>9600+26400</f>
        <v>36000</v>
      </c>
      <c r="CN176" s="62">
        <v>16253</v>
      </c>
      <c r="CO176" s="62">
        <v>41359</v>
      </c>
      <c r="CP176" s="75">
        <f t="shared" si="331"/>
        <v>228127</v>
      </c>
      <c r="CQ176" s="62">
        <v>14400</v>
      </c>
      <c r="CR176" s="75">
        <f t="shared" si="332"/>
        <v>242527</v>
      </c>
      <c r="CS176" s="75">
        <f t="shared" si="500"/>
        <v>191764</v>
      </c>
      <c r="CT176" s="62">
        <v>145471</v>
      </c>
      <c r="CU176" s="47">
        <f t="shared" si="501"/>
        <v>46293</v>
      </c>
      <c r="CV176" s="76">
        <f t="shared" si="502"/>
        <v>0.45669947676897099</v>
      </c>
      <c r="CW176" s="75">
        <f t="shared" si="503"/>
        <v>5052.645833333333</v>
      </c>
      <c r="CX176" s="77">
        <f t="shared" si="504"/>
        <v>0.57759513778575866</v>
      </c>
      <c r="CY176" s="75">
        <f t="shared" si="505"/>
        <v>964.4375</v>
      </c>
      <c r="CZ176" s="77">
        <f t="shared" si="506"/>
        <v>0.11025004108209036</v>
      </c>
      <c r="DA176" s="77">
        <f t="shared" si="507"/>
        <v>0.34644943568688064</v>
      </c>
      <c r="DB176" s="47">
        <f t="shared" si="508"/>
        <v>50625</v>
      </c>
      <c r="DC176" s="69">
        <f t="shared" si="509"/>
        <v>9097</v>
      </c>
      <c r="DD176" s="70">
        <f t="shared" si="510"/>
        <v>360</v>
      </c>
      <c r="DE176" s="70">
        <f t="shared" si="511"/>
        <v>-709.27083333333337</v>
      </c>
      <c r="DF176" s="70">
        <f t="shared" si="512"/>
        <v>8747.7291666666661</v>
      </c>
      <c r="DG176" s="70">
        <f t="shared" si="513"/>
        <v>465</v>
      </c>
      <c r="DH176" s="70">
        <f t="shared" si="514"/>
        <v>437.39583333333331</v>
      </c>
      <c r="DI176" s="70">
        <f t="shared" si="515"/>
        <v>1250</v>
      </c>
      <c r="DJ176" s="70">
        <f t="shared" si="516"/>
        <v>650</v>
      </c>
      <c r="DK176" s="70">
        <f t="shared" si="517"/>
        <v>750</v>
      </c>
      <c r="DL176" s="70">
        <f t="shared" si="518"/>
        <v>338.60416666666669</v>
      </c>
      <c r="DM176" s="70">
        <f t="shared" si="519"/>
        <v>861.64583333333337</v>
      </c>
      <c r="DN176" s="70">
        <f t="shared" si="520"/>
        <v>4752.645833333333</v>
      </c>
      <c r="DO176" s="70">
        <f t="shared" si="521"/>
        <v>300</v>
      </c>
      <c r="DP176" s="70">
        <f t="shared" si="522"/>
        <v>5052.645833333333</v>
      </c>
      <c r="DQ176" s="70">
        <f t="shared" si="523"/>
        <v>3995.0833333333335</v>
      </c>
      <c r="DR176" s="70">
        <f t="shared" si="524"/>
        <v>3030.6458333333335</v>
      </c>
      <c r="DS176" s="71">
        <f t="shared" si="525"/>
        <v>964.4375</v>
      </c>
      <c r="DT176" s="106">
        <f t="shared" si="526"/>
        <v>1.039927028681253</v>
      </c>
      <c r="DU176" s="92">
        <f t="shared" si="527"/>
        <v>4.1153537465675613E-2</v>
      </c>
      <c r="DV176" s="92" t="str">
        <f t="shared" si="528"/>
        <v/>
      </c>
      <c r="DW176" s="92">
        <f t="shared" si="529"/>
        <v>1</v>
      </c>
      <c r="DX176" s="92">
        <f t="shared" si="530"/>
        <v>5.3156652559831007E-2</v>
      </c>
      <c r="DY176" s="92">
        <f t="shared" si="531"/>
        <v>5.0001071706704835E-2</v>
      </c>
      <c r="DZ176" s="92">
        <f t="shared" si="532"/>
        <v>0.14289422731137366</v>
      </c>
      <c r="EA176" s="92">
        <f t="shared" si="533"/>
        <v>7.4304998201914302E-2</v>
      </c>
      <c r="EB176" s="92">
        <f t="shared" si="534"/>
        <v>8.57365363868242E-2</v>
      </c>
      <c r="EC176" s="92">
        <f t="shared" si="535"/>
        <v>3.8707664608195934E-2</v>
      </c>
      <c r="ED176" s="92">
        <f t="shared" si="536"/>
        <v>9.8499372456185064E-2</v>
      </c>
      <c r="EE176" s="92">
        <f t="shared" si="537"/>
        <v>0.54330052323102895</v>
      </c>
      <c r="EF176" s="92">
        <f t="shared" si="538"/>
        <v>3.429461455472968E-2</v>
      </c>
      <c r="EG176" s="92">
        <f t="shared" si="539"/>
        <v>0.57759513778575866</v>
      </c>
      <c r="EH176" s="92">
        <f t="shared" si="540"/>
        <v>0.45669947676897099</v>
      </c>
      <c r="EI176" s="92">
        <f t="shared" si="541"/>
        <v>0.34644943568688064</v>
      </c>
      <c r="EJ176" s="122">
        <f t="shared" si="542"/>
        <v>0.11025004108209036</v>
      </c>
    </row>
    <row r="177" spans="2:140" ht="12" hidden="1" customHeight="1" outlineLevel="1">
      <c r="B177" s="121">
        <v>45194</v>
      </c>
      <c r="C177" s="117">
        <v>22204</v>
      </c>
      <c r="D177" s="50" t="s">
        <v>976</v>
      </c>
      <c r="E177" s="50" t="s">
        <v>977</v>
      </c>
      <c r="F177" s="50" t="s">
        <v>163</v>
      </c>
      <c r="G177" s="50" t="s">
        <v>162</v>
      </c>
      <c r="H177" s="50" t="s">
        <v>978</v>
      </c>
      <c r="I177" s="50" t="s">
        <v>573</v>
      </c>
      <c r="J177" s="52" t="s">
        <v>600</v>
      </c>
      <c r="K177" s="50" t="s">
        <v>601</v>
      </c>
      <c r="L177" s="49">
        <v>11</v>
      </c>
      <c r="M177" s="50" t="s">
        <v>283</v>
      </c>
      <c r="N177" s="50" t="s">
        <v>160</v>
      </c>
      <c r="O177" s="50" t="s">
        <v>318</v>
      </c>
      <c r="P177" s="50" t="s">
        <v>231</v>
      </c>
      <c r="Q177" s="53">
        <v>0.09</v>
      </c>
      <c r="R177" s="49">
        <v>60</v>
      </c>
      <c r="S177" s="49">
        <v>0</v>
      </c>
      <c r="T177" s="54">
        <f t="shared" si="330"/>
        <v>60</v>
      </c>
      <c r="U177" s="55">
        <v>58836</v>
      </c>
      <c r="V177" s="49">
        <v>4.0890000000000004</v>
      </c>
      <c r="W177" s="56">
        <f t="shared" si="467"/>
        <v>14.673514306676447</v>
      </c>
      <c r="X177" s="49" t="s">
        <v>163</v>
      </c>
      <c r="Y177" s="57" t="s">
        <v>162</v>
      </c>
      <c r="Z177" s="58">
        <f>3250000+1257000</f>
        <v>4507000</v>
      </c>
      <c r="AA177" s="114" t="s">
        <v>979</v>
      </c>
      <c r="AB177" s="59">
        <v>40</v>
      </c>
      <c r="AC177" s="60">
        <v>40</v>
      </c>
      <c r="AD177" s="61">
        <v>3.15E-2</v>
      </c>
      <c r="AE177" s="62">
        <v>3250000</v>
      </c>
      <c r="AF177" s="63">
        <v>2.2200000000000002</v>
      </c>
      <c r="AG177" s="59">
        <v>40</v>
      </c>
      <c r="AH177" s="60">
        <v>40</v>
      </c>
      <c r="AI177" s="61">
        <v>5.0000000000000001E-3</v>
      </c>
      <c r="AJ177" s="64">
        <v>1257000</v>
      </c>
      <c r="AK177" s="65">
        <f t="shared" si="468"/>
        <v>4507000</v>
      </c>
      <c r="AL177" s="66">
        <v>450000</v>
      </c>
      <c r="AM177" s="49" t="s">
        <v>980</v>
      </c>
      <c r="AN177" s="67">
        <v>0.91</v>
      </c>
      <c r="AO177" s="62">
        <v>13756573</v>
      </c>
      <c r="AP177" s="62">
        <v>0</v>
      </c>
      <c r="AQ177" s="68">
        <v>195113</v>
      </c>
      <c r="AR177" s="69">
        <f t="shared" si="469"/>
        <v>75116.666666666672</v>
      </c>
      <c r="AS177" s="70">
        <f t="shared" si="470"/>
        <v>7500</v>
      </c>
      <c r="AT177" s="70">
        <f t="shared" si="471"/>
        <v>229276.21666666667</v>
      </c>
      <c r="AU177" s="70" t="str">
        <f t="shared" si="472"/>
        <v/>
      </c>
      <c r="AV177" s="71">
        <f t="shared" si="473"/>
        <v>3251.8833333333332</v>
      </c>
      <c r="AW177" s="115">
        <f t="shared" si="474"/>
        <v>169329.66666666666</v>
      </c>
      <c r="AX177" s="116">
        <f t="shared" si="475"/>
        <v>172.67965191379429</v>
      </c>
      <c r="AY177" s="72">
        <f t="shared" si="476"/>
        <v>202687.61666666667</v>
      </c>
      <c r="AZ177" s="73">
        <f t="shared" si="477"/>
        <v>206.69754911958665</v>
      </c>
      <c r="BA177" s="66">
        <v>500000</v>
      </c>
      <c r="BB177" s="62">
        <v>2149240</v>
      </c>
      <c r="BC177" s="62">
        <v>8010540</v>
      </c>
      <c r="BD177" s="62">
        <v>507989</v>
      </c>
      <c r="BE177" s="62">
        <v>1493488</v>
      </c>
      <c r="BF177" s="62">
        <v>2198000</v>
      </c>
      <c r="BG177" s="62">
        <v>1169627</v>
      </c>
      <c r="BH177" s="62">
        <v>2082159</v>
      </c>
      <c r="BI177" s="62">
        <v>235000</v>
      </c>
      <c r="BJ177" s="47">
        <f t="shared" si="478"/>
        <v>18346043</v>
      </c>
      <c r="BK177" s="69">
        <f t="shared" si="479"/>
        <v>8333.3333333333339</v>
      </c>
      <c r="BL177" s="70">
        <f t="shared" si="480"/>
        <v>35820.666666666664</v>
      </c>
      <c r="BM177" s="70">
        <f t="shared" si="481"/>
        <v>133509</v>
      </c>
      <c r="BN177" s="70">
        <f t="shared" si="482"/>
        <v>8466.4833333333336</v>
      </c>
      <c r="BO177" s="70">
        <f t="shared" si="483"/>
        <v>24891.466666666667</v>
      </c>
      <c r="BP177" s="70">
        <f t="shared" si="484"/>
        <v>36633.333333333336</v>
      </c>
      <c r="BQ177" s="70">
        <f t="shared" si="485"/>
        <v>19493.783333333333</v>
      </c>
      <c r="BR177" s="70">
        <f t="shared" si="486"/>
        <v>34702.65</v>
      </c>
      <c r="BS177" s="70">
        <f t="shared" si="487"/>
        <v>3916.6666666666665</v>
      </c>
      <c r="BT177" s="71">
        <f t="shared" si="488"/>
        <v>305767.38333333336</v>
      </c>
      <c r="BU177" s="65">
        <f t="shared" si="489"/>
        <v>8.4981983819430287</v>
      </c>
      <c r="BV177" s="48">
        <f t="shared" si="490"/>
        <v>36.529335780814471</v>
      </c>
      <c r="BW177" s="48">
        <f t="shared" si="491"/>
        <v>136.15031613297981</v>
      </c>
      <c r="BX177" s="48">
        <f t="shared" si="492"/>
        <v>8.633982595689714</v>
      </c>
      <c r="BY177" s="48">
        <f t="shared" si="493"/>
        <v>25.383914610102657</v>
      </c>
      <c r="BZ177" s="48">
        <f t="shared" si="494"/>
        <v>37.358080087021548</v>
      </c>
      <c r="CA177" s="48">
        <f t="shared" si="495"/>
        <v>19.879444557753757</v>
      </c>
      <c r="CB177" s="48">
        <f t="shared" si="496"/>
        <v>35.389200489496226</v>
      </c>
      <c r="CC177" s="48">
        <f t="shared" si="497"/>
        <v>3.9941532395132233</v>
      </c>
      <c r="CD177" s="47">
        <f t="shared" si="498"/>
        <v>311.81662587531446</v>
      </c>
      <c r="CE177" s="66">
        <v>718488</v>
      </c>
      <c r="CF177" s="62">
        <v>10800</v>
      </c>
      <c r="CG177" s="74">
        <v>-54697</v>
      </c>
      <c r="CH177" s="75">
        <f t="shared" si="499"/>
        <v>674591</v>
      </c>
      <c r="CI177" s="62">
        <f>32500+7500+1760</f>
        <v>41760</v>
      </c>
      <c r="CJ177" s="62">
        <v>27506</v>
      </c>
      <c r="CK177" s="62">
        <v>90000</v>
      </c>
      <c r="CL177" s="62">
        <v>40500</v>
      </c>
      <c r="CM177" s="62">
        <f>10000+42500</f>
        <v>52500</v>
      </c>
      <c r="CN177" s="62">
        <v>35000</v>
      </c>
      <c r="CO177" s="62">
        <v>25000</v>
      </c>
      <c r="CP177" s="75">
        <f t="shared" si="331"/>
        <v>312266</v>
      </c>
      <c r="CQ177" s="62">
        <v>15000</v>
      </c>
      <c r="CR177" s="75">
        <f t="shared" si="332"/>
        <v>327266</v>
      </c>
      <c r="CS177" s="75">
        <f t="shared" si="500"/>
        <v>362325</v>
      </c>
      <c r="CT177" s="62">
        <v>185883</v>
      </c>
      <c r="CU177" s="47">
        <f t="shared" si="501"/>
        <v>176442</v>
      </c>
      <c r="CV177" s="76">
        <f t="shared" si="502"/>
        <v>0.53710322254521625</v>
      </c>
      <c r="CW177" s="75">
        <f t="shared" si="503"/>
        <v>5454.4333333333334</v>
      </c>
      <c r="CX177" s="77">
        <f t="shared" si="504"/>
        <v>0.48513247286133376</v>
      </c>
      <c r="CY177" s="75">
        <f t="shared" si="505"/>
        <v>2940.7</v>
      </c>
      <c r="CZ177" s="77">
        <f t="shared" si="506"/>
        <v>0.26155403792816684</v>
      </c>
      <c r="DA177" s="77">
        <f t="shared" si="507"/>
        <v>0.27554918461704941</v>
      </c>
      <c r="DB177" s="47">
        <f t="shared" si="508"/>
        <v>75116.666666666672</v>
      </c>
      <c r="DC177" s="69">
        <f t="shared" si="509"/>
        <v>11974.8</v>
      </c>
      <c r="DD177" s="70">
        <f t="shared" si="510"/>
        <v>180</v>
      </c>
      <c r="DE177" s="70">
        <f t="shared" si="511"/>
        <v>-911.61666666666667</v>
      </c>
      <c r="DF177" s="70">
        <f t="shared" si="512"/>
        <v>11243.183333333332</v>
      </c>
      <c r="DG177" s="70">
        <f t="shared" si="513"/>
        <v>696</v>
      </c>
      <c r="DH177" s="70">
        <f t="shared" si="514"/>
        <v>458.43333333333334</v>
      </c>
      <c r="DI177" s="70">
        <f t="shared" si="515"/>
        <v>1500</v>
      </c>
      <c r="DJ177" s="70">
        <f t="shared" si="516"/>
        <v>675</v>
      </c>
      <c r="DK177" s="70">
        <f t="shared" si="517"/>
        <v>875</v>
      </c>
      <c r="DL177" s="70">
        <f t="shared" si="518"/>
        <v>583.33333333333337</v>
      </c>
      <c r="DM177" s="70">
        <f t="shared" si="519"/>
        <v>416.66666666666669</v>
      </c>
      <c r="DN177" s="70">
        <f t="shared" si="520"/>
        <v>5204.4333333333334</v>
      </c>
      <c r="DO177" s="70">
        <f t="shared" si="521"/>
        <v>250</v>
      </c>
      <c r="DP177" s="70">
        <f t="shared" si="522"/>
        <v>5454.4333333333334</v>
      </c>
      <c r="DQ177" s="70">
        <f t="shared" si="523"/>
        <v>6038.75</v>
      </c>
      <c r="DR177" s="70">
        <f t="shared" si="524"/>
        <v>3098.05</v>
      </c>
      <c r="DS177" s="71">
        <f t="shared" si="525"/>
        <v>2940.7</v>
      </c>
      <c r="DT177" s="106">
        <f t="shared" si="526"/>
        <v>1.0650720214174219</v>
      </c>
      <c r="DU177" s="92">
        <f t="shared" si="527"/>
        <v>1.6009700692716032E-2</v>
      </c>
      <c r="DV177" s="92" t="str">
        <f t="shared" si="528"/>
        <v/>
      </c>
      <c r="DW177" s="92">
        <f t="shared" si="529"/>
        <v>1</v>
      </c>
      <c r="DX177" s="92">
        <f t="shared" si="530"/>
        <v>6.1904176011835323E-2</v>
      </c>
      <c r="DY177" s="92">
        <f t="shared" si="531"/>
        <v>4.07743358568377E-2</v>
      </c>
      <c r="DZ177" s="92">
        <f t="shared" si="532"/>
        <v>0.13341417243930026</v>
      </c>
      <c r="EA177" s="92">
        <f t="shared" si="533"/>
        <v>6.0036377597685119E-2</v>
      </c>
      <c r="EB177" s="92">
        <f t="shared" si="534"/>
        <v>7.7824933922925152E-2</v>
      </c>
      <c r="EC177" s="92">
        <f t="shared" si="535"/>
        <v>5.1883289281950101E-2</v>
      </c>
      <c r="ED177" s="92">
        <f t="shared" si="536"/>
        <v>3.7059492344250072E-2</v>
      </c>
      <c r="EE177" s="92">
        <f t="shared" si="537"/>
        <v>0.46289677745478369</v>
      </c>
      <c r="EF177" s="92">
        <f t="shared" si="538"/>
        <v>2.2235695406550043E-2</v>
      </c>
      <c r="EG177" s="92">
        <f t="shared" si="539"/>
        <v>0.48513247286133376</v>
      </c>
      <c r="EH177" s="92">
        <f t="shared" si="540"/>
        <v>0.53710322254521625</v>
      </c>
      <c r="EI177" s="92">
        <f t="shared" si="541"/>
        <v>0.27554918461704941</v>
      </c>
      <c r="EJ177" s="122">
        <f t="shared" si="542"/>
        <v>0.26155403792816684</v>
      </c>
    </row>
    <row r="178" spans="2:140" ht="12" hidden="1" customHeight="1" outlineLevel="1">
      <c r="B178" s="121">
        <v>45198</v>
      </c>
      <c r="C178" s="117" t="s">
        <v>981</v>
      </c>
      <c r="D178" s="50" t="s">
        <v>982</v>
      </c>
      <c r="E178" s="50" t="s">
        <v>983</v>
      </c>
      <c r="F178" s="50" t="s">
        <v>983</v>
      </c>
      <c r="G178" s="50" t="s">
        <v>154</v>
      </c>
      <c r="H178" s="50" t="s">
        <v>984</v>
      </c>
      <c r="I178" s="50" t="s">
        <v>540</v>
      </c>
      <c r="J178" s="52" t="s">
        <v>985</v>
      </c>
      <c r="K178" s="50" t="s">
        <v>986</v>
      </c>
      <c r="L178" s="49">
        <v>12</v>
      </c>
      <c r="M178" s="50" t="s">
        <v>159</v>
      </c>
      <c r="N178" s="50" t="s">
        <v>160</v>
      </c>
      <c r="O178" s="50" t="s">
        <v>580</v>
      </c>
      <c r="P178" s="50" t="s">
        <v>231</v>
      </c>
      <c r="Q178" s="53">
        <v>0.09</v>
      </c>
      <c r="R178" s="49">
        <v>80</v>
      </c>
      <c r="S178" s="49">
        <v>0</v>
      </c>
      <c r="T178" s="54">
        <f t="shared" si="330"/>
        <v>80</v>
      </c>
      <c r="U178" s="55">
        <v>83464</v>
      </c>
      <c r="V178" s="49">
        <v>6.7</v>
      </c>
      <c r="W178" s="56">
        <f t="shared" si="467"/>
        <v>11.940298507462686</v>
      </c>
      <c r="X178" s="49" t="s">
        <v>163</v>
      </c>
      <c r="Y178" s="57" t="s">
        <v>162</v>
      </c>
      <c r="Z178" s="58">
        <v>5000000</v>
      </c>
      <c r="AA178" s="114">
        <v>4.4999999999999998E-2</v>
      </c>
      <c r="AB178" s="59">
        <v>15</v>
      </c>
      <c r="AC178" s="60">
        <v>35</v>
      </c>
      <c r="AD178" s="61">
        <v>4.4999999999999998E-2</v>
      </c>
      <c r="AE178" s="62">
        <v>5000000</v>
      </c>
      <c r="AF178" s="63">
        <v>1.21</v>
      </c>
      <c r="AG178" s="59"/>
      <c r="AH178" s="60"/>
      <c r="AI178" s="61"/>
      <c r="AJ178" s="64"/>
      <c r="AK178" s="65">
        <f t="shared" si="468"/>
        <v>5000000</v>
      </c>
      <c r="AL178" s="66">
        <v>500</v>
      </c>
      <c r="AM178" s="49" t="s">
        <v>987</v>
      </c>
      <c r="AN178" s="67">
        <v>0.85</v>
      </c>
      <c r="AO178" s="62">
        <v>14271567</v>
      </c>
      <c r="AP178" s="62">
        <v>0</v>
      </c>
      <c r="AQ178" s="68">
        <v>440935</v>
      </c>
      <c r="AR178" s="69">
        <f t="shared" si="469"/>
        <v>62500</v>
      </c>
      <c r="AS178" s="70">
        <f t="shared" si="470"/>
        <v>6.25</v>
      </c>
      <c r="AT178" s="70">
        <f t="shared" si="471"/>
        <v>178394.58749999999</v>
      </c>
      <c r="AU178" s="70" t="str">
        <f t="shared" si="472"/>
        <v/>
      </c>
      <c r="AV178" s="71">
        <f t="shared" si="473"/>
        <v>5511.6875</v>
      </c>
      <c r="AW178" s="115">
        <f t="shared" si="474"/>
        <v>112012.5</v>
      </c>
      <c r="AX178" s="116">
        <f t="shared" si="475"/>
        <v>107.36365379085593</v>
      </c>
      <c r="AY178" s="72">
        <f t="shared" si="476"/>
        <v>134078.96249999999</v>
      </c>
      <c r="AZ178" s="73">
        <f t="shared" si="477"/>
        <v>128.51429358765455</v>
      </c>
      <c r="BA178" s="66">
        <v>3750000</v>
      </c>
      <c r="BB178" s="62">
        <v>2153000</v>
      </c>
      <c r="BC178" s="62">
        <v>6808000</v>
      </c>
      <c r="BD178" s="62">
        <v>448050</v>
      </c>
      <c r="BE178" s="62">
        <v>1317267</v>
      </c>
      <c r="BF178" s="62">
        <v>1400000</v>
      </c>
      <c r="BG178" s="62">
        <v>1253750</v>
      </c>
      <c r="BH178" s="62">
        <v>1879500</v>
      </c>
      <c r="BI178" s="62">
        <v>262500</v>
      </c>
      <c r="BJ178" s="47">
        <f t="shared" si="478"/>
        <v>19272067</v>
      </c>
      <c r="BK178" s="69">
        <f t="shared" si="479"/>
        <v>46875</v>
      </c>
      <c r="BL178" s="70">
        <f t="shared" si="480"/>
        <v>26912.5</v>
      </c>
      <c r="BM178" s="70">
        <f t="shared" si="481"/>
        <v>85100</v>
      </c>
      <c r="BN178" s="70">
        <f t="shared" si="482"/>
        <v>5600.625</v>
      </c>
      <c r="BO178" s="70">
        <f t="shared" si="483"/>
        <v>16465.837500000001</v>
      </c>
      <c r="BP178" s="70">
        <f t="shared" si="484"/>
        <v>17500</v>
      </c>
      <c r="BQ178" s="70">
        <f t="shared" si="485"/>
        <v>15671.875</v>
      </c>
      <c r="BR178" s="70">
        <f t="shared" si="486"/>
        <v>23493.75</v>
      </c>
      <c r="BS178" s="70">
        <f t="shared" si="487"/>
        <v>3281.25</v>
      </c>
      <c r="BT178" s="71">
        <f t="shared" si="488"/>
        <v>240900.83749999999</v>
      </c>
      <c r="BU178" s="65">
        <f t="shared" si="489"/>
        <v>44.929550464871085</v>
      </c>
      <c r="BV178" s="48">
        <f t="shared" si="490"/>
        <v>25.795552573564649</v>
      </c>
      <c r="BW178" s="48">
        <f t="shared" si="491"/>
        <v>81.568101217291286</v>
      </c>
      <c r="BX178" s="48">
        <f t="shared" si="492"/>
        <v>5.3681826895427971</v>
      </c>
      <c r="BY178" s="48">
        <f t="shared" si="493"/>
        <v>15.782457107255823</v>
      </c>
      <c r="BZ178" s="48">
        <f t="shared" si="494"/>
        <v>16.773698840218536</v>
      </c>
      <c r="CA178" s="48">
        <f t="shared" si="495"/>
        <v>15.021446372088565</v>
      </c>
      <c r="CB178" s="48">
        <f t="shared" si="496"/>
        <v>22.518690692993385</v>
      </c>
      <c r="CC178" s="48">
        <f t="shared" si="497"/>
        <v>3.145068532540976</v>
      </c>
      <c r="CD178" s="47">
        <f t="shared" si="498"/>
        <v>230.90274849036712</v>
      </c>
      <c r="CE178" s="66">
        <v>772536</v>
      </c>
      <c r="CF178" s="62">
        <f>9600+9600</f>
        <v>19200</v>
      </c>
      <c r="CG178" s="74">
        <v>-59380</v>
      </c>
      <c r="CH178" s="75">
        <f t="shared" si="499"/>
        <v>732356</v>
      </c>
      <c r="CI178" s="62">
        <f>39500+0+3200</f>
        <v>42700</v>
      </c>
      <c r="CJ178" s="62">
        <v>29667</v>
      </c>
      <c r="CK178" s="62">
        <v>116250</v>
      </c>
      <c r="CL178" s="62">
        <v>61000</v>
      </c>
      <c r="CM178" s="62">
        <f>40000+56000+2420</f>
        <v>98420</v>
      </c>
      <c r="CN178" s="62">
        <v>40000</v>
      </c>
      <c r="CO178" s="62">
        <v>0</v>
      </c>
      <c r="CP178" s="75">
        <f t="shared" si="331"/>
        <v>388037</v>
      </c>
      <c r="CQ178" s="62">
        <v>20000</v>
      </c>
      <c r="CR178" s="75">
        <f t="shared" si="332"/>
        <v>408037</v>
      </c>
      <c r="CS178" s="75">
        <f t="shared" si="500"/>
        <v>344319</v>
      </c>
      <c r="CT178" s="62">
        <v>286352</v>
      </c>
      <c r="CU178" s="47">
        <f t="shared" si="501"/>
        <v>57967</v>
      </c>
      <c r="CV178" s="76">
        <f t="shared" si="502"/>
        <v>0.47015249414219312</v>
      </c>
      <c r="CW178" s="75">
        <f t="shared" si="503"/>
        <v>5100.4624999999996</v>
      </c>
      <c r="CX178" s="77">
        <f t="shared" si="504"/>
        <v>0.557156628743398</v>
      </c>
      <c r="CY178" s="75">
        <f t="shared" si="505"/>
        <v>724.58749999999998</v>
      </c>
      <c r="CZ178" s="77">
        <f t="shared" si="506"/>
        <v>7.9151396315453135E-2</v>
      </c>
      <c r="DA178" s="77">
        <f t="shared" si="507"/>
        <v>0.39100109782673997</v>
      </c>
      <c r="DB178" s="47">
        <f t="shared" si="508"/>
        <v>62500</v>
      </c>
      <c r="DC178" s="69">
        <f t="shared" si="509"/>
        <v>9656.7000000000007</v>
      </c>
      <c r="DD178" s="70">
        <f t="shared" si="510"/>
        <v>240</v>
      </c>
      <c r="DE178" s="70">
        <f t="shared" si="511"/>
        <v>-742.25</v>
      </c>
      <c r="DF178" s="70">
        <f t="shared" si="512"/>
        <v>9154.4500000000007</v>
      </c>
      <c r="DG178" s="70">
        <f t="shared" si="513"/>
        <v>533.75</v>
      </c>
      <c r="DH178" s="70">
        <f t="shared" si="514"/>
        <v>370.83749999999998</v>
      </c>
      <c r="DI178" s="70">
        <f t="shared" si="515"/>
        <v>1453.125</v>
      </c>
      <c r="DJ178" s="70">
        <f t="shared" si="516"/>
        <v>762.5</v>
      </c>
      <c r="DK178" s="70">
        <f t="shared" si="517"/>
        <v>1230.25</v>
      </c>
      <c r="DL178" s="70">
        <f t="shared" si="518"/>
        <v>500</v>
      </c>
      <c r="DM178" s="70" t="str">
        <f t="shared" si="519"/>
        <v/>
      </c>
      <c r="DN178" s="70">
        <f t="shared" si="520"/>
        <v>4850.4624999999996</v>
      </c>
      <c r="DO178" s="70">
        <f t="shared" si="521"/>
        <v>250</v>
      </c>
      <c r="DP178" s="70">
        <f t="shared" si="522"/>
        <v>5100.4624999999996</v>
      </c>
      <c r="DQ178" s="70">
        <f t="shared" si="523"/>
        <v>4303.9875000000002</v>
      </c>
      <c r="DR178" s="70">
        <f t="shared" si="524"/>
        <v>3579.4</v>
      </c>
      <c r="DS178" s="71">
        <f t="shared" si="525"/>
        <v>724.58749999999998</v>
      </c>
      <c r="DT178" s="106">
        <f t="shared" si="526"/>
        <v>1.0548640278771526</v>
      </c>
      <c r="DU178" s="92">
        <f t="shared" si="527"/>
        <v>2.6216757970167513E-2</v>
      </c>
      <c r="DV178" s="92" t="str">
        <f t="shared" si="528"/>
        <v/>
      </c>
      <c r="DW178" s="92">
        <f t="shared" si="529"/>
        <v>1</v>
      </c>
      <c r="DX178" s="92">
        <f t="shared" si="530"/>
        <v>5.8304977360737129E-2</v>
      </c>
      <c r="DY178" s="92">
        <f t="shared" si="531"/>
        <v>4.0508987432341645E-2</v>
      </c>
      <c r="DZ178" s="92">
        <f t="shared" si="532"/>
        <v>0.15873427677249863</v>
      </c>
      <c r="EA178" s="92">
        <f t="shared" si="533"/>
        <v>8.3292824801053045E-2</v>
      </c>
      <c r="EB178" s="92">
        <f t="shared" si="534"/>
        <v>0.13438819371999411</v>
      </c>
      <c r="EC178" s="92">
        <f t="shared" si="535"/>
        <v>5.4618245771182322E-2</v>
      </c>
      <c r="ED178" s="92" t="str">
        <f t="shared" si="536"/>
        <v/>
      </c>
      <c r="EE178" s="92">
        <f t="shared" si="537"/>
        <v>0.52984750585780682</v>
      </c>
      <c r="EF178" s="92">
        <f t="shared" si="538"/>
        <v>2.7309122885591161E-2</v>
      </c>
      <c r="EG178" s="92">
        <f t="shared" si="539"/>
        <v>0.557156628743398</v>
      </c>
      <c r="EH178" s="92">
        <f t="shared" si="540"/>
        <v>0.47015249414219312</v>
      </c>
      <c r="EI178" s="92">
        <f t="shared" si="541"/>
        <v>0.39100109782673997</v>
      </c>
      <c r="EJ178" s="122">
        <f t="shared" si="542"/>
        <v>7.9151396315453135E-2</v>
      </c>
    </row>
    <row r="179" spans="2:140" ht="12" hidden="1" customHeight="1" outlineLevel="1">
      <c r="B179" s="121">
        <v>45209</v>
      </c>
      <c r="C179" s="117">
        <v>23472</v>
      </c>
      <c r="D179" s="50" t="s">
        <v>988</v>
      </c>
      <c r="E179" s="50" t="s">
        <v>989</v>
      </c>
      <c r="F179" s="50" t="s">
        <v>990</v>
      </c>
      <c r="G179" s="50" t="s">
        <v>291</v>
      </c>
      <c r="H179" s="50" t="s">
        <v>619</v>
      </c>
      <c r="I179" s="50" t="s">
        <v>174</v>
      </c>
      <c r="J179" s="52" t="s">
        <v>991</v>
      </c>
      <c r="K179" s="50" t="s">
        <v>176</v>
      </c>
      <c r="L179" s="49">
        <v>6</v>
      </c>
      <c r="M179" s="50" t="s">
        <v>159</v>
      </c>
      <c r="N179" s="50" t="s">
        <v>160</v>
      </c>
      <c r="O179" s="50" t="s">
        <v>160</v>
      </c>
      <c r="P179" s="50" t="s">
        <v>923</v>
      </c>
      <c r="Q179" s="53">
        <v>0.04</v>
      </c>
      <c r="R179" s="49">
        <v>244</v>
      </c>
      <c r="S179" s="49">
        <v>0</v>
      </c>
      <c r="T179" s="54">
        <f t="shared" si="330"/>
        <v>244</v>
      </c>
      <c r="U179" s="55">
        <v>255068</v>
      </c>
      <c r="V179" s="49">
        <v>13.1</v>
      </c>
      <c r="W179" s="56">
        <f t="shared" si="467"/>
        <v>18.625954198473284</v>
      </c>
      <c r="X179" s="49">
        <v>2005</v>
      </c>
      <c r="Y179" s="57" t="s">
        <v>162</v>
      </c>
      <c r="Z179" s="58">
        <v>28268568</v>
      </c>
      <c r="AA179" s="114">
        <f>(((21150000*0.06)/(Table1[[#This Row],[Construction Loan Principal]]))+((7118568*0.08)/(Table1[[#This Row],[Construction Loan Principal]])))</f>
        <v>6.5036383873424364E-2</v>
      </c>
      <c r="AB179" s="59">
        <v>18</v>
      </c>
      <c r="AC179" s="60">
        <v>40</v>
      </c>
      <c r="AD179" s="61">
        <v>0.06</v>
      </c>
      <c r="AE179" s="62">
        <v>2115000</v>
      </c>
      <c r="AF179" s="63">
        <v>1.2</v>
      </c>
      <c r="AG179" s="59"/>
      <c r="AH179" s="60"/>
      <c r="AI179" s="61"/>
      <c r="AJ179" s="64"/>
      <c r="AK179" s="65">
        <f t="shared" si="468"/>
        <v>2115000</v>
      </c>
      <c r="AL179" s="66">
        <v>0</v>
      </c>
      <c r="AM179" s="49"/>
      <c r="AN179" s="67">
        <v>0.91</v>
      </c>
      <c r="AO179" s="62">
        <v>12891800</v>
      </c>
      <c r="AP179" s="62">
        <v>0</v>
      </c>
      <c r="AQ179" s="68">
        <v>1940228</v>
      </c>
      <c r="AR179" s="69">
        <f t="shared" si="469"/>
        <v>8668.0327868852455</v>
      </c>
      <c r="AS179" s="70" t="str">
        <f t="shared" si="470"/>
        <v/>
      </c>
      <c r="AT179" s="70">
        <f t="shared" si="471"/>
        <v>52835.245901639348</v>
      </c>
      <c r="AU179" s="70" t="str">
        <f t="shared" si="472"/>
        <v/>
      </c>
      <c r="AV179" s="71">
        <f t="shared" si="473"/>
        <v>7951.7540983606559</v>
      </c>
      <c r="AW179" s="115">
        <f t="shared" si="474"/>
        <v>20000</v>
      </c>
      <c r="AX179" s="116">
        <f t="shared" si="475"/>
        <v>19.132152994495584</v>
      </c>
      <c r="AY179" s="72">
        <f t="shared" si="476"/>
        <v>25080</v>
      </c>
      <c r="AZ179" s="73">
        <f t="shared" si="477"/>
        <v>23.991719855097461</v>
      </c>
      <c r="BA179" s="66">
        <v>22800000</v>
      </c>
      <c r="BB179" s="62">
        <v>414800</v>
      </c>
      <c r="BC179" s="62">
        <v>4465200</v>
      </c>
      <c r="BD179" s="62">
        <v>488000</v>
      </c>
      <c r="BE179" s="62">
        <v>751520</v>
      </c>
      <c r="BF179" s="62">
        <v>687500</v>
      </c>
      <c r="BG179" s="62">
        <v>2370635</v>
      </c>
      <c r="BH179" s="62">
        <v>4254173</v>
      </c>
      <c r="BI179" s="62">
        <v>600000</v>
      </c>
      <c r="BJ179" s="47">
        <f t="shared" si="478"/>
        <v>36831828</v>
      </c>
      <c r="BK179" s="69">
        <f t="shared" si="479"/>
        <v>93442.62295081967</v>
      </c>
      <c r="BL179" s="70">
        <f t="shared" si="480"/>
        <v>1700</v>
      </c>
      <c r="BM179" s="70">
        <f t="shared" si="481"/>
        <v>18300</v>
      </c>
      <c r="BN179" s="70">
        <f t="shared" si="482"/>
        <v>2000</v>
      </c>
      <c r="BO179" s="70">
        <f t="shared" si="483"/>
        <v>3080</v>
      </c>
      <c r="BP179" s="70">
        <f t="shared" si="484"/>
        <v>2817.622950819672</v>
      </c>
      <c r="BQ179" s="70">
        <f t="shared" si="485"/>
        <v>9715.7172131147545</v>
      </c>
      <c r="BR179" s="70">
        <f t="shared" si="486"/>
        <v>17435.135245901638</v>
      </c>
      <c r="BS179" s="70">
        <f t="shared" si="487"/>
        <v>2459.0163934426228</v>
      </c>
      <c r="BT179" s="71">
        <f t="shared" si="488"/>
        <v>150950.11475409835</v>
      </c>
      <c r="BU179" s="65">
        <f t="shared" si="489"/>
        <v>89.387927925102332</v>
      </c>
      <c r="BV179" s="48">
        <f t="shared" si="490"/>
        <v>1.6262330045321247</v>
      </c>
      <c r="BW179" s="48">
        <f t="shared" si="491"/>
        <v>17.505919989963459</v>
      </c>
      <c r="BX179" s="48">
        <f t="shared" si="492"/>
        <v>1.9132152994495586</v>
      </c>
      <c r="BY179" s="48">
        <f t="shared" si="493"/>
        <v>2.9463515611523201</v>
      </c>
      <c r="BZ179" s="48">
        <f t="shared" si="494"/>
        <v>2.6953596687942039</v>
      </c>
      <c r="CA179" s="48">
        <f t="shared" si="495"/>
        <v>9.2941294086282866</v>
      </c>
      <c r="CB179" s="48">
        <f t="shared" si="496"/>
        <v>16.67858375021563</v>
      </c>
      <c r="CC179" s="48">
        <f t="shared" si="497"/>
        <v>2.3523138927658507</v>
      </c>
      <c r="CD179" s="47">
        <f t="shared" si="498"/>
        <v>144.40003450060377</v>
      </c>
      <c r="CE179" s="66">
        <v>3475008</v>
      </c>
      <c r="CF179" s="62">
        <v>43920</v>
      </c>
      <c r="CG179" s="74">
        <v>-263920</v>
      </c>
      <c r="CH179" s="75">
        <f t="shared" si="499"/>
        <v>3255008</v>
      </c>
      <c r="CI179" s="62">
        <f>55000+9760+5000+25000</f>
        <v>94760</v>
      </c>
      <c r="CJ179" s="62">
        <v>162750</v>
      </c>
      <c r="CK179" s="62">
        <v>332100</v>
      </c>
      <c r="CL179" s="62">
        <v>140000</v>
      </c>
      <c r="CM179" s="62">
        <f>40000+185000</f>
        <v>225000</v>
      </c>
      <c r="CN179" s="62">
        <v>300000</v>
      </c>
      <c r="CO179" s="62">
        <v>250000</v>
      </c>
      <c r="CP179" s="75">
        <f t="shared" si="331"/>
        <v>1504610</v>
      </c>
      <c r="CQ179" s="62">
        <v>73200</v>
      </c>
      <c r="CR179" s="75">
        <f t="shared" si="332"/>
        <v>1577810</v>
      </c>
      <c r="CS179" s="75">
        <f t="shared" si="500"/>
        <v>1750398</v>
      </c>
      <c r="CT179" s="62">
        <v>1396442</v>
      </c>
      <c r="CU179" s="47">
        <f t="shared" si="501"/>
        <v>353956</v>
      </c>
      <c r="CV179" s="76">
        <f t="shared" si="502"/>
        <v>0.5377553603554891</v>
      </c>
      <c r="CW179" s="75">
        <f t="shared" si="503"/>
        <v>6466.4344262295081</v>
      </c>
      <c r="CX179" s="77">
        <f t="shared" si="504"/>
        <v>0.48473306363609553</v>
      </c>
      <c r="CY179" s="75">
        <f t="shared" si="505"/>
        <v>1450.639344262295</v>
      </c>
      <c r="CZ179" s="77">
        <f t="shared" si="506"/>
        <v>0.10874197544214945</v>
      </c>
      <c r="DA179" s="77">
        <f t="shared" si="507"/>
        <v>0.42901338491333968</v>
      </c>
      <c r="DB179" s="47">
        <f t="shared" si="508"/>
        <v>8668.0327868852455</v>
      </c>
      <c r="DC179" s="69">
        <f t="shared" si="509"/>
        <v>14241.836065573771</v>
      </c>
      <c r="DD179" s="70">
        <f t="shared" si="510"/>
        <v>180</v>
      </c>
      <c r="DE179" s="70">
        <f t="shared" si="511"/>
        <v>-1081.639344262295</v>
      </c>
      <c r="DF179" s="70">
        <f t="shared" si="512"/>
        <v>13340.196721311475</v>
      </c>
      <c r="DG179" s="70">
        <f t="shared" si="513"/>
        <v>388.36065573770492</v>
      </c>
      <c r="DH179" s="70">
        <f t="shared" si="514"/>
        <v>667.00819672131149</v>
      </c>
      <c r="DI179" s="70">
        <f t="shared" si="515"/>
        <v>1361.0655737704917</v>
      </c>
      <c r="DJ179" s="70">
        <f t="shared" si="516"/>
        <v>573.77049180327867</v>
      </c>
      <c r="DK179" s="70">
        <f t="shared" si="517"/>
        <v>922.13114754098365</v>
      </c>
      <c r="DL179" s="70">
        <f t="shared" si="518"/>
        <v>1229.5081967213114</v>
      </c>
      <c r="DM179" s="70">
        <f t="shared" si="519"/>
        <v>1024.5901639344263</v>
      </c>
      <c r="DN179" s="70">
        <f t="shared" si="520"/>
        <v>6166.4344262295081</v>
      </c>
      <c r="DO179" s="70">
        <f t="shared" si="521"/>
        <v>300</v>
      </c>
      <c r="DP179" s="70">
        <f t="shared" si="522"/>
        <v>6466.4344262295081</v>
      </c>
      <c r="DQ179" s="70">
        <f t="shared" si="523"/>
        <v>7173.7622950819668</v>
      </c>
      <c r="DR179" s="70">
        <f t="shared" si="524"/>
        <v>5723.122950819672</v>
      </c>
      <c r="DS179" s="71">
        <f t="shared" si="525"/>
        <v>1450.639344262295</v>
      </c>
      <c r="DT179" s="106">
        <f t="shared" si="526"/>
        <v>1.0675881595375496</v>
      </c>
      <c r="DU179" s="92">
        <f t="shared" si="527"/>
        <v>1.3493054394950795E-2</v>
      </c>
      <c r="DV179" s="92" t="str">
        <f t="shared" si="528"/>
        <v/>
      </c>
      <c r="DW179" s="92">
        <f t="shared" si="529"/>
        <v>1</v>
      </c>
      <c r="DX179" s="92">
        <f t="shared" si="530"/>
        <v>2.9112063626264513E-2</v>
      </c>
      <c r="DY179" s="92">
        <f t="shared" si="531"/>
        <v>4.9999877112437204E-2</v>
      </c>
      <c r="DZ179" s="92">
        <f t="shared" si="532"/>
        <v>0.1020273990110009</v>
      </c>
      <c r="EA179" s="92">
        <f t="shared" si="533"/>
        <v>4.3010646978440606E-2</v>
      </c>
      <c r="EB179" s="92">
        <f t="shared" si="534"/>
        <v>6.9124254072493826E-2</v>
      </c>
      <c r="EC179" s="92">
        <f t="shared" si="535"/>
        <v>9.2165672096658435E-2</v>
      </c>
      <c r="ED179" s="92">
        <f t="shared" si="536"/>
        <v>7.6804726747215363E-2</v>
      </c>
      <c r="EE179" s="92">
        <f t="shared" si="537"/>
        <v>0.46224463964451085</v>
      </c>
      <c r="EF179" s="92">
        <f t="shared" si="538"/>
        <v>2.2488423991584659E-2</v>
      </c>
      <c r="EG179" s="92">
        <f t="shared" si="539"/>
        <v>0.48473306363609553</v>
      </c>
      <c r="EH179" s="92">
        <f t="shared" si="540"/>
        <v>0.5377553603554891</v>
      </c>
      <c r="EI179" s="92">
        <f t="shared" si="541"/>
        <v>0.42901338491333968</v>
      </c>
      <c r="EJ179" s="122">
        <f t="shared" si="542"/>
        <v>0.10874197544214945</v>
      </c>
    </row>
    <row r="180" spans="2:140" ht="12" hidden="1" customHeight="1" outlineLevel="1">
      <c r="B180" s="121">
        <v>45217</v>
      </c>
      <c r="C180" s="117">
        <v>23470</v>
      </c>
      <c r="D180" s="50" t="s">
        <v>992</v>
      </c>
      <c r="E180" s="50" t="s">
        <v>993</v>
      </c>
      <c r="F180" s="50" t="s">
        <v>994</v>
      </c>
      <c r="G180" s="50" t="s">
        <v>154</v>
      </c>
      <c r="H180" s="50" t="s">
        <v>573</v>
      </c>
      <c r="I180" s="50" t="s">
        <v>573</v>
      </c>
      <c r="J180" s="52" t="s">
        <v>995</v>
      </c>
      <c r="K180" s="50" t="s">
        <v>529</v>
      </c>
      <c r="L180" s="49">
        <v>7</v>
      </c>
      <c r="M180" s="50" t="s">
        <v>159</v>
      </c>
      <c r="N180" s="50" t="s">
        <v>160</v>
      </c>
      <c r="O180" s="50" t="s">
        <v>160</v>
      </c>
      <c r="P180" s="50" t="s">
        <v>177</v>
      </c>
      <c r="Q180" s="53">
        <v>0.04</v>
      </c>
      <c r="R180" s="49">
        <v>250</v>
      </c>
      <c r="S180" s="49">
        <v>0</v>
      </c>
      <c r="T180" s="54">
        <f t="shared" si="330"/>
        <v>250</v>
      </c>
      <c r="U180" s="55">
        <v>318800</v>
      </c>
      <c r="V180" s="49">
        <v>26.071999999999999</v>
      </c>
      <c r="W180" s="56">
        <f t="shared" si="467"/>
        <v>9.5888309297330476</v>
      </c>
      <c r="X180" s="49" t="s">
        <v>163</v>
      </c>
      <c r="Y180" s="57" t="s">
        <v>162</v>
      </c>
      <c r="Z180" s="58">
        <v>88357392</v>
      </c>
      <c r="AA180" s="114">
        <v>7.0800000000000002E-2</v>
      </c>
      <c r="AB180" s="59">
        <v>15</v>
      </c>
      <c r="AC180" s="60">
        <v>40</v>
      </c>
      <c r="AD180" s="61">
        <v>5.2400000000000002E-2</v>
      </c>
      <c r="AE180" s="62">
        <f>48400000-225000</f>
        <v>48175000</v>
      </c>
      <c r="AF180" s="63">
        <v>1.1499999999999999</v>
      </c>
      <c r="AG180" s="59"/>
      <c r="AH180" s="60"/>
      <c r="AI180" s="61"/>
      <c r="AJ180" s="64"/>
      <c r="AK180" s="65">
        <f t="shared" si="468"/>
        <v>48175000</v>
      </c>
      <c r="AL180" s="66">
        <v>0</v>
      </c>
      <c r="AM180" s="49"/>
      <c r="AN180" s="67">
        <v>0.89</v>
      </c>
      <c r="AO180" s="62">
        <v>42869582</v>
      </c>
      <c r="AP180" s="62">
        <v>0</v>
      </c>
      <c r="AQ180" s="68">
        <v>11990140</v>
      </c>
      <c r="AR180" s="69">
        <f t="shared" si="469"/>
        <v>192700</v>
      </c>
      <c r="AS180" s="70" t="str">
        <f t="shared" si="470"/>
        <v/>
      </c>
      <c r="AT180" s="70">
        <f t="shared" si="471"/>
        <v>171478.32800000001</v>
      </c>
      <c r="AU180" s="70" t="str">
        <f t="shared" si="472"/>
        <v/>
      </c>
      <c r="AV180" s="71">
        <f t="shared" si="473"/>
        <v>47960.56</v>
      </c>
      <c r="AW180" s="115">
        <f t="shared" si="474"/>
        <v>233277.04399999999</v>
      </c>
      <c r="AX180" s="116">
        <f t="shared" si="475"/>
        <v>182.93369196988706</v>
      </c>
      <c r="AY180" s="72">
        <f t="shared" si="476"/>
        <v>279133.64799999999</v>
      </c>
      <c r="AZ180" s="73">
        <f t="shared" si="477"/>
        <v>218.89401505646174</v>
      </c>
      <c r="BA180" s="66">
        <v>4000000</v>
      </c>
      <c r="BB180" s="62">
        <v>12776950</v>
      </c>
      <c r="BC180" s="62">
        <v>45542311</v>
      </c>
      <c r="BD180" s="62">
        <v>2894258</v>
      </c>
      <c r="BE180" s="62">
        <v>8569893</v>
      </c>
      <c r="BF180" s="62">
        <v>4944792</v>
      </c>
      <c r="BG180" s="62">
        <v>11446352</v>
      </c>
      <c r="BH180" s="62">
        <v>12219518</v>
      </c>
      <c r="BI180" s="62">
        <v>640647</v>
      </c>
      <c r="BJ180" s="47">
        <f t="shared" si="478"/>
        <v>103034721</v>
      </c>
      <c r="BK180" s="69">
        <f t="shared" si="479"/>
        <v>16000</v>
      </c>
      <c r="BL180" s="70">
        <f t="shared" si="480"/>
        <v>51107.8</v>
      </c>
      <c r="BM180" s="70">
        <f t="shared" si="481"/>
        <v>182169.24400000001</v>
      </c>
      <c r="BN180" s="70">
        <f t="shared" si="482"/>
        <v>11577.031999999999</v>
      </c>
      <c r="BO180" s="70">
        <f t="shared" si="483"/>
        <v>34279.572</v>
      </c>
      <c r="BP180" s="70">
        <f t="shared" si="484"/>
        <v>19779.168000000001</v>
      </c>
      <c r="BQ180" s="70">
        <f t="shared" si="485"/>
        <v>45785.408000000003</v>
      </c>
      <c r="BR180" s="70">
        <f t="shared" si="486"/>
        <v>48878.072</v>
      </c>
      <c r="BS180" s="70">
        <f t="shared" si="487"/>
        <v>2562.5880000000002</v>
      </c>
      <c r="BT180" s="71">
        <f t="shared" si="488"/>
        <v>412138.88400000002</v>
      </c>
      <c r="BU180" s="65">
        <f t="shared" si="489"/>
        <v>12.547051442910917</v>
      </c>
      <c r="BV180" s="48">
        <f t="shared" si="490"/>
        <v>40.078262233375156</v>
      </c>
      <c r="BW180" s="48">
        <f t="shared" si="491"/>
        <v>142.85542973651192</v>
      </c>
      <c r="BX180" s="48">
        <f t="shared" si="492"/>
        <v>9.0786010037641152</v>
      </c>
      <c r="BY180" s="48">
        <f t="shared" si="493"/>
        <v>26.881722082810541</v>
      </c>
      <c r="BZ180" s="48">
        <f t="shared" si="494"/>
        <v>15.510639899623589</v>
      </c>
      <c r="CA180" s="48">
        <f t="shared" si="495"/>
        <v>35.904491844416562</v>
      </c>
      <c r="CB180" s="48">
        <f t="shared" si="496"/>
        <v>38.329730238393978</v>
      </c>
      <c r="CC180" s="48">
        <f t="shared" si="497"/>
        <v>2.0095577164366376</v>
      </c>
      <c r="CD180" s="47">
        <f t="shared" si="498"/>
        <v>323.19548619824343</v>
      </c>
      <c r="CE180" s="66">
        <v>5069664</v>
      </c>
      <c r="CF180" s="62">
        <f>42000+48000</f>
        <v>90000</v>
      </c>
      <c r="CG180" s="74">
        <v>-386975</v>
      </c>
      <c r="CH180" s="75">
        <f t="shared" si="499"/>
        <v>4772689</v>
      </c>
      <c r="CI180" s="62">
        <f>92251+42899+13500</f>
        <v>148650</v>
      </c>
      <c r="CJ180" s="62">
        <v>119317</v>
      </c>
      <c r="CK180" s="62">
        <v>403000</v>
      </c>
      <c r="CL180" s="62">
        <v>128001</v>
      </c>
      <c r="CM180" s="62">
        <f>63152+99911</f>
        <v>163063</v>
      </c>
      <c r="CN180" s="62">
        <v>105250</v>
      </c>
      <c r="CO180" s="62">
        <v>235000</v>
      </c>
      <c r="CP180" s="75">
        <f t="shared" si="331"/>
        <v>1302281</v>
      </c>
      <c r="CQ180" s="62">
        <v>75000</v>
      </c>
      <c r="CR180" s="75">
        <f t="shared" si="332"/>
        <v>1377281</v>
      </c>
      <c r="CS180" s="75">
        <f t="shared" si="500"/>
        <v>3470408</v>
      </c>
      <c r="CT180" s="62">
        <f>2966140-13789</f>
        <v>2952351</v>
      </c>
      <c r="CU180" s="47">
        <f t="shared" si="501"/>
        <v>518057</v>
      </c>
      <c r="CV180" s="76">
        <f t="shared" si="502"/>
        <v>0.72713893572365595</v>
      </c>
      <c r="CW180" s="75">
        <f t="shared" si="503"/>
        <v>5509.1239999999998</v>
      </c>
      <c r="CX180" s="77">
        <f t="shared" si="504"/>
        <v>0.28857547600524569</v>
      </c>
      <c r="CY180" s="75">
        <f t="shared" si="505"/>
        <v>2072.2280000000001</v>
      </c>
      <c r="CZ180" s="77">
        <f t="shared" si="506"/>
        <v>0.10854614662719486</v>
      </c>
      <c r="DA180" s="77">
        <f t="shared" si="507"/>
        <v>0.61859278909646109</v>
      </c>
      <c r="DB180" s="47">
        <f t="shared" si="508"/>
        <v>192700</v>
      </c>
      <c r="DC180" s="69">
        <f t="shared" si="509"/>
        <v>20278.655999999999</v>
      </c>
      <c r="DD180" s="70">
        <f t="shared" si="510"/>
        <v>360</v>
      </c>
      <c r="DE180" s="70">
        <f t="shared" si="511"/>
        <v>-1547.9</v>
      </c>
      <c r="DF180" s="70">
        <f t="shared" si="512"/>
        <v>19090.756000000001</v>
      </c>
      <c r="DG180" s="70">
        <f t="shared" si="513"/>
        <v>594.6</v>
      </c>
      <c r="DH180" s="70">
        <f t="shared" si="514"/>
        <v>477.26799999999997</v>
      </c>
      <c r="DI180" s="70">
        <f t="shared" si="515"/>
        <v>1612</v>
      </c>
      <c r="DJ180" s="70">
        <f t="shared" si="516"/>
        <v>512.00400000000002</v>
      </c>
      <c r="DK180" s="70">
        <f t="shared" si="517"/>
        <v>652.25199999999995</v>
      </c>
      <c r="DL180" s="70">
        <f t="shared" si="518"/>
        <v>421</v>
      </c>
      <c r="DM180" s="70">
        <f t="shared" si="519"/>
        <v>940</v>
      </c>
      <c r="DN180" s="70">
        <f t="shared" si="520"/>
        <v>5209.1239999999998</v>
      </c>
      <c r="DO180" s="70">
        <f t="shared" si="521"/>
        <v>300</v>
      </c>
      <c r="DP180" s="70">
        <f t="shared" si="522"/>
        <v>5509.1239999999998</v>
      </c>
      <c r="DQ180" s="70">
        <f t="shared" si="523"/>
        <v>13881.632</v>
      </c>
      <c r="DR180" s="70">
        <f t="shared" si="524"/>
        <v>11809.404</v>
      </c>
      <c r="DS180" s="71">
        <f t="shared" si="525"/>
        <v>2072.2280000000001</v>
      </c>
      <c r="DT180" s="106">
        <f t="shared" si="526"/>
        <v>1.0622238323092077</v>
      </c>
      <c r="DU180" s="92">
        <f t="shared" si="527"/>
        <v>1.8857294074682007E-2</v>
      </c>
      <c r="DV180" s="92" t="str">
        <f t="shared" si="528"/>
        <v/>
      </c>
      <c r="DW180" s="92">
        <f t="shared" si="529"/>
        <v>1</v>
      </c>
      <c r="DX180" s="92">
        <f t="shared" si="530"/>
        <v>3.1145964046683117E-2</v>
      </c>
      <c r="DY180" s="92">
        <f t="shared" si="531"/>
        <v>2.4999952856764814E-2</v>
      </c>
      <c r="DZ180" s="92">
        <f t="shared" si="532"/>
        <v>8.4438772356631664E-2</v>
      </c>
      <c r="EA180" s="92">
        <f t="shared" si="533"/>
        <v>2.6819472209481908E-2</v>
      </c>
      <c r="EB180" s="92">
        <f t="shared" si="534"/>
        <v>3.4165854929998581E-2</v>
      </c>
      <c r="EC180" s="92">
        <f t="shared" si="535"/>
        <v>2.2052557792892016E-2</v>
      </c>
      <c r="ED180" s="92">
        <f t="shared" si="536"/>
        <v>4.923849008389191E-2</v>
      </c>
      <c r="EE180" s="92">
        <f t="shared" si="537"/>
        <v>0.27286106427634399</v>
      </c>
      <c r="EF180" s="92">
        <f t="shared" si="538"/>
        <v>1.5714411728901673E-2</v>
      </c>
      <c r="EG180" s="92">
        <f t="shared" si="539"/>
        <v>0.28857547600524569</v>
      </c>
      <c r="EH180" s="92">
        <f t="shared" si="540"/>
        <v>0.72713893572365595</v>
      </c>
      <c r="EI180" s="92">
        <f t="shared" si="541"/>
        <v>0.61859278909646109</v>
      </c>
      <c r="EJ180" s="122">
        <f t="shared" si="542"/>
        <v>0.10854614662719486</v>
      </c>
    </row>
    <row r="181" spans="2:140" ht="12" hidden="1" customHeight="1" outlineLevel="1">
      <c r="B181" s="121">
        <v>45222</v>
      </c>
      <c r="C181" s="117">
        <v>23013</v>
      </c>
      <c r="D181" s="50" t="s">
        <v>996</v>
      </c>
      <c r="E181" s="50" t="s">
        <v>997</v>
      </c>
      <c r="F181" s="50" t="s">
        <v>998</v>
      </c>
      <c r="G181" s="50" t="s">
        <v>291</v>
      </c>
      <c r="H181" s="50" t="s">
        <v>619</v>
      </c>
      <c r="I181" s="50" t="s">
        <v>174</v>
      </c>
      <c r="J181" s="52" t="s">
        <v>175</v>
      </c>
      <c r="K181" s="50" t="s">
        <v>176</v>
      </c>
      <c r="L181" s="49">
        <v>6</v>
      </c>
      <c r="M181" s="50" t="s">
        <v>159</v>
      </c>
      <c r="N181" s="50" t="s">
        <v>244</v>
      </c>
      <c r="O181" s="50" t="s">
        <v>160</v>
      </c>
      <c r="P181" s="50" t="s">
        <v>231</v>
      </c>
      <c r="Q181" s="53">
        <v>0.09</v>
      </c>
      <c r="R181" s="49">
        <f>120-31</f>
        <v>89</v>
      </c>
      <c r="S181" s="49">
        <v>31</v>
      </c>
      <c r="T181" s="54">
        <f t="shared" si="330"/>
        <v>120</v>
      </c>
      <c r="U181" s="55">
        <v>94804</v>
      </c>
      <c r="V181" s="49">
        <v>5.46</v>
      </c>
      <c r="W181" s="56">
        <f t="shared" si="467"/>
        <v>21.978021978021978</v>
      </c>
      <c r="X181" s="49" t="s">
        <v>163</v>
      </c>
      <c r="Y181" s="57" t="s">
        <v>162</v>
      </c>
      <c r="Z181" s="58">
        <v>7250000</v>
      </c>
      <c r="AA181" s="114">
        <v>6.8500000000000005E-2</v>
      </c>
      <c r="AB181" s="59">
        <v>15</v>
      </c>
      <c r="AC181" s="60">
        <v>35</v>
      </c>
      <c r="AD181" s="61">
        <v>6.8500000000000005E-2</v>
      </c>
      <c r="AE181" s="62">
        <v>7250000</v>
      </c>
      <c r="AF181" s="63">
        <v>1.1599999999999999</v>
      </c>
      <c r="AG181" s="59"/>
      <c r="AH181" s="60"/>
      <c r="AI181" s="61"/>
      <c r="AJ181" s="64"/>
      <c r="AK181" s="65">
        <f t="shared" si="468"/>
        <v>7250000</v>
      </c>
      <c r="AL181" s="66">
        <v>500</v>
      </c>
      <c r="AM181" s="49" t="s">
        <v>999</v>
      </c>
      <c r="AN181" s="67">
        <v>0.92</v>
      </c>
      <c r="AO181" s="62">
        <v>19423423</v>
      </c>
      <c r="AP181" s="62">
        <v>0</v>
      </c>
      <c r="AQ181" s="68">
        <v>1025263</v>
      </c>
      <c r="AR181" s="69">
        <f t="shared" si="469"/>
        <v>60416.666666666664</v>
      </c>
      <c r="AS181" s="70">
        <f t="shared" si="470"/>
        <v>4.166666666666667</v>
      </c>
      <c r="AT181" s="70">
        <f t="shared" si="471"/>
        <v>161861.85833333334</v>
      </c>
      <c r="AU181" s="70" t="str">
        <f t="shared" si="472"/>
        <v/>
      </c>
      <c r="AV181" s="71">
        <f t="shared" si="473"/>
        <v>8543.8583333333336</v>
      </c>
      <c r="AW181" s="115">
        <f t="shared" si="474"/>
        <v>117555</v>
      </c>
      <c r="AX181" s="116">
        <f t="shared" si="475"/>
        <v>148.79751909202145</v>
      </c>
      <c r="AY181" s="72">
        <f t="shared" si="476"/>
        <v>143393.57500000001</v>
      </c>
      <c r="AZ181" s="73">
        <f t="shared" si="477"/>
        <v>181.5031960676765</v>
      </c>
      <c r="BA181" s="66">
        <v>2125000</v>
      </c>
      <c r="BB181" s="62">
        <v>1838400</v>
      </c>
      <c r="BC181" s="62">
        <v>12268200</v>
      </c>
      <c r="BD181" s="62">
        <v>987462</v>
      </c>
      <c r="BE181" s="62">
        <v>2113167</v>
      </c>
      <c r="BF181" s="62">
        <v>1509410</v>
      </c>
      <c r="BG181" s="62">
        <v>2136866</v>
      </c>
      <c r="BH181" s="62">
        <v>3089775</v>
      </c>
      <c r="BI181" s="62">
        <v>605643</v>
      </c>
      <c r="BJ181" s="47">
        <f t="shared" si="478"/>
        <v>26673923</v>
      </c>
      <c r="BK181" s="69">
        <f t="shared" si="479"/>
        <v>17708.333333333332</v>
      </c>
      <c r="BL181" s="70">
        <f t="shared" si="480"/>
        <v>15320</v>
      </c>
      <c r="BM181" s="70">
        <f t="shared" si="481"/>
        <v>102235</v>
      </c>
      <c r="BN181" s="70">
        <f t="shared" si="482"/>
        <v>8228.85</v>
      </c>
      <c r="BO181" s="70">
        <f t="shared" si="483"/>
        <v>17609.724999999999</v>
      </c>
      <c r="BP181" s="70">
        <f t="shared" si="484"/>
        <v>12578.416666666666</v>
      </c>
      <c r="BQ181" s="70">
        <f t="shared" si="485"/>
        <v>17807.216666666667</v>
      </c>
      <c r="BR181" s="70">
        <f t="shared" si="486"/>
        <v>25748.125</v>
      </c>
      <c r="BS181" s="70">
        <f t="shared" si="487"/>
        <v>5047.0249999999996</v>
      </c>
      <c r="BT181" s="71">
        <f t="shared" si="488"/>
        <v>222282.69166666668</v>
      </c>
      <c r="BU181" s="65">
        <f t="shared" si="489"/>
        <v>22.414666047846083</v>
      </c>
      <c r="BV181" s="48">
        <f t="shared" si="490"/>
        <v>19.391586852875406</v>
      </c>
      <c r="BW181" s="48">
        <f t="shared" si="491"/>
        <v>129.40593223914604</v>
      </c>
      <c r="BX181" s="48">
        <f t="shared" si="492"/>
        <v>10.4158263364415</v>
      </c>
      <c r="BY181" s="48">
        <f t="shared" si="493"/>
        <v>22.289850639213537</v>
      </c>
      <c r="BZ181" s="48">
        <f t="shared" si="494"/>
        <v>15.921374625543226</v>
      </c>
      <c r="CA181" s="48">
        <f t="shared" si="495"/>
        <v>22.539829543057255</v>
      </c>
      <c r="CB181" s="48">
        <f t="shared" si="496"/>
        <v>32.591188135521705</v>
      </c>
      <c r="CC181" s="48">
        <f t="shared" si="497"/>
        <v>6.3883696890426567</v>
      </c>
      <c r="CD181" s="47">
        <f t="shared" si="498"/>
        <v>281.35862410868742</v>
      </c>
      <c r="CE181" s="66">
        <v>1411128</v>
      </c>
      <c r="CF181" s="62">
        <v>28800</v>
      </c>
      <c r="CG181" s="74">
        <v>-107995</v>
      </c>
      <c r="CH181" s="75">
        <f t="shared" si="499"/>
        <v>1331933</v>
      </c>
      <c r="CI181" s="62">
        <f>29700+3560</f>
        <v>33260</v>
      </c>
      <c r="CJ181" s="62">
        <v>66597</v>
      </c>
      <c r="CK181" s="62">
        <v>198400</v>
      </c>
      <c r="CL181" s="62">
        <v>65000</v>
      </c>
      <c r="CM181" s="62">
        <v>90000</v>
      </c>
      <c r="CN181" s="62">
        <v>90000</v>
      </c>
      <c r="CO181" s="62">
        <v>125000</v>
      </c>
      <c r="CP181" s="75">
        <f t="shared" si="331"/>
        <v>668257</v>
      </c>
      <c r="CQ181" s="62">
        <v>30000</v>
      </c>
      <c r="CR181" s="75">
        <f t="shared" si="332"/>
        <v>698257</v>
      </c>
      <c r="CS181" s="75">
        <f t="shared" si="500"/>
        <v>663676</v>
      </c>
      <c r="CT181" s="62">
        <v>546683</v>
      </c>
      <c r="CU181" s="47">
        <f t="shared" si="501"/>
        <v>116993</v>
      </c>
      <c r="CV181" s="76">
        <f t="shared" si="502"/>
        <v>0.49828031890492991</v>
      </c>
      <c r="CW181" s="75">
        <f t="shared" si="503"/>
        <v>5818.8083333333334</v>
      </c>
      <c r="CX181" s="77">
        <f t="shared" si="504"/>
        <v>0.52424333656422661</v>
      </c>
      <c r="CY181" s="75">
        <f t="shared" si="505"/>
        <v>974.94166666666672</v>
      </c>
      <c r="CZ181" s="77">
        <f t="shared" si="506"/>
        <v>8.7837000810100804E-2</v>
      </c>
      <c r="DA181" s="77">
        <f t="shared" si="507"/>
        <v>0.41044331809482909</v>
      </c>
      <c r="DB181" s="47">
        <f t="shared" si="508"/>
        <v>60416.666666666664</v>
      </c>
      <c r="DC181" s="69">
        <f t="shared" si="509"/>
        <v>11759.4</v>
      </c>
      <c r="DD181" s="70">
        <f t="shared" si="510"/>
        <v>240</v>
      </c>
      <c r="DE181" s="70">
        <f t="shared" si="511"/>
        <v>-899.95833333333337</v>
      </c>
      <c r="DF181" s="70">
        <f t="shared" si="512"/>
        <v>11099.441666666668</v>
      </c>
      <c r="DG181" s="70">
        <f t="shared" si="513"/>
        <v>277.16666666666669</v>
      </c>
      <c r="DH181" s="70">
        <f t="shared" si="514"/>
        <v>554.97500000000002</v>
      </c>
      <c r="DI181" s="70">
        <f t="shared" si="515"/>
        <v>1653.3333333333333</v>
      </c>
      <c r="DJ181" s="70">
        <f t="shared" si="516"/>
        <v>541.66666666666663</v>
      </c>
      <c r="DK181" s="70">
        <f t="shared" si="517"/>
        <v>750</v>
      </c>
      <c r="DL181" s="70">
        <f t="shared" si="518"/>
        <v>750</v>
      </c>
      <c r="DM181" s="70">
        <f t="shared" si="519"/>
        <v>1041.6666666666667</v>
      </c>
      <c r="DN181" s="70">
        <f t="shared" si="520"/>
        <v>5568.8083333333334</v>
      </c>
      <c r="DO181" s="70">
        <f t="shared" si="521"/>
        <v>250</v>
      </c>
      <c r="DP181" s="70">
        <f t="shared" si="522"/>
        <v>5818.8083333333334</v>
      </c>
      <c r="DQ181" s="70">
        <f t="shared" si="523"/>
        <v>5530.6333333333332</v>
      </c>
      <c r="DR181" s="70">
        <f t="shared" si="524"/>
        <v>4555.6916666666666</v>
      </c>
      <c r="DS181" s="71">
        <f t="shared" si="525"/>
        <v>974.94166666666672</v>
      </c>
      <c r="DT181" s="106">
        <f t="shared" si="526"/>
        <v>1.0594586964959949</v>
      </c>
      <c r="DU181" s="92">
        <f t="shared" si="527"/>
        <v>2.1622709250390223E-2</v>
      </c>
      <c r="DV181" s="92" t="str">
        <f t="shared" si="528"/>
        <v/>
      </c>
      <c r="DW181" s="92">
        <f t="shared" si="529"/>
        <v>1</v>
      </c>
      <c r="DX181" s="92">
        <f t="shared" si="530"/>
        <v>2.4971226030138152E-2</v>
      </c>
      <c r="DY181" s="92">
        <f t="shared" si="531"/>
        <v>5.0000262775980471E-2</v>
      </c>
      <c r="DZ181" s="92">
        <f t="shared" si="532"/>
        <v>0.14895644150268819</v>
      </c>
      <c r="EA181" s="92">
        <f t="shared" si="533"/>
        <v>4.8801253516505709E-2</v>
      </c>
      <c r="EB181" s="92">
        <f t="shared" si="534"/>
        <v>6.7570966407469443E-2</v>
      </c>
      <c r="EC181" s="92">
        <f t="shared" si="535"/>
        <v>6.7570966407469443E-2</v>
      </c>
      <c r="ED181" s="92">
        <f t="shared" si="536"/>
        <v>9.3848564454818678E-2</v>
      </c>
      <c r="EE181" s="92">
        <f t="shared" si="537"/>
        <v>0.50171968109507015</v>
      </c>
      <c r="EF181" s="92">
        <f t="shared" si="538"/>
        <v>2.2523655469156481E-2</v>
      </c>
      <c r="EG181" s="92">
        <f t="shared" si="539"/>
        <v>0.52424333656422661</v>
      </c>
      <c r="EH181" s="92">
        <f t="shared" si="540"/>
        <v>0.49828031890492991</v>
      </c>
      <c r="EI181" s="92">
        <f t="shared" si="541"/>
        <v>0.41044331809482909</v>
      </c>
      <c r="EJ181" s="122">
        <f t="shared" si="542"/>
        <v>8.7837000810100804E-2</v>
      </c>
    </row>
    <row r="182" spans="2:140" ht="12" hidden="1" customHeight="1" outlineLevel="1">
      <c r="B182" s="121">
        <v>45223</v>
      </c>
      <c r="C182" s="117">
        <v>22251</v>
      </c>
      <c r="D182" s="50" t="s">
        <v>1000</v>
      </c>
      <c r="E182" s="50" t="s">
        <v>1001</v>
      </c>
      <c r="F182" s="50" t="s">
        <v>1002</v>
      </c>
      <c r="G182" s="50" t="s">
        <v>154</v>
      </c>
      <c r="H182" s="50" t="s">
        <v>731</v>
      </c>
      <c r="I182" s="50" t="s">
        <v>1003</v>
      </c>
      <c r="J182" s="52" t="s">
        <v>191</v>
      </c>
      <c r="K182" s="50" t="s">
        <v>192</v>
      </c>
      <c r="L182" s="49">
        <v>3</v>
      </c>
      <c r="M182" s="50" t="s">
        <v>159</v>
      </c>
      <c r="N182" s="50" t="s">
        <v>244</v>
      </c>
      <c r="O182" s="50" t="s">
        <v>160</v>
      </c>
      <c r="P182" s="50" t="s">
        <v>177</v>
      </c>
      <c r="Q182" s="53">
        <v>0.09</v>
      </c>
      <c r="R182" s="49">
        <f>91-14</f>
        <v>77</v>
      </c>
      <c r="S182" s="49">
        <v>14</v>
      </c>
      <c r="T182" s="54">
        <f t="shared" si="330"/>
        <v>91</v>
      </c>
      <c r="U182" s="55">
        <v>72700</v>
      </c>
      <c r="V182" s="49">
        <v>3.97</v>
      </c>
      <c r="W182" s="56">
        <f>IFERROR(IF(T182&gt;0,T182/V182,""),"")</f>
        <v>22.921914357682617</v>
      </c>
      <c r="X182" s="49" t="s">
        <v>163</v>
      </c>
      <c r="Y182" s="57" t="s">
        <v>162</v>
      </c>
      <c r="Z182" s="58">
        <v>5695000</v>
      </c>
      <c r="AA182" s="114">
        <v>5.0999999999999997E-2</v>
      </c>
      <c r="AB182" s="59">
        <v>15</v>
      </c>
      <c r="AC182" s="60">
        <v>40</v>
      </c>
      <c r="AD182" s="61">
        <v>5.0999999999999997E-2</v>
      </c>
      <c r="AE182" s="62">
        <v>5695000</v>
      </c>
      <c r="AF182" s="63">
        <v>1.1499999999999999</v>
      </c>
      <c r="AG182" s="59"/>
      <c r="AH182" s="60"/>
      <c r="AI182" s="61"/>
      <c r="AJ182" s="64"/>
      <c r="AK182" s="65">
        <f>IFERROR(IF(AE182&gt;0,AJ182+AE182,""),"")</f>
        <v>5695000</v>
      </c>
      <c r="AL182" s="66">
        <v>2500</v>
      </c>
      <c r="AM182" s="49" t="s">
        <v>826</v>
      </c>
      <c r="AN182" s="67">
        <v>0.91</v>
      </c>
      <c r="AO182" s="62">
        <v>15420666</v>
      </c>
      <c r="AP182" s="62">
        <v>0</v>
      </c>
      <c r="AQ182" s="68">
        <v>880893</v>
      </c>
      <c r="AR182" s="69">
        <f>IFERROR(IF(AK182&gt;0,AK182/T182,""),"")</f>
        <v>62582.417582417584</v>
      </c>
      <c r="AS182" s="70">
        <f t="shared" ref="AS182:AS189" si="543">IFERROR(IF(AL182&gt;0,AL182/T182,""),"")</f>
        <v>27.472527472527471</v>
      </c>
      <c r="AT182" s="70">
        <f>IFERROR(IF(AO182&gt;0,AO182/T182,""),"")</f>
        <v>169457.86813186813</v>
      </c>
      <c r="AU182" s="70" t="str">
        <f t="shared" ref="AU182:AU189" si="544">IFERROR(IF(AP182&gt;0,AP182/T182,""),"")</f>
        <v/>
      </c>
      <c r="AV182" s="71">
        <f>IFERROR(IF(AQ182&gt;0,AQ182/T182,""),"")</f>
        <v>9680.1428571428569</v>
      </c>
      <c r="AW182" s="115">
        <f>IFERROR(IF(SUM(BB182:BC182)&gt;0,SUM(BB182:BC182)/T182,""),"")</f>
        <v>124823.87912087912</v>
      </c>
      <c r="AX182" s="116">
        <f>IFERROR(IF(SUM(BB182:BC182)&gt;0,SUM(BB182:BC182)/U182,""),"")</f>
        <v>156.24447042640989</v>
      </c>
      <c r="AY182" s="72">
        <f>IFERROR(IF(SUM(BL182:BO182)&gt;0,SUM(BL182:BO182),""),"")</f>
        <v>150727.48351648351</v>
      </c>
      <c r="AZ182" s="73">
        <f>IFERROR(IF(SUM(BV182:BY182)&gt;0,SUM(BV182:BY182),""),"")</f>
        <v>188.66851444291609</v>
      </c>
      <c r="BA182" s="66">
        <v>1865000</v>
      </c>
      <c r="BB182" s="62">
        <v>2855437</v>
      </c>
      <c r="BC182" s="62">
        <v>8503536</v>
      </c>
      <c r="BD182" s="62">
        <v>714370</v>
      </c>
      <c r="BE182" s="62">
        <v>1642858</v>
      </c>
      <c r="BF182" s="62">
        <v>1525960</v>
      </c>
      <c r="BG182" s="62">
        <v>1404648</v>
      </c>
      <c r="BH182" s="62">
        <v>2105846</v>
      </c>
      <c r="BI182" s="62">
        <v>500510</v>
      </c>
      <c r="BJ182" s="47">
        <f>IFERROR(IF(SUM(BA182:BI182)&gt;0,SUM(BA182:BI182),""),"")</f>
        <v>21118165</v>
      </c>
      <c r="BK182" s="69">
        <f t="shared" ref="BK182:BT183" si="545">IFERROR(IF(BA182&gt;0,BA182/$T182,""),"")</f>
        <v>20494.505494505494</v>
      </c>
      <c r="BL182" s="70">
        <f t="shared" si="545"/>
        <v>31378.428571428572</v>
      </c>
      <c r="BM182" s="70">
        <f t="shared" si="545"/>
        <v>93445.450549450543</v>
      </c>
      <c r="BN182" s="70">
        <f t="shared" si="545"/>
        <v>7850.2197802197807</v>
      </c>
      <c r="BO182" s="70">
        <f t="shared" si="545"/>
        <v>18053.384615384617</v>
      </c>
      <c r="BP182" s="70">
        <f t="shared" si="545"/>
        <v>16768.791208791208</v>
      </c>
      <c r="BQ182" s="70">
        <f t="shared" si="545"/>
        <v>15435.692307692309</v>
      </c>
      <c r="BR182" s="70">
        <f t="shared" si="545"/>
        <v>23141.164835164836</v>
      </c>
      <c r="BS182" s="70">
        <f t="shared" si="545"/>
        <v>5500.1098901098903</v>
      </c>
      <c r="BT182" s="71">
        <f t="shared" si="545"/>
        <v>232067.74725274724</v>
      </c>
      <c r="BU182" s="65">
        <f t="shared" ref="BU182:CD183" si="546">IFERROR(IF(BA182&gt;0,BA182/$U182,""),"")</f>
        <v>25.653370013755158</v>
      </c>
      <c r="BV182" s="48">
        <f t="shared" si="546"/>
        <v>39.276987620357637</v>
      </c>
      <c r="BW182" s="48">
        <f t="shared" si="546"/>
        <v>116.96748280605227</v>
      </c>
      <c r="BX182" s="48">
        <f t="shared" si="546"/>
        <v>9.8262723521320492</v>
      </c>
      <c r="BY182" s="48">
        <f t="shared" si="546"/>
        <v>22.59777166437414</v>
      </c>
      <c r="BZ182" s="48">
        <f t="shared" si="546"/>
        <v>20.989821182943604</v>
      </c>
      <c r="CA182" s="48">
        <f t="shared" si="546"/>
        <v>19.321155433287483</v>
      </c>
      <c r="CB182" s="48">
        <f t="shared" si="546"/>
        <v>28.96624484181568</v>
      </c>
      <c r="CC182" s="48">
        <f t="shared" si="546"/>
        <v>6.8845942228335621</v>
      </c>
      <c r="CD182" s="47">
        <f t="shared" si="546"/>
        <v>290.48370013755158</v>
      </c>
      <c r="CE182" s="66">
        <v>952356</v>
      </c>
      <c r="CF182" s="62">
        <v>21840</v>
      </c>
      <c r="CG182" s="74">
        <v>-73065</v>
      </c>
      <c r="CH182" s="75">
        <f>IFERROR(IF(SUM(CE182:CG182)&gt;0,SUM(CE182:CG182),""),"")</f>
        <v>901131</v>
      </c>
      <c r="CI182" s="62">
        <f>32530+3080</f>
        <v>35610</v>
      </c>
      <c r="CJ182" s="62">
        <v>40551</v>
      </c>
      <c r="CK182" s="62">
        <v>109359</v>
      </c>
      <c r="CL182" s="62">
        <v>57092</v>
      </c>
      <c r="CM182" s="62">
        <f>13277+50052</f>
        <v>63329</v>
      </c>
      <c r="CN182" s="62">
        <v>42985</v>
      </c>
      <c r="CO182" s="62">
        <v>145255</v>
      </c>
      <c r="CP182" s="75">
        <f t="shared" si="331"/>
        <v>494181</v>
      </c>
      <c r="CQ182" s="62">
        <v>22750</v>
      </c>
      <c r="CR182" s="75">
        <f t="shared" si="332"/>
        <v>516931</v>
      </c>
      <c r="CS182" s="75">
        <f>IFERROR(IF(CH182-CR182&gt;0,CH182-CP182,""),"")</f>
        <v>406950</v>
      </c>
      <c r="CT182" s="62">
        <v>334072</v>
      </c>
      <c r="CU182" s="47">
        <f>IFERROR(IF(CS182-CT182&gt;0,CS182-CT182,""),"")</f>
        <v>72878</v>
      </c>
      <c r="CV182" s="76">
        <f>IFERROR(IF(CU182&gt;0,CS182/CH182,""),"")</f>
        <v>0.45159915705929549</v>
      </c>
      <c r="CW182" s="75">
        <f>IFERROR(IF(CU182&gt;0,CR182/T182,""),"")</f>
        <v>5680.5604395604396</v>
      </c>
      <c r="CX182" s="77">
        <f>IFERROR(IF(CU182&gt;0,CR182/CH182,""),"")</f>
        <v>0.57364689484658726</v>
      </c>
      <c r="CY182" s="75">
        <f>IFERROR(IF(CU182&gt;0,CU182/T182,""),"")</f>
        <v>800.85714285714289</v>
      </c>
      <c r="CZ182" s="77">
        <f>IFERROR(IF(CU182&gt;0,CU182/CH182,""),"")</f>
        <v>8.0873923991073446E-2</v>
      </c>
      <c r="DA182" s="77">
        <f>IFERROR(IF(CT182&gt;0,CT182/CH182,""),"")</f>
        <v>0.37072523306822203</v>
      </c>
      <c r="DB182" s="47">
        <f>IFERROR(IF(AR182&gt;0,AR182,""),"")</f>
        <v>62582.417582417584</v>
      </c>
      <c r="DC182" s="69">
        <f t="shared" ref="DC182:DL183" si="547">IFERROR(IF(ABS(CE182)&gt;0,CE182/$T182,""),"")</f>
        <v>10465.45054945055</v>
      </c>
      <c r="DD182" s="70">
        <f t="shared" si="547"/>
        <v>240</v>
      </c>
      <c r="DE182" s="70">
        <f t="shared" si="547"/>
        <v>-802.91208791208794</v>
      </c>
      <c r="DF182" s="70">
        <f t="shared" si="547"/>
        <v>9902.538461538461</v>
      </c>
      <c r="DG182" s="70">
        <f t="shared" si="547"/>
        <v>391.31868131868134</v>
      </c>
      <c r="DH182" s="70">
        <f t="shared" si="547"/>
        <v>445.61538461538464</v>
      </c>
      <c r="DI182" s="70">
        <f t="shared" si="547"/>
        <v>1201.7472527472528</v>
      </c>
      <c r="DJ182" s="70">
        <f t="shared" si="547"/>
        <v>627.38461538461536</v>
      </c>
      <c r="DK182" s="70">
        <f t="shared" si="547"/>
        <v>695.92307692307691</v>
      </c>
      <c r="DL182" s="70">
        <f t="shared" si="547"/>
        <v>472.36263736263737</v>
      </c>
      <c r="DM182" s="70">
        <f t="shared" ref="DM182:DS183" si="548">IFERROR(IF(ABS(CO182)&gt;0,CO182/$T182,""),"")</f>
        <v>1596.2087912087911</v>
      </c>
      <c r="DN182" s="70">
        <f t="shared" si="548"/>
        <v>5430.5604395604396</v>
      </c>
      <c r="DO182" s="70">
        <f t="shared" si="548"/>
        <v>250</v>
      </c>
      <c r="DP182" s="70">
        <f t="shared" si="548"/>
        <v>5680.5604395604396</v>
      </c>
      <c r="DQ182" s="70">
        <f t="shared" si="548"/>
        <v>4471.9780219780223</v>
      </c>
      <c r="DR182" s="70">
        <f t="shared" si="548"/>
        <v>3671.1208791208792</v>
      </c>
      <c r="DS182" s="71">
        <f t="shared" si="548"/>
        <v>800.85714285714289</v>
      </c>
      <c r="DT182" s="106">
        <f t="shared" ref="DT182:EC183" si="549">IFERROR(IF(ABS(CE182&gt;0),CE182/$CH182,""),"")</f>
        <v>1.0568452311595096</v>
      </c>
      <c r="DU182" s="92">
        <f t="shared" si="549"/>
        <v>2.4236209829647411E-2</v>
      </c>
      <c r="DV182" s="92" t="str">
        <f t="shared" si="549"/>
        <v/>
      </c>
      <c r="DW182" s="92">
        <f t="shared" si="549"/>
        <v>1</v>
      </c>
      <c r="DX182" s="92">
        <f t="shared" si="549"/>
        <v>3.951700696125203E-2</v>
      </c>
      <c r="DY182" s="92">
        <f t="shared" si="549"/>
        <v>4.5000116520239566E-2</v>
      </c>
      <c r="DZ182" s="92">
        <f t="shared" si="549"/>
        <v>0.1213574940824364</v>
      </c>
      <c r="EA182" s="92">
        <f t="shared" si="549"/>
        <v>6.3355938259809064E-2</v>
      </c>
      <c r="EB182" s="92">
        <f t="shared" si="549"/>
        <v>7.0277240490006443E-2</v>
      </c>
      <c r="EC182" s="92">
        <f t="shared" si="549"/>
        <v>4.7701166645027195E-2</v>
      </c>
      <c r="ED182" s="92">
        <f t="shared" ref="ED182:EJ183" si="550">IFERROR(IF(ABS(CO182&gt;0),CO182/$CH182,""),"")</f>
        <v>0.16119187998193382</v>
      </c>
      <c r="EE182" s="92">
        <f t="shared" si="550"/>
        <v>0.54840084294070457</v>
      </c>
      <c r="EF182" s="92">
        <f t="shared" si="550"/>
        <v>2.5246051905882718E-2</v>
      </c>
      <c r="EG182" s="92">
        <f t="shared" si="550"/>
        <v>0.57364689484658726</v>
      </c>
      <c r="EH182" s="92">
        <f t="shared" si="550"/>
        <v>0.45159915705929549</v>
      </c>
      <c r="EI182" s="92">
        <f t="shared" si="550"/>
        <v>0.37072523306822203</v>
      </c>
      <c r="EJ182" s="122">
        <f t="shared" si="550"/>
        <v>8.0873923991073446E-2</v>
      </c>
    </row>
    <row r="183" spans="2:140" ht="12" hidden="1" customHeight="1" outlineLevel="1">
      <c r="B183" s="121">
        <v>45224</v>
      </c>
      <c r="C183" s="117">
        <v>23703</v>
      </c>
      <c r="D183" s="50" t="s">
        <v>1004</v>
      </c>
      <c r="E183" s="50" t="s">
        <v>1005</v>
      </c>
      <c r="F183" s="50" t="s">
        <v>1006</v>
      </c>
      <c r="G183" s="50" t="s">
        <v>291</v>
      </c>
      <c r="H183" s="50" t="s">
        <v>1007</v>
      </c>
      <c r="I183" s="50" t="s">
        <v>1005</v>
      </c>
      <c r="J183" s="52" t="s">
        <v>360</v>
      </c>
      <c r="K183" s="50" t="s">
        <v>294</v>
      </c>
      <c r="L183" s="49">
        <v>7</v>
      </c>
      <c r="M183" s="50" t="s">
        <v>159</v>
      </c>
      <c r="N183" s="50" t="s">
        <v>361</v>
      </c>
      <c r="O183" s="50" t="s">
        <v>160</v>
      </c>
      <c r="P183" s="50" t="s">
        <v>177</v>
      </c>
      <c r="Q183" s="53"/>
      <c r="R183" s="49">
        <v>120</v>
      </c>
      <c r="S183" s="49">
        <v>0</v>
      </c>
      <c r="T183" s="54">
        <f t="shared" si="330"/>
        <v>120</v>
      </c>
      <c r="U183" s="55">
        <v>67124</v>
      </c>
      <c r="V183" s="49">
        <v>1.08</v>
      </c>
      <c r="W183" s="56">
        <f>IFERROR(IF(T183&gt;0,T183/V183,""),"")</f>
        <v>111.1111111111111</v>
      </c>
      <c r="X183" s="49" t="s">
        <v>163</v>
      </c>
      <c r="Y183" s="57" t="s">
        <v>162</v>
      </c>
      <c r="Z183" s="58">
        <v>5500000</v>
      </c>
      <c r="AA183" s="114">
        <v>0</v>
      </c>
      <c r="AB183" s="59">
        <v>20</v>
      </c>
      <c r="AC183" s="60">
        <v>0</v>
      </c>
      <c r="AD183" s="61">
        <v>0</v>
      </c>
      <c r="AE183" s="62">
        <v>5500000</v>
      </c>
      <c r="AF183" s="63"/>
      <c r="AG183" s="59"/>
      <c r="AH183" s="60"/>
      <c r="AI183" s="61"/>
      <c r="AJ183" s="64"/>
      <c r="AK183" s="65">
        <f>IFERROR(IF(AE183&gt;0,AJ183+AE183,""),"")</f>
        <v>5500000</v>
      </c>
      <c r="AL183" s="66">
        <f>12992103+6000000+2000000</f>
        <v>20992103</v>
      </c>
      <c r="AM183" s="49" t="s">
        <v>359</v>
      </c>
      <c r="AN183" s="67"/>
      <c r="AO183" s="62">
        <v>1481198</v>
      </c>
      <c r="AP183" s="62">
        <v>0</v>
      </c>
      <c r="AQ183" s="68">
        <v>0</v>
      </c>
      <c r="AR183" s="69">
        <f>IFERROR(IF(AK183&gt;0,AK183/T183,""),"")</f>
        <v>45833.333333333336</v>
      </c>
      <c r="AS183" s="70">
        <f t="shared" si="543"/>
        <v>174934.19166666668</v>
      </c>
      <c r="AT183" s="70">
        <f>IFERROR(IF(AO183&gt;0,AO183/T183,""),"")</f>
        <v>12343.316666666668</v>
      </c>
      <c r="AU183" s="70" t="str">
        <f t="shared" si="544"/>
        <v/>
      </c>
      <c r="AV183" s="71" t="str">
        <f>IFERROR(IF(AQ183&gt;0,AQ183/T183,""),"")</f>
        <v/>
      </c>
      <c r="AW183" s="115">
        <f>IFERROR(IF(SUM(BB183:BC183)&gt;0,SUM(BB183:BC183)/T183,""),"")</f>
        <v>149228.95000000001</v>
      </c>
      <c r="AX183" s="116">
        <f>IFERROR(IF(SUM(BB183:BC183)&gt;0,SUM(BB183:BC183)/U183,""),"")</f>
        <v>266.78198557892853</v>
      </c>
      <c r="AY183" s="72">
        <f>IFERROR(IF(SUM(BL183:BO183)&gt;0,SUM(BL183:BO183),""),"")</f>
        <v>182029.47500000001</v>
      </c>
      <c r="AZ183" s="73">
        <f>IFERROR(IF(SUM(BV183:BY183)&gt;0,SUM(BV183:BY183),""),"")</f>
        <v>325.42066920922468</v>
      </c>
      <c r="BA183" s="66">
        <v>0</v>
      </c>
      <c r="BB183" s="62">
        <v>1892113</v>
      </c>
      <c r="BC183" s="62">
        <v>16015361</v>
      </c>
      <c r="BD183" s="62">
        <v>1253523</v>
      </c>
      <c r="BE183" s="62">
        <v>2682540</v>
      </c>
      <c r="BF183" s="62">
        <v>3034801</v>
      </c>
      <c r="BG183" s="62">
        <v>761482</v>
      </c>
      <c r="BH183" s="62">
        <v>1919000</v>
      </c>
      <c r="BI183" s="62">
        <v>414481</v>
      </c>
      <c r="BJ183" s="47">
        <f>IFERROR(IF(SUM(BA183:BI183)&gt;0,SUM(BA183:BI183),""),"")</f>
        <v>27973301</v>
      </c>
      <c r="BK183" s="69" t="str">
        <f t="shared" si="545"/>
        <v/>
      </c>
      <c r="BL183" s="70">
        <f t="shared" si="545"/>
        <v>15767.608333333334</v>
      </c>
      <c r="BM183" s="70">
        <f t="shared" si="545"/>
        <v>133461.34166666667</v>
      </c>
      <c r="BN183" s="70">
        <f t="shared" si="545"/>
        <v>10446.025</v>
      </c>
      <c r="BO183" s="70">
        <f t="shared" si="545"/>
        <v>22354.5</v>
      </c>
      <c r="BP183" s="70">
        <f t="shared" si="545"/>
        <v>25290.008333333335</v>
      </c>
      <c r="BQ183" s="70">
        <f t="shared" si="545"/>
        <v>6345.6833333333334</v>
      </c>
      <c r="BR183" s="70">
        <f t="shared" si="545"/>
        <v>15991.666666666666</v>
      </c>
      <c r="BS183" s="70">
        <f t="shared" si="545"/>
        <v>3454.0083333333332</v>
      </c>
      <c r="BT183" s="71">
        <f t="shared" si="545"/>
        <v>233110.84166666667</v>
      </c>
      <c r="BU183" s="65" t="str">
        <f t="shared" si="546"/>
        <v/>
      </c>
      <c r="BV183" s="48">
        <f t="shared" si="546"/>
        <v>28.188323103509923</v>
      </c>
      <c r="BW183" s="48">
        <f t="shared" si="546"/>
        <v>238.59366247541863</v>
      </c>
      <c r="BX183" s="48">
        <f t="shared" si="546"/>
        <v>18.674736308920803</v>
      </c>
      <c r="BY183" s="48">
        <f t="shared" si="546"/>
        <v>39.963947321375365</v>
      </c>
      <c r="BZ183" s="48">
        <f t="shared" si="546"/>
        <v>45.211861629223527</v>
      </c>
      <c r="CA183" s="48">
        <f t="shared" si="546"/>
        <v>11.344407365472856</v>
      </c>
      <c r="CB183" s="48">
        <f t="shared" si="546"/>
        <v>28.588880281270484</v>
      </c>
      <c r="CC183" s="48">
        <f t="shared" si="546"/>
        <v>6.1748554913294802</v>
      </c>
      <c r="CD183" s="47">
        <f t="shared" si="546"/>
        <v>416.74067397652107</v>
      </c>
      <c r="CE183" s="66">
        <v>1516032</v>
      </c>
      <c r="CF183" s="62">
        <v>14400</v>
      </c>
      <c r="CG183" s="74">
        <v>-114782</v>
      </c>
      <c r="CH183" s="75">
        <f>IFERROR(IF(SUM(CE183:CG183)&gt;0,SUM(CE183:CG183),""),"")</f>
        <v>1415650</v>
      </c>
      <c r="CI183" s="62">
        <f>39500+20000+952</f>
        <v>60452</v>
      </c>
      <c r="CJ183" s="62">
        <v>77861</v>
      </c>
      <c r="CK183" s="62">
        <v>471157</v>
      </c>
      <c r="CL183" s="62">
        <f>129500+60000</f>
        <v>189500</v>
      </c>
      <c r="CM183" s="62">
        <f>62000+94200</f>
        <v>156200</v>
      </c>
      <c r="CN183" s="62">
        <v>83155</v>
      </c>
      <c r="CO183" s="62">
        <v>0</v>
      </c>
      <c r="CP183" s="75">
        <f t="shared" si="331"/>
        <v>1038325</v>
      </c>
      <c r="CQ183" s="62">
        <v>30000</v>
      </c>
      <c r="CR183" s="75">
        <f t="shared" si="332"/>
        <v>1068325</v>
      </c>
      <c r="CS183" s="75">
        <f>IFERROR(IF(CH183-CR183&gt;0,CH183-CP183,""),"")</f>
        <v>377325</v>
      </c>
      <c r="CT183" s="62">
        <v>0</v>
      </c>
      <c r="CU183" s="47">
        <f>IFERROR(IF(CS183-CT183&gt;0,CS183-CT183,""),"")</f>
        <v>377325</v>
      </c>
      <c r="CV183" s="76">
        <f>IFERROR(IF(CU183&gt;0,CS183/CH183,""),"")</f>
        <v>0.26653833927877651</v>
      </c>
      <c r="CW183" s="75">
        <f>IFERROR(IF(CU183&gt;0,CR183/T183,""),"")</f>
        <v>8902.7083333333339</v>
      </c>
      <c r="CX183" s="77">
        <f>IFERROR(IF(CU183&gt;0,CR183/CH183,""),"")</f>
        <v>0.75465333945537383</v>
      </c>
      <c r="CY183" s="75">
        <f>IFERROR(IF(CU183&gt;0,CU183/T183,""),"")</f>
        <v>3144.375</v>
      </c>
      <c r="CZ183" s="77">
        <f>IFERROR(IF(CU183&gt;0,CU183/CH183,""),"")</f>
        <v>0.26653833927877651</v>
      </c>
      <c r="DA183" s="77" t="str">
        <f>IFERROR(IF(CT183&gt;0,CT183/CH183,""),"")</f>
        <v/>
      </c>
      <c r="DB183" s="47">
        <f>IFERROR(IF(AR183&gt;0,AR183,""),"")</f>
        <v>45833.333333333336</v>
      </c>
      <c r="DC183" s="69">
        <f t="shared" si="547"/>
        <v>12633.6</v>
      </c>
      <c r="DD183" s="70">
        <f t="shared" si="547"/>
        <v>120</v>
      </c>
      <c r="DE183" s="70">
        <f t="shared" si="547"/>
        <v>-956.51666666666665</v>
      </c>
      <c r="DF183" s="70">
        <f t="shared" si="547"/>
        <v>11797.083333333334</v>
      </c>
      <c r="DG183" s="70">
        <f t="shared" si="547"/>
        <v>503.76666666666665</v>
      </c>
      <c r="DH183" s="70">
        <f t="shared" si="547"/>
        <v>648.8416666666667</v>
      </c>
      <c r="DI183" s="70">
        <f t="shared" si="547"/>
        <v>3926.3083333333334</v>
      </c>
      <c r="DJ183" s="70">
        <f t="shared" si="547"/>
        <v>1579.1666666666667</v>
      </c>
      <c r="DK183" s="70">
        <f t="shared" si="547"/>
        <v>1301.6666666666667</v>
      </c>
      <c r="DL183" s="70">
        <f t="shared" si="547"/>
        <v>692.95833333333337</v>
      </c>
      <c r="DM183" s="70" t="str">
        <f t="shared" si="548"/>
        <v/>
      </c>
      <c r="DN183" s="70">
        <f t="shared" si="548"/>
        <v>8652.7083333333339</v>
      </c>
      <c r="DO183" s="70">
        <f t="shared" si="548"/>
        <v>250</v>
      </c>
      <c r="DP183" s="70">
        <f t="shared" si="548"/>
        <v>8902.7083333333339</v>
      </c>
      <c r="DQ183" s="70">
        <f t="shared" si="548"/>
        <v>3144.375</v>
      </c>
      <c r="DR183" s="70" t="str">
        <f t="shared" si="548"/>
        <v/>
      </c>
      <c r="DS183" s="71">
        <f t="shared" si="548"/>
        <v>3144.375</v>
      </c>
      <c r="DT183" s="106">
        <f t="shared" si="549"/>
        <v>1.0709087698230495</v>
      </c>
      <c r="DU183" s="92">
        <f t="shared" si="549"/>
        <v>1.0172005792392188E-2</v>
      </c>
      <c r="DV183" s="92" t="str">
        <f t="shared" si="549"/>
        <v/>
      </c>
      <c r="DW183" s="92">
        <f t="shared" si="549"/>
        <v>1</v>
      </c>
      <c r="DX183" s="92">
        <f t="shared" si="549"/>
        <v>4.2702645427895314E-2</v>
      </c>
      <c r="DY183" s="92">
        <f t="shared" si="549"/>
        <v>5.5000176597322786E-2</v>
      </c>
      <c r="DZ183" s="92">
        <f t="shared" si="549"/>
        <v>0.33282025924486985</v>
      </c>
      <c r="EA183" s="92">
        <f t="shared" si="549"/>
        <v>0.13386077067071664</v>
      </c>
      <c r="EB183" s="92">
        <f t="shared" si="549"/>
        <v>0.1103380072758097</v>
      </c>
      <c r="EC183" s="92">
        <f t="shared" si="549"/>
        <v>5.8739801504609189E-2</v>
      </c>
      <c r="ED183" s="92" t="str">
        <f t="shared" si="550"/>
        <v/>
      </c>
      <c r="EE183" s="92">
        <f t="shared" si="550"/>
        <v>0.73346166072122343</v>
      </c>
      <c r="EF183" s="92">
        <f t="shared" si="550"/>
        <v>2.1191678734150392E-2</v>
      </c>
      <c r="EG183" s="92">
        <f t="shared" si="550"/>
        <v>0.75465333945537383</v>
      </c>
      <c r="EH183" s="92">
        <f t="shared" si="550"/>
        <v>0.26653833927877651</v>
      </c>
      <c r="EI183" s="92" t="str">
        <f t="shared" si="550"/>
        <v/>
      </c>
      <c r="EJ183" s="122">
        <f t="shared" si="550"/>
        <v>0.26653833927877651</v>
      </c>
    </row>
    <row r="184" spans="2:140" ht="12" hidden="1" customHeight="1" outlineLevel="1">
      <c r="B184" s="121">
        <v>45230</v>
      </c>
      <c r="C184" s="117">
        <v>23477</v>
      </c>
      <c r="D184" s="50" t="s">
        <v>1008</v>
      </c>
      <c r="E184" s="50" t="s">
        <v>933</v>
      </c>
      <c r="F184" s="50" t="s">
        <v>1009</v>
      </c>
      <c r="G184" s="50" t="s">
        <v>1010</v>
      </c>
      <c r="H184" s="50" t="s">
        <v>220</v>
      </c>
      <c r="I184" s="50" t="s">
        <v>672</v>
      </c>
      <c r="J184" s="52" t="s">
        <v>360</v>
      </c>
      <c r="K184" s="50" t="s">
        <v>294</v>
      </c>
      <c r="L184" s="49">
        <v>7</v>
      </c>
      <c r="M184" s="50" t="s">
        <v>159</v>
      </c>
      <c r="N184" s="50" t="s">
        <v>160</v>
      </c>
      <c r="O184" s="50" t="s">
        <v>160</v>
      </c>
      <c r="P184" s="50" t="s">
        <v>177</v>
      </c>
      <c r="Q184" s="53">
        <v>0.04</v>
      </c>
      <c r="R184" s="49">
        <v>321</v>
      </c>
      <c r="S184" s="49">
        <v>0</v>
      </c>
      <c r="T184" s="54">
        <f t="shared" si="330"/>
        <v>321</v>
      </c>
      <c r="U184" s="55">
        <v>326762</v>
      </c>
      <c r="V184" s="49">
        <v>26.626000000000001</v>
      </c>
      <c r="W184" s="56">
        <f t="shared" ref="W184:W211" si="551">IFERROR(IF(T184&gt;0,T184/V184,""),"")</f>
        <v>12.055885224968076</v>
      </c>
      <c r="X184" s="49" t="s">
        <v>163</v>
      </c>
      <c r="Y184" s="57" t="s">
        <v>162</v>
      </c>
      <c r="Z184" s="58">
        <v>73048870</v>
      </c>
      <c r="AA184" s="114">
        <f>(((50000000*0.055)/(Table1[[#This Row],[Construction Loan Principal]]))+((23048870*0.06)/(Table1[[#This Row],[Construction Loan Principal]])))</f>
        <v>5.6577633575988232E-2</v>
      </c>
      <c r="AB184" s="59">
        <v>16</v>
      </c>
      <c r="AC184" s="60">
        <v>40</v>
      </c>
      <c r="AD184" s="61">
        <v>5.5E-2</v>
      </c>
      <c r="AE184" s="62">
        <v>50000000</v>
      </c>
      <c r="AF184" s="63">
        <v>1.31</v>
      </c>
      <c r="AG184" s="59">
        <v>16</v>
      </c>
      <c r="AH184" s="60">
        <v>40</v>
      </c>
      <c r="AI184" s="61">
        <v>5.7000000000000002E-2</v>
      </c>
      <c r="AJ184" s="64">
        <v>6950000</v>
      </c>
      <c r="AK184" s="65">
        <f t="shared" ref="AK184:AK211" si="552">IFERROR(IF(AE184&gt;0,AJ184+AE184,""),"")</f>
        <v>56950000</v>
      </c>
      <c r="AL184" s="66">
        <v>0</v>
      </c>
      <c r="AM184" s="49"/>
      <c r="AN184" s="67">
        <v>0.94</v>
      </c>
      <c r="AO184" s="62">
        <v>33108315</v>
      </c>
      <c r="AP184" s="62">
        <v>0</v>
      </c>
      <c r="AQ184" s="68">
        <v>11546725</v>
      </c>
      <c r="AR184" s="69">
        <f t="shared" ref="AR184:AR211" si="553">IFERROR(IF(AK184&gt;0,AK184/T184,""),"")</f>
        <v>177414.33021806853</v>
      </c>
      <c r="AS184" s="70" t="str">
        <f t="shared" si="543"/>
        <v/>
      </c>
      <c r="AT184" s="70">
        <f t="shared" ref="AT184:AT211" si="554">IFERROR(IF(AO184&gt;0,AO184/T184,""),"")</f>
        <v>103141.16822429906</v>
      </c>
      <c r="AU184" s="70" t="str">
        <f t="shared" si="544"/>
        <v/>
      </c>
      <c r="AV184" s="71">
        <f t="shared" ref="AV184:AV211" si="555">IFERROR(IF(AQ184&gt;0,AQ184/T184,""),"")</f>
        <v>35971.105919003116</v>
      </c>
      <c r="AW184" s="115">
        <f t="shared" ref="AW184:AW211" si="556">IFERROR(IF(SUM(BB184:BC184)&gt;0,SUM(BB184:BC184)/T184,""),"")</f>
        <v>176402.33644859813</v>
      </c>
      <c r="AX184" s="116">
        <f t="shared" ref="AX184:AX211" si="557">IFERROR(IF(SUM(BB184:BC184)&gt;0,SUM(BB184:BC184)/U184,""),"")</f>
        <v>173.29172302776945</v>
      </c>
      <c r="AY184" s="72">
        <f t="shared" ref="AY184:AY211" si="558">IFERROR(IF(SUM(BL184:BO184)&gt;0,SUM(BL184:BO184),""),"")</f>
        <v>207449.14953271029</v>
      </c>
      <c r="AZ184" s="73">
        <f t="shared" ref="AZ184:AZ211" si="559">IFERROR(IF(SUM(BV184:BY184)&gt;0,SUM(BV184:BY184),""),"")</f>
        <v>203.79106811685571</v>
      </c>
      <c r="BA184" s="66">
        <v>9444800</v>
      </c>
      <c r="BB184" s="62">
        <v>9550925</v>
      </c>
      <c r="BC184" s="62">
        <v>47074225</v>
      </c>
      <c r="BD184" s="62">
        <v>2831258</v>
      </c>
      <c r="BE184" s="62">
        <v>7134769</v>
      </c>
      <c r="BF184" s="62">
        <v>4212000</v>
      </c>
      <c r="BG184" s="62">
        <v>9622000</v>
      </c>
      <c r="BH184" s="62">
        <v>11546726</v>
      </c>
      <c r="BI184" s="62">
        <v>1383626</v>
      </c>
      <c r="BJ184" s="47">
        <f t="shared" ref="BJ184:BJ211" si="560">IFERROR(IF(SUM(BA184:BI184)&gt;0,SUM(BA184:BI184),""),"")</f>
        <v>102800329</v>
      </c>
      <c r="BK184" s="69">
        <f t="shared" ref="BK184:BK211" si="561">IFERROR(IF(BA184&gt;0,BA184/$T184,""),"")</f>
        <v>29423.052959501558</v>
      </c>
      <c r="BL184" s="70">
        <f t="shared" ref="BL184:BL211" si="562">IFERROR(IF(BB184&gt;0,BB184/$T184,""),"")</f>
        <v>29753.66043613707</v>
      </c>
      <c r="BM184" s="70">
        <f t="shared" ref="BM184:BM211" si="563">IFERROR(IF(BC184&gt;0,BC184/$T184,""),"")</f>
        <v>146648.67601246107</v>
      </c>
      <c r="BN184" s="70">
        <f t="shared" ref="BN184:BN211" si="564">IFERROR(IF(BD184&gt;0,BD184/$T184,""),"")</f>
        <v>8820.1183800623057</v>
      </c>
      <c r="BO184" s="70">
        <f t="shared" ref="BO184:BO211" si="565">IFERROR(IF(BE184&gt;0,BE184/$T184,""),"")</f>
        <v>22226.694704049845</v>
      </c>
      <c r="BP184" s="70">
        <f t="shared" ref="BP184:BP211" si="566">IFERROR(IF(BF184&gt;0,BF184/$T184,""),"")</f>
        <v>13121.495327102804</v>
      </c>
      <c r="BQ184" s="70">
        <f t="shared" ref="BQ184:BQ211" si="567">IFERROR(IF(BG184&gt;0,BG184/$T184,""),"")</f>
        <v>29975.077881619938</v>
      </c>
      <c r="BR184" s="70">
        <f t="shared" ref="BR184:BR211" si="568">IFERROR(IF(BH184&gt;0,BH184/$T184,""),"")</f>
        <v>35971.109034267916</v>
      </c>
      <c r="BS184" s="70">
        <f t="shared" ref="BS184:BS211" si="569">IFERROR(IF(BI184&gt;0,BI184/$T184,""),"")</f>
        <v>4310.3613707165105</v>
      </c>
      <c r="BT184" s="71">
        <f t="shared" ref="BT184:BT211" si="570">IFERROR(IF(BJ184&gt;0,BJ184/$T184,""),"")</f>
        <v>320250.24610591901</v>
      </c>
      <c r="BU184" s="65">
        <f t="shared" ref="BU184:BU211" si="571">IFERROR(IF(BA184&gt;0,BA184/$U184,""),"")</f>
        <v>28.904217748697828</v>
      </c>
      <c r="BV184" s="48">
        <f t="shared" ref="BV184:BV211" si="572">IFERROR(IF(BB184&gt;0,BB184/$U184,""),"")</f>
        <v>29.228995415623604</v>
      </c>
      <c r="BW184" s="48">
        <f t="shared" ref="BW184:BW211" si="573">IFERROR(IF(BC184&gt;0,BC184/$U184,""),"")</f>
        <v>144.06272761214584</v>
      </c>
      <c r="BX184" s="48">
        <f t="shared" ref="BX184:BX211" si="574">IFERROR(IF(BD184&gt;0,BD184/$U184,""),"")</f>
        <v>8.664587681554158</v>
      </c>
      <c r="BY184" s="48">
        <f t="shared" ref="BY184:BY211" si="575">IFERROR(IF(BE184&gt;0,BE184/$U184,""),"")</f>
        <v>21.834757407532088</v>
      </c>
      <c r="BZ184" s="48">
        <f t="shared" ref="BZ184:BZ211" si="576">IFERROR(IF(BF184&gt;0,BF184/$U184,""),"")</f>
        <v>12.890115741732515</v>
      </c>
      <c r="CA184" s="48">
        <f t="shared" ref="CA184:CA211" si="577">IFERROR(IF(BG184&gt;0,BG184/$U184,""),"")</f>
        <v>29.446508467936908</v>
      </c>
      <c r="CB184" s="48">
        <f t="shared" ref="CB184:CB211" si="578">IFERROR(IF(BH184&gt;0,BH184/$U184,""),"")</f>
        <v>35.33680782955178</v>
      </c>
      <c r="CC184" s="48">
        <f t="shared" ref="CC184:CC211" si="579">IFERROR(IF(BI184&gt;0,BI184/$U184,""),"")</f>
        <v>4.2343540558571684</v>
      </c>
      <c r="CD184" s="47">
        <f t="shared" ref="CD184:CD211" si="580">IFERROR(IF(BJ184&gt;0,BJ184/$U184,""),"")</f>
        <v>314.60307196063189</v>
      </c>
      <c r="CE184" s="66">
        <v>5895636</v>
      </c>
      <c r="CF184" s="62">
        <v>77040</v>
      </c>
      <c r="CG184" s="74">
        <v>-447951</v>
      </c>
      <c r="CH184" s="75">
        <f t="shared" ref="CH184:CH211" si="581">IFERROR(IF(SUM(CE184:CG184)&gt;0,SUM(CE184:CG184),""),"")</f>
        <v>5524725</v>
      </c>
      <c r="CI184" s="62">
        <f>80000+30000+12840+5000</f>
        <v>127840</v>
      </c>
      <c r="CJ184" s="62">
        <v>167298</v>
      </c>
      <c r="CK184" s="62">
        <v>401250</v>
      </c>
      <c r="CL184" s="62">
        <v>182000</v>
      </c>
      <c r="CM184" s="62">
        <f>111505+145000</f>
        <v>256505</v>
      </c>
      <c r="CN184" s="62">
        <v>181500</v>
      </c>
      <c r="CO184" s="62">
        <v>0</v>
      </c>
      <c r="CP184" s="75">
        <f t="shared" si="331"/>
        <v>1316393</v>
      </c>
      <c r="CQ184" s="62">
        <v>80250</v>
      </c>
      <c r="CR184" s="75">
        <f t="shared" si="332"/>
        <v>1396643</v>
      </c>
      <c r="CS184" s="75">
        <f t="shared" ref="CS184:CS211" si="582">IFERROR(IF(CH184-CR184&gt;0,CH184-CP184,""),"")</f>
        <v>4208332</v>
      </c>
      <c r="CT184" s="62">
        <f>3144622+441559</f>
        <v>3586181</v>
      </c>
      <c r="CU184" s="47">
        <f t="shared" ref="CU184:CU211" si="583">IFERROR(IF(CS184-CT184&gt;0,CS184-CT184,""),"")</f>
        <v>622151</v>
      </c>
      <c r="CV184" s="76">
        <f t="shared" ref="CV184:CV211" si="584">IFERROR(IF(CU184&gt;0,CS184/CH184,""),"")</f>
        <v>0.76172696378552773</v>
      </c>
      <c r="CW184" s="75">
        <f t="shared" ref="CW184:CW211" si="585">IFERROR(IF(CU184&gt;0,CR184/T184,""),"")</f>
        <v>4350.9127725856697</v>
      </c>
      <c r="CX184" s="77">
        <f t="shared" ref="CX184:CX211" si="586">IFERROR(IF(CU184&gt;0,CR184/CH184,""),"")</f>
        <v>0.2527986460864568</v>
      </c>
      <c r="CY184" s="75">
        <f t="shared" ref="CY184:CY211" si="587">IFERROR(IF(CU184&gt;0,CU184/T184,""),"")</f>
        <v>1938.165109034268</v>
      </c>
      <c r="CZ184" s="77">
        <f t="shared" ref="CZ184:CZ211" si="588">IFERROR(IF(CU184&gt;0,CU184/CH184,""),"")</f>
        <v>0.11261212096529692</v>
      </c>
      <c r="DA184" s="77">
        <f t="shared" ref="DA184:DA211" si="589">IFERROR(IF(CT184&gt;0,CT184/CH184,""),"")</f>
        <v>0.64911484282023091</v>
      </c>
      <c r="DB184" s="47">
        <f t="shared" ref="DB184:DB211" si="590">IFERROR(IF(AR184&gt;0,AR184,""),"")</f>
        <v>177414.33021806853</v>
      </c>
      <c r="DC184" s="69">
        <f t="shared" ref="DC184:DC211" si="591">IFERROR(IF(ABS(CE184)&gt;0,CE184/$T184,""),"")</f>
        <v>18366.467289719625</v>
      </c>
      <c r="DD184" s="70">
        <f t="shared" ref="DD184:DD211" si="592">IFERROR(IF(ABS(CF184)&gt;0,CF184/$T184,""),"")</f>
        <v>240</v>
      </c>
      <c r="DE184" s="70">
        <f t="shared" ref="DE184:DE211" si="593">IFERROR(IF(ABS(CG184)&gt;0,CG184/$T184,""),"")</f>
        <v>-1395.4859813084113</v>
      </c>
      <c r="DF184" s="70">
        <f t="shared" ref="DF184:DF211" si="594">IFERROR(IF(ABS(CH184)&gt;0,CH184/$T184,""),"")</f>
        <v>17210.981308411214</v>
      </c>
      <c r="DG184" s="70">
        <f t="shared" ref="DG184:DG211" si="595">IFERROR(IF(ABS(CI184)&gt;0,CI184/$T184,""),"")</f>
        <v>398.25545171339564</v>
      </c>
      <c r="DH184" s="70">
        <f t="shared" ref="DH184:DH211" si="596">IFERROR(IF(ABS(CJ184)&gt;0,CJ184/$T184,""),"")</f>
        <v>521.17757009345792</v>
      </c>
      <c r="DI184" s="70">
        <f t="shared" ref="DI184:DI211" si="597">IFERROR(IF(ABS(CK184)&gt;0,CK184/$T184,""),"")</f>
        <v>1250</v>
      </c>
      <c r="DJ184" s="70">
        <f t="shared" ref="DJ184:DJ211" si="598">IFERROR(IF(ABS(CL184)&gt;0,CL184/$T184,""),"")</f>
        <v>566.97819314641742</v>
      </c>
      <c r="DK184" s="70">
        <f t="shared" ref="DK184:DK211" si="599">IFERROR(IF(ABS(CM184)&gt;0,CM184/$T184,""),"")</f>
        <v>799.08099688473521</v>
      </c>
      <c r="DL184" s="70">
        <f t="shared" ref="DL184:DL211" si="600">IFERROR(IF(ABS(CN184)&gt;0,CN184/$T184,""),"")</f>
        <v>565.42056074766356</v>
      </c>
      <c r="DM184" s="70" t="str">
        <f t="shared" ref="DM184:DM211" si="601">IFERROR(IF(ABS(CO184)&gt;0,CO184/$T184,""),"")</f>
        <v/>
      </c>
      <c r="DN184" s="70">
        <f t="shared" ref="DN184:DN211" si="602">IFERROR(IF(ABS(CP184)&gt;0,CP184/$T184,""),"")</f>
        <v>4100.9127725856697</v>
      </c>
      <c r="DO184" s="70">
        <f t="shared" ref="DO184:DO211" si="603">IFERROR(IF(ABS(CQ184)&gt;0,CQ184/$T184,""),"")</f>
        <v>250</v>
      </c>
      <c r="DP184" s="70">
        <f t="shared" ref="DP184:DP211" si="604">IFERROR(IF(ABS(CR184)&gt;0,CR184/$T184,""),"")</f>
        <v>4350.9127725856697</v>
      </c>
      <c r="DQ184" s="70">
        <f t="shared" ref="DQ184:DQ211" si="605">IFERROR(IF(ABS(CS184)&gt;0,CS184/$T184,""),"")</f>
        <v>13110.068535825545</v>
      </c>
      <c r="DR184" s="70">
        <f t="shared" ref="DR184:DR211" si="606">IFERROR(IF(ABS(CT184)&gt;0,CT184/$T184,""),"")</f>
        <v>11171.903426791278</v>
      </c>
      <c r="DS184" s="71">
        <f t="shared" ref="DS184:DS211" si="607">IFERROR(IF(ABS(CU184)&gt;0,CU184/$T184,""),"")</f>
        <v>1938.165109034268</v>
      </c>
      <c r="DT184" s="106">
        <f t="shared" ref="DT184:DT211" si="608">IFERROR(IF(ABS(CE184&gt;0),CE184/$CH184,""),"")</f>
        <v>1.067136554308133</v>
      </c>
      <c r="DU184" s="92">
        <f t="shared" ref="DU184:DU211" si="609">IFERROR(IF(ABS(CF184&gt;0),CF184/$CH184,""),"")</f>
        <v>1.3944585477105195E-2</v>
      </c>
      <c r="DV184" s="92" t="str">
        <f t="shared" ref="DV184:DV211" si="610">IFERROR(IF(ABS(CG184&gt;0),CG184/$CH184,""),"")</f>
        <v/>
      </c>
      <c r="DW184" s="92">
        <f t="shared" ref="DW184:DW211" si="611">IFERROR(IF(ABS(CH184&gt;0),CH184/$CH184,""),"")</f>
        <v>1</v>
      </c>
      <c r="DX184" s="92">
        <f t="shared" ref="DX184:DX211" si="612">IFERROR(IF(ABS(CI184&gt;0),CI184/$CH184,""),"")</f>
        <v>2.313961328391911E-2</v>
      </c>
      <c r="DY184" s="92">
        <f t="shared" ref="DY184:DY211" si="613">IFERROR(IF(ABS(CJ184&gt;0),CJ184/$CH184,""),"")</f>
        <v>3.0281688228825869E-2</v>
      </c>
      <c r="DZ184" s="92">
        <f t="shared" ref="DZ184:DZ211" si="614">IFERROR(IF(ABS(CK184&gt;0),CK184/$CH184,""),"")</f>
        <v>7.2628049359922897E-2</v>
      </c>
      <c r="EA184" s="92">
        <f t="shared" ref="EA184:EA211" si="615">IFERROR(IF(ABS(CL184&gt;0),CL184/$CH184,""),"")</f>
        <v>3.294281615827032E-2</v>
      </c>
      <c r="EB184" s="92">
        <f t="shared" ref="EB184:EB211" si="616">IFERROR(IF(ABS(CM184&gt;0),CM184/$CH184,""),"")</f>
        <v>4.6428555267456754E-2</v>
      </c>
      <c r="EC184" s="92">
        <f t="shared" ref="EC184:EC211" si="617">IFERROR(IF(ABS(CN184&gt;0),CN184/$CH184,""),"")</f>
        <v>3.2852313916077271E-2</v>
      </c>
      <c r="ED184" s="92" t="str">
        <f t="shared" ref="ED184:ED211" si="618">IFERROR(IF(ABS(CO184&gt;0),CO184/$CH184,""),"")</f>
        <v/>
      </c>
      <c r="EE184" s="92">
        <f t="shared" ref="EE184:EE211" si="619">IFERROR(IF(ABS(CP184&gt;0),CP184/$CH184,""),"")</f>
        <v>0.23827303621447221</v>
      </c>
      <c r="EF184" s="92">
        <f t="shared" ref="EF184:EF211" si="620">IFERROR(IF(ABS(CQ184&gt;0),CQ184/$CH184,""),"")</f>
        <v>1.4525609871984578E-2</v>
      </c>
      <c r="EG184" s="92">
        <f t="shared" ref="EG184:EG211" si="621">IFERROR(IF(ABS(CR184&gt;0),CR184/$CH184,""),"")</f>
        <v>0.2527986460864568</v>
      </c>
      <c r="EH184" s="92">
        <f t="shared" ref="EH184:EH211" si="622">IFERROR(IF(ABS(CS184&gt;0),CS184/$CH184,""),"")</f>
        <v>0.76172696378552773</v>
      </c>
      <c r="EI184" s="92">
        <f t="shared" ref="EI184:EI211" si="623">IFERROR(IF(ABS(CT184&gt;0),CT184/$CH184,""),"")</f>
        <v>0.64911484282023091</v>
      </c>
      <c r="EJ184" s="122">
        <f t="shared" ref="EJ184:EJ211" si="624">IFERROR(IF(ABS(CU184&gt;0),CU184/$CH184,""),"")</f>
        <v>0.11261212096529692</v>
      </c>
    </row>
    <row r="185" spans="2:140" ht="12" hidden="1" customHeight="1" outlineLevel="1">
      <c r="B185" s="121">
        <v>45230</v>
      </c>
      <c r="C185" s="117">
        <v>22054</v>
      </c>
      <c r="D185" s="50" t="s">
        <v>1011</v>
      </c>
      <c r="E185" s="50" t="s">
        <v>1012</v>
      </c>
      <c r="F185" s="50" t="s">
        <v>1013</v>
      </c>
      <c r="G185" s="50" t="s">
        <v>154</v>
      </c>
      <c r="H185" s="50" t="s">
        <v>724</v>
      </c>
      <c r="I185" s="50" t="s">
        <v>226</v>
      </c>
      <c r="J185" s="52" t="s">
        <v>1014</v>
      </c>
      <c r="K185" s="50" t="s">
        <v>1015</v>
      </c>
      <c r="L185" s="49">
        <v>11</v>
      </c>
      <c r="M185" s="50" t="s">
        <v>159</v>
      </c>
      <c r="N185" s="50" t="s">
        <v>160</v>
      </c>
      <c r="O185" s="50" t="s">
        <v>160</v>
      </c>
      <c r="P185" s="50" t="s">
        <v>177</v>
      </c>
      <c r="Q185" s="53">
        <v>0.09</v>
      </c>
      <c r="R185" s="49">
        <v>120</v>
      </c>
      <c r="S185" s="49">
        <v>0</v>
      </c>
      <c r="T185" s="54">
        <f t="shared" si="330"/>
        <v>120</v>
      </c>
      <c r="U185" s="55">
        <v>108192</v>
      </c>
      <c r="V185" s="49">
        <v>6.31</v>
      </c>
      <c r="W185" s="56">
        <f t="shared" si="551"/>
        <v>19.017432646592709</v>
      </c>
      <c r="X185" s="49" t="s">
        <v>163</v>
      </c>
      <c r="Y185" s="57" t="s">
        <v>162</v>
      </c>
      <c r="Z185" s="58">
        <v>3900000</v>
      </c>
      <c r="AA185" s="114">
        <v>5.3499999999999999E-2</v>
      </c>
      <c r="AB185" s="59">
        <v>15</v>
      </c>
      <c r="AC185" s="60">
        <v>35</v>
      </c>
      <c r="AD185" s="61">
        <v>5.3499999999999999E-2</v>
      </c>
      <c r="AE185" s="62">
        <v>3900000</v>
      </c>
      <c r="AF185" s="63">
        <v>1.26</v>
      </c>
      <c r="AG185" s="59"/>
      <c r="AH185" s="60"/>
      <c r="AI185" s="61"/>
      <c r="AJ185" s="64"/>
      <c r="AK185" s="65">
        <f t="shared" si="552"/>
        <v>3900000</v>
      </c>
      <c r="AL185" s="66">
        <v>0</v>
      </c>
      <c r="AM185" s="49"/>
      <c r="AN185" s="67">
        <v>0.89</v>
      </c>
      <c r="AO185" s="62">
        <v>18609582</v>
      </c>
      <c r="AP185" s="62">
        <v>0</v>
      </c>
      <c r="AQ185" s="68">
        <v>811362</v>
      </c>
      <c r="AR185" s="69">
        <f t="shared" si="553"/>
        <v>32500</v>
      </c>
      <c r="AS185" s="70" t="str">
        <f t="shared" si="543"/>
        <v/>
      </c>
      <c r="AT185" s="70">
        <f t="shared" si="554"/>
        <v>155079.85</v>
      </c>
      <c r="AU185" s="70" t="str">
        <f t="shared" si="544"/>
        <v/>
      </c>
      <c r="AV185" s="71">
        <f t="shared" si="555"/>
        <v>6761.35</v>
      </c>
      <c r="AW185" s="115">
        <f t="shared" si="556"/>
        <v>97647.366666666669</v>
      </c>
      <c r="AX185" s="116">
        <f t="shared" si="557"/>
        <v>108.30453268263827</v>
      </c>
      <c r="AY185" s="72">
        <f t="shared" si="558"/>
        <v>116885.15833333334</v>
      </c>
      <c r="AZ185" s="73">
        <f t="shared" si="559"/>
        <v>129.64192361727299</v>
      </c>
      <c r="BA185" s="66">
        <v>3900000</v>
      </c>
      <c r="BB185" s="62">
        <v>1823500</v>
      </c>
      <c r="BC185" s="62">
        <v>9894184</v>
      </c>
      <c r="BD185" s="62">
        <v>586017</v>
      </c>
      <c r="BE185" s="62">
        <v>1722518</v>
      </c>
      <c r="BF185" s="62">
        <v>793000</v>
      </c>
      <c r="BG185" s="62">
        <v>1324917</v>
      </c>
      <c r="BH185" s="62">
        <v>1931627</v>
      </c>
      <c r="BI185" s="62">
        <v>533819</v>
      </c>
      <c r="BJ185" s="47">
        <f t="shared" si="560"/>
        <v>22509582</v>
      </c>
      <c r="BK185" s="69">
        <f t="shared" si="561"/>
        <v>32500</v>
      </c>
      <c r="BL185" s="70">
        <f t="shared" si="562"/>
        <v>15195.833333333334</v>
      </c>
      <c r="BM185" s="70">
        <f t="shared" si="563"/>
        <v>82451.53333333334</v>
      </c>
      <c r="BN185" s="70">
        <f t="shared" si="564"/>
        <v>4883.4750000000004</v>
      </c>
      <c r="BO185" s="70">
        <f t="shared" si="565"/>
        <v>14354.316666666668</v>
      </c>
      <c r="BP185" s="70">
        <f t="shared" si="566"/>
        <v>6608.333333333333</v>
      </c>
      <c r="BQ185" s="70">
        <f t="shared" si="567"/>
        <v>11040.975</v>
      </c>
      <c r="BR185" s="70">
        <f t="shared" si="568"/>
        <v>16096.891666666666</v>
      </c>
      <c r="BS185" s="70">
        <f t="shared" si="569"/>
        <v>4448.4916666666668</v>
      </c>
      <c r="BT185" s="71">
        <f t="shared" si="570"/>
        <v>187579.85</v>
      </c>
      <c r="BU185" s="65">
        <f t="shared" si="571"/>
        <v>36.047027506654835</v>
      </c>
      <c r="BV185" s="48">
        <f t="shared" si="572"/>
        <v>16.854296066252587</v>
      </c>
      <c r="BW185" s="48">
        <f t="shared" si="573"/>
        <v>91.450236616385681</v>
      </c>
      <c r="BX185" s="48">
        <f t="shared" si="574"/>
        <v>5.4164540816326534</v>
      </c>
      <c r="BY185" s="48">
        <f t="shared" si="575"/>
        <v>15.92093685300207</v>
      </c>
      <c r="BZ185" s="48">
        <f t="shared" si="576"/>
        <v>7.3295622596864831</v>
      </c>
      <c r="CA185" s="48">
        <f t="shared" si="577"/>
        <v>12.245979370008873</v>
      </c>
      <c r="CB185" s="48">
        <f t="shared" si="578"/>
        <v>17.853695282460812</v>
      </c>
      <c r="CC185" s="48">
        <f t="shared" si="579"/>
        <v>4.9339969683525586</v>
      </c>
      <c r="CD185" s="47">
        <f t="shared" si="580"/>
        <v>208.05218500443655</v>
      </c>
      <c r="CE185" s="66">
        <v>922188</v>
      </c>
      <c r="CF185" s="62">
        <v>30984</v>
      </c>
      <c r="CG185" s="74">
        <v>-71488</v>
      </c>
      <c r="CH185" s="75">
        <f t="shared" si="581"/>
        <v>881684</v>
      </c>
      <c r="CI185" s="62">
        <f>31650+4800</f>
        <v>36450</v>
      </c>
      <c r="CJ185" s="62">
        <v>44084</v>
      </c>
      <c r="CK185" s="62">
        <v>127391</v>
      </c>
      <c r="CL185" s="62">
        <f>720+72600</f>
        <v>73320</v>
      </c>
      <c r="CM185" s="62">
        <f>12450+28200</f>
        <v>40650</v>
      </c>
      <c r="CN185" s="62">
        <v>60000</v>
      </c>
      <c r="CO185" s="62">
        <v>153000</v>
      </c>
      <c r="CP185" s="75">
        <f t="shared" si="331"/>
        <v>534895</v>
      </c>
      <c r="CQ185" s="62">
        <v>36000</v>
      </c>
      <c r="CR185" s="75">
        <f t="shared" si="332"/>
        <v>570895</v>
      </c>
      <c r="CS185" s="75">
        <f t="shared" si="582"/>
        <v>346789</v>
      </c>
      <c r="CT185" s="62">
        <v>246742</v>
      </c>
      <c r="CU185" s="47">
        <f t="shared" si="583"/>
        <v>100047</v>
      </c>
      <c r="CV185" s="76">
        <f t="shared" si="584"/>
        <v>0.39332572667758514</v>
      </c>
      <c r="CW185" s="75">
        <f t="shared" si="585"/>
        <v>4757.458333333333</v>
      </c>
      <c r="CX185" s="77">
        <f t="shared" si="586"/>
        <v>0.64750522863066584</v>
      </c>
      <c r="CY185" s="75">
        <f t="shared" si="587"/>
        <v>833.72500000000002</v>
      </c>
      <c r="CZ185" s="77">
        <f t="shared" si="588"/>
        <v>0.11347262738123863</v>
      </c>
      <c r="DA185" s="77">
        <f t="shared" si="589"/>
        <v>0.27985309929634655</v>
      </c>
      <c r="DB185" s="47">
        <f t="shared" si="590"/>
        <v>32500</v>
      </c>
      <c r="DC185" s="69">
        <f t="shared" si="591"/>
        <v>7684.9</v>
      </c>
      <c r="DD185" s="70">
        <f t="shared" si="592"/>
        <v>258.2</v>
      </c>
      <c r="DE185" s="70">
        <f t="shared" si="593"/>
        <v>-595.73333333333335</v>
      </c>
      <c r="DF185" s="70">
        <f t="shared" si="594"/>
        <v>7347.3666666666668</v>
      </c>
      <c r="DG185" s="70">
        <f t="shared" si="595"/>
        <v>303.75</v>
      </c>
      <c r="DH185" s="70">
        <f t="shared" si="596"/>
        <v>367.36666666666667</v>
      </c>
      <c r="DI185" s="70">
        <f t="shared" si="597"/>
        <v>1061.5916666666667</v>
      </c>
      <c r="DJ185" s="70">
        <f t="shared" si="598"/>
        <v>611</v>
      </c>
      <c r="DK185" s="70">
        <f t="shared" si="599"/>
        <v>338.75</v>
      </c>
      <c r="DL185" s="70">
        <f t="shared" si="600"/>
        <v>500</v>
      </c>
      <c r="DM185" s="70">
        <f t="shared" si="601"/>
        <v>1275</v>
      </c>
      <c r="DN185" s="70">
        <f t="shared" si="602"/>
        <v>4457.458333333333</v>
      </c>
      <c r="DO185" s="70">
        <f t="shared" si="603"/>
        <v>300</v>
      </c>
      <c r="DP185" s="70">
        <f t="shared" si="604"/>
        <v>4757.458333333333</v>
      </c>
      <c r="DQ185" s="70">
        <f t="shared" si="605"/>
        <v>2889.9083333333333</v>
      </c>
      <c r="DR185" s="70">
        <f t="shared" si="606"/>
        <v>2056.1833333333334</v>
      </c>
      <c r="DS185" s="71">
        <f t="shared" si="607"/>
        <v>833.72500000000002</v>
      </c>
      <c r="DT185" s="106">
        <f t="shared" si="608"/>
        <v>1.0459393614945944</v>
      </c>
      <c r="DU185" s="92">
        <f t="shared" si="609"/>
        <v>3.5141842201968053E-2</v>
      </c>
      <c r="DV185" s="92" t="str">
        <f t="shared" si="610"/>
        <v/>
      </c>
      <c r="DW185" s="92">
        <f t="shared" si="611"/>
        <v>1</v>
      </c>
      <c r="DX185" s="92">
        <f t="shared" si="612"/>
        <v>4.1341342249604167E-2</v>
      </c>
      <c r="DY185" s="92">
        <f t="shared" si="613"/>
        <v>4.9999773161359395E-2</v>
      </c>
      <c r="DZ185" s="92">
        <f t="shared" si="614"/>
        <v>0.14448600632426131</v>
      </c>
      <c r="EA185" s="92">
        <f t="shared" si="615"/>
        <v>8.3159045644471255E-2</v>
      </c>
      <c r="EB185" s="92">
        <f t="shared" si="616"/>
        <v>4.6104953702233456E-2</v>
      </c>
      <c r="EC185" s="92">
        <f t="shared" si="617"/>
        <v>6.8051592180418383E-2</v>
      </c>
      <c r="ED185" s="92">
        <f t="shared" si="618"/>
        <v>0.17353156006006687</v>
      </c>
      <c r="EE185" s="92">
        <f t="shared" si="619"/>
        <v>0.60667427332241486</v>
      </c>
      <c r="EF185" s="92">
        <f t="shared" si="620"/>
        <v>4.0830955308251031E-2</v>
      </c>
      <c r="EG185" s="92">
        <f t="shared" si="621"/>
        <v>0.64750522863066584</v>
      </c>
      <c r="EH185" s="92">
        <f t="shared" si="622"/>
        <v>0.39332572667758514</v>
      </c>
      <c r="EI185" s="92">
        <f t="shared" si="623"/>
        <v>0.27985309929634655</v>
      </c>
      <c r="EJ185" s="122">
        <f t="shared" si="624"/>
        <v>0.11347262738123863</v>
      </c>
    </row>
    <row r="186" spans="2:140" ht="12" hidden="1" customHeight="1" outlineLevel="1">
      <c r="B186" s="121">
        <v>45230</v>
      </c>
      <c r="C186" s="117" t="s">
        <v>1016</v>
      </c>
      <c r="D186" s="50" t="s">
        <v>696</v>
      </c>
      <c r="E186" s="50" t="s">
        <v>697</v>
      </c>
      <c r="F186" s="50" t="s">
        <v>1017</v>
      </c>
      <c r="G186" s="50" t="s">
        <v>291</v>
      </c>
      <c r="H186" s="50" t="s">
        <v>699</v>
      </c>
      <c r="I186" s="50" t="s">
        <v>174</v>
      </c>
      <c r="J186" s="52" t="s">
        <v>175</v>
      </c>
      <c r="K186" s="50" t="s">
        <v>176</v>
      </c>
      <c r="L186" s="49">
        <v>6</v>
      </c>
      <c r="M186" s="50" t="s">
        <v>159</v>
      </c>
      <c r="N186" s="50" t="s">
        <v>185</v>
      </c>
      <c r="O186" s="50" t="s">
        <v>160</v>
      </c>
      <c r="P186" s="50" t="s">
        <v>177</v>
      </c>
      <c r="Q186" s="53">
        <v>0.09</v>
      </c>
      <c r="R186" s="49">
        <f>117-24</f>
        <v>93</v>
      </c>
      <c r="S186" s="49">
        <v>24</v>
      </c>
      <c r="T186" s="54">
        <f t="shared" si="330"/>
        <v>117</v>
      </c>
      <c r="U186" s="55">
        <v>95889</v>
      </c>
      <c r="V186" s="49">
        <v>3</v>
      </c>
      <c r="W186" s="56">
        <f t="shared" si="551"/>
        <v>39</v>
      </c>
      <c r="X186" s="49" t="s">
        <v>163</v>
      </c>
      <c r="Y186" s="57" t="s">
        <v>162</v>
      </c>
      <c r="Z186" s="58">
        <v>9439000</v>
      </c>
      <c r="AA186" s="114">
        <v>3.2500000000000001E-2</v>
      </c>
      <c r="AB186" s="59">
        <v>40</v>
      </c>
      <c r="AC186" s="60">
        <v>40</v>
      </c>
      <c r="AD186" s="61">
        <v>3.2500000000000001E-2</v>
      </c>
      <c r="AE186" s="62">
        <v>9439000</v>
      </c>
      <c r="AF186" s="63">
        <v>1.24</v>
      </c>
      <c r="AG186" s="59"/>
      <c r="AH186" s="60"/>
      <c r="AI186" s="61"/>
      <c r="AJ186" s="64"/>
      <c r="AK186" s="65">
        <f t="shared" si="552"/>
        <v>9439000</v>
      </c>
      <c r="AL186" s="66">
        <v>500</v>
      </c>
      <c r="AM186" s="49" t="s">
        <v>999</v>
      </c>
      <c r="AN186" s="67">
        <v>0.92</v>
      </c>
      <c r="AO186" s="62">
        <v>14481909</v>
      </c>
      <c r="AP186" s="62">
        <v>0</v>
      </c>
      <c r="AQ186" s="68">
        <v>688289</v>
      </c>
      <c r="AR186" s="69">
        <f t="shared" si="553"/>
        <v>80675.213675213672</v>
      </c>
      <c r="AS186" s="70">
        <f t="shared" si="543"/>
        <v>4.2735042735042734</v>
      </c>
      <c r="AT186" s="70">
        <f t="shared" si="554"/>
        <v>123777</v>
      </c>
      <c r="AU186" s="70" t="str">
        <f t="shared" si="544"/>
        <v/>
      </c>
      <c r="AV186" s="71">
        <f t="shared" si="555"/>
        <v>5882.8119658119658</v>
      </c>
      <c r="AW186" s="115">
        <f t="shared" si="556"/>
        <v>87483.666666666672</v>
      </c>
      <c r="AX186" s="116">
        <f t="shared" si="557"/>
        <v>106.74414166379877</v>
      </c>
      <c r="AY186" s="72">
        <f t="shared" si="558"/>
        <v>105406.28205128203</v>
      </c>
      <c r="AZ186" s="73">
        <f t="shared" si="559"/>
        <v>128.61261458561461</v>
      </c>
      <c r="BA186" s="66">
        <v>6534000</v>
      </c>
      <c r="BB186" s="62">
        <v>2356297</v>
      </c>
      <c r="BC186" s="62">
        <v>7879292</v>
      </c>
      <c r="BD186" s="62">
        <v>642264</v>
      </c>
      <c r="BE186" s="62">
        <v>1454682</v>
      </c>
      <c r="BF186" s="62">
        <v>1495150</v>
      </c>
      <c r="BG186" s="62">
        <v>971393</v>
      </c>
      <c r="BH186" s="62">
        <v>2138331</v>
      </c>
      <c r="BI186" s="62">
        <v>450000</v>
      </c>
      <c r="BJ186" s="47">
        <f t="shared" si="560"/>
        <v>23921409</v>
      </c>
      <c r="BK186" s="69">
        <f t="shared" si="561"/>
        <v>55846.153846153844</v>
      </c>
      <c r="BL186" s="70">
        <f t="shared" si="562"/>
        <v>20139.290598290598</v>
      </c>
      <c r="BM186" s="70">
        <f t="shared" si="563"/>
        <v>67344.376068376063</v>
      </c>
      <c r="BN186" s="70">
        <f t="shared" si="564"/>
        <v>5489.4358974358975</v>
      </c>
      <c r="BO186" s="70">
        <f t="shared" si="565"/>
        <v>12433.179487179486</v>
      </c>
      <c r="BP186" s="70">
        <f t="shared" si="566"/>
        <v>12779.059829059828</v>
      </c>
      <c r="BQ186" s="70">
        <f t="shared" si="567"/>
        <v>8302.5042735042734</v>
      </c>
      <c r="BR186" s="70">
        <f t="shared" si="568"/>
        <v>18276.333333333332</v>
      </c>
      <c r="BS186" s="70">
        <f t="shared" si="569"/>
        <v>3846.1538461538462</v>
      </c>
      <c r="BT186" s="71">
        <f t="shared" si="570"/>
        <v>204456.48717948719</v>
      </c>
      <c r="BU186" s="65">
        <f t="shared" si="571"/>
        <v>68.141288364671652</v>
      </c>
      <c r="BV186" s="48">
        <f t="shared" si="572"/>
        <v>24.573173148119178</v>
      </c>
      <c r="BW186" s="48">
        <f t="shared" si="573"/>
        <v>82.17096851567959</v>
      </c>
      <c r="BX186" s="48">
        <f t="shared" si="574"/>
        <v>6.6979945562056127</v>
      </c>
      <c r="BY186" s="48">
        <f t="shared" si="575"/>
        <v>15.170478365610236</v>
      </c>
      <c r="BZ186" s="48">
        <f t="shared" si="576"/>
        <v>15.592508004046346</v>
      </c>
      <c r="CA186" s="48">
        <f t="shared" si="577"/>
        <v>10.130390347172252</v>
      </c>
      <c r="CB186" s="48">
        <f t="shared" si="578"/>
        <v>22.300065700966744</v>
      </c>
      <c r="CC186" s="48">
        <f t="shared" si="579"/>
        <v>4.6929261959140254</v>
      </c>
      <c r="CD186" s="47">
        <f t="shared" si="580"/>
        <v>249.46979319838564</v>
      </c>
      <c r="CE186" s="66">
        <v>1227468</v>
      </c>
      <c r="CF186" s="62">
        <v>21060</v>
      </c>
      <c r="CG186" s="74">
        <v>-93640</v>
      </c>
      <c r="CH186" s="75">
        <f t="shared" si="581"/>
        <v>1154888</v>
      </c>
      <c r="CI186" s="62">
        <f>30000+10000+3720</f>
        <v>43720</v>
      </c>
      <c r="CJ186" s="62">
        <v>57744</v>
      </c>
      <c r="CK186" s="62">
        <v>189750</v>
      </c>
      <c r="CL186" s="62">
        <f>8000+63000</f>
        <v>71000</v>
      </c>
      <c r="CM186" s="62">
        <f>42000+50000</f>
        <v>92000</v>
      </c>
      <c r="CN186" s="62">
        <v>43150</v>
      </c>
      <c r="CO186" s="62">
        <v>105274</v>
      </c>
      <c r="CP186" s="75">
        <f t="shared" si="331"/>
        <v>602638</v>
      </c>
      <c r="CQ186" s="62">
        <v>29250</v>
      </c>
      <c r="CR186" s="75">
        <f t="shared" si="332"/>
        <v>631888</v>
      </c>
      <c r="CS186" s="75">
        <f t="shared" si="582"/>
        <v>552250</v>
      </c>
      <c r="CT186" s="62">
        <v>421970</v>
      </c>
      <c r="CU186" s="47">
        <f t="shared" si="583"/>
        <v>130280</v>
      </c>
      <c r="CV186" s="76">
        <f t="shared" si="584"/>
        <v>0.47818489758314225</v>
      </c>
      <c r="CW186" s="75">
        <f t="shared" si="585"/>
        <v>5400.7521367521367</v>
      </c>
      <c r="CX186" s="77">
        <f t="shared" si="586"/>
        <v>0.5471422337057793</v>
      </c>
      <c r="CY186" s="75">
        <f t="shared" si="587"/>
        <v>1113.5042735042734</v>
      </c>
      <c r="CZ186" s="77">
        <f t="shared" si="588"/>
        <v>0.11280747570327165</v>
      </c>
      <c r="DA186" s="77">
        <f t="shared" si="589"/>
        <v>0.3653774218798706</v>
      </c>
      <c r="DB186" s="47">
        <f t="shared" si="590"/>
        <v>80675.213675213672</v>
      </c>
      <c r="DC186" s="69">
        <f t="shared" si="591"/>
        <v>10491.179487179486</v>
      </c>
      <c r="DD186" s="70">
        <f t="shared" si="592"/>
        <v>180</v>
      </c>
      <c r="DE186" s="70">
        <f t="shared" si="593"/>
        <v>-800.34188034188037</v>
      </c>
      <c r="DF186" s="70">
        <f t="shared" si="594"/>
        <v>9870.8376068376074</v>
      </c>
      <c r="DG186" s="70">
        <f t="shared" si="595"/>
        <v>373.67521367521368</v>
      </c>
      <c r="DH186" s="70">
        <f t="shared" si="596"/>
        <v>493.53846153846155</v>
      </c>
      <c r="DI186" s="70">
        <f t="shared" si="597"/>
        <v>1621.7948717948718</v>
      </c>
      <c r="DJ186" s="70">
        <f t="shared" si="598"/>
        <v>606.83760683760681</v>
      </c>
      <c r="DK186" s="70">
        <f t="shared" si="599"/>
        <v>786.32478632478637</v>
      </c>
      <c r="DL186" s="70">
        <f t="shared" si="600"/>
        <v>368.80341880341882</v>
      </c>
      <c r="DM186" s="70">
        <f t="shared" si="601"/>
        <v>899.77777777777783</v>
      </c>
      <c r="DN186" s="70">
        <f t="shared" si="602"/>
        <v>5150.7521367521367</v>
      </c>
      <c r="DO186" s="70">
        <f t="shared" si="603"/>
        <v>250</v>
      </c>
      <c r="DP186" s="70">
        <f t="shared" si="604"/>
        <v>5400.7521367521367</v>
      </c>
      <c r="DQ186" s="70">
        <f t="shared" si="605"/>
        <v>4720.0854700854698</v>
      </c>
      <c r="DR186" s="70">
        <f t="shared" si="606"/>
        <v>3606.5811965811968</v>
      </c>
      <c r="DS186" s="71">
        <f t="shared" si="607"/>
        <v>1113.5042735042734</v>
      </c>
      <c r="DT186" s="106">
        <f t="shared" si="608"/>
        <v>1.062845920989741</v>
      </c>
      <c r="DU186" s="92">
        <f t="shared" si="609"/>
        <v>1.8235534528023498E-2</v>
      </c>
      <c r="DV186" s="92" t="str">
        <f t="shared" si="610"/>
        <v/>
      </c>
      <c r="DW186" s="92">
        <f t="shared" si="611"/>
        <v>1</v>
      </c>
      <c r="DX186" s="92">
        <f t="shared" si="612"/>
        <v>3.7856484784671761E-2</v>
      </c>
      <c r="DY186" s="92">
        <f t="shared" si="613"/>
        <v>4.9999653646067843E-2</v>
      </c>
      <c r="DZ186" s="92">
        <f t="shared" si="614"/>
        <v>0.16430164656659346</v>
      </c>
      <c r="EA186" s="92">
        <f t="shared" si="615"/>
        <v>6.147782295772404E-2</v>
      </c>
      <c r="EB186" s="92">
        <f t="shared" si="616"/>
        <v>7.9661404395924104E-2</v>
      </c>
      <c r="EC186" s="92">
        <f t="shared" si="617"/>
        <v>3.7362930431349188E-2</v>
      </c>
      <c r="ED186" s="92">
        <f t="shared" si="618"/>
        <v>9.1155159634527333E-2</v>
      </c>
      <c r="EE186" s="92">
        <f t="shared" si="619"/>
        <v>0.52181510241685769</v>
      </c>
      <c r="EF186" s="92">
        <f t="shared" si="620"/>
        <v>2.5327131288921525E-2</v>
      </c>
      <c r="EG186" s="92">
        <f t="shared" si="621"/>
        <v>0.5471422337057793</v>
      </c>
      <c r="EH186" s="92">
        <f t="shared" si="622"/>
        <v>0.47818489758314225</v>
      </c>
      <c r="EI186" s="92">
        <f t="shared" si="623"/>
        <v>0.3653774218798706</v>
      </c>
      <c r="EJ186" s="122">
        <f t="shared" si="624"/>
        <v>0.11280747570327165</v>
      </c>
    </row>
    <row r="187" spans="2:140" ht="12" hidden="1" customHeight="1" outlineLevel="1">
      <c r="B187" s="121">
        <v>45237</v>
      </c>
      <c r="C187" s="117">
        <v>23466</v>
      </c>
      <c r="D187" s="50" t="s">
        <v>1018</v>
      </c>
      <c r="E187" s="50" t="s">
        <v>845</v>
      </c>
      <c r="F187" s="50" t="s">
        <v>1019</v>
      </c>
      <c r="G187" s="50" t="s">
        <v>291</v>
      </c>
      <c r="H187" s="50" t="s">
        <v>801</v>
      </c>
      <c r="I187" s="50" t="s">
        <v>419</v>
      </c>
      <c r="J187" s="52" t="s">
        <v>175</v>
      </c>
      <c r="K187" s="50" t="s">
        <v>176</v>
      </c>
      <c r="L187" s="49">
        <v>6</v>
      </c>
      <c r="M187" s="50" t="s">
        <v>159</v>
      </c>
      <c r="N187" s="50" t="s">
        <v>160</v>
      </c>
      <c r="O187" s="50" t="s">
        <v>160</v>
      </c>
      <c r="P187" s="50" t="s">
        <v>161</v>
      </c>
      <c r="Q187" s="53">
        <v>0.04</v>
      </c>
      <c r="R187" s="49">
        <v>316</v>
      </c>
      <c r="S187" s="49">
        <v>0</v>
      </c>
      <c r="T187" s="54">
        <f t="shared" si="330"/>
        <v>316</v>
      </c>
      <c r="U187" s="55">
        <v>369738</v>
      </c>
      <c r="V187" s="49">
        <v>36.479999999999997</v>
      </c>
      <c r="W187" s="56">
        <f t="shared" si="551"/>
        <v>8.662280701754387</v>
      </c>
      <c r="X187" s="49">
        <v>2005</v>
      </c>
      <c r="Y187" s="57" t="s">
        <v>162</v>
      </c>
      <c r="Z187" s="58">
        <v>36300000</v>
      </c>
      <c r="AA187" s="114">
        <v>0.05</v>
      </c>
      <c r="AB187" s="59">
        <v>35</v>
      </c>
      <c r="AC187" s="60">
        <v>35</v>
      </c>
      <c r="AD187" s="61">
        <v>0.05</v>
      </c>
      <c r="AE187" s="62">
        <v>36300000</v>
      </c>
      <c r="AF187" s="63">
        <v>1.1499999999999999</v>
      </c>
      <c r="AG187" s="59"/>
      <c r="AH187" s="60"/>
      <c r="AI187" s="61"/>
      <c r="AJ187" s="64"/>
      <c r="AK187" s="65">
        <f t="shared" si="552"/>
        <v>36300000</v>
      </c>
      <c r="AL187" s="66">
        <v>8000000</v>
      </c>
      <c r="AM187" s="49" t="s">
        <v>1020</v>
      </c>
      <c r="AN187" s="67">
        <v>0.93</v>
      </c>
      <c r="AO187" s="62">
        <v>25981406</v>
      </c>
      <c r="AP187" s="62">
        <v>0</v>
      </c>
      <c r="AQ187" s="68">
        <v>4505471</v>
      </c>
      <c r="AR187" s="69">
        <f t="shared" si="553"/>
        <v>114873.41772151898</v>
      </c>
      <c r="AS187" s="70">
        <f t="shared" si="543"/>
        <v>25316.455696202531</v>
      </c>
      <c r="AT187" s="70">
        <f t="shared" si="554"/>
        <v>82219.639240506323</v>
      </c>
      <c r="AU187" s="70" t="str">
        <f t="shared" si="544"/>
        <v/>
      </c>
      <c r="AV187" s="71">
        <f t="shared" si="555"/>
        <v>14257.819620253165</v>
      </c>
      <c r="AW187" s="115">
        <f t="shared" si="556"/>
        <v>36403.180379746838</v>
      </c>
      <c r="AX187" s="116">
        <f t="shared" si="557"/>
        <v>31.112314666060833</v>
      </c>
      <c r="AY187" s="72">
        <f t="shared" si="558"/>
        <v>45649.585443037977</v>
      </c>
      <c r="AZ187" s="73">
        <f t="shared" si="559"/>
        <v>39.014840238222739</v>
      </c>
      <c r="BA187" s="66">
        <v>44240000</v>
      </c>
      <c r="BB187" s="62">
        <v>1745960</v>
      </c>
      <c r="BC187" s="62">
        <v>9757445</v>
      </c>
      <c r="BD187" s="62">
        <v>1150340</v>
      </c>
      <c r="BE187" s="62">
        <v>1771524</v>
      </c>
      <c r="BF187" s="62">
        <v>1911386</v>
      </c>
      <c r="BG187" s="62">
        <v>3893243</v>
      </c>
      <c r="BH187" s="62">
        <v>8304308</v>
      </c>
      <c r="BI187" s="62">
        <v>2012672</v>
      </c>
      <c r="BJ187" s="47">
        <f t="shared" si="560"/>
        <v>74786878</v>
      </c>
      <c r="BK187" s="69">
        <f t="shared" si="561"/>
        <v>140000</v>
      </c>
      <c r="BL187" s="70">
        <f t="shared" si="562"/>
        <v>5525.1898734177212</v>
      </c>
      <c r="BM187" s="70">
        <f t="shared" si="563"/>
        <v>30877.990506329115</v>
      </c>
      <c r="BN187" s="70">
        <f t="shared" si="564"/>
        <v>3640.3164556962024</v>
      </c>
      <c r="BO187" s="70">
        <f t="shared" si="565"/>
        <v>5606.0886075949365</v>
      </c>
      <c r="BP187" s="70">
        <f t="shared" si="566"/>
        <v>6048.6898734177212</v>
      </c>
      <c r="BQ187" s="70">
        <f t="shared" si="567"/>
        <v>12320.389240506329</v>
      </c>
      <c r="BR187" s="70">
        <f t="shared" si="568"/>
        <v>26279.455696202531</v>
      </c>
      <c r="BS187" s="70">
        <f t="shared" si="569"/>
        <v>6369.2151898734173</v>
      </c>
      <c r="BT187" s="71">
        <f t="shared" si="570"/>
        <v>236667.33544303797</v>
      </c>
      <c r="BU187" s="65">
        <f t="shared" si="571"/>
        <v>119.65229432733449</v>
      </c>
      <c r="BV187" s="48">
        <f t="shared" si="572"/>
        <v>4.7221546067756091</v>
      </c>
      <c r="BW187" s="48">
        <f t="shared" si="573"/>
        <v>26.390160059285222</v>
      </c>
      <c r="BX187" s="48">
        <f t="shared" si="574"/>
        <v>3.1112301142971508</v>
      </c>
      <c r="BY187" s="48">
        <f t="shared" si="575"/>
        <v>4.7912954578647584</v>
      </c>
      <c r="BZ187" s="48">
        <f t="shared" si="576"/>
        <v>5.1695687216353203</v>
      </c>
      <c r="CA187" s="48">
        <f t="shared" si="577"/>
        <v>10.529734568802773</v>
      </c>
      <c r="CB187" s="48">
        <f t="shared" si="578"/>
        <v>22.459979769458375</v>
      </c>
      <c r="CC187" s="48">
        <f t="shared" si="579"/>
        <v>5.4435086466633127</v>
      </c>
      <c r="CD187" s="47">
        <f t="shared" si="580"/>
        <v>202.269926272117</v>
      </c>
      <c r="CE187" s="66">
        <v>4574160</v>
      </c>
      <c r="CF187" s="62">
        <v>113760</v>
      </c>
      <c r="CG187" s="74">
        <v>-351594</v>
      </c>
      <c r="CH187" s="75">
        <f t="shared" si="581"/>
        <v>4336326</v>
      </c>
      <c r="CI187" s="62">
        <f>150489+12640+3500+37470+100</f>
        <v>204199</v>
      </c>
      <c r="CJ187" s="62">
        <v>130090</v>
      </c>
      <c r="CK187" s="62">
        <v>452028</v>
      </c>
      <c r="CL187" s="62">
        <v>264306</v>
      </c>
      <c r="CM187" s="62">
        <f>50163+242454</f>
        <v>292617</v>
      </c>
      <c r="CN187" s="62">
        <v>260384</v>
      </c>
      <c r="CO187" s="62">
        <v>0</v>
      </c>
      <c r="CP187" s="75">
        <f t="shared" si="331"/>
        <v>1603624</v>
      </c>
      <c r="CQ187" s="62">
        <v>94800</v>
      </c>
      <c r="CR187" s="75">
        <f t="shared" si="332"/>
        <v>1698424</v>
      </c>
      <c r="CS187" s="75">
        <f t="shared" si="582"/>
        <v>2732702</v>
      </c>
      <c r="CT187" s="62">
        <v>2289170</v>
      </c>
      <c r="CU187" s="47">
        <f t="shared" si="583"/>
        <v>443532</v>
      </c>
      <c r="CV187" s="76">
        <f t="shared" si="584"/>
        <v>0.63018832071204978</v>
      </c>
      <c r="CW187" s="75">
        <f t="shared" si="585"/>
        <v>5374.7594936708865</v>
      </c>
      <c r="CX187" s="77">
        <f t="shared" si="586"/>
        <v>0.3916735042522172</v>
      </c>
      <c r="CY187" s="75">
        <f t="shared" si="587"/>
        <v>1403.5822784810127</v>
      </c>
      <c r="CZ187" s="77">
        <f t="shared" si="588"/>
        <v>0.10228290031699647</v>
      </c>
      <c r="DA187" s="77">
        <f t="shared" si="589"/>
        <v>0.52790542039505328</v>
      </c>
      <c r="DB187" s="47">
        <f t="shared" si="590"/>
        <v>114873.41772151898</v>
      </c>
      <c r="DC187" s="69">
        <f t="shared" si="591"/>
        <v>14475.189873417721</v>
      </c>
      <c r="DD187" s="70">
        <f t="shared" si="592"/>
        <v>360</v>
      </c>
      <c r="DE187" s="70">
        <f t="shared" si="593"/>
        <v>-1112.6392405063291</v>
      </c>
      <c r="DF187" s="70">
        <f t="shared" si="594"/>
        <v>13722.550632911392</v>
      </c>
      <c r="DG187" s="70">
        <f t="shared" si="595"/>
        <v>646.19936708860757</v>
      </c>
      <c r="DH187" s="70">
        <f t="shared" si="596"/>
        <v>411.67721518987344</v>
      </c>
      <c r="DI187" s="70">
        <f t="shared" si="597"/>
        <v>1430.4683544303798</v>
      </c>
      <c r="DJ187" s="70">
        <f t="shared" si="598"/>
        <v>836.41139240506334</v>
      </c>
      <c r="DK187" s="70">
        <f t="shared" si="599"/>
        <v>926.00316455696202</v>
      </c>
      <c r="DL187" s="70">
        <f t="shared" si="600"/>
        <v>824</v>
      </c>
      <c r="DM187" s="70" t="str">
        <f t="shared" si="601"/>
        <v/>
      </c>
      <c r="DN187" s="70">
        <f t="shared" si="602"/>
        <v>5074.7594936708865</v>
      </c>
      <c r="DO187" s="70">
        <f t="shared" si="603"/>
        <v>300</v>
      </c>
      <c r="DP187" s="70">
        <f t="shared" si="604"/>
        <v>5374.7594936708865</v>
      </c>
      <c r="DQ187" s="70">
        <f t="shared" si="605"/>
        <v>8647.7911392405058</v>
      </c>
      <c r="DR187" s="70">
        <f t="shared" si="606"/>
        <v>7244.2088607594933</v>
      </c>
      <c r="DS187" s="71">
        <f t="shared" si="607"/>
        <v>1403.5822784810127</v>
      </c>
      <c r="DT187" s="106">
        <f t="shared" si="608"/>
        <v>1.0548468911239608</v>
      </c>
      <c r="DU187" s="92">
        <f t="shared" si="609"/>
        <v>2.6234189957120381E-2</v>
      </c>
      <c r="DV187" s="92" t="str">
        <f t="shared" si="610"/>
        <v/>
      </c>
      <c r="DW187" s="92">
        <f t="shared" si="611"/>
        <v>1</v>
      </c>
      <c r="DX187" s="92">
        <f t="shared" si="612"/>
        <v>4.7090324851037493E-2</v>
      </c>
      <c r="DY187" s="92">
        <f t="shared" si="613"/>
        <v>3.0000050734192957E-2</v>
      </c>
      <c r="DZ187" s="92">
        <f t="shared" si="614"/>
        <v>0.1042421626049333</v>
      </c>
      <c r="EA187" s="92">
        <f t="shared" si="615"/>
        <v>6.0951598196261073E-2</v>
      </c>
      <c r="EB187" s="92">
        <f t="shared" si="616"/>
        <v>6.7480396999672079E-2</v>
      </c>
      <c r="EC187" s="92">
        <f t="shared" si="617"/>
        <v>6.0047145901853317E-2</v>
      </c>
      <c r="ED187" s="92" t="str">
        <f t="shared" si="618"/>
        <v/>
      </c>
      <c r="EE187" s="92">
        <f t="shared" si="619"/>
        <v>0.36981167928795022</v>
      </c>
      <c r="EF187" s="92">
        <f t="shared" si="620"/>
        <v>2.1861824964266984E-2</v>
      </c>
      <c r="EG187" s="92">
        <f t="shared" si="621"/>
        <v>0.3916735042522172</v>
      </c>
      <c r="EH187" s="92">
        <f t="shared" si="622"/>
        <v>0.63018832071204978</v>
      </c>
      <c r="EI187" s="92">
        <f t="shared" si="623"/>
        <v>0.52790542039505328</v>
      </c>
      <c r="EJ187" s="122">
        <f t="shared" si="624"/>
        <v>0.10228290031699647</v>
      </c>
    </row>
    <row r="188" spans="2:140" ht="12" hidden="1" customHeight="1" outlineLevel="1">
      <c r="B188" s="121">
        <v>45246</v>
      </c>
      <c r="C188" s="117">
        <v>23473</v>
      </c>
      <c r="D188" s="50" t="s">
        <v>1021</v>
      </c>
      <c r="E188" s="50" t="s">
        <v>850</v>
      </c>
      <c r="F188" s="50" t="s">
        <v>851</v>
      </c>
      <c r="G188" s="50" t="s">
        <v>154</v>
      </c>
      <c r="H188" s="50" t="s">
        <v>155</v>
      </c>
      <c r="I188" s="50" t="s">
        <v>1022</v>
      </c>
      <c r="J188" s="52" t="s">
        <v>360</v>
      </c>
      <c r="K188" s="50" t="s">
        <v>294</v>
      </c>
      <c r="L188" s="49">
        <v>7</v>
      </c>
      <c r="M188" s="50" t="s">
        <v>159</v>
      </c>
      <c r="N188" s="50" t="s">
        <v>160</v>
      </c>
      <c r="O188" s="50" t="s">
        <v>160</v>
      </c>
      <c r="P188" s="50" t="s">
        <v>177</v>
      </c>
      <c r="Q188" s="53">
        <v>0.04</v>
      </c>
      <c r="R188" s="49">
        <v>328</v>
      </c>
      <c r="S188" s="49">
        <v>0</v>
      </c>
      <c r="T188" s="54">
        <f t="shared" si="330"/>
        <v>328</v>
      </c>
      <c r="U188" s="55">
        <v>380656</v>
      </c>
      <c r="V188" s="49">
        <v>23.61</v>
      </c>
      <c r="W188" s="56">
        <f t="shared" si="551"/>
        <v>13.892418466751376</v>
      </c>
      <c r="X188" s="49" t="s">
        <v>163</v>
      </c>
      <c r="Y188" s="57" t="s">
        <v>162</v>
      </c>
      <c r="Z188" s="58">
        <v>62925000</v>
      </c>
      <c r="AA188" s="114">
        <f>((50000000*0.0632)/(Table1[[#This Row],[Construction Loan Principal]]))+((12925000*0.0777)/(Table1[[#This Row],[Construction Loan Principal]]))</f>
        <v>6.6178347238776331E-2</v>
      </c>
      <c r="AB188" s="59">
        <v>15</v>
      </c>
      <c r="AC188" s="60">
        <v>43</v>
      </c>
      <c r="AD188" s="61">
        <v>6.3200000000000006E-2</v>
      </c>
      <c r="AE188" s="62">
        <v>50000000</v>
      </c>
      <c r="AF188" s="63">
        <v>1.27</v>
      </c>
      <c r="AG188" s="59">
        <v>15</v>
      </c>
      <c r="AH188" s="60">
        <v>43</v>
      </c>
      <c r="AI188" s="61">
        <v>7.7700000000000005E-2</v>
      </c>
      <c r="AJ188" s="64">
        <v>3911000</v>
      </c>
      <c r="AK188" s="65">
        <f t="shared" si="552"/>
        <v>53911000</v>
      </c>
      <c r="AL188" s="66">
        <v>0</v>
      </c>
      <c r="AM188" s="49"/>
      <c r="AN188" s="67">
        <v>0.88</v>
      </c>
      <c r="AO188" s="62">
        <v>4359334</v>
      </c>
      <c r="AP188" s="62">
        <v>0</v>
      </c>
      <c r="AQ188" s="68">
        <v>7358829</v>
      </c>
      <c r="AR188" s="69">
        <f t="shared" si="553"/>
        <v>164362.80487804877</v>
      </c>
      <c r="AS188" s="70" t="str">
        <f t="shared" si="543"/>
        <v/>
      </c>
      <c r="AT188" s="70">
        <f t="shared" si="554"/>
        <v>13290.65243902439</v>
      </c>
      <c r="AU188" s="70" t="str">
        <f t="shared" si="544"/>
        <v/>
      </c>
      <c r="AV188" s="71">
        <f t="shared" si="555"/>
        <v>22435.454268292684</v>
      </c>
      <c r="AW188" s="115">
        <f t="shared" si="556"/>
        <v>36961.17682926829</v>
      </c>
      <c r="AX188" s="116">
        <f t="shared" si="557"/>
        <v>31.848351267285949</v>
      </c>
      <c r="AY188" s="72">
        <f t="shared" si="558"/>
        <v>71618.814024390245</v>
      </c>
      <c r="AZ188" s="73">
        <f t="shared" si="559"/>
        <v>61.711810663696355</v>
      </c>
      <c r="BA188" s="66">
        <v>2202324</v>
      </c>
      <c r="BB188" s="62">
        <v>7085000</v>
      </c>
      <c r="BC188" s="62">
        <v>5038266</v>
      </c>
      <c r="BD188" s="62">
        <v>3395732</v>
      </c>
      <c r="BE188" s="62">
        <v>7971973</v>
      </c>
      <c r="BF188" s="62">
        <v>5542657</v>
      </c>
      <c r="BG188" s="62">
        <v>15558637</v>
      </c>
      <c r="BH188" s="62">
        <v>12390174</v>
      </c>
      <c r="BI188" s="62">
        <v>200000</v>
      </c>
      <c r="BJ188" s="47">
        <f t="shared" si="560"/>
        <v>59384763</v>
      </c>
      <c r="BK188" s="69">
        <f t="shared" si="561"/>
        <v>6714.4024390243903</v>
      </c>
      <c r="BL188" s="70">
        <f t="shared" si="562"/>
        <v>21600.609756097561</v>
      </c>
      <c r="BM188" s="70">
        <f t="shared" si="563"/>
        <v>15360.567073170732</v>
      </c>
      <c r="BN188" s="70">
        <f t="shared" si="564"/>
        <v>10352.841463414634</v>
      </c>
      <c r="BO188" s="70">
        <f t="shared" si="565"/>
        <v>24304.795731707316</v>
      </c>
      <c r="BP188" s="70">
        <f t="shared" si="566"/>
        <v>16898.344512195123</v>
      </c>
      <c r="BQ188" s="70">
        <f t="shared" si="567"/>
        <v>47434.868902439026</v>
      </c>
      <c r="BR188" s="70">
        <f t="shared" si="568"/>
        <v>37774.920731707316</v>
      </c>
      <c r="BS188" s="70">
        <f t="shared" si="569"/>
        <v>609.7560975609756</v>
      </c>
      <c r="BT188" s="71">
        <f t="shared" si="570"/>
        <v>181051.10670731709</v>
      </c>
      <c r="BU188" s="65">
        <f t="shared" si="571"/>
        <v>5.7856016981211384</v>
      </c>
      <c r="BV188" s="48">
        <f t="shared" si="572"/>
        <v>18.612605607162372</v>
      </c>
      <c r="BW188" s="48">
        <f t="shared" si="573"/>
        <v>13.235745660123577</v>
      </c>
      <c r="BX188" s="48">
        <f t="shared" si="574"/>
        <v>8.9207368332562726</v>
      </c>
      <c r="BY188" s="48">
        <f t="shared" si="575"/>
        <v>20.942722563154135</v>
      </c>
      <c r="BZ188" s="48">
        <f t="shared" si="576"/>
        <v>14.560802929679291</v>
      </c>
      <c r="CA188" s="48">
        <f t="shared" si="577"/>
        <v>40.873221491320244</v>
      </c>
      <c r="CB188" s="48">
        <f t="shared" si="578"/>
        <v>32.549530284561392</v>
      </c>
      <c r="CC188" s="48">
        <f t="shared" si="579"/>
        <v>0.5254087680215207</v>
      </c>
      <c r="CD188" s="47">
        <f t="shared" si="580"/>
        <v>156.00637583539995</v>
      </c>
      <c r="CE188" s="66">
        <v>6241968</v>
      </c>
      <c r="CF188" s="62">
        <v>118080</v>
      </c>
      <c r="CG188" s="74">
        <v>-477004</v>
      </c>
      <c r="CH188" s="75">
        <f t="shared" si="581"/>
        <v>5883044</v>
      </c>
      <c r="CI188" s="62">
        <f>164000+13120+13120+4500+25000+4000</f>
        <v>223740</v>
      </c>
      <c r="CJ188" s="62">
        <v>147076</v>
      </c>
      <c r="CK188" s="62">
        <v>459200</v>
      </c>
      <c r="CL188" s="62">
        <f>262400+16400</f>
        <v>278800</v>
      </c>
      <c r="CM188" s="62">
        <f>114000+148400</f>
        <v>262400</v>
      </c>
      <c r="CN188" s="62">
        <v>131200</v>
      </c>
      <c r="CO188" s="62">
        <v>0</v>
      </c>
      <c r="CP188" s="75">
        <f t="shared" si="331"/>
        <v>1502416</v>
      </c>
      <c r="CQ188" s="62">
        <v>82000</v>
      </c>
      <c r="CR188" s="75">
        <f t="shared" si="332"/>
        <v>1584416</v>
      </c>
      <c r="CS188" s="75">
        <f t="shared" si="582"/>
        <v>4380628</v>
      </c>
      <c r="CT188" s="62">
        <f>3385130+315162</f>
        <v>3700292</v>
      </c>
      <c r="CU188" s="47">
        <f t="shared" si="583"/>
        <v>680336</v>
      </c>
      <c r="CV188" s="76">
        <f t="shared" si="584"/>
        <v>0.74461928212673578</v>
      </c>
      <c r="CW188" s="75">
        <f t="shared" si="585"/>
        <v>4830.5365853658541</v>
      </c>
      <c r="CX188" s="77">
        <f t="shared" si="586"/>
        <v>0.26931908039443525</v>
      </c>
      <c r="CY188" s="75">
        <f t="shared" si="587"/>
        <v>2074.1951219512193</v>
      </c>
      <c r="CZ188" s="77">
        <f t="shared" si="588"/>
        <v>0.11564353419760247</v>
      </c>
      <c r="DA188" s="77">
        <f t="shared" si="589"/>
        <v>0.62897574792913324</v>
      </c>
      <c r="DB188" s="47">
        <f t="shared" si="590"/>
        <v>164362.80487804877</v>
      </c>
      <c r="DC188" s="69">
        <f t="shared" si="591"/>
        <v>19030.390243902439</v>
      </c>
      <c r="DD188" s="70">
        <f t="shared" si="592"/>
        <v>360</v>
      </c>
      <c r="DE188" s="70">
        <f t="shared" si="593"/>
        <v>-1454.280487804878</v>
      </c>
      <c r="DF188" s="70">
        <f t="shared" si="594"/>
        <v>17936.109756097561</v>
      </c>
      <c r="DG188" s="70">
        <f t="shared" si="595"/>
        <v>682.13414634146341</v>
      </c>
      <c r="DH188" s="70">
        <f t="shared" si="596"/>
        <v>448.40243902439022</v>
      </c>
      <c r="DI188" s="70">
        <f t="shared" si="597"/>
        <v>1400</v>
      </c>
      <c r="DJ188" s="70">
        <f t="shared" si="598"/>
        <v>850</v>
      </c>
      <c r="DK188" s="70">
        <f t="shared" si="599"/>
        <v>800</v>
      </c>
      <c r="DL188" s="70">
        <f t="shared" si="600"/>
        <v>400</v>
      </c>
      <c r="DM188" s="70" t="str">
        <f t="shared" si="601"/>
        <v/>
      </c>
      <c r="DN188" s="70">
        <f t="shared" si="602"/>
        <v>4580.5365853658541</v>
      </c>
      <c r="DO188" s="70">
        <f t="shared" si="603"/>
        <v>250</v>
      </c>
      <c r="DP188" s="70">
        <f t="shared" si="604"/>
        <v>4830.5365853658541</v>
      </c>
      <c r="DQ188" s="70">
        <f t="shared" si="605"/>
        <v>13355.573170731708</v>
      </c>
      <c r="DR188" s="70">
        <f t="shared" si="606"/>
        <v>11281.378048780487</v>
      </c>
      <c r="DS188" s="71">
        <f t="shared" si="607"/>
        <v>2074.1951219512193</v>
      </c>
      <c r="DT188" s="106">
        <f t="shared" si="608"/>
        <v>1.0610099125554731</v>
      </c>
      <c r="DU188" s="92">
        <f t="shared" si="609"/>
        <v>2.0071242030486259E-2</v>
      </c>
      <c r="DV188" s="92" t="str">
        <f t="shared" si="610"/>
        <v/>
      </c>
      <c r="DW188" s="92">
        <f t="shared" si="611"/>
        <v>1</v>
      </c>
      <c r="DX188" s="92">
        <f t="shared" si="612"/>
        <v>3.8031332079107347E-2</v>
      </c>
      <c r="DY188" s="92">
        <f t="shared" si="613"/>
        <v>2.4999983001996927E-2</v>
      </c>
      <c r="DZ188" s="92">
        <f t="shared" si="614"/>
        <v>7.8054830118557669E-2</v>
      </c>
      <c r="EA188" s="92">
        <f t="shared" si="615"/>
        <v>4.7390432571981445E-2</v>
      </c>
      <c r="EB188" s="92">
        <f t="shared" si="616"/>
        <v>4.4602760067747244E-2</v>
      </c>
      <c r="EC188" s="92">
        <f t="shared" si="617"/>
        <v>2.2301380033873622E-2</v>
      </c>
      <c r="ED188" s="92" t="str">
        <f t="shared" si="618"/>
        <v/>
      </c>
      <c r="EE188" s="92">
        <f t="shared" si="619"/>
        <v>0.25538071787326427</v>
      </c>
      <c r="EF188" s="92">
        <f t="shared" si="620"/>
        <v>1.3938362521171014E-2</v>
      </c>
      <c r="EG188" s="92">
        <f t="shared" si="621"/>
        <v>0.26931908039443525</v>
      </c>
      <c r="EH188" s="92">
        <f t="shared" si="622"/>
        <v>0.74461928212673578</v>
      </c>
      <c r="EI188" s="92">
        <f t="shared" si="623"/>
        <v>0.62897574792913324</v>
      </c>
      <c r="EJ188" s="122">
        <f t="shared" si="624"/>
        <v>0.11564353419760247</v>
      </c>
    </row>
    <row r="189" spans="2:140" ht="12" hidden="1" customHeight="1" outlineLevel="1">
      <c r="B189" s="121">
        <v>45246</v>
      </c>
      <c r="C189" s="117">
        <v>22218</v>
      </c>
      <c r="D189" s="50" t="s">
        <v>1023</v>
      </c>
      <c r="E189" s="50" t="s">
        <v>1024</v>
      </c>
      <c r="F189" s="50" t="s">
        <v>1025</v>
      </c>
      <c r="G189" s="50" t="s">
        <v>162</v>
      </c>
      <c r="H189" s="50" t="s">
        <v>327</v>
      </c>
      <c r="I189" s="50" t="s">
        <v>1026</v>
      </c>
      <c r="J189" s="52" t="s">
        <v>1027</v>
      </c>
      <c r="K189" s="50" t="s">
        <v>199</v>
      </c>
      <c r="L189" s="49">
        <v>3</v>
      </c>
      <c r="M189" s="50" t="s">
        <v>159</v>
      </c>
      <c r="N189" s="50" t="s">
        <v>244</v>
      </c>
      <c r="O189" s="50" t="s">
        <v>160</v>
      </c>
      <c r="P189" s="50" t="s">
        <v>177</v>
      </c>
      <c r="Q189" s="53">
        <v>0.09</v>
      </c>
      <c r="R189" s="49">
        <v>48</v>
      </c>
      <c r="S189" s="49">
        <v>0</v>
      </c>
      <c r="T189" s="54">
        <f t="shared" si="330"/>
        <v>48</v>
      </c>
      <c r="U189" s="55">
        <v>39207</v>
      </c>
      <c r="V189" s="49">
        <v>2.0499999999999998</v>
      </c>
      <c r="W189" s="56">
        <f t="shared" si="551"/>
        <v>23.414634146341466</v>
      </c>
      <c r="X189" s="49" t="s">
        <v>163</v>
      </c>
      <c r="Y189" s="57" t="s">
        <v>162</v>
      </c>
      <c r="Z189" s="58">
        <v>4000000</v>
      </c>
      <c r="AA189" s="114">
        <v>1.7999999999999999E-2</v>
      </c>
      <c r="AB189" s="59">
        <v>35</v>
      </c>
      <c r="AC189" s="60">
        <v>35</v>
      </c>
      <c r="AD189" s="61">
        <v>1.7999999999999999E-2</v>
      </c>
      <c r="AE189" s="62">
        <v>4000000</v>
      </c>
      <c r="AF189" s="63">
        <v>1.3</v>
      </c>
      <c r="AG189" s="59"/>
      <c r="AH189" s="60"/>
      <c r="AI189" s="61"/>
      <c r="AJ189" s="64"/>
      <c r="AK189" s="65">
        <f t="shared" si="552"/>
        <v>4000000</v>
      </c>
      <c r="AL189" s="66">
        <v>300500</v>
      </c>
      <c r="AM189" s="49" t="s">
        <v>1028</v>
      </c>
      <c r="AN189" s="67">
        <v>0.87</v>
      </c>
      <c r="AO189" s="62">
        <v>10998854</v>
      </c>
      <c r="AP189" s="62">
        <v>0</v>
      </c>
      <c r="AQ189" s="68">
        <v>259237</v>
      </c>
      <c r="AR189" s="69">
        <f t="shared" si="553"/>
        <v>83333.333333333328</v>
      </c>
      <c r="AS189" s="70">
        <f t="shared" si="543"/>
        <v>6260.416666666667</v>
      </c>
      <c r="AT189" s="70">
        <f t="shared" si="554"/>
        <v>229142.79166666666</v>
      </c>
      <c r="AU189" s="70" t="str">
        <f t="shared" si="544"/>
        <v/>
      </c>
      <c r="AV189" s="71">
        <f t="shared" si="555"/>
        <v>5400.770833333333</v>
      </c>
      <c r="AW189" s="115">
        <f t="shared" si="556"/>
        <v>119948.29166666667</v>
      </c>
      <c r="AX189" s="116">
        <f t="shared" si="557"/>
        <v>146.84923610579744</v>
      </c>
      <c r="AY189" s="72">
        <f t="shared" si="558"/>
        <v>146312.875</v>
      </c>
      <c r="AZ189" s="73">
        <f t="shared" si="559"/>
        <v>179.12663554977425</v>
      </c>
      <c r="BA189" s="66">
        <v>2410000</v>
      </c>
      <c r="BB189" s="62">
        <v>1104000</v>
      </c>
      <c r="BC189" s="62">
        <v>4653518</v>
      </c>
      <c r="BD189" s="62">
        <v>403026</v>
      </c>
      <c r="BE189" s="62">
        <v>862474</v>
      </c>
      <c r="BF189" s="62">
        <v>2374210</v>
      </c>
      <c r="BG189" s="62">
        <v>1189752</v>
      </c>
      <c r="BH189" s="62">
        <v>2023367</v>
      </c>
      <c r="BI189" s="62">
        <v>279007</v>
      </c>
      <c r="BJ189" s="47">
        <f t="shared" si="560"/>
        <v>15299354</v>
      </c>
      <c r="BK189" s="69">
        <f t="shared" si="561"/>
        <v>50208.333333333336</v>
      </c>
      <c r="BL189" s="70">
        <f t="shared" si="562"/>
        <v>23000</v>
      </c>
      <c r="BM189" s="70">
        <f t="shared" si="563"/>
        <v>96948.291666666672</v>
      </c>
      <c r="BN189" s="70">
        <f t="shared" si="564"/>
        <v>8396.375</v>
      </c>
      <c r="BO189" s="70">
        <f t="shared" si="565"/>
        <v>17968.208333333332</v>
      </c>
      <c r="BP189" s="70">
        <f t="shared" si="566"/>
        <v>49462.708333333336</v>
      </c>
      <c r="BQ189" s="70">
        <f t="shared" si="567"/>
        <v>24786.5</v>
      </c>
      <c r="BR189" s="70">
        <f t="shared" si="568"/>
        <v>42153.479166666664</v>
      </c>
      <c r="BS189" s="70">
        <f t="shared" si="569"/>
        <v>5812.645833333333</v>
      </c>
      <c r="BT189" s="71">
        <f t="shared" si="570"/>
        <v>318736.54166666669</v>
      </c>
      <c r="BU189" s="65">
        <f t="shared" si="571"/>
        <v>61.468615298288569</v>
      </c>
      <c r="BV189" s="48">
        <f t="shared" si="572"/>
        <v>28.158237049506464</v>
      </c>
      <c r="BW189" s="48">
        <f t="shared" si="573"/>
        <v>118.69099905629096</v>
      </c>
      <c r="BX189" s="48">
        <f t="shared" si="574"/>
        <v>10.27943989593695</v>
      </c>
      <c r="BY189" s="48">
        <f t="shared" si="575"/>
        <v>21.997959548039891</v>
      </c>
      <c r="BZ189" s="48">
        <f t="shared" si="576"/>
        <v>60.555768102634737</v>
      </c>
      <c r="CA189" s="48">
        <f t="shared" si="577"/>
        <v>30.345397505547478</v>
      </c>
      <c r="CB189" s="48">
        <f t="shared" si="578"/>
        <v>51.607289514627489</v>
      </c>
      <c r="CC189" s="48">
        <f t="shared" si="579"/>
        <v>7.1162547504272196</v>
      </c>
      <c r="CD189" s="47">
        <f t="shared" si="580"/>
        <v>390.21996072129974</v>
      </c>
      <c r="CE189" s="66">
        <v>518292</v>
      </c>
      <c r="CF189" s="62">
        <v>8640</v>
      </c>
      <c r="CG189" s="74">
        <v>-39520</v>
      </c>
      <c r="CH189" s="75">
        <f t="shared" si="581"/>
        <v>487412</v>
      </c>
      <c r="CI189" s="62">
        <f>20500+1920</f>
        <v>22420</v>
      </c>
      <c r="CJ189" s="62">
        <v>24371</v>
      </c>
      <c r="CK189" s="62">
        <v>80000</v>
      </c>
      <c r="CL189" s="62">
        <v>35000</v>
      </c>
      <c r="CM189" s="62">
        <f>10000+37000</f>
        <v>47000</v>
      </c>
      <c r="CN189" s="62">
        <v>24000</v>
      </c>
      <c r="CO189" s="62">
        <v>35100</v>
      </c>
      <c r="CP189" s="75">
        <f t="shared" si="331"/>
        <v>267891</v>
      </c>
      <c r="CQ189" s="62">
        <v>12000</v>
      </c>
      <c r="CR189" s="75">
        <f t="shared" si="332"/>
        <v>279891</v>
      </c>
      <c r="CS189" s="75">
        <f t="shared" si="582"/>
        <v>219521</v>
      </c>
      <c r="CT189" s="62">
        <v>154124</v>
      </c>
      <c r="CU189" s="47">
        <f t="shared" si="583"/>
        <v>65397</v>
      </c>
      <c r="CV189" s="76">
        <f t="shared" si="584"/>
        <v>0.45038078668559656</v>
      </c>
      <c r="CW189" s="75">
        <f t="shared" si="585"/>
        <v>5831.0625</v>
      </c>
      <c r="CX189" s="77">
        <f t="shared" si="586"/>
        <v>0.57423904212452714</v>
      </c>
      <c r="CY189" s="75">
        <f t="shared" si="587"/>
        <v>1362.4375</v>
      </c>
      <c r="CZ189" s="77">
        <f t="shared" si="588"/>
        <v>0.13417191205797149</v>
      </c>
      <c r="DA189" s="77">
        <f t="shared" si="589"/>
        <v>0.31620887462762509</v>
      </c>
      <c r="DB189" s="47">
        <f t="shared" si="590"/>
        <v>83333.333333333328</v>
      </c>
      <c r="DC189" s="69">
        <f t="shared" si="591"/>
        <v>10797.75</v>
      </c>
      <c r="DD189" s="70">
        <f t="shared" si="592"/>
        <v>180</v>
      </c>
      <c r="DE189" s="70">
        <f t="shared" si="593"/>
        <v>-823.33333333333337</v>
      </c>
      <c r="DF189" s="70">
        <f t="shared" si="594"/>
        <v>10154.416666666666</v>
      </c>
      <c r="DG189" s="70">
        <f t="shared" si="595"/>
        <v>467.08333333333331</v>
      </c>
      <c r="DH189" s="70">
        <f t="shared" si="596"/>
        <v>507.72916666666669</v>
      </c>
      <c r="DI189" s="70">
        <f t="shared" si="597"/>
        <v>1666.6666666666667</v>
      </c>
      <c r="DJ189" s="70">
        <f t="shared" si="598"/>
        <v>729.16666666666663</v>
      </c>
      <c r="DK189" s="70">
        <f t="shared" si="599"/>
        <v>979.16666666666663</v>
      </c>
      <c r="DL189" s="70">
        <f t="shared" si="600"/>
        <v>500</v>
      </c>
      <c r="DM189" s="70">
        <f t="shared" si="601"/>
        <v>731.25</v>
      </c>
      <c r="DN189" s="70">
        <f t="shared" si="602"/>
        <v>5581.0625</v>
      </c>
      <c r="DO189" s="70">
        <f t="shared" si="603"/>
        <v>250</v>
      </c>
      <c r="DP189" s="70">
        <f t="shared" si="604"/>
        <v>5831.0625</v>
      </c>
      <c r="DQ189" s="70">
        <f t="shared" si="605"/>
        <v>4573.354166666667</v>
      </c>
      <c r="DR189" s="70">
        <f t="shared" si="606"/>
        <v>3210.9166666666665</v>
      </c>
      <c r="DS189" s="71">
        <f t="shared" si="607"/>
        <v>1362.4375</v>
      </c>
      <c r="DT189" s="106">
        <f t="shared" si="608"/>
        <v>1.0633550261380516</v>
      </c>
      <c r="DU189" s="92">
        <f t="shared" si="609"/>
        <v>1.7726276743289044E-2</v>
      </c>
      <c r="DV189" s="92" t="str">
        <f t="shared" si="610"/>
        <v/>
      </c>
      <c r="DW189" s="92">
        <f t="shared" si="611"/>
        <v>1</v>
      </c>
      <c r="DX189" s="92">
        <f t="shared" si="612"/>
        <v>4.5998046826914399E-2</v>
      </c>
      <c r="DY189" s="92">
        <f t="shared" si="613"/>
        <v>5.0000820660960336E-2</v>
      </c>
      <c r="DZ189" s="92">
        <f t="shared" si="614"/>
        <v>0.16413219206749116</v>
      </c>
      <c r="EA189" s="92">
        <f t="shared" si="615"/>
        <v>7.1807834029527381E-2</v>
      </c>
      <c r="EB189" s="92">
        <f t="shared" si="616"/>
        <v>9.6427662839651054E-2</v>
      </c>
      <c r="EC189" s="92">
        <f t="shared" si="617"/>
        <v>4.9239657620247346E-2</v>
      </c>
      <c r="ED189" s="92">
        <f t="shared" si="618"/>
        <v>7.2012999269611744E-2</v>
      </c>
      <c r="EE189" s="92">
        <f t="shared" si="619"/>
        <v>0.54961921331440344</v>
      </c>
      <c r="EF189" s="92">
        <f t="shared" si="620"/>
        <v>2.4619828810123673E-2</v>
      </c>
      <c r="EG189" s="92">
        <f t="shared" si="621"/>
        <v>0.57423904212452714</v>
      </c>
      <c r="EH189" s="92">
        <f t="shared" si="622"/>
        <v>0.45038078668559656</v>
      </c>
      <c r="EI189" s="92">
        <f t="shared" si="623"/>
        <v>0.31620887462762509</v>
      </c>
      <c r="EJ189" s="122">
        <f t="shared" si="624"/>
        <v>0.13417191205797149</v>
      </c>
    </row>
    <row r="190" spans="2:140" ht="12" hidden="1" customHeight="1" outlineLevel="1">
      <c r="B190" s="121">
        <v>45247</v>
      </c>
      <c r="C190" s="117">
        <v>22609</v>
      </c>
      <c r="D190" s="50" t="s">
        <v>1029</v>
      </c>
      <c r="E190" s="50" t="s">
        <v>1030</v>
      </c>
      <c r="F190" s="50" t="s">
        <v>1031</v>
      </c>
      <c r="G190" s="50" t="s">
        <v>1032</v>
      </c>
      <c r="H190" s="50" t="s">
        <v>651</v>
      </c>
      <c r="I190" s="51" t="s">
        <v>1033</v>
      </c>
      <c r="J190" s="52" t="s">
        <v>488</v>
      </c>
      <c r="K190" s="50" t="s">
        <v>462</v>
      </c>
      <c r="L190" s="49">
        <v>3</v>
      </c>
      <c r="M190" s="50" t="s">
        <v>159</v>
      </c>
      <c r="N190" s="50" t="s">
        <v>160</v>
      </c>
      <c r="O190" s="50" t="s">
        <v>160</v>
      </c>
      <c r="P190" s="50" t="s">
        <v>177</v>
      </c>
      <c r="Q190" s="53">
        <v>0.04</v>
      </c>
      <c r="R190" s="49">
        <v>220</v>
      </c>
      <c r="S190" s="49">
        <v>0</v>
      </c>
      <c r="T190" s="54">
        <f t="shared" si="330"/>
        <v>220</v>
      </c>
      <c r="U190" s="55">
        <v>190399</v>
      </c>
      <c r="V190" s="49">
        <v>14.14</v>
      </c>
      <c r="W190" s="56">
        <f t="shared" si="551"/>
        <v>15.558698727015559</v>
      </c>
      <c r="X190" s="49" t="s">
        <v>163</v>
      </c>
      <c r="Y190" s="57" t="s">
        <v>162</v>
      </c>
      <c r="Z190" s="58">
        <v>23616000</v>
      </c>
      <c r="AA190" s="114">
        <v>5.3400000000000003E-2</v>
      </c>
      <c r="AB190" s="59">
        <v>18</v>
      </c>
      <c r="AC190" s="60">
        <v>40</v>
      </c>
      <c r="AD190" s="61">
        <v>5.3400000000000003E-2</v>
      </c>
      <c r="AE190" s="62">
        <v>23616000</v>
      </c>
      <c r="AF190" s="63">
        <v>1.23</v>
      </c>
      <c r="AG190" s="59">
        <v>18</v>
      </c>
      <c r="AH190" s="60">
        <v>0</v>
      </c>
      <c r="AI190" s="61">
        <v>0</v>
      </c>
      <c r="AJ190" s="64">
        <v>4000000</v>
      </c>
      <c r="AK190" s="65">
        <f t="shared" si="552"/>
        <v>27616000</v>
      </c>
      <c r="AL190" s="62">
        <v>300000</v>
      </c>
      <c r="AM190" s="49" t="s">
        <v>1034</v>
      </c>
      <c r="AN190" s="67">
        <v>0.86</v>
      </c>
      <c r="AO190" s="62">
        <v>28534192</v>
      </c>
      <c r="AP190" s="62">
        <v>0</v>
      </c>
      <c r="AQ190" s="68">
        <v>5993512</v>
      </c>
      <c r="AR190" s="69">
        <f t="shared" si="553"/>
        <v>125527.27272727272</v>
      </c>
      <c r="AS190" s="70" t="str">
        <f>IFERROR(IF(#REF!&gt;0,#REF!/T190,""),"")</f>
        <v/>
      </c>
      <c r="AT190" s="70">
        <f t="shared" si="554"/>
        <v>129700.87272727273</v>
      </c>
      <c r="AU190" s="70">
        <f>IFERROR(IF(AL190&gt;0,AL190/T190,""),"")</f>
        <v>1363.6363636363637</v>
      </c>
      <c r="AV190" s="71">
        <f t="shared" si="555"/>
        <v>27243.236363636363</v>
      </c>
      <c r="AW190" s="115">
        <f t="shared" si="556"/>
        <v>125279.95454545454</v>
      </c>
      <c r="AX190" s="116">
        <f t="shared" si="557"/>
        <v>144.75701027841532</v>
      </c>
      <c r="AY190" s="72">
        <f t="shared" si="558"/>
        <v>150575.81363636363</v>
      </c>
      <c r="AZ190" s="73">
        <f t="shared" si="559"/>
        <v>173.98557240321639</v>
      </c>
      <c r="BA190" s="66">
        <v>1980000</v>
      </c>
      <c r="BB190" s="62">
        <v>4385450</v>
      </c>
      <c r="BC190" s="62">
        <v>23176140</v>
      </c>
      <c r="BD190" s="62">
        <v>1593889</v>
      </c>
      <c r="BE190" s="62">
        <v>3971200</v>
      </c>
      <c r="BF190" s="62">
        <v>5243600</v>
      </c>
      <c r="BG190" s="62">
        <v>8236645</v>
      </c>
      <c r="BH190" s="62">
        <v>6605000</v>
      </c>
      <c r="BI190" s="62">
        <v>898268</v>
      </c>
      <c r="BJ190" s="47">
        <f t="shared" si="560"/>
        <v>56090192</v>
      </c>
      <c r="BK190" s="69">
        <f t="shared" si="561"/>
        <v>9000</v>
      </c>
      <c r="BL190" s="70">
        <f t="shared" si="562"/>
        <v>19933.863636363636</v>
      </c>
      <c r="BM190" s="70">
        <f t="shared" si="563"/>
        <v>105346.09090909091</v>
      </c>
      <c r="BN190" s="70">
        <f t="shared" si="564"/>
        <v>7244.95</v>
      </c>
      <c r="BO190" s="70">
        <f t="shared" si="565"/>
        <v>18050.909090909092</v>
      </c>
      <c r="BP190" s="70">
        <f t="shared" si="566"/>
        <v>23834.545454545456</v>
      </c>
      <c r="BQ190" s="70">
        <f t="shared" si="567"/>
        <v>37439.295454545456</v>
      </c>
      <c r="BR190" s="70">
        <f t="shared" si="568"/>
        <v>30022.727272727272</v>
      </c>
      <c r="BS190" s="70">
        <f t="shared" si="569"/>
        <v>4083.0363636363636</v>
      </c>
      <c r="BT190" s="71">
        <f t="shared" si="570"/>
        <v>254955.41818181818</v>
      </c>
      <c r="BU190" s="65">
        <f t="shared" si="571"/>
        <v>10.399214281587613</v>
      </c>
      <c r="BV190" s="48">
        <f t="shared" si="572"/>
        <v>23.032946601610302</v>
      </c>
      <c r="BW190" s="48">
        <f t="shared" si="573"/>
        <v>121.72406367680503</v>
      </c>
      <c r="BX190" s="48">
        <f t="shared" si="574"/>
        <v>8.3713097232653535</v>
      </c>
      <c r="BY190" s="48">
        <f t="shared" si="575"/>
        <v>20.857252401535721</v>
      </c>
      <c r="BZ190" s="48">
        <f t="shared" si="576"/>
        <v>27.540060609562026</v>
      </c>
      <c r="CA190" s="48">
        <f t="shared" si="577"/>
        <v>43.259917331498592</v>
      </c>
      <c r="CB190" s="48">
        <f t="shared" si="578"/>
        <v>34.690308247417263</v>
      </c>
      <c r="CC190" s="48">
        <f t="shared" si="579"/>
        <v>4.7178188961076479</v>
      </c>
      <c r="CD190" s="47">
        <f t="shared" si="580"/>
        <v>294.59289176938955</v>
      </c>
      <c r="CE190" s="66">
        <v>2847300</v>
      </c>
      <c r="CF190" s="62">
        <v>79200</v>
      </c>
      <c r="CG190" s="74">
        <v>-219488</v>
      </c>
      <c r="CH190" s="75">
        <f t="shared" si="581"/>
        <v>2707012</v>
      </c>
      <c r="CI190" s="62">
        <f>71000+0+8800+5500+4000</f>
        <v>89300</v>
      </c>
      <c r="CJ190" s="62">
        <v>108200</v>
      </c>
      <c r="CK190" s="62">
        <v>308000</v>
      </c>
      <c r="CL190" s="62">
        <f>126311+10000+2000</f>
        <v>138311</v>
      </c>
      <c r="CM190" s="62">
        <f>25000+114000</f>
        <v>139000</v>
      </c>
      <c r="CN190" s="62">
        <v>95700</v>
      </c>
      <c r="CO190" s="62">
        <v>0</v>
      </c>
      <c r="CP190" s="75">
        <f t="shared" si="331"/>
        <v>878511</v>
      </c>
      <c r="CQ190" s="62">
        <v>55000</v>
      </c>
      <c r="CR190" s="75">
        <f t="shared" si="332"/>
        <v>933511</v>
      </c>
      <c r="CS190" s="75">
        <f t="shared" si="582"/>
        <v>1828501</v>
      </c>
      <c r="CT190" s="62">
        <v>1542031</v>
      </c>
      <c r="CU190" s="47">
        <f t="shared" si="583"/>
        <v>286470</v>
      </c>
      <c r="CV190" s="76">
        <f t="shared" si="584"/>
        <v>0.67546837620224809</v>
      </c>
      <c r="CW190" s="75">
        <f t="shared" si="585"/>
        <v>4243.2318181818182</v>
      </c>
      <c r="CX190" s="77">
        <f t="shared" si="586"/>
        <v>0.34484922859595746</v>
      </c>
      <c r="CY190" s="75">
        <f t="shared" si="587"/>
        <v>1302.1363636363637</v>
      </c>
      <c r="CZ190" s="77">
        <f t="shared" si="588"/>
        <v>0.10582516811894443</v>
      </c>
      <c r="DA190" s="77">
        <f t="shared" si="589"/>
        <v>0.56964320808330371</v>
      </c>
      <c r="DB190" s="47">
        <f t="shared" si="590"/>
        <v>125527.27272727272</v>
      </c>
      <c r="DC190" s="69">
        <f t="shared" si="591"/>
        <v>12942.272727272728</v>
      </c>
      <c r="DD190" s="70">
        <f t="shared" si="592"/>
        <v>360</v>
      </c>
      <c r="DE190" s="70">
        <f t="shared" si="593"/>
        <v>-997.67272727272723</v>
      </c>
      <c r="DF190" s="70">
        <f t="shared" si="594"/>
        <v>12304.6</v>
      </c>
      <c r="DG190" s="70">
        <f t="shared" si="595"/>
        <v>405.90909090909093</v>
      </c>
      <c r="DH190" s="70">
        <f t="shared" si="596"/>
        <v>491.81818181818181</v>
      </c>
      <c r="DI190" s="70">
        <f t="shared" si="597"/>
        <v>1400</v>
      </c>
      <c r="DJ190" s="70">
        <f t="shared" si="598"/>
        <v>628.68636363636358</v>
      </c>
      <c r="DK190" s="70">
        <f t="shared" si="599"/>
        <v>631.81818181818187</v>
      </c>
      <c r="DL190" s="70">
        <f t="shared" si="600"/>
        <v>435</v>
      </c>
      <c r="DM190" s="70" t="str">
        <f t="shared" si="601"/>
        <v/>
      </c>
      <c r="DN190" s="70">
        <f t="shared" si="602"/>
        <v>3993.2318181818182</v>
      </c>
      <c r="DO190" s="70">
        <f t="shared" si="603"/>
        <v>250</v>
      </c>
      <c r="DP190" s="70">
        <f t="shared" si="604"/>
        <v>4243.2318181818182</v>
      </c>
      <c r="DQ190" s="70">
        <f t="shared" si="605"/>
        <v>8311.3681818181813</v>
      </c>
      <c r="DR190" s="70">
        <f t="shared" si="606"/>
        <v>7009.2318181818182</v>
      </c>
      <c r="DS190" s="71">
        <f t="shared" si="607"/>
        <v>1302.1363636363637</v>
      </c>
      <c r="DT190" s="106">
        <f t="shared" si="608"/>
        <v>1.0518239298532848</v>
      </c>
      <c r="DU190" s="92">
        <f t="shared" si="609"/>
        <v>2.9257350909415992E-2</v>
      </c>
      <c r="DV190" s="92" t="str">
        <f t="shared" si="610"/>
        <v/>
      </c>
      <c r="DW190" s="92">
        <f t="shared" si="611"/>
        <v>1</v>
      </c>
      <c r="DX190" s="92">
        <f t="shared" si="612"/>
        <v>3.2988401972359194E-2</v>
      </c>
      <c r="DY190" s="92">
        <f t="shared" si="613"/>
        <v>3.9970269803015282E-2</v>
      </c>
      <c r="DZ190" s="92">
        <f t="shared" si="614"/>
        <v>0.11377858686995107</v>
      </c>
      <c r="EA190" s="92">
        <f t="shared" si="615"/>
        <v>5.1093604313538321E-2</v>
      </c>
      <c r="EB190" s="92">
        <f t="shared" si="616"/>
        <v>5.1348128490010386E-2</v>
      </c>
      <c r="EC190" s="92">
        <f t="shared" si="617"/>
        <v>3.5352632348877658E-2</v>
      </c>
      <c r="ED190" s="92" t="str">
        <f t="shared" si="618"/>
        <v/>
      </c>
      <c r="EE190" s="92">
        <f t="shared" si="619"/>
        <v>0.32453162379775191</v>
      </c>
      <c r="EF190" s="92">
        <f t="shared" si="620"/>
        <v>2.031760479820555E-2</v>
      </c>
      <c r="EG190" s="92">
        <f t="shared" si="621"/>
        <v>0.34484922859595746</v>
      </c>
      <c r="EH190" s="92">
        <f t="shared" si="622"/>
        <v>0.67546837620224809</v>
      </c>
      <c r="EI190" s="92">
        <f t="shared" si="623"/>
        <v>0.56964320808330371</v>
      </c>
      <c r="EJ190" s="122">
        <f t="shared" si="624"/>
        <v>0.10582516811894443</v>
      </c>
    </row>
    <row r="191" spans="2:140" ht="12" hidden="1" customHeight="1" outlineLevel="1">
      <c r="B191" s="121">
        <v>45251</v>
      </c>
      <c r="C191" s="117" t="s">
        <v>1035</v>
      </c>
      <c r="D191" s="50" t="s">
        <v>1036</v>
      </c>
      <c r="E191" s="50" t="s">
        <v>691</v>
      </c>
      <c r="F191" s="50" t="s">
        <v>180</v>
      </c>
      <c r="G191" s="50" t="s">
        <v>784</v>
      </c>
      <c r="H191" s="50" t="s">
        <v>229</v>
      </c>
      <c r="I191" s="50" t="s">
        <v>1037</v>
      </c>
      <c r="J191" s="52" t="s">
        <v>541</v>
      </c>
      <c r="K191" s="50" t="s">
        <v>542</v>
      </c>
      <c r="L191" s="49">
        <v>11</v>
      </c>
      <c r="M191" s="50" t="s">
        <v>159</v>
      </c>
      <c r="N191" s="50" t="s">
        <v>244</v>
      </c>
      <c r="O191" s="50" t="s">
        <v>160</v>
      </c>
      <c r="P191" s="50" t="s">
        <v>177</v>
      </c>
      <c r="Q191" s="53">
        <v>0.09</v>
      </c>
      <c r="R191" s="49">
        <f>102-16</f>
        <v>86</v>
      </c>
      <c r="S191" s="49">
        <v>16</v>
      </c>
      <c r="T191" s="54">
        <f t="shared" si="330"/>
        <v>102</v>
      </c>
      <c r="U191" s="55">
        <v>87873</v>
      </c>
      <c r="V191" s="49">
        <v>6.37</v>
      </c>
      <c r="W191" s="56">
        <f t="shared" si="551"/>
        <v>16.012558869701728</v>
      </c>
      <c r="X191" s="49" t="s">
        <v>163</v>
      </c>
      <c r="Y191" s="57" t="s">
        <v>162</v>
      </c>
      <c r="Z191" s="58">
        <v>4000000</v>
      </c>
      <c r="AA191" s="114">
        <v>5.2499999999999998E-2</v>
      </c>
      <c r="AB191" s="59">
        <v>15</v>
      </c>
      <c r="AC191" s="60">
        <v>35</v>
      </c>
      <c r="AD191" s="61">
        <v>5.2499999999999998E-2</v>
      </c>
      <c r="AE191" s="62">
        <v>4000000</v>
      </c>
      <c r="AF191" s="63">
        <v>1.26</v>
      </c>
      <c r="AG191" s="59"/>
      <c r="AH191" s="60"/>
      <c r="AI191" s="61"/>
      <c r="AJ191" s="64"/>
      <c r="AK191" s="65">
        <f t="shared" si="552"/>
        <v>4000000</v>
      </c>
      <c r="AL191" s="66">
        <v>1000</v>
      </c>
      <c r="AM191" s="49" t="s">
        <v>1038</v>
      </c>
      <c r="AN191" s="67">
        <v>0.88</v>
      </c>
      <c r="AO191" s="62">
        <v>13576688</v>
      </c>
      <c r="AP191" s="62">
        <v>0</v>
      </c>
      <c r="AQ191" s="68">
        <v>378688</v>
      </c>
      <c r="AR191" s="69">
        <f t="shared" si="553"/>
        <v>39215.686274509804</v>
      </c>
      <c r="AS191" s="70">
        <f>IFERROR(IF(AL191&gt;0,AL191/T191,""),"")</f>
        <v>9.8039215686274517</v>
      </c>
      <c r="AT191" s="70">
        <f t="shared" si="554"/>
        <v>133104.78431372548</v>
      </c>
      <c r="AU191" s="70" t="str">
        <f>IFERROR(IF(AP191&gt;0,AP191/T191,""),"")</f>
        <v/>
      </c>
      <c r="AV191" s="71">
        <f t="shared" si="555"/>
        <v>3712.627450980392</v>
      </c>
      <c r="AW191" s="115">
        <f t="shared" si="556"/>
        <v>102879.7843137255</v>
      </c>
      <c r="AX191" s="116">
        <f t="shared" si="557"/>
        <v>119.41936658586825</v>
      </c>
      <c r="AY191" s="72">
        <f t="shared" si="558"/>
        <v>123948.48039215685</v>
      </c>
      <c r="AZ191" s="73">
        <f t="shared" si="559"/>
        <v>143.8751948835251</v>
      </c>
      <c r="BA191" s="66">
        <v>130346</v>
      </c>
      <c r="BB191" s="62">
        <v>2200690</v>
      </c>
      <c r="BC191" s="62">
        <v>8293048</v>
      </c>
      <c r="BD191" s="62">
        <v>698852</v>
      </c>
      <c r="BE191" s="62">
        <v>1450155</v>
      </c>
      <c r="BF191" s="62">
        <v>1723423</v>
      </c>
      <c r="BG191" s="62">
        <v>589000</v>
      </c>
      <c r="BH191" s="62">
        <v>2079874</v>
      </c>
      <c r="BI191" s="62">
        <v>412300</v>
      </c>
      <c r="BJ191" s="47">
        <f t="shared" si="560"/>
        <v>17577688</v>
      </c>
      <c r="BK191" s="69">
        <f t="shared" si="561"/>
        <v>1277.9019607843138</v>
      </c>
      <c r="BL191" s="70">
        <f t="shared" si="562"/>
        <v>21575.392156862745</v>
      </c>
      <c r="BM191" s="70">
        <f t="shared" si="563"/>
        <v>81304.392156862741</v>
      </c>
      <c r="BN191" s="70">
        <f t="shared" si="564"/>
        <v>6851.4901960784309</v>
      </c>
      <c r="BO191" s="70">
        <f t="shared" si="565"/>
        <v>14217.205882352941</v>
      </c>
      <c r="BP191" s="70">
        <f t="shared" si="566"/>
        <v>16896.303921568626</v>
      </c>
      <c r="BQ191" s="70">
        <f t="shared" si="567"/>
        <v>5774.5098039215691</v>
      </c>
      <c r="BR191" s="70">
        <f t="shared" si="568"/>
        <v>20390.921568627451</v>
      </c>
      <c r="BS191" s="70">
        <f t="shared" si="569"/>
        <v>4042.1568627450979</v>
      </c>
      <c r="BT191" s="71">
        <f t="shared" si="570"/>
        <v>172330.27450980392</v>
      </c>
      <c r="BU191" s="65">
        <f t="shared" si="571"/>
        <v>1.4833452823961855</v>
      </c>
      <c r="BV191" s="48">
        <f t="shared" si="572"/>
        <v>25.043983931355481</v>
      </c>
      <c r="BW191" s="48">
        <f t="shared" si="573"/>
        <v>94.375382654512762</v>
      </c>
      <c r="BX191" s="48">
        <f t="shared" si="574"/>
        <v>7.9529775926621378</v>
      </c>
      <c r="BY191" s="48">
        <f t="shared" si="575"/>
        <v>16.502850704994707</v>
      </c>
      <c r="BZ191" s="48">
        <f t="shared" si="576"/>
        <v>19.612656902575306</v>
      </c>
      <c r="CA191" s="48">
        <f t="shared" si="577"/>
        <v>6.7028552570186521</v>
      </c>
      <c r="CB191" s="48">
        <f t="shared" si="578"/>
        <v>23.669090619416657</v>
      </c>
      <c r="CC191" s="48">
        <f t="shared" si="579"/>
        <v>4.6919986799130564</v>
      </c>
      <c r="CD191" s="47">
        <f t="shared" si="580"/>
        <v>200.03514162484495</v>
      </c>
      <c r="CE191" s="66">
        <v>826836</v>
      </c>
      <c r="CF191" s="62">
        <v>36720</v>
      </c>
      <c r="CG191" s="74">
        <v>-64767</v>
      </c>
      <c r="CH191" s="75">
        <f t="shared" si="581"/>
        <v>798789</v>
      </c>
      <c r="CI191" s="62">
        <f>35980+3440</f>
        <v>39420</v>
      </c>
      <c r="CJ191" s="62">
        <v>39940</v>
      </c>
      <c r="CK191" s="62">
        <v>114210</v>
      </c>
      <c r="CL191" s="62">
        <v>64864</v>
      </c>
      <c r="CM191" s="62">
        <f>21096+54228</f>
        <v>75324</v>
      </c>
      <c r="CN191" s="62">
        <v>42179</v>
      </c>
      <c r="CO191" s="62">
        <v>78800</v>
      </c>
      <c r="CP191" s="75">
        <f t="shared" si="331"/>
        <v>454737</v>
      </c>
      <c r="CQ191" s="62">
        <v>25500</v>
      </c>
      <c r="CR191" s="75">
        <f t="shared" si="332"/>
        <v>480237</v>
      </c>
      <c r="CS191" s="75">
        <f t="shared" si="582"/>
        <v>344052</v>
      </c>
      <c r="CT191" s="62">
        <v>249957</v>
      </c>
      <c r="CU191" s="47">
        <f t="shared" si="583"/>
        <v>94095</v>
      </c>
      <c r="CV191" s="76">
        <f t="shared" si="584"/>
        <v>0.43071699785550377</v>
      </c>
      <c r="CW191" s="75">
        <f t="shared" si="585"/>
        <v>4708.2058823529414</v>
      </c>
      <c r="CX191" s="77">
        <f t="shared" si="586"/>
        <v>0.6012063260760977</v>
      </c>
      <c r="CY191" s="75">
        <f t="shared" si="587"/>
        <v>922.5</v>
      </c>
      <c r="CZ191" s="77">
        <f t="shared" si="588"/>
        <v>0.11779706530760939</v>
      </c>
      <c r="DA191" s="77">
        <f t="shared" si="589"/>
        <v>0.31291993254789435</v>
      </c>
      <c r="DB191" s="47">
        <f t="shared" si="590"/>
        <v>39215.686274509804</v>
      </c>
      <c r="DC191" s="69">
        <f t="shared" si="591"/>
        <v>8106.2352941176468</v>
      </c>
      <c r="DD191" s="70">
        <f t="shared" si="592"/>
        <v>360</v>
      </c>
      <c r="DE191" s="70">
        <f t="shared" si="593"/>
        <v>-634.97058823529414</v>
      </c>
      <c r="DF191" s="70">
        <f t="shared" si="594"/>
        <v>7831.2647058823532</v>
      </c>
      <c r="DG191" s="70">
        <f t="shared" si="595"/>
        <v>386.47058823529414</v>
      </c>
      <c r="DH191" s="70">
        <f t="shared" si="596"/>
        <v>391.56862745098039</v>
      </c>
      <c r="DI191" s="70">
        <f t="shared" si="597"/>
        <v>1119.7058823529412</v>
      </c>
      <c r="DJ191" s="70">
        <f t="shared" si="598"/>
        <v>635.92156862745094</v>
      </c>
      <c r="DK191" s="70">
        <f t="shared" si="599"/>
        <v>738.47058823529414</v>
      </c>
      <c r="DL191" s="70">
        <f t="shared" si="600"/>
        <v>413.51960784313724</v>
      </c>
      <c r="DM191" s="70">
        <f t="shared" si="601"/>
        <v>772.54901960784309</v>
      </c>
      <c r="DN191" s="70">
        <f t="shared" si="602"/>
        <v>4458.2058823529414</v>
      </c>
      <c r="DO191" s="70">
        <f t="shared" si="603"/>
        <v>250</v>
      </c>
      <c r="DP191" s="70">
        <f t="shared" si="604"/>
        <v>4708.2058823529414</v>
      </c>
      <c r="DQ191" s="70">
        <f t="shared" si="605"/>
        <v>3373.0588235294117</v>
      </c>
      <c r="DR191" s="70">
        <f t="shared" si="606"/>
        <v>2450.5588235294117</v>
      </c>
      <c r="DS191" s="71">
        <f t="shared" si="607"/>
        <v>922.5</v>
      </c>
      <c r="DT191" s="106">
        <f t="shared" si="608"/>
        <v>1.0351119006395932</v>
      </c>
      <c r="DU191" s="92">
        <f t="shared" si="609"/>
        <v>4.5969586461506104E-2</v>
      </c>
      <c r="DV191" s="92" t="str">
        <f t="shared" si="610"/>
        <v/>
      </c>
      <c r="DW191" s="92">
        <f t="shared" si="611"/>
        <v>1</v>
      </c>
      <c r="DX191" s="92">
        <f t="shared" si="612"/>
        <v>4.9349703113087437E-2</v>
      </c>
      <c r="DY191" s="92">
        <f t="shared" si="613"/>
        <v>5.0000688542280874E-2</v>
      </c>
      <c r="DZ191" s="92">
        <f t="shared" si="614"/>
        <v>0.14297893436189033</v>
      </c>
      <c r="EA191" s="92">
        <f t="shared" si="615"/>
        <v>8.1202920921544991E-2</v>
      </c>
      <c r="EB191" s="92">
        <f t="shared" si="616"/>
        <v>9.42977432087823E-2</v>
      </c>
      <c r="EC191" s="92">
        <f t="shared" si="617"/>
        <v>5.2803681572981098E-2</v>
      </c>
      <c r="ED191" s="92">
        <f t="shared" si="618"/>
        <v>9.8649330423929218E-2</v>
      </c>
      <c r="EE191" s="92">
        <f t="shared" si="619"/>
        <v>0.56928300214449623</v>
      </c>
      <c r="EF191" s="92">
        <f t="shared" si="620"/>
        <v>3.1923323931601459E-2</v>
      </c>
      <c r="EG191" s="92">
        <f t="shared" si="621"/>
        <v>0.6012063260760977</v>
      </c>
      <c r="EH191" s="92">
        <f t="shared" si="622"/>
        <v>0.43071699785550377</v>
      </c>
      <c r="EI191" s="92">
        <f t="shared" si="623"/>
        <v>0.31291993254789435</v>
      </c>
      <c r="EJ191" s="122">
        <f t="shared" si="624"/>
        <v>0.11779706530760939</v>
      </c>
    </row>
    <row r="192" spans="2:140" ht="12" hidden="1" customHeight="1" outlineLevel="1">
      <c r="B192" s="121">
        <v>45258</v>
      </c>
      <c r="C192" s="117" t="s">
        <v>1039</v>
      </c>
      <c r="D192" s="50" t="s">
        <v>1040</v>
      </c>
      <c r="E192" s="50" t="s">
        <v>1041</v>
      </c>
      <c r="F192" s="50" t="s">
        <v>1042</v>
      </c>
      <c r="G192" s="50" t="s">
        <v>154</v>
      </c>
      <c r="H192" s="50" t="s">
        <v>842</v>
      </c>
      <c r="I192" s="50" t="s">
        <v>1022</v>
      </c>
      <c r="J192" s="52" t="s">
        <v>1043</v>
      </c>
      <c r="K192" s="50" t="s">
        <v>1044</v>
      </c>
      <c r="L192" s="49">
        <v>5</v>
      </c>
      <c r="M192" s="50" t="s">
        <v>283</v>
      </c>
      <c r="N192" s="50" t="s">
        <v>244</v>
      </c>
      <c r="O192" s="50" t="s">
        <v>318</v>
      </c>
      <c r="P192" s="50" t="s">
        <v>177</v>
      </c>
      <c r="Q192" s="53">
        <v>0.09</v>
      </c>
      <c r="R192" s="49">
        <v>80</v>
      </c>
      <c r="S192" s="49">
        <v>0</v>
      </c>
      <c r="T192" s="54">
        <f t="shared" si="330"/>
        <v>80</v>
      </c>
      <c r="U192" s="55">
        <v>70576</v>
      </c>
      <c r="V192" s="49">
        <v>18.190000000000001</v>
      </c>
      <c r="W192" s="56">
        <f t="shared" si="551"/>
        <v>4.3980208905992297</v>
      </c>
      <c r="X192" s="49" t="s">
        <v>163</v>
      </c>
      <c r="Y192" s="57" t="s">
        <v>162</v>
      </c>
      <c r="Z192" s="58">
        <v>3190000</v>
      </c>
      <c r="AA192" s="114">
        <v>4.7500000000000001E-2</v>
      </c>
      <c r="AB192" s="59">
        <v>15</v>
      </c>
      <c r="AC192" s="60">
        <v>35</v>
      </c>
      <c r="AD192" s="61">
        <v>4.7500000000000001E-2</v>
      </c>
      <c r="AE192" s="62">
        <v>3190000</v>
      </c>
      <c r="AF192" s="63">
        <v>1.22</v>
      </c>
      <c r="AG192" s="59"/>
      <c r="AH192" s="60"/>
      <c r="AI192" s="61"/>
      <c r="AJ192" s="64"/>
      <c r="AK192" s="65">
        <f t="shared" si="552"/>
        <v>3190000</v>
      </c>
      <c r="AL192" s="62">
        <v>0</v>
      </c>
      <c r="AM192" s="49" t="s">
        <v>163</v>
      </c>
      <c r="AN192" s="67">
        <v>0.88</v>
      </c>
      <c r="AO192" s="62">
        <v>11654012</v>
      </c>
      <c r="AP192" s="62">
        <v>0</v>
      </c>
      <c r="AQ192" s="68">
        <v>3220</v>
      </c>
      <c r="AR192" s="69">
        <f t="shared" si="553"/>
        <v>39875</v>
      </c>
      <c r="AS192" s="70" t="str">
        <f>IFERROR(IF(#REF!&gt;0,#REF!/T192,""),"")</f>
        <v/>
      </c>
      <c r="AT192" s="70">
        <f t="shared" si="554"/>
        <v>145675.15</v>
      </c>
      <c r="AU192" s="70" t="str">
        <f>IFERROR(IF(AL192&gt;0,AL192/T192,""),"")</f>
        <v/>
      </c>
      <c r="AV192" s="71">
        <f t="shared" si="555"/>
        <v>40.25</v>
      </c>
      <c r="AW192" s="115">
        <f t="shared" si="556"/>
        <v>105646.0125</v>
      </c>
      <c r="AX192" s="116">
        <f t="shared" si="557"/>
        <v>119.75290467014283</v>
      </c>
      <c r="AY192" s="72">
        <f t="shared" si="558"/>
        <v>126704.2625</v>
      </c>
      <c r="AZ192" s="73">
        <f t="shared" si="559"/>
        <v>143.62305883019724</v>
      </c>
      <c r="BA192" s="66">
        <v>581920</v>
      </c>
      <c r="BB192" s="62">
        <v>1533486</v>
      </c>
      <c r="BC192" s="62">
        <v>6918195</v>
      </c>
      <c r="BD192" s="62">
        <v>442265</v>
      </c>
      <c r="BE192" s="62">
        <v>1242395</v>
      </c>
      <c r="BF192" s="62">
        <v>886814</v>
      </c>
      <c r="BG192" s="62">
        <v>1183996</v>
      </c>
      <c r="BH192" s="62">
        <v>1765838</v>
      </c>
      <c r="BI192" s="62">
        <v>289102</v>
      </c>
      <c r="BJ192" s="47">
        <f t="shared" si="560"/>
        <v>14844011</v>
      </c>
      <c r="BK192" s="69">
        <f t="shared" si="561"/>
        <v>7274</v>
      </c>
      <c r="BL192" s="70">
        <f t="shared" si="562"/>
        <v>19168.575000000001</v>
      </c>
      <c r="BM192" s="70">
        <f t="shared" si="563"/>
        <v>86477.4375</v>
      </c>
      <c r="BN192" s="70">
        <f t="shared" si="564"/>
        <v>5528.3125</v>
      </c>
      <c r="BO192" s="70">
        <f t="shared" si="565"/>
        <v>15529.9375</v>
      </c>
      <c r="BP192" s="70">
        <f t="shared" si="566"/>
        <v>11085.174999999999</v>
      </c>
      <c r="BQ192" s="70">
        <f t="shared" si="567"/>
        <v>14799.95</v>
      </c>
      <c r="BR192" s="70">
        <f t="shared" si="568"/>
        <v>22072.974999999999</v>
      </c>
      <c r="BS192" s="70">
        <f t="shared" si="569"/>
        <v>3613.7750000000001</v>
      </c>
      <c r="BT192" s="71">
        <f t="shared" si="570"/>
        <v>185550.13750000001</v>
      </c>
      <c r="BU192" s="65">
        <f t="shared" si="571"/>
        <v>8.245295851280888</v>
      </c>
      <c r="BV192" s="48">
        <f t="shared" si="572"/>
        <v>21.728151212876899</v>
      </c>
      <c r="BW192" s="48">
        <f t="shared" si="573"/>
        <v>98.02475345726593</v>
      </c>
      <c r="BX192" s="48">
        <f t="shared" si="574"/>
        <v>6.2665070278848329</v>
      </c>
      <c r="BY192" s="48">
        <f t="shared" si="575"/>
        <v>17.603647132169577</v>
      </c>
      <c r="BZ192" s="48">
        <f t="shared" si="576"/>
        <v>12.565376331897529</v>
      </c>
      <c r="CA192" s="48">
        <f t="shared" si="577"/>
        <v>16.776184538653368</v>
      </c>
      <c r="CB192" s="48">
        <f t="shared" si="578"/>
        <v>25.020375198367717</v>
      </c>
      <c r="CC192" s="48">
        <f t="shared" si="579"/>
        <v>4.0963216957605981</v>
      </c>
      <c r="CD192" s="47">
        <f t="shared" si="580"/>
        <v>210.32661244615733</v>
      </c>
      <c r="CE192" s="66">
        <v>650736</v>
      </c>
      <c r="CF192" s="62">
        <v>19200</v>
      </c>
      <c r="CG192" s="74">
        <v>-50245</v>
      </c>
      <c r="CH192" s="75">
        <f t="shared" si="581"/>
        <v>619691</v>
      </c>
      <c r="CI192" s="62">
        <f>42103+3200</f>
        <v>45303</v>
      </c>
      <c r="CJ192" s="62">
        <v>30985</v>
      </c>
      <c r="CK192" s="62">
        <v>87398</v>
      </c>
      <c r="CL192" s="62">
        <f>56175+5000</f>
        <v>61175</v>
      </c>
      <c r="CM192" s="62">
        <f>2500+10623+41972</f>
        <v>55095</v>
      </c>
      <c r="CN192" s="62">
        <v>39143</v>
      </c>
      <c r="CO192" s="62">
        <v>48709</v>
      </c>
      <c r="CP192" s="75">
        <f t="shared" si="331"/>
        <v>367808</v>
      </c>
      <c r="CQ192" s="62">
        <v>24000</v>
      </c>
      <c r="CR192" s="75">
        <f t="shared" si="332"/>
        <v>391808</v>
      </c>
      <c r="CS192" s="75">
        <f t="shared" si="582"/>
        <v>251883</v>
      </c>
      <c r="CT192" s="62">
        <v>186397</v>
      </c>
      <c r="CU192" s="47">
        <f t="shared" si="583"/>
        <v>65486</v>
      </c>
      <c r="CV192" s="76">
        <f t="shared" si="584"/>
        <v>0.4064654803765102</v>
      </c>
      <c r="CW192" s="75">
        <f t="shared" si="585"/>
        <v>4897.6000000000004</v>
      </c>
      <c r="CX192" s="77">
        <f t="shared" si="586"/>
        <v>0.63226349906647017</v>
      </c>
      <c r="CY192" s="75">
        <f t="shared" si="587"/>
        <v>818.57500000000005</v>
      </c>
      <c r="CZ192" s="77">
        <f t="shared" si="588"/>
        <v>0.10567524782512575</v>
      </c>
      <c r="DA192" s="77">
        <f t="shared" si="589"/>
        <v>0.30079023255138448</v>
      </c>
      <c r="DB192" s="47">
        <f t="shared" si="590"/>
        <v>39875</v>
      </c>
      <c r="DC192" s="69">
        <f t="shared" si="591"/>
        <v>8134.2</v>
      </c>
      <c r="DD192" s="70">
        <f t="shared" si="592"/>
        <v>240</v>
      </c>
      <c r="DE192" s="70">
        <f t="shared" si="593"/>
        <v>-628.0625</v>
      </c>
      <c r="DF192" s="70">
        <f t="shared" si="594"/>
        <v>7746.1374999999998</v>
      </c>
      <c r="DG192" s="70">
        <f t="shared" si="595"/>
        <v>566.28750000000002</v>
      </c>
      <c r="DH192" s="70">
        <f t="shared" si="596"/>
        <v>387.3125</v>
      </c>
      <c r="DI192" s="70">
        <f t="shared" si="597"/>
        <v>1092.4749999999999</v>
      </c>
      <c r="DJ192" s="70">
        <f t="shared" si="598"/>
        <v>764.6875</v>
      </c>
      <c r="DK192" s="70">
        <f t="shared" si="599"/>
        <v>688.6875</v>
      </c>
      <c r="DL192" s="70">
        <f t="shared" si="600"/>
        <v>489.28750000000002</v>
      </c>
      <c r="DM192" s="70">
        <f t="shared" si="601"/>
        <v>608.86249999999995</v>
      </c>
      <c r="DN192" s="70">
        <f t="shared" si="602"/>
        <v>4597.6000000000004</v>
      </c>
      <c r="DO192" s="70">
        <f t="shared" si="603"/>
        <v>300</v>
      </c>
      <c r="DP192" s="70">
        <f t="shared" si="604"/>
        <v>4897.6000000000004</v>
      </c>
      <c r="DQ192" s="70">
        <f t="shared" si="605"/>
        <v>3148.5374999999999</v>
      </c>
      <c r="DR192" s="70">
        <f t="shared" si="606"/>
        <v>2329.9625000000001</v>
      </c>
      <c r="DS192" s="71">
        <f t="shared" si="607"/>
        <v>818.57500000000005</v>
      </c>
      <c r="DT192" s="106">
        <f t="shared" si="608"/>
        <v>1.0500975486169719</v>
      </c>
      <c r="DU192" s="92">
        <f t="shared" si="609"/>
        <v>3.0983183554384362E-2</v>
      </c>
      <c r="DV192" s="92" t="str">
        <f t="shared" si="610"/>
        <v/>
      </c>
      <c r="DW192" s="92">
        <f t="shared" si="611"/>
        <v>1</v>
      </c>
      <c r="DX192" s="92">
        <f t="shared" si="612"/>
        <v>7.3105789821055978E-2</v>
      </c>
      <c r="DY192" s="92">
        <f t="shared" si="613"/>
        <v>5.0000726168364554E-2</v>
      </c>
      <c r="DZ192" s="92">
        <f t="shared" si="614"/>
        <v>0.1410348060565669</v>
      </c>
      <c r="EA192" s="92">
        <f t="shared" si="615"/>
        <v>9.8718554892680388E-2</v>
      </c>
      <c r="EB192" s="92">
        <f t="shared" si="616"/>
        <v>8.8907213433792001E-2</v>
      </c>
      <c r="EC192" s="92">
        <f t="shared" si="617"/>
        <v>6.3165351764024324E-2</v>
      </c>
      <c r="ED192" s="92">
        <f t="shared" si="618"/>
        <v>7.8602077487005623E-2</v>
      </c>
      <c r="EE192" s="92">
        <f t="shared" si="619"/>
        <v>0.5935345196234898</v>
      </c>
      <c r="EF192" s="92">
        <f t="shared" si="620"/>
        <v>3.8728979442980455E-2</v>
      </c>
      <c r="EG192" s="92">
        <f t="shared" si="621"/>
        <v>0.63226349906647017</v>
      </c>
      <c r="EH192" s="92">
        <f t="shared" si="622"/>
        <v>0.4064654803765102</v>
      </c>
      <c r="EI192" s="92">
        <f t="shared" si="623"/>
        <v>0.30079023255138448</v>
      </c>
      <c r="EJ192" s="122">
        <f t="shared" si="624"/>
        <v>0.10567524782512575</v>
      </c>
    </row>
    <row r="193" spans="2:140" ht="12" hidden="1" customHeight="1" outlineLevel="1">
      <c r="B193" s="121">
        <v>45261</v>
      </c>
      <c r="C193" s="117" t="s">
        <v>1045</v>
      </c>
      <c r="D193" s="50" t="s">
        <v>1046</v>
      </c>
      <c r="E193" s="50" t="s">
        <v>629</v>
      </c>
      <c r="F193" s="50" t="s">
        <v>630</v>
      </c>
      <c r="G193" s="50" t="s">
        <v>154</v>
      </c>
      <c r="H193" s="50" t="s">
        <v>527</v>
      </c>
      <c r="I193" s="50" t="s">
        <v>321</v>
      </c>
      <c r="J193" s="52" t="s">
        <v>1047</v>
      </c>
      <c r="K193" s="50" t="s">
        <v>1048</v>
      </c>
      <c r="L193" s="49">
        <v>5</v>
      </c>
      <c r="M193" s="50" t="s">
        <v>159</v>
      </c>
      <c r="N193" s="50" t="s">
        <v>244</v>
      </c>
      <c r="O193" s="50" t="s">
        <v>160</v>
      </c>
      <c r="P193" s="50" t="s">
        <v>177</v>
      </c>
      <c r="Q193" s="53">
        <v>0.09</v>
      </c>
      <c r="R193" s="49">
        <v>60</v>
      </c>
      <c r="S193" s="49">
        <v>0</v>
      </c>
      <c r="T193" s="54">
        <f t="shared" si="330"/>
        <v>60</v>
      </c>
      <c r="U193" s="55">
        <v>54888</v>
      </c>
      <c r="V193" s="49">
        <v>4.3650000000000002</v>
      </c>
      <c r="W193" s="56">
        <f t="shared" si="551"/>
        <v>13.745704467353951</v>
      </c>
      <c r="X193" s="49" t="s">
        <v>163</v>
      </c>
      <c r="Y193" s="57" t="s">
        <v>162</v>
      </c>
      <c r="Z193" s="58">
        <v>2380000</v>
      </c>
      <c r="AA193" s="114">
        <v>0.05</v>
      </c>
      <c r="AB193" s="59">
        <v>15</v>
      </c>
      <c r="AC193" s="60">
        <v>35</v>
      </c>
      <c r="AD193" s="61">
        <v>0.05</v>
      </c>
      <c r="AE193" s="181">
        <v>2380000</v>
      </c>
      <c r="AF193" s="63">
        <v>1.1499999999999999</v>
      </c>
      <c r="AG193" s="59"/>
      <c r="AH193" s="60"/>
      <c r="AI193" s="61"/>
      <c r="AJ193" s="64"/>
      <c r="AK193" s="65">
        <f t="shared" si="552"/>
        <v>2380000</v>
      </c>
      <c r="AL193" s="66">
        <v>500</v>
      </c>
      <c r="AM193" s="49" t="s">
        <v>1049</v>
      </c>
      <c r="AN193" s="192">
        <v>0.91</v>
      </c>
      <c r="AO193" s="62">
        <v>9541042</v>
      </c>
      <c r="AP193" s="62">
        <v>0</v>
      </c>
      <c r="AQ193" s="68">
        <v>329895</v>
      </c>
      <c r="AR193" s="69">
        <f t="shared" si="553"/>
        <v>39666.666666666664</v>
      </c>
      <c r="AS193" s="70">
        <f>IFERROR(IF(AL193&gt;0,AL193/T193,""),"")</f>
        <v>8.3333333333333339</v>
      </c>
      <c r="AT193" s="70">
        <f t="shared" si="554"/>
        <v>159017.36666666667</v>
      </c>
      <c r="AU193" s="70" t="str">
        <f>IFERROR(IF(AP193&gt;0,AP193/T193,""),"")</f>
        <v/>
      </c>
      <c r="AV193" s="71">
        <f t="shared" si="555"/>
        <v>5498.25</v>
      </c>
      <c r="AW193" s="196">
        <f t="shared" si="556"/>
        <v>124776.15</v>
      </c>
      <c r="AX193" s="116">
        <f t="shared" si="557"/>
        <v>136.39719064276343</v>
      </c>
      <c r="AY193" s="198">
        <f t="shared" si="558"/>
        <v>148483.31666666668</v>
      </c>
      <c r="AZ193" s="73">
        <f t="shared" si="559"/>
        <v>162.31232692027402</v>
      </c>
      <c r="BA193" s="66">
        <v>600000</v>
      </c>
      <c r="BB193" s="62">
        <v>1429653</v>
      </c>
      <c r="BC193" s="62">
        <v>6056916</v>
      </c>
      <c r="BD193" s="62">
        <v>374320</v>
      </c>
      <c r="BE193" s="62">
        <v>1048110</v>
      </c>
      <c r="BF193" s="62">
        <v>479268</v>
      </c>
      <c r="BG193" s="62">
        <v>692670</v>
      </c>
      <c r="BH193" s="62">
        <v>1300000</v>
      </c>
      <c r="BI193" s="62">
        <v>270000</v>
      </c>
      <c r="BJ193" s="47">
        <f t="shared" si="560"/>
        <v>12250937</v>
      </c>
      <c r="BK193" s="69">
        <f t="shared" si="561"/>
        <v>10000</v>
      </c>
      <c r="BL193" s="70">
        <f t="shared" si="562"/>
        <v>23827.55</v>
      </c>
      <c r="BM193" s="70">
        <f t="shared" si="563"/>
        <v>100948.6</v>
      </c>
      <c r="BN193" s="70">
        <f t="shared" si="564"/>
        <v>6238.666666666667</v>
      </c>
      <c r="BO193" s="70">
        <f t="shared" si="565"/>
        <v>17468.5</v>
      </c>
      <c r="BP193" s="70">
        <f t="shared" si="566"/>
        <v>7987.8</v>
      </c>
      <c r="BQ193" s="70">
        <f t="shared" si="567"/>
        <v>11544.5</v>
      </c>
      <c r="BR193" s="70">
        <f t="shared" si="568"/>
        <v>21666.666666666668</v>
      </c>
      <c r="BS193" s="70">
        <f t="shared" si="569"/>
        <v>4500</v>
      </c>
      <c r="BT193" s="71">
        <f t="shared" si="570"/>
        <v>204182.28333333333</v>
      </c>
      <c r="BU193" s="65">
        <f t="shared" si="571"/>
        <v>10.931351114997813</v>
      </c>
      <c r="BV193" s="48">
        <f t="shared" si="572"/>
        <v>26.046731526016615</v>
      </c>
      <c r="BW193" s="48">
        <f t="shared" si="573"/>
        <v>110.35045911674683</v>
      </c>
      <c r="BX193" s="48">
        <f t="shared" si="574"/>
        <v>6.8197055822766357</v>
      </c>
      <c r="BY193" s="48">
        <f t="shared" si="575"/>
        <v>19.095430695233929</v>
      </c>
      <c r="BZ193" s="48">
        <f t="shared" si="576"/>
        <v>8.7317446436379544</v>
      </c>
      <c r="CA193" s="48">
        <f t="shared" si="577"/>
        <v>12.619698294709226</v>
      </c>
      <c r="CB193" s="48">
        <f t="shared" si="578"/>
        <v>23.684594082495263</v>
      </c>
      <c r="CC193" s="48">
        <f t="shared" si="579"/>
        <v>4.9191080017490165</v>
      </c>
      <c r="CD193" s="47">
        <f t="shared" si="580"/>
        <v>223.19882305786328</v>
      </c>
      <c r="CE193" s="66">
        <v>515784</v>
      </c>
      <c r="CF193" s="62">
        <v>14400</v>
      </c>
      <c r="CG193" s="74">
        <v>-39764</v>
      </c>
      <c r="CH193" s="75">
        <f t="shared" si="581"/>
        <v>490420</v>
      </c>
      <c r="CI193" s="62">
        <v>31400</v>
      </c>
      <c r="CJ193" s="62">
        <v>24521</v>
      </c>
      <c r="CK193" s="62">
        <v>92352</v>
      </c>
      <c r="CL193" s="62">
        <v>25600</v>
      </c>
      <c r="CM193" s="62">
        <v>29700</v>
      </c>
      <c r="CN193" s="62">
        <v>60000</v>
      </c>
      <c r="CO193" s="62">
        <v>38409</v>
      </c>
      <c r="CP193" s="75">
        <f t="shared" si="331"/>
        <v>301982</v>
      </c>
      <c r="CQ193" s="62">
        <v>15000</v>
      </c>
      <c r="CR193" s="75">
        <f t="shared" si="332"/>
        <v>316982</v>
      </c>
      <c r="CS193" s="75">
        <f t="shared" si="582"/>
        <v>188438</v>
      </c>
      <c r="CT193" s="62">
        <v>144139</v>
      </c>
      <c r="CU193" s="47">
        <f t="shared" si="583"/>
        <v>44299</v>
      </c>
      <c r="CV193" s="76">
        <f t="shared" si="584"/>
        <v>0.38423800008156273</v>
      </c>
      <c r="CW193" s="75">
        <f t="shared" si="585"/>
        <v>5283.0333333333338</v>
      </c>
      <c r="CX193" s="77">
        <f t="shared" si="586"/>
        <v>0.6463480282207088</v>
      </c>
      <c r="CY193" s="75">
        <f t="shared" si="587"/>
        <v>738.31666666666672</v>
      </c>
      <c r="CZ193" s="77">
        <f t="shared" si="588"/>
        <v>9.0328697850821746E-2</v>
      </c>
      <c r="DA193" s="200">
        <f t="shared" si="589"/>
        <v>0.29390930223074102</v>
      </c>
      <c r="DB193" s="47">
        <f t="shared" si="590"/>
        <v>39666.666666666664</v>
      </c>
      <c r="DC193" s="69">
        <f t="shared" si="591"/>
        <v>8596.4</v>
      </c>
      <c r="DD193" s="196">
        <f t="shared" si="592"/>
        <v>240</v>
      </c>
      <c r="DE193" s="70">
        <f t="shared" si="593"/>
        <v>-662.73333333333335</v>
      </c>
      <c r="DF193" s="70">
        <f t="shared" si="594"/>
        <v>8173.666666666667</v>
      </c>
      <c r="DG193" s="70">
        <f t="shared" si="595"/>
        <v>523.33333333333337</v>
      </c>
      <c r="DH193" s="70">
        <f t="shared" si="596"/>
        <v>408.68333333333334</v>
      </c>
      <c r="DI193" s="70">
        <f t="shared" si="597"/>
        <v>1539.2</v>
      </c>
      <c r="DJ193" s="70">
        <f t="shared" si="598"/>
        <v>426.66666666666669</v>
      </c>
      <c r="DK193" s="70">
        <f t="shared" si="599"/>
        <v>495</v>
      </c>
      <c r="DL193" s="196">
        <f t="shared" si="600"/>
        <v>1000</v>
      </c>
      <c r="DM193" s="70">
        <f t="shared" si="601"/>
        <v>640.15</v>
      </c>
      <c r="DN193" s="197">
        <f t="shared" si="602"/>
        <v>5033.0333333333338</v>
      </c>
      <c r="DO193" s="70">
        <f t="shared" si="603"/>
        <v>250</v>
      </c>
      <c r="DP193" s="196">
        <f t="shared" si="604"/>
        <v>5283.0333333333338</v>
      </c>
      <c r="DQ193" s="70">
        <f t="shared" si="605"/>
        <v>3140.6333333333332</v>
      </c>
      <c r="DR193" s="197">
        <f t="shared" si="606"/>
        <v>2402.3166666666666</v>
      </c>
      <c r="DS193" s="71">
        <f t="shared" si="607"/>
        <v>738.31666666666672</v>
      </c>
      <c r="DT193" s="202">
        <f t="shared" si="608"/>
        <v>1.0517189347905878</v>
      </c>
      <c r="DU193" s="203">
        <f t="shared" si="609"/>
        <v>2.936258717018066E-2</v>
      </c>
      <c r="DV193" s="92" t="str">
        <f t="shared" si="610"/>
        <v/>
      </c>
      <c r="DW193" s="92">
        <f t="shared" si="611"/>
        <v>1</v>
      </c>
      <c r="DX193" s="92">
        <f t="shared" si="612"/>
        <v>6.4026752579421725E-2</v>
      </c>
      <c r="DY193" s="92">
        <f t="shared" si="613"/>
        <v>0.05</v>
      </c>
      <c r="DZ193" s="92">
        <f t="shared" si="614"/>
        <v>0.18831205905142531</v>
      </c>
      <c r="EA193" s="202">
        <f t="shared" si="615"/>
        <v>5.2200154969210065E-2</v>
      </c>
      <c r="EB193" s="202">
        <f t="shared" si="616"/>
        <v>6.0560336038497614E-2</v>
      </c>
      <c r="EC193" s="92">
        <f t="shared" si="617"/>
        <v>0.12234411320908609</v>
      </c>
      <c r="ED193" s="92">
        <f t="shared" si="618"/>
        <v>7.8318584070796463E-2</v>
      </c>
      <c r="EE193" s="92">
        <f t="shared" si="619"/>
        <v>0.61576199991843727</v>
      </c>
      <c r="EF193" s="92">
        <f t="shared" si="620"/>
        <v>3.0586028302271522E-2</v>
      </c>
      <c r="EG193" s="92">
        <f t="shared" si="621"/>
        <v>0.6463480282207088</v>
      </c>
      <c r="EH193" s="92">
        <f t="shared" si="622"/>
        <v>0.38423800008156273</v>
      </c>
      <c r="EI193" s="92">
        <f t="shared" si="623"/>
        <v>0.29390930223074102</v>
      </c>
      <c r="EJ193" s="122">
        <f t="shared" si="624"/>
        <v>9.0328697850821746E-2</v>
      </c>
    </row>
    <row r="194" spans="2:140" ht="12" hidden="1" customHeight="1" outlineLevel="1">
      <c r="B194" s="121">
        <v>45266</v>
      </c>
      <c r="C194" s="117">
        <v>23471</v>
      </c>
      <c r="D194" s="50" t="s">
        <v>1050</v>
      </c>
      <c r="E194" s="50" t="s">
        <v>1051</v>
      </c>
      <c r="F194" s="50" t="s">
        <v>1052</v>
      </c>
      <c r="G194" s="50" t="s">
        <v>154</v>
      </c>
      <c r="H194" s="50" t="s">
        <v>1053</v>
      </c>
      <c r="I194" s="50" t="s">
        <v>181</v>
      </c>
      <c r="J194" s="52" t="s">
        <v>216</v>
      </c>
      <c r="K194" s="50" t="s">
        <v>176</v>
      </c>
      <c r="L194" s="49">
        <v>6</v>
      </c>
      <c r="M194" s="50" t="s">
        <v>159</v>
      </c>
      <c r="N194" s="50" t="s">
        <v>160</v>
      </c>
      <c r="O194" s="50" t="s">
        <v>160</v>
      </c>
      <c r="P194" s="50" t="s">
        <v>161</v>
      </c>
      <c r="Q194" s="53">
        <v>0.04</v>
      </c>
      <c r="R194" s="49">
        <v>308</v>
      </c>
      <c r="S194" s="49">
        <v>0</v>
      </c>
      <c r="T194" s="54">
        <f t="shared" si="330"/>
        <v>308</v>
      </c>
      <c r="U194" s="55">
        <v>278541</v>
      </c>
      <c r="V194" s="49">
        <v>11.513</v>
      </c>
      <c r="W194" s="56">
        <f t="shared" si="551"/>
        <v>26.752366889603056</v>
      </c>
      <c r="X194" s="49">
        <v>1969</v>
      </c>
      <c r="Y194" s="57" t="s">
        <v>162</v>
      </c>
      <c r="Z194" s="58">
        <v>38600000</v>
      </c>
      <c r="AA194" s="114">
        <v>0.05</v>
      </c>
      <c r="AB194" s="59">
        <v>35</v>
      </c>
      <c r="AC194" s="60">
        <v>35</v>
      </c>
      <c r="AD194" s="61">
        <v>0.05</v>
      </c>
      <c r="AE194" s="62">
        <v>33600000</v>
      </c>
      <c r="AF194" s="63">
        <v>1.1499999999999999</v>
      </c>
      <c r="AG194" s="59">
        <v>30</v>
      </c>
      <c r="AH194" s="60">
        <v>0</v>
      </c>
      <c r="AI194" s="61">
        <v>4.0300000000000002E-2</v>
      </c>
      <c r="AJ194" s="64">
        <v>5000000</v>
      </c>
      <c r="AK194" s="65">
        <f t="shared" si="552"/>
        <v>38600000</v>
      </c>
      <c r="AL194" s="66">
        <v>0</v>
      </c>
      <c r="AM194" s="49"/>
      <c r="AN194" s="67">
        <v>0.93</v>
      </c>
      <c r="AO194" s="62">
        <v>23956052</v>
      </c>
      <c r="AP194" s="62">
        <v>0</v>
      </c>
      <c r="AQ194" s="68">
        <v>4051941</v>
      </c>
      <c r="AR194" s="69">
        <f t="shared" si="553"/>
        <v>125324.67532467532</v>
      </c>
      <c r="AS194" s="70" t="str">
        <f>IFERROR(IF(AL194&gt;0,AL194/T194,""),"")</f>
        <v/>
      </c>
      <c r="AT194" s="70">
        <f t="shared" si="554"/>
        <v>77779.389610389611</v>
      </c>
      <c r="AU194" s="70" t="str">
        <f>IFERROR(IF(AP194&gt;0,AP194/T194,""),"")</f>
        <v/>
      </c>
      <c r="AV194" s="71">
        <f t="shared" si="555"/>
        <v>13155.652597402597</v>
      </c>
      <c r="AW194" s="115">
        <f t="shared" si="556"/>
        <v>36776.522727272728</v>
      </c>
      <c r="AX194" s="116">
        <f t="shared" si="557"/>
        <v>40.666074294269066</v>
      </c>
      <c r="AY194" s="72">
        <f t="shared" si="558"/>
        <v>46117.756493506495</v>
      </c>
      <c r="AZ194" s="73">
        <f t="shared" si="559"/>
        <v>50.995253840547711</v>
      </c>
      <c r="BA194" s="66">
        <v>37730000</v>
      </c>
      <c r="BB194" s="62">
        <v>3313306</v>
      </c>
      <c r="BC194" s="62">
        <v>8013863</v>
      </c>
      <c r="BD194" s="62">
        <v>1132716</v>
      </c>
      <c r="BE194" s="62">
        <v>1744384</v>
      </c>
      <c r="BF194" s="62">
        <v>1738071</v>
      </c>
      <c r="BG194" s="62">
        <v>3381496</v>
      </c>
      <c r="BH194" s="62">
        <v>7640446</v>
      </c>
      <c r="BI194" s="62">
        <v>1913711</v>
      </c>
      <c r="BJ194" s="47">
        <f t="shared" si="560"/>
        <v>66607993</v>
      </c>
      <c r="BK194" s="69">
        <f t="shared" si="561"/>
        <v>122500</v>
      </c>
      <c r="BL194" s="70">
        <f t="shared" si="562"/>
        <v>10757.487012987012</v>
      </c>
      <c r="BM194" s="70">
        <f t="shared" si="563"/>
        <v>26019.035714285714</v>
      </c>
      <c r="BN194" s="70">
        <f t="shared" si="564"/>
        <v>3677.6493506493507</v>
      </c>
      <c r="BO194" s="70">
        <f t="shared" si="565"/>
        <v>5663.5844155844152</v>
      </c>
      <c r="BP194" s="70">
        <f t="shared" si="566"/>
        <v>5643.0876623376626</v>
      </c>
      <c r="BQ194" s="70">
        <f t="shared" si="567"/>
        <v>10978.883116883117</v>
      </c>
      <c r="BR194" s="70">
        <f t="shared" si="568"/>
        <v>24806.642857142859</v>
      </c>
      <c r="BS194" s="70">
        <f t="shared" si="569"/>
        <v>6213.3474025974028</v>
      </c>
      <c r="BT194" s="71">
        <f t="shared" si="570"/>
        <v>216259.71753246753</v>
      </c>
      <c r="BU194" s="65">
        <f t="shared" si="571"/>
        <v>135.45582158461411</v>
      </c>
      <c r="BV194" s="48">
        <f t="shared" si="572"/>
        <v>11.895218298203854</v>
      </c>
      <c r="BW194" s="48">
        <f t="shared" si="573"/>
        <v>28.770855996065212</v>
      </c>
      <c r="BX194" s="48">
        <f t="shared" si="574"/>
        <v>4.0666041983047378</v>
      </c>
      <c r="BY194" s="48">
        <f t="shared" si="575"/>
        <v>6.2625753479739066</v>
      </c>
      <c r="BZ194" s="48">
        <f t="shared" si="576"/>
        <v>6.2399108210281433</v>
      </c>
      <c r="CA194" s="48">
        <f t="shared" si="577"/>
        <v>12.140029654521237</v>
      </c>
      <c r="CB194" s="48">
        <f t="shared" si="578"/>
        <v>27.430238277309265</v>
      </c>
      <c r="CC194" s="48">
        <f t="shared" si="579"/>
        <v>6.8704822629343614</v>
      </c>
      <c r="CD194" s="47">
        <f t="shared" si="580"/>
        <v>239.13173644095482</v>
      </c>
      <c r="CE194" s="66">
        <v>4251132</v>
      </c>
      <c r="CF194" s="62">
        <v>110880</v>
      </c>
      <c r="CG194" s="74">
        <v>-327151</v>
      </c>
      <c r="CH194" s="75">
        <f t="shared" si="581"/>
        <v>4034861</v>
      </c>
      <c r="CI194" s="62">
        <f>146679+12320+3500+32340+100</f>
        <v>194939</v>
      </c>
      <c r="CJ194" s="62">
        <v>121046</v>
      </c>
      <c r="CK194" s="62">
        <v>402075</v>
      </c>
      <c r="CL194" s="62">
        <v>226631</v>
      </c>
      <c r="CM194" s="62">
        <f>97786+203721</f>
        <v>301507</v>
      </c>
      <c r="CN194" s="62">
        <v>253792</v>
      </c>
      <c r="CO194" s="62">
        <v>0</v>
      </c>
      <c r="CP194" s="75">
        <f t="shared" si="331"/>
        <v>1499990</v>
      </c>
      <c r="CQ194" s="62">
        <v>92400</v>
      </c>
      <c r="CR194" s="75">
        <f t="shared" si="332"/>
        <v>1592390</v>
      </c>
      <c r="CS194" s="75">
        <f t="shared" si="582"/>
        <v>2534871</v>
      </c>
      <c r="CT194" s="62">
        <v>2118901</v>
      </c>
      <c r="CU194" s="47">
        <f t="shared" si="583"/>
        <v>415970</v>
      </c>
      <c r="CV194" s="76">
        <f t="shared" si="584"/>
        <v>0.62824245990134475</v>
      </c>
      <c r="CW194" s="75">
        <f t="shared" si="585"/>
        <v>5170.0974025974028</v>
      </c>
      <c r="CX194" s="77">
        <f t="shared" si="586"/>
        <v>0.39465795723817998</v>
      </c>
      <c r="CY194" s="75">
        <f t="shared" si="587"/>
        <v>1350.5519480519481</v>
      </c>
      <c r="CZ194" s="77">
        <f t="shared" si="588"/>
        <v>0.10309400992995793</v>
      </c>
      <c r="DA194" s="77">
        <f t="shared" si="589"/>
        <v>0.52514844997138688</v>
      </c>
      <c r="DB194" s="47">
        <f t="shared" si="590"/>
        <v>125324.67532467532</v>
      </c>
      <c r="DC194" s="69">
        <f t="shared" si="591"/>
        <v>13802.376623376624</v>
      </c>
      <c r="DD194" s="70">
        <f t="shared" si="592"/>
        <v>360</v>
      </c>
      <c r="DE194" s="70">
        <f t="shared" si="593"/>
        <v>-1062.1785714285713</v>
      </c>
      <c r="DF194" s="70">
        <f t="shared" si="594"/>
        <v>13100.198051948051</v>
      </c>
      <c r="DG194" s="70">
        <f t="shared" si="595"/>
        <v>632.91883116883116</v>
      </c>
      <c r="DH194" s="70">
        <f t="shared" si="596"/>
        <v>393.00649350649348</v>
      </c>
      <c r="DI194" s="70">
        <f t="shared" si="597"/>
        <v>1305.4383116883116</v>
      </c>
      <c r="DJ194" s="70">
        <f t="shared" si="598"/>
        <v>735.81493506493507</v>
      </c>
      <c r="DK194" s="70">
        <f t="shared" si="599"/>
        <v>978.91883116883116</v>
      </c>
      <c r="DL194" s="70">
        <f t="shared" si="600"/>
        <v>824</v>
      </c>
      <c r="DM194" s="70" t="str">
        <f t="shared" si="601"/>
        <v/>
      </c>
      <c r="DN194" s="70">
        <f t="shared" si="602"/>
        <v>4870.0974025974028</v>
      </c>
      <c r="DO194" s="70">
        <f t="shared" si="603"/>
        <v>300</v>
      </c>
      <c r="DP194" s="70">
        <f t="shared" si="604"/>
        <v>5170.0974025974028</v>
      </c>
      <c r="DQ194" s="70">
        <f t="shared" si="605"/>
        <v>8230.1006493506502</v>
      </c>
      <c r="DR194" s="70">
        <f t="shared" si="606"/>
        <v>6879.5487012987014</v>
      </c>
      <c r="DS194" s="71">
        <f t="shared" si="607"/>
        <v>1350.5519480519481</v>
      </c>
      <c r="DT194" s="106">
        <f t="shared" si="608"/>
        <v>1.0536006073071662</v>
      </c>
      <c r="DU194" s="92">
        <f t="shared" si="609"/>
        <v>2.7480500567429709E-2</v>
      </c>
      <c r="DV194" s="92" t="str">
        <f t="shared" si="610"/>
        <v/>
      </c>
      <c r="DW194" s="92">
        <f t="shared" si="611"/>
        <v>1</v>
      </c>
      <c r="DX194" s="92">
        <f t="shared" si="612"/>
        <v>4.8313684164088926E-2</v>
      </c>
      <c r="DY194" s="92">
        <f t="shared" si="613"/>
        <v>3.0000042132802097E-2</v>
      </c>
      <c r="DZ194" s="92">
        <f t="shared" si="614"/>
        <v>9.9650272958597588E-2</v>
      </c>
      <c r="EA194" s="92">
        <f t="shared" si="615"/>
        <v>5.6168229834931117E-2</v>
      </c>
      <c r="EB194" s="92">
        <f t="shared" si="616"/>
        <v>7.4725498598340809E-2</v>
      </c>
      <c r="EC194" s="92">
        <f t="shared" si="617"/>
        <v>6.2899812409894659E-2</v>
      </c>
      <c r="ED194" s="92" t="str">
        <f t="shared" si="618"/>
        <v/>
      </c>
      <c r="EE194" s="92">
        <f t="shared" si="619"/>
        <v>0.37175754009865519</v>
      </c>
      <c r="EF194" s="92">
        <f t="shared" si="620"/>
        <v>2.2900417139524756E-2</v>
      </c>
      <c r="EG194" s="92">
        <f t="shared" si="621"/>
        <v>0.39465795723817998</v>
      </c>
      <c r="EH194" s="92">
        <f t="shared" si="622"/>
        <v>0.62824245990134475</v>
      </c>
      <c r="EI194" s="92">
        <f t="shared" si="623"/>
        <v>0.52514844997138688</v>
      </c>
      <c r="EJ194" s="122">
        <f t="shared" si="624"/>
        <v>0.10309400992995793</v>
      </c>
    </row>
    <row r="195" spans="2:140" ht="12" hidden="1" customHeight="1" outlineLevel="1">
      <c r="B195" s="121">
        <v>45272</v>
      </c>
      <c r="C195" s="117" t="s">
        <v>1054</v>
      </c>
      <c r="D195" s="50" t="s">
        <v>1055</v>
      </c>
      <c r="E195" s="50" t="s">
        <v>1056</v>
      </c>
      <c r="F195" s="50" t="s">
        <v>1057</v>
      </c>
      <c r="G195" s="50" t="s">
        <v>291</v>
      </c>
      <c r="H195" s="50" t="s">
        <v>229</v>
      </c>
      <c r="I195" s="50" t="s">
        <v>229</v>
      </c>
      <c r="J195" s="52" t="s">
        <v>1058</v>
      </c>
      <c r="K195" s="50" t="s">
        <v>755</v>
      </c>
      <c r="L195" s="49">
        <v>4</v>
      </c>
      <c r="M195" s="50" t="s">
        <v>283</v>
      </c>
      <c r="N195" s="50" t="s">
        <v>244</v>
      </c>
      <c r="O195" s="50" t="s">
        <v>160</v>
      </c>
      <c r="P195" s="50" t="s">
        <v>177</v>
      </c>
      <c r="Q195" s="53">
        <v>0.09</v>
      </c>
      <c r="R195" s="49">
        <v>80</v>
      </c>
      <c r="S195" s="49">
        <v>0</v>
      </c>
      <c r="T195" s="54">
        <f t="shared" ref="T195:T257" si="625">IFERROR(IF(SUM(R195:S195)&gt;0,SUM(R195:S195),""),"")</f>
        <v>80</v>
      </c>
      <c r="U195" s="55">
        <v>59528</v>
      </c>
      <c r="V195" s="49">
        <v>10</v>
      </c>
      <c r="W195" s="56">
        <f t="shared" si="551"/>
        <v>8</v>
      </c>
      <c r="X195" s="49" t="s">
        <v>163</v>
      </c>
      <c r="Y195" s="57" t="s">
        <v>162</v>
      </c>
      <c r="Z195" s="58">
        <v>2800000</v>
      </c>
      <c r="AA195" s="114">
        <v>4.2500000000000003E-2</v>
      </c>
      <c r="AB195" s="59">
        <v>35</v>
      </c>
      <c r="AC195" s="60">
        <v>35</v>
      </c>
      <c r="AD195" s="61">
        <v>4.2500000000000003E-2</v>
      </c>
      <c r="AE195" s="62">
        <v>2800000</v>
      </c>
      <c r="AF195" s="63">
        <v>1.27</v>
      </c>
      <c r="AG195" s="59"/>
      <c r="AH195" s="60"/>
      <c r="AI195" s="61"/>
      <c r="AJ195" s="64"/>
      <c r="AK195" s="65">
        <f t="shared" si="552"/>
        <v>2800000</v>
      </c>
      <c r="AL195" s="66">
        <v>250</v>
      </c>
      <c r="AM195" s="49" t="s">
        <v>1059</v>
      </c>
      <c r="AN195" s="67">
        <v>0.88</v>
      </c>
      <c r="AO195" s="62">
        <v>11306720</v>
      </c>
      <c r="AP195" s="62">
        <v>0</v>
      </c>
      <c r="AQ195" s="68">
        <v>219829</v>
      </c>
      <c r="AR195" s="69">
        <f t="shared" si="553"/>
        <v>35000</v>
      </c>
      <c r="AS195" s="70">
        <f>IFERROR(IF(AL195&gt;0,AL195/T195,""),"")</f>
        <v>3.125</v>
      </c>
      <c r="AT195" s="70">
        <f t="shared" si="554"/>
        <v>141334</v>
      </c>
      <c r="AU195" s="70" t="str">
        <f>IFERROR(IF(AP195&gt;0,AP195/T195,""),"")</f>
        <v/>
      </c>
      <c r="AV195" s="71">
        <f t="shared" si="555"/>
        <v>2747.8625000000002</v>
      </c>
      <c r="AW195" s="115">
        <f t="shared" si="556"/>
        <v>91233.05</v>
      </c>
      <c r="AX195" s="116">
        <f t="shared" si="557"/>
        <v>122.6085875554361</v>
      </c>
      <c r="AY195" s="72">
        <f t="shared" si="558"/>
        <v>110425.03749999999</v>
      </c>
      <c r="AZ195" s="73">
        <f t="shared" si="559"/>
        <v>148.40080298346996</v>
      </c>
      <c r="BA195" s="66">
        <v>1633500</v>
      </c>
      <c r="BB195" s="62">
        <v>1543800</v>
      </c>
      <c r="BC195" s="62">
        <v>5754844</v>
      </c>
      <c r="BD195" s="62">
        <v>462762</v>
      </c>
      <c r="BE195" s="62">
        <v>1072597</v>
      </c>
      <c r="BF195" s="62">
        <v>1092896</v>
      </c>
      <c r="BG195" s="62">
        <v>705988</v>
      </c>
      <c r="BH195" s="62">
        <v>1530000</v>
      </c>
      <c r="BI195" s="62">
        <v>310583</v>
      </c>
      <c r="BJ195" s="47">
        <f t="shared" si="560"/>
        <v>14106970</v>
      </c>
      <c r="BK195" s="69">
        <f t="shared" si="561"/>
        <v>20418.75</v>
      </c>
      <c r="BL195" s="70">
        <f t="shared" si="562"/>
        <v>19297.5</v>
      </c>
      <c r="BM195" s="70">
        <f t="shared" si="563"/>
        <v>71935.55</v>
      </c>
      <c r="BN195" s="70">
        <f t="shared" si="564"/>
        <v>5784.5249999999996</v>
      </c>
      <c r="BO195" s="70">
        <f t="shared" si="565"/>
        <v>13407.4625</v>
      </c>
      <c r="BP195" s="70">
        <f t="shared" si="566"/>
        <v>13661.2</v>
      </c>
      <c r="BQ195" s="70">
        <f t="shared" si="567"/>
        <v>8824.85</v>
      </c>
      <c r="BR195" s="70">
        <f t="shared" si="568"/>
        <v>19125</v>
      </c>
      <c r="BS195" s="70">
        <f t="shared" si="569"/>
        <v>3882.2874999999999</v>
      </c>
      <c r="BT195" s="71">
        <f t="shared" si="570"/>
        <v>176337.125</v>
      </c>
      <c r="BU195" s="65">
        <f t="shared" si="571"/>
        <v>27.440868162881333</v>
      </c>
      <c r="BV195" s="48">
        <f t="shared" si="572"/>
        <v>25.934014245397123</v>
      </c>
      <c r="BW195" s="48">
        <f t="shared" si="573"/>
        <v>96.67457331003898</v>
      </c>
      <c r="BX195" s="48">
        <f t="shared" si="574"/>
        <v>7.7738543206558255</v>
      </c>
      <c r="BY195" s="48">
        <f t="shared" si="575"/>
        <v>18.018361107378041</v>
      </c>
      <c r="BZ195" s="48">
        <f t="shared" si="576"/>
        <v>18.359360301034808</v>
      </c>
      <c r="CA195" s="48">
        <f t="shared" si="577"/>
        <v>11.859763472651526</v>
      </c>
      <c r="CB195" s="48">
        <f t="shared" si="578"/>
        <v>25.702190565784168</v>
      </c>
      <c r="CC195" s="48">
        <f t="shared" si="579"/>
        <v>5.2174270931326436</v>
      </c>
      <c r="CD195" s="47">
        <f t="shared" si="580"/>
        <v>236.98041257895443</v>
      </c>
      <c r="CE195" s="66">
        <v>586476</v>
      </c>
      <c r="CF195" s="62">
        <v>9600</v>
      </c>
      <c r="CG195" s="74">
        <v>-44706</v>
      </c>
      <c r="CH195" s="75">
        <f t="shared" si="581"/>
        <v>551370</v>
      </c>
      <c r="CI195" s="62">
        <f>26000+3200</f>
        <v>29200</v>
      </c>
      <c r="CJ195" s="62">
        <v>27569</v>
      </c>
      <c r="CK195" s="62">
        <v>80000</v>
      </c>
      <c r="CL195" s="62">
        <v>46900</v>
      </c>
      <c r="CM195" s="62">
        <f>11000+38000</f>
        <v>49000</v>
      </c>
      <c r="CN195" s="62">
        <v>40000</v>
      </c>
      <c r="CO195" s="62">
        <v>64000</v>
      </c>
      <c r="CP195" s="75">
        <f t="shared" ref="CP195:CP257" si="626">IFERROR(IF(SUM(CI195:CO195)&gt;0,SUM(CI195:CO195),""),"")</f>
        <v>336669</v>
      </c>
      <c r="CQ195" s="62">
        <v>20000</v>
      </c>
      <c r="CR195" s="75">
        <f t="shared" ref="CR195:CR257" si="627">IFERROR(IF(SUM(CP195:CQ195)&gt;0,SUM(CP195:CQ195),""),"")</f>
        <v>356669</v>
      </c>
      <c r="CS195" s="75">
        <f t="shared" si="582"/>
        <v>214701</v>
      </c>
      <c r="CT195" s="62">
        <v>153852</v>
      </c>
      <c r="CU195" s="47">
        <f t="shared" si="583"/>
        <v>60849</v>
      </c>
      <c r="CV195" s="76">
        <f t="shared" si="584"/>
        <v>0.38939550574024701</v>
      </c>
      <c r="CW195" s="75">
        <f t="shared" si="585"/>
        <v>4458.3625000000002</v>
      </c>
      <c r="CX195" s="77">
        <f t="shared" si="586"/>
        <v>0.64687777717322303</v>
      </c>
      <c r="CY195" s="75">
        <f t="shared" si="587"/>
        <v>760.61249999999995</v>
      </c>
      <c r="CZ195" s="77">
        <f t="shared" si="588"/>
        <v>0.11035964960008705</v>
      </c>
      <c r="DA195" s="77">
        <f t="shared" si="589"/>
        <v>0.27903585614015997</v>
      </c>
      <c r="DB195" s="47">
        <f t="shared" si="590"/>
        <v>35000</v>
      </c>
      <c r="DC195" s="69">
        <f t="shared" si="591"/>
        <v>7330.95</v>
      </c>
      <c r="DD195" s="70">
        <f t="shared" si="592"/>
        <v>120</v>
      </c>
      <c r="DE195" s="70">
        <f t="shared" si="593"/>
        <v>-558.82500000000005</v>
      </c>
      <c r="DF195" s="70">
        <f t="shared" si="594"/>
        <v>6892.125</v>
      </c>
      <c r="DG195" s="70">
        <f t="shared" si="595"/>
        <v>365</v>
      </c>
      <c r="DH195" s="70">
        <f t="shared" si="596"/>
        <v>344.61250000000001</v>
      </c>
      <c r="DI195" s="70">
        <f t="shared" si="597"/>
        <v>1000</v>
      </c>
      <c r="DJ195" s="70">
        <f t="shared" si="598"/>
        <v>586.25</v>
      </c>
      <c r="DK195" s="70">
        <f t="shared" si="599"/>
        <v>612.5</v>
      </c>
      <c r="DL195" s="70">
        <f t="shared" si="600"/>
        <v>500</v>
      </c>
      <c r="DM195" s="70">
        <f t="shared" si="601"/>
        <v>800</v>
      </c>
      <c r="DN195" s="70">
        <f t="shared" si="602"/>
        <v>4208.3625000000002</v>
      </c>
      <c r="DO195" s="70">
        <f t="shared" si="603"/>
        <v>250</v>
      </c>
      <c r="DP195" s="70">
        <f t="shared" si="604"/>
        <v>4458.3625000000002</v>
      </c>
      <c r="DQ195" s="70">
        <f t="shared" si="605"/>
        <v>2683.7624999999998</v>
      </c>
      <c r="DR195" s="70">
        <f t="shared" si="606"/>
        <v>1923.15</v>
      </c>
      <c r="DS195" s="71">
        <f t="shared" si="607"/>
        <v>760.61249999999995</v>
      </c>
      <c r="DT195" s="106">
        <f t="shared" si="608"/>
        <v>1.0636704934980141</v>
      </c>
      <c r="DU195" s="92">
        <f t="shared" si="609"/>
        <v>1.7411175798465642E-2</v>
      </c>
      <c r="DV195" s="92" t="str">
        <f t="shared" si="610"/>
        <v/>
      </c>
      <c r="DW195" s="92">
        <f t="shared" si="611"/>
        <v>1</v>
      </c>
      <c r="DX195" s="92">
        <f t="shared" si="612"/>
        <v>5.2958993053666324E-2</v>
      </c>
      <c r="DY195" s="92">
        <f t="shared" si="613"/>
        <v>5.0000906832072839E-2</v>
      </c>
      <c r="DZ195" s="92">
        <f t="shared" si="614"/>
        <v>0.14509313165388033</v>
      </c>
      <c r="EA195" s="92">
        <f t="shared" si="615"/>
        <v>8.5060848432087346E-2</v>
      </c>
      <c r="EB195" s="92">
        <f t="shared" si="616"/>
        <v>8.8869543138001703E-2</v>
      </c>
      <c r="EC195" s="92">
        <f t="shared" si="617"/>
        <v>7.2546565826940163E-2</v>
      </c>
      <c r="ED195" s="92">
        <f t="shared" si="618"/>
        <v>0.11607450532310427</v>
      </c>
      <c r="EE195" s="92">
        <f t="shared" si="619"/>
        <v>0.61060449425975294</v>
      </c>
      <c r="EF195" s="92">
        <f t="shared" si="620"/>
        <v>3.6273282913470081E-2</v>
      </c>
      <c r="EG195" s="92">
        <f t="shared" si="621"/>
        <v>0.64687777717322303</v>
      </c>
      <c r="EH195" s="92">
        <f t="shared" si="622"/>
        <v>0.38939550574024701</v>
      </c>
      <c r="EI195" s="92">
        <f t="shared" si="623"/>
        <v>0.27903585614015997</v>
      </c>
      <c r="EJ195" s="122">
        <f t="shared" si="624"/>
        <v>0.11035964960008705</v>
      </c>
    </row>
    <row r="196" spans="2:140" ht="12" hidden="1" customHeight="1" outlineLevel="1">
      <c r="B196" s="121">
        <v>45272</v>
      </c>
      <c r="C196" s="117" t="s">
        <v>1060</v>
      </c>
      <c r="D196" s="184" t="s">
        <v>1061</v>
      </c>
      <c r="E196" s="187" t="s">
        <v>1062</v>
      </c>
      <c r="F196" s="50" t="s">
        <v>1063</v>
      </c>
      <c r="G196" s="50" t="s">
        <v>162</v>
      </c>
      <c r="H196" s="50" t="s">
        <v>220</v>
      </c>
      <c r="I196" s="208" t="s">
        <v>1064</v>
      </c>
      <c r="J196" s="187" t="s">
        <v>360</v>
      </c>
      <c r="K196" s="50" t="s">
        <v>294</v>
      </c>
      <c r="L196" s="49">
        <v>7</v>
      </c>
      <c r="M196" s="50" t="s">
        <v>159</v>
      </c>
      <c r="N196" s="50" t="s">
        <v>361</v>
      </c>
      <c r="O196" s="50" t="s">
        <v>318</v>
      </c>
      <c r="P196" s="50" t="s">
        <v>177</v>
      </c>
      <c r="Q196" s="53">
        <v>0.09</v>
      </c>
      <c r="R196" s="49">
        <v>100</v>
      </c>
      <c r="S196" s="49">
        <v>0</v>
      </c>
      <c r="T196" s="54">
        <f t="shared" si="625"/>
        <v>100</v>
      </c>
      <c r="U196" s="148">
        <v>45100</v>
      </c>
      <c r="V196" s="57">
        <v>0.75</v>
      </c>
      <c r="W196" s="56">
        <f t="shared" si="551"/>
        <v>133.33333333333334</v>
      </c>
      <c r="X196" s="183" t="s">
        <v>163</v>
      </c>
      <c r="Y196" s="207" t="s">
        <v>162</v>
      </c>
      <c r="Z196" s="66">
        <v>6260000</v>
      </c>
      <c r="AA196" s="206">
        <v>5.1999999999999998E-2</v>
      </c>
      <c r="AB196" s="190">
        <v>15</v>
      </c>
      <c r="AC196" s="60">
        <v>35</v>
      </c>
      <c r="AD196" s="182">
        <v>5.1999999999999998E-2</v>
      </c>
      <c r="AE196" s="66">
        <v>2300000</v>
      </c>
      <c r="AF196" s="204">
        <v>2.66</v>
      </c>
      <c r="AG196" s="190">
        <v>40</v>
      </c>
      <c r="AH196" s="60">
        <v>0</v>
      </c>
      <c r="AI196" s="191">
        <v>0.01</v>
      </c>
      <c r="AJ196" s="185">
        <v>3400000</v>
      </c>
      <c r="AK196" s="65">
        <f t="shared" si="552"/>
        <v>5700000</v>
      </c>
      <c r="AL196" s="185">
        <v>0</v>
      </c>
      <c r="AM196" s="193"/>
      <c r="AN196" s="186">
        <v>0.89</v>
      </c>
      <c r="AO196" s="195">
        <v>14717774</v>
      </c>
      <c r="AP196" s="195">
        <v>0</v>
      </c>
      <c r="AQ196" s="185">
        <v>52423</v>
      </c>
      <c r="AR196" s="69">
        <f t="shared" si="553"/>
        <v>57000</v>
      </c>
      <c r="AS196" s="70" t="str">
        <f>IFERROR(IF(AL196&gt;0,AL196/T196,""),"")</f>
        <v/>
      </c>
      <c r="AT196" s="196">
        <f t="shared" si="554"/>
        <v>147177.74</v>
      </c>
      <c r="AU196" s="70" t="str">
        <f>IFERROR(IF(AP196&gt;0,AP196/T196,""),"")</f>
        <v/>
      </c>
      <c r="AV196" s="71">
        <f t="shared" si="555"/>
        <v>524.23</v>
      </c>
      <c r="AW196" s="196">
        <f t="shared" si="556"/>
        <v>81809.5</v>
      </c>
      <c r="AX196" s="116">
        <f t="shared" si="557"/>
        <v>181.39578713968959</v>
      </c>
      <c r="AY196" s="72">
        <f t="shared" si="558"/>
        <v>100593.5</v>
      </c>
      <c r="AZ196" s="73">
        <f t="shared" si="559"/>
        <v>223.0454545454545</v>
      </c>
      <c r="BA196" s="185">
        <v>2875000</v>
      </c>
      <c r="BB196" s="66">
        <v>2262500</v>
      </c>
      <c r="BC196" s="66">
        <v>5918450</v>
      </c>
      <c r="BD196" s="66">
        <v>598217</v>
      </c>
      <c r="BE196" s="66">
        <v>1280183</v>
      </c>
      <c r="BF196" s="66">
        <v>2589380</v>
      </c>
      <c r="BG196" s="66">
        <v>1931408</v>
      </c>
      <c r="BH196" s="66">
        <v>2117260</v>
      </c>
      <c r="BI196" s="185">
        <v>940376</v>
      </c>
      <c r="BJ196" s="47">
        <f t="shared" si="560"/>
        <v>20512774</v>
      </c>
      <c r="BK196" s="69">
        <f t="shared" si="561"/>
        <v>28750</v>
      </c>
      <c r="BL196" s="70">
        <f t="shared" si="562"/>
        <v>22625</v>
      </c>
      <c r="BM196" s="70">
        <f t="shared" si="563"/>
        <v>59184.5</v>
      </c>
      <c r="BN196" s="70">
        <f t="shared" si="564"/>
        <v>5982.17</v>
      </c>
      <c r="BO196" s="70">
        <f t="shared" si="565"/>
        <v>12801.83</v>
      </c>
      <c r="BP196" s="70">
        <f t="shared" si="566"/>
        <v>25893.8</v>
      </c>
      <c r="BQ196" s="70">
        <f t="shared" si="567"/>
        <v>19314.080000000002</v>
      </c>
      <c r="BR196" s="70">
        <f t="shared" si="568"/>
        <v>21172.6</v>
      </c>
      <c r="BS196" s="70">
        <f t="shared" si="569"/>
        <v>9403.76</v>
      </c>
      <c r="BT196" s="71">
        <f t="shared" si="570"/>
        <v>205127.74</v>
      </c>
      <c r="BU196" s="48">
        <f t="shared" si="571"/>
        <v>63.747228381374725</v>
      </c>
      <c r="BV196" s="48">
        <f t="shared" si="572"/>
        <v>50.166297117516628</v>
      </c>
      <c r="BW196" s="48">
        <f t="shared" si="573"/>
        <v>131.22949002217294</v>
      </c>
      <c r="BX196" s="48">
        <f t="shared" si="574"/>
        <v>13.264235033259423</v>
      </c>
      <c r="BY196" s="48">
        <f t="shared" si="575"/>
        <v>28.385432372505544</v>
      </c>
      <c r="BZ196" s="48">
        <f t="shared" si="576"/>
        <v>57.414190687361419</v>
      </c>
      <c r="CA196" s="48">
        <f t="shared" si="577"/>
        <v>42.825011086474504</v>
      </c>
      <c r="CB196" s="48">
        <f t="shared" si="578"/>
        <v>46.945898004434589</v>
      </c>
      <c r="CC196" s="48">
        <f t="shared" si="579"/>
        <v>20.850909090909092</v>
      </c>
      <c r="CD196" s="47">
        <f t="shared" si="580"/>
        <v>454.82869179600885</v>
      </c>
      <c r="CE196" s="185">
        <v>1616100</v>
      </c>
      <c r="CF196" s="185">
        <v>0</v>
      </c>
      <c r="CG196" s="74">
        <v>-121208</v>
      </c>
      <c r="CH196" s="75">
        <f t="shared" si="581"/>
        <v>1494892</v>
      </c>
      <c r="CI196" s="185">
        <v>85498</v>
      </c>
      <c r="CJ196" s="185">
        <v>53882</v>
      </c>
      <c r="CK196" s="66">
        <v>217340</v>
      </c>
      <c r="CL196" s="62">
        <v>121980</v>
      </c>
      <c r="CM196" s="62">
        <v>130340</v>
      </c>
      <c r="CN196" s="68">
        <v>60000</v>
      </c>
      <c r="CO196" s="68">
        <v>0</v>
      </c>
      <c r="CP196" s="75">
        <f t="shared" si="626"/>
        <v>669040</v>
      </c>
      <c r="CQ196" s="185">
        <v>30000</v>
      </c>
      <c r="CR196" s="75">
        <f t="shared" si="627"/>
        <v>699040</v>
      </c>
      <c r="CS196" s="75">
        <f t="shared" si="582"/>
        <v>825852</v>
      </c>
      <c r="CT196" s="158">
        <v>280776</v>
      </c>
      <c r="CU196" s="47">
        <f t="shared" si="583"/>
        <v>545076</v>
      </c>
      <c r="CV196" s="76">
        <f t="shared" si="584"/>
        <v>0.552449273927481</v>
      </c>
      <c r="CW196" s="75">
        <f t="shared" si="585"/>
        <v>6990.4</v>
      </c>
      <c r="CX196" s="77">
        <f t="shared" si="586"/>
        <v>0.46761906545757154</v>
      </c>
      <c r="CY196" s="75">
        <f t="shared" si="587"/>
        <v>5450.76</v>
      </c>
      <c r="CZ196" s="92">
        <f t="shared" si="588"/>
        <v>0.36462567195489709</v>
      </c>
      <c r="DA196" s="200">
        <f t="shared" si="589"/>
        <v>0.18782360197258396</v>
      </c>
      <c r="DB196" s="47">
        <f t="shared" si="590"/>
        <v>57000</v>
      </c>
      <c r="DC196" s="69">
        <f t="shared" si="591"/>
        <v>16161</v>
      </c>
      <c r="DD196" s="70" t="str">
        <f t="shared" si="592"/>
        <v/>
      </c>
      <c r="DE196" s="70">
        <f t="shared" si="593"/>
        <v>-1212.08</v>
      </c>
      <c r="DF196" s="70">
        <f t="shared" si="594"/>
        <v>14948.92</v>
      </c>
      <c r="DG196" s="70">
        <f t="shared" si="595"/>
        <v>854.98</v>
      </c>
      <c r="DH196" s="70">
        <f t="shared" si="596"/>
        <v>538.82000000000005</v>
      </c>
      <c r="DI196" s="70">
        <f t="shared" si="597"/>
        <v>2173.4</v>
      </c>
      <c r="DJ196" s="70">
        <f t="shared" si="598"/>
        <v>1219.8</v>
      </c>
      <c r="DK196" s="70">
        <f t="shared" si="599"/>
        <v>1303.4000000000001</v>
      </c>
      <c r="DL196" s="196">
        <f t="shared" si="600"/>
        <v>600</v>
      </c>
      <c r="DM196" s="70" t="str">
        <f t="shared" si="601"/>
        <v/>
      </c>
      <c r="DN196" s="70">
        <f t="shared" si="602"/>
        <v>6690.4</v>
      </c>
      <c r="DO196" s="70">
        <f t="shared" si="603"/>
        <v>300</v>
      </c>
      <c r="DP196" s="70">
        <f t="shared" si="604"/>
        <v>6990.4</v>
      </c>
      <c r="DQ196" s="70">
        <f t="shared" si="605"/>
        <v>8258.52</v>
      </c>
      <c r="DR196" s="70">
        <f t="shared" si="606"/>
        <v>2807.76</v>
      </c>
      <c r="DS196" s="71">
        <f t="shared" si="607"/>
        <v>5450.76</v>
      </c>
      <c r="DT196" s="106">
        <f t="shared" si="608"/>
        <v>1.0810814426727817</v>
      </c>
      <c r="DU196" s="92" t="str">
        <f t="shared" si="609"/>
        <v/>
      </c>
      <c r="DV196" s="92" t="str">
        <f t="shared" si="610"/>
        <v/>
      </c>
      <c r="DW196" s="92">
        <f t="shared" si="611"/>
        <v>1</v>
      </c>
      <c r="DX196" s="202">
        <f t="shared" si="612"/>
        <v>5.7193429358107478E-2</v>
      </c>
      <c r="DY196" s="92">
        <f t="shared" si="613"/>
        <v>3.6044075424846743E-2</v>
      </c>
      <c r="DZ196" s="92">
        <f t="shared" si="614"/>
        <v>0.14538842939824415</v>
      </c>
      <c r="EA196" s="92">
        <f t="shared" si="615"/>
        <v>8.1597867939623731E-2</v>
      </c>
      <c r="EB196" s="92">
        <f t="shared" si="616"/>
        <v>8.7190245181591713E-2</v>
      </c>
      <c r="EC196" s="92">
        <f t="shared" si="617"/>
        <v>4.0136678770105134E-2</v>
      </c>
      <c r="ED196" s="92" t="str">
        <f t="shared" si="618"/>
        <v/>
      </c>
      <c r="EE196" s="92">
        <f t="shared" si="619"/>
        <v>0.44755072607251895</v>
      </c>
      <c r="EF196" s="92">
        <f t="shared" si="620"/>
        <v>2.0068339385052567E-2</v>
      </c>
      <c r="EG196" s="92">
        <f t="shared" si="621"/>
        <v>0.46761906545757154</v>
      </c>
      <c r="EH196" s="92">
        <f t="shared" si="622"/>
        <v>0.552449273927481</v>
      </c>
      <c r="EI196" s="92">
        <f t="shared" si="623"/>
        <v>0.18782360197258396</v>
      </c>
      <c r="EJ196" s="122">
        <f t="shared" si="624"/>
        <v>0.36462567195489709</v>
      </c>
    </row>
    <row r="197" spans="2:140" ht="12" hidden="1" customHeight="1" outlineLevel="1">
      <c r="B197" s="121">
        <v>45279</v>
      </c>
      <c r="C197" s="117" t="s">
        <v>1065</v>
      </c>
      <c r="D197" s="50" t="s">
        <v>1066</v>
      </c>
      <c r="E197" s="50" t="s">
        <v>1067</v>
      </c>
      <c r="F197" s="50" t="s">
        <v>646</v>
      </c>
      <c r="G197" s="50" t="s">
        <v>291</v>
      </c>
      <c r="H197" s="50" t="s">
        <v>724</v>
      </c>
      <c r="I197" s="50" t="s">
        <v>226</v>
      </c>
      <c r="J197" s="52" t="s">
        <v>446</v>
      </c>
      <c r="K197" s="50" t="s">
        <v>192</v>
      </c>
      <c r="L197" s="49">
        <v>3</v>
      </c>
      <c r="M197" s="50" t="s">
        <v>159</v>
      </c>
      <c r="N197" s="50" t="s">
        <v>244</v>
      </c>
      <c r="O197" s="50" t="s">
        <v>160</v>
      </c>
      <c r="P197" s="50" t="s">
        <v>177</v>
      </c>
      <c r="Q197" s="53">
        <v>0.09</v>
      </c>
      <c r="R197" s="49">
        <v>52</v>
      </c>
      <c r="S197" s="49">
        <v>7</v>
      </c>
      <c r="T197" s="54">
        <f t="shared" si="625"/>
        <v>59</v>
      </c>
      <c r="U197" s="55">
        <v>44548</v>
      </c>
      <c r="V197" s="49">
        <v>1.79</v>
      </c>
      <c r="W197" s="56">
        <f>IFERROR(IF(T197&gt;0,T197/V197,""),"")</f>
        <v>32.960893854748605</v>
      </c>
      <c r="X197" s="49" t="s">
        <v>163</v>
      </c>
      <c r="Y197" s="57" t="s">
        <v>162</v>
      </c>
      <c r="Z197" s="58">
        <v>2650000</v>
      </c>
      <c r="AA197" s="114">
        <v>0.05</v>
      </c>
      <c r="AB197" s="59">
        <v>18</v>
      </c>
      <c r="AC197" s="60">
        <v>40</v>
      </c>
      <c r="AD197" s="61">
        <v>0.05</v>
      </c>
      <c r="AE197" s="62">
        <v>2650000</v>
      </c>
      <c r="AF197" s="63">
        <v>1.22</v>
      </c>
      <c r="AG197" s="59"/>
      <c r="AH197" s="60"/>
      <c r="AI197" s="61"/>
      <c r="AJ197" s="64"/>
      <c r="AK197" s="65">
        <f>IFERROR(IF(AE197&gt;0,AJ197+AE197,""),"")</f>
        <v>2650000</v>
      </c>
      <c r="AL197" s="66">
        <v>0</v>
      </c>
      <c r="AM197" s="49"/>
      <c r="AN197" s="67">
        <v>0.91</v>
      </c>
      <c r="AO197" s="62">
        <v>11499593</v>
      </c>
      <c r="AP197" s="62">
        <v>0</v>
      </c>
      <c r="AQ197" s="68">
        <v>468766</v>
      </c>
      <c r="AR197" s="69">
        <f>IFERROR(IF(AK197&gt;0,AK197/T197,""),"")</f>
        <v>44915.254237288136</v>
      </c>
      <c r="AS197" s="70" t="str">
        <f>IFERROR(IF(AL197&gt;0,AL197/T197,""),"")</f>
        <v/>
      </c>
      <c r="AT197" s="70">
        <f>IFERROR(IF(AO197&gt;0,AO197/T197,""),"")</f>
        <v>194908.35593220338</v>
      </c>
      <c r="AU197" s="70" t="str">
        <f>IFERROR(IF(AP197&gt;0,AP197/T197,""),"")</f>
        <v/>
      </c>
      <c r="AV197" s="71">
        <f>IFERROR(IF(AQ197&gt;0,AQ197/T197,""),"")</f>
        <v>7945.1864406779659</v>
      </c>
      <c r="AW197" s="115">
        <f>IFERROR(IF(SUM(BB197:BC197)&gt;0,SUM(BB197:BC197)/T197,""),"")</f>
        <v>108369.30508474576</v>
      </c>
      <c r="AX197" s="116">
        <f>IFERROR(IF(SUM(BB197:BC197)&gt;0,SUM(BB197:BC197)/U197,""),"")</f>
        <v>143.52583729909313</v>
      </c>
      <c r="AY197" s="72">
        <f>IFERROR(IF(SUM(BL197:BO197)&gt;0,SUM(BL197:BO197),""),"")</f>
        <v>205472.33898305084</v>
      </c>
      <c r="AZ197" s="73">
        <f>IFERROR(IF(SUM(BV197:BY197)&gt;0,SUM(BV197:BY197),""),"")</f>
        <v>272.13046601418694</v>
      </c>
      <c r="BA197" s="66">
        <v>545000</v>
      </c>
      <c r="BB197" s="62">
        <v>1622500</v>
      </c>
      <c r="BC197" s="62">
        <v>4771289</v>
      </c>
      <c r="BD197" s="62">
        <v>4771289</v>
      </c>
      <c r="BE197" s="62">
        <v>957790</v>
      </c>
      <c r="BF197" s="62">
        <v>2281905</v>
      </c>
      <c r="BG197" s="62">
        <v>1508673</v>
      </c>
      <c r="BH197" s="62">
        <v>1668583</v>
      </c>
      <c r="BI197" s="62">
        <v>346290</v>
      </c>
      <c r="BJ197" s="47">
        <f>IFERROR(IF(SUM(BA197:BI197)&gt;0,SUM(BA197:BI197),""),"")</f>
        <v>18473319</v>
      </c>
      <c r="BK197" s="69">
        <f t="shared" si="561"/>
        <v>9237.2881355932204</v>
      </c>
      <c r="BL197" s="70">
        <f t="shared" si="562"/>
        <v>27500</v>
      </c>
      <c r="BM197" s="70">
        <f t="shared" si="563"/>
        <v>80869.305084745763</v>
      </c>
      <c r="BN197" s="70">
        <f t="shared" si="564"/>
        <v>80869.305084745763</v>
      </c>
      <c r="BO197" s="70">
        <f t="shared" si="565"/>
        <v>16233.728813559323</v>
      </c>
      <c r="BP197" s="70">
        <f t="shared" si="566"/>
        <v>38676.355932203391</v>
      </c>
      <c r="BQ197" s="70">
        <f t="shared" si="567"/>
        <v>25570.728813559323</v>
      </c>
      <c r="BR197" s="70">
        <f t="shared" si="568"/>
        <v>28281.067796610168</v>
      </c>
      <c r="BS197" s="70">
        <f t="shared" si="569"/>
        <v>5869.3220338983047</v>
      </c>
      <c r="BT197" s="71">
        <f t="shared" si="570"/>
        <v>313107.10169491527</v>
      </c>
      <c r="BU197" s="65">
        <f t="shared" si="571"/>
        <v>12.233994792134327</v>
      </c>
      <c r="BV197" s="48">
        <f t="shared" si="572"/>
        <v>36.421388165574214</v>
      </c>
      <c r="BW197" s="48">
        <f t="shared" si="573"/>
        <v>107.1044491335189</v>
      </c>
      <c r="BX197" s="48">
        <f t="shared" si="574"/>
        <v>107.1044491335189</v>
      </c>
      <c r="BY197" s="48">
        <f t="shared" si="575"/>
        <v>21.50017958157493</v>
      </c>
      <c r="BZ197" s="48">
        <f t="shared" si="576"/>
        <v>51.223511717697761</v>
      </c>
      <c r="CA197" s="48">
        <f t="shared" si="577"/>
        <v>33.866234174373709</v>
      </c>
      <c r="CB197" s="48">
        <f t="shared" si="578"/>
        <v>37.455845380263987</v>
      </c>
      <c r="CC197" s="48">
        <f t="shared" si="579"/>
        <v>7.7734129478315523</v>
      </c>
      <c r="CD197" s="47">
        <f t="shared" si="580"/>
        <v>414.68346502648831</v>
      </c>
      <c r="CE197" s="66">
        <v>558624</v>
      </c>
      <c r="CF197" s="62">
        <v>10620</v>
      </c>
      <c r="CG197" s="74">
        <v>-42693</v>
      </c>
      <c r="CH197" s="75">
        <f>IFERROR(IF(SUM(CE197:CG197)&gt;0,SUM(CE197:CG197),""),"")</f>
        <v>526551</v>
      </c>
      <c r="CI197" s="62">
        <v>26330</v>
      </c>
      <c r="CJ197" s="62">
        <v>26328</v>
      </c>
      <c r="CK197" s="62">
        <v>87040</v>
      </c>
      <c r="CL197" s="62">
        <v>41318</v>
      </c>
      <c r="CM197" s="62">
        <v>39375</v>
      </c>
      <c r="CN197" s="62">
        <v>35400</v>
      </c>
      <c r="CO197" s="62">
        <v>68700</v>
      </c>
      <c r="CP197" s="75">
        <f t="shared" si="626"/>
        <v>324491</v>
      </c>
      <c r="CQ197" s="62">
        <v>14750</v>
      </c>
      <c r="CR197" s="75">
        <f t="shared" si="627"/>
        <v>339241</v>
      </c>
      <c r="CS197" s="75">
        <f>IFERROR(IF(CH197-CR197&gt;0,CH197-CP197,""),"")</f>
        <v>202060</v>
      </c>
      <c r="CT197" s="62">
        <v>153339</v>
      </c>
      <c r="CU197" s="47">
        <f>IFERROR(IF(CS197-CT197&gt;0,CS197-CT197,""),"")</f>
        <v>48721</v>
      </c>
      <c r="CV197" s="76">
        <f>IFERROR(IF(CU197&gt;0,CS197/CH197,""),"")</f>
        <v>0.38374250547430355</v>
      </c>
      <c r="CW197" s="75">
        <f>IFERROR(IF(CU197&gt;0,CR197/T197,""),"")</f>
        <v>5749.8474576271183</v>
      </c>
      <c r="CX197" s="77">
        <f>IFERROR(IF(CU197&gt;0,CR197/CH197,""),"")</f>
        <v>0.64426997574783829</v>
      </c>
      <c r="CY197" s="75">
        <f>IFERROR(IF(CU197&gt;0,CU197/T197,""),"")</f>
        <v>825.77966101694915</v>
      </c>
      <c r="CZ197" s="77">
        <f>IFERROR(IF(CU197&gt;0,CU197/CH197,""),"")</f>
        <v>9.2528548991455725E-2</v>
      </c>
      <c r="DA197" s="77">
        <f>IFERROR(IF(CT197&gt;0,CT197/CH197,""),"")</f>
        <v>0.29121395648284781</v>
      </c>
      <c r="DB197" s="47">
        <f>IFERROR(IF(AR197&gt;0,AR197,""),"")</f>
        <v>44915.254237288136</v>
      </c>
      <c r="DC197" s="69">
        <f t="shared" si="591"/>
        <v>9468.203389830509</v>
      </c>
      <c r="DD197" s="70">
        <f t="shared" si="592"/>
        <v>180</v>
      </c>
      <c r="DE197" s="70">
        <f t="shared" si="593"/>
        <v>-723.61016949152543</v>
      </c>
      <c r="DF197" s="70">
        <f t="shared" si="594"/>
        <v>8924.5932203389839</v>
      </c>
      <c r="DG197" s="70">
        <f t="shared" si="595"/>
        <v>446.27118644067798</v>
      </c>
      <c r="DH197" s="70">
        <f t="shared" si="596"/>
        <v>446.23728813559325</v>
      </c>
      <c r="DI197" s="70">
        <f t="shared" si="597"/>
        <v>1475.2542372881355</v>
      </c>
      <c r="DJ197" s="70">
        <f t="shared" si="598"/>
        <v>700.30508474576266</v>
      </c>
      <c r="DK197" s="70">
        <f t="shared" si="599"/>
        <v>667.37288135593224</v>
      </c>
      <c r="DL197" s="70">
        <f t="shared" si="600"/>
        <v>600</v>
      </c>
      <c r="DM197" s="70">
        <f t="shared" si="601"/>
        <v>1164.406779661017</v>
      </c>
      <c r="DN197" s="70">
        <f t="shared" si="602"/>
        <v>5499.8474576271183</v>
      </c>
      <c r="DO197" s="70">
        <f t="shared" si="603"/>
        <v>250</v>
      </c>
      <c r="DP197" s="70">
        <f t="shared" si="604"/>
        <v>5749.8474576271183</v>
      </c>
      <c r="DQ197" s="70">
        <f t="shared" si="605"/>
        <v>3424.7457627118642</v>
      </c>
      <c r="DR197" s="70">
        <f t="shared" si="606"/>
        <v>2598.9661016949153</v>
      </c>
      <c r="DS197" s="71">
        <f t="shared" si="607"/>
        <v>825.77966101694915</v>
      </c>
      <c r="DT197" s="106">
        <f t="shared" si="608"/>
        <v>1.0609114786601868</v>
      </c>
      <c r="DU197" s="92">
        <f t="shared" si="609"/>
        <v>2.0168986479942114E-2</v>
      </c>
      <c r="DV197" s="92" t="str">
        <f t="shared" si="610"/>
        <v/>
      </c>
      <c r="DW197" s="92">
        <f t="shared" si="611"/>
        <v>1</v>
      </c>
      <c r="DX197" s="92">
        <f t="shared" si="612"/>
        <v>5.000465292060978E-2</v>
      </c>
      <c r="DY197" s="92">
        <f t="shared" si="613"/>
        <v>5.0000854618071182E-2</v>
      </c>
      <c r="DZ197" s="92">
        <f t="shared" si="614"/>
        <v>0.16530212647967624</v>
      </c>
      <c r="EA197" s="92">
        <f t="shared" si="615"/>
        <v>7.8469132144844467E-2</v>
      </c>
      <c r="EB197" s="92">
        <f t="shared" si="616"/>
        <v>7.4779081228598943E-2</v>
      </c>
      <c r="EC197" s="92">
        <f t="shared" si="617"/>
        <v>6.7229954933140379E-2</v>
      </c>
      <c r="ED197" s="92">
        <f t="shared" si="618"/>
        <v>0.1304716922007555</v>
      </c>
      <c r="EE197" s="92">
        <f t="shared" si="619"/>
        <v>0.61625749452569645</v>
      </c>
      <c r="EF197" s="92">
        <f t="shared" si="620"/>
        <v>2.8012481222141825E-2</v>
      </c>
      <c r="EG197" s="92">
        <f t="shared" si="621"/>
        <v>0.64426997574783829</v>
      </c>
      <c r="EH197" s="92">
        <f t="shared" si="622"/>
        <v>0.38374250547430355</v>
      </c>
      <c r="EI197" s="92">
        <f t="shared" si="623"/>
        <v>0.29121395648284781</v>
      </c>
      <c r="EJ197" s="122">
        <f t="shared" si="624"/>
        <v>9.2528548991455725E-2</v>
      </c>
    </row>
    <row r="198" spans="2:140" ht="12" hidden="1" customHeight="1" outlineLevel="1">
      <c r="B198" s="121">
        <v>45280</v>
      </c>
      <c r="C198" s="117">
        <v>23436</v>
      </c>
      <c r="D198" s="50" t="s">
        <v>1068</v>
      </c>
      <c r="E198" s="50" t="s">
        <v>458</v>
      </c>
      <c r="F198" s="50" t="s">
        <v>459</v>
      </c>
      <c r="G198" s="50" t="s">
        <v>162</v>
      </c>
      <c r="H198" s="50" t="s">
        <v>1069</v>
      </c>
      <c r="I198" s="50" t="s">
        <v>1070</v>
      </c>
      <c r="J198" s="52" t="s">
        <v>175</v>
      </c>
      <c r="K198" s="50" t="s">
        <v>176</v>
      </c>
      <c r="L198" s="49">
        <v>6</v>
      </c>
      <c r="M198" s="50" t="s">
        <v>159</v>
      </c>
      <c r="N198" s="50" t="s">
        <v>160</v>
      </c>
      <c r="O198" s="50" t="s">
        <v>160</v>
      </c>
      <c r="P198" s="50" t="s">
        <v>161</v>
      </c>
      <c r="Q198" s="53">
        <v>0.04</v>
      </c>
      <c r="R198" s="49">
        <v>248</v>
      </c>
      <c r="S198" s="49">
        <v>0</v>
      </c>
      <c r="T198" s="54">
        <f t="shared" si="625"/>
        <v>248</v>
      </c>
      <c r="U198" s="55">
        <v>267952</v>
      </c>
      <c r="V198" s="49">
        <v>10.91</v>
      </c>
      <c r="W198" s="56">
        <f t="shared" ref="W198:W210" si="628">IFERROR(IF(T198&gt;0,T198/V198,""),"")</f>
        <v>22.731439046746104</v>
      </c>
      <c r="X198" s="49">
        <v>2003</v>
      </c>
      <c r="Y198" s="57" t="s">
        <v>162</v>
      </c>
      <c r="Z198" s="58">
        <v>59230000</v>
      </c>
      <c r="AA198" s="114">
        <f>((25730000*0.0615)/(Table1[[#This Row],[Construction Loan Principal]]))+((18322003*0.076)/(Table1[[#This Row],[Construction Loan Principal]]))</f>
        <v>5.0225683403680568E-2</v>
      </c>
      <c r="AB198" s="59">
        <v>35</v>
      </c>
      <c r="AC198" s="60">
        <v>35</v>
      </c>
      <c r="AD198" s="61">
        <v>6.1499999999999999E-2</v>
      </c>
      <c r="AE198" s="62">
        <v>25730000</v>
      </c>
      <c r="AF198" s="63">
        <v>1.25</v>
      </c>
      <c r="AG198" s="59">
        <v>0</v>
      </c>
      <c r="AH198" s="60">
        <v>0</v>
      </c>
      <c r="AI198" s="61">
        <v>7.5999999999999998E-2</v>
      </c>
      <c r="AJ198" s="64">
        <v>18322003</v>
      </c>
      <c r="AK198" s="65">
        <f t="shared" ref="AK198:AK210" si="629">IFERROR(IF(AE198&gt;0,AJ198+AE198,""),"")</f>
        <v>44052003</v>
      </c>
      <c r="AL198" s="66">
        <v>0</v>
      </c>
      <c r="AM198" s="49"/>
      <c r="AN198" s="67">
        <v>0.92</v>
      </c>
      <c r="AO198" s="62">
        <v>21622516</v>
      </c>
      <c r="AP198" s="62">
        <v>0</v>
      </c>
      <c r="AQ198" s="68">
        <v>6344255</v>
      </c>
      <c r="AR198" s="69">
        <f t="shared" ref="AR198:AR210" si="630">IFERROR(IF(AK198&gt;0,AK198/T198,""),"")</f>
        <v>177629.0443548387</v>
      </c>
      <c r="AS198" s="70" t="str">
        <f t="shared" ref="AS198:AS209" si="631">IFERROR(IF(AL198&gt;0,AL198/T198,""),"")</f>
        <v/>
      </c>
      <c r="AT198" s="70">
        <f t="shared" ref="AT198:AT210" si="632">IFERROR(IF(AO198&gt;0,AO198/T198,""),"")</f>
        <v>87187.56451612903</v>
      </c>
      <c r="AU198" s="70" t="str">
        <f t="shared" ref="AU198:AU209" si="633">IFERROR(IF(AP198&gt;0,AP198/T198,""),"")</f>
        <v/>
      </c>
      <c r="AV198" s="71">
        <f t="shared" ref="AV198:AV210" si="634">IFERROR(IF(AQ198&gt;0,AQ198/T198,""),"")</f>
        <v>25581.673387096773</v>
      </c>
      <c r="AW198" s="115">
        <f t="shared" ref="AW198:AW210" si="635">IFERROR(IF(SUM(BB198:BC198)&gt;0,SUM(BB198:BC198)/T198,""),"")</f>
        <v>30701.754032258064</v>
      </c>
      <c r="AX198" s="116">
        <f t="shared" ref="AX198:AX210" si="636">IFERROR(IF(SUM(BB198:BC198)&gt;0,SUM(BB198:BC198)/U198,""),"")</f>
        <v>28.415667731534008</v>
      </c>
      <c r="AY198" s="72">
        <f t="shared" ref="AY198:AY210" si="637">IFERROR(IF(SUM(BL198:BO198)&gt;0,SUM(BL198:BO198),""),"")</f>
        <v>38070.177419354834</v>
      </c>
      <c r="AZ198" s="73">
        <f t="shared" ref="AZ198:AZ210" si="638">IFERROR(IF(SUM(BV198:BY198)&gt;0,SUM(BV198:BY198),""),"")</f>
        <v>35.235430226309191</v>
      </c>
      <c r="BA198" s="66">
        <v>34340000</v>
      </c>
      <c r="BB198" s="62">
        <v>915988</v>
      </c>
      <c r="BC198" s="62">
        <v>6698047</v>
      </c>
      <c r="BD198" s="62">
        <v>761404</v>
      </c>
      <c r="BE198" s="62">
        <v>1065965</v>
      </c>
      <c r="BF198" s="62">
        <v>1904550</v>
      </c>
      <c r="BG198" s="62">
        <v>4311135</v>
      </c>
      <c r="BH198" s="62">
        <v>7100978</v>
      </c>
      <c r="BI198" s="62">
        <v>848704</v>
      </c>
      <c r="BJ198" s="47">
        <f t="shared" ref="BJ198:BJ210" si="639">IFERROR(IF(SUM(BA198:BI198)&gt;0,SUM(BA198:BI198),""),"")</f>
        <v>57946771</v>
      </c>
      <c r="BK198" s="69">
        <f t="shared" ref="BK198:BK210" si="640">IFERROR(IF(BA198&gt;0,BA198/$T198,""),"")</f>
        <v>138467.74193548388</v>
      </c>
      <c r="BL198" s="70">
        <f t="shared" ref="BL198:BL210" si="641">IFERROR(IF(BB198&gt;0,BB198/$T198,""),"")</f>
        <v>3693.5</v>
      </c>
      <c r="BM198" s="70">
        <f t="shared" ref="BM198:BM210" si="642">IFERROR(IF(BC198&gt;0,BC198/$T198,""),"")</f>
        <v>27008.254032258064</v>
      </c>
      <c r="BN198" s="70">
        <f t="shared" ref="BN198:BN210" si="643">IFERROR(IF(BD198&gt;0,BD198/$T198,""),"")</f>
        <v>3070.1774193548385</v>
      </c>
      <c r="BO198" s="70">
        <f t="shared" ref="BO198:BO210" si="644">IFERROR(IF(BE198&gt;0,BE198/$T198,""),"")</f>
        <v>4298.2459677419356</v>
      </c>
      <c r="BP198" s="70">
        <f t="shared" ref="BP198:BP210" si="645">IFERROR(IF(BF198&gt;0,BF198/$T198,""),"")</f>
        <v>7679.6370967741932</v>
      </c>
      <c r="BQ198" s="70">
        <f t="shared" ref="BQ198:BQ210" si="646">IFERROR(IF(BG198&gt;0,BG198/$T198,""),"")</f>
        <v>17383.608870967742</v>
      </c>
      <c r="BR198" s="70">
        <f t="shared" ref="BR198:BR210" si="647">IFERROR(IF(BH198&gt;0,BH198/$T198,""),"")</f>
        <v>28632.975806451614</v>
      </c>
      <c r="BS198" s="70">
        <f t="shared" ref="BS198:BS210" si="648">IFERROR(IF(BI198&gt;0,BI198/$T198,""),"")</f>
        <v>3422.1935483870966</v>
      </c>
      <c r="BT198" s="71">
        <f t="shared" ref="BT198:BT210" si="649">IFERROR(IF(BJ198&gt;0,BJ198/$T198,""),"")</f>
        <v>233656.33467741936</v>
      </c>
      <c r="BU198" s="65">
        <f t="shared" ref="BU198:BU210" si="650">IFERROR(IF(BA198&gt;0,BA198/$U198,""),"")</f>
        <v>128.15728190123605</v>
      </c>
      <c r="BV198" s="48">
        <f t="shared" ref="BV198:BV210" si="651">IFERROR(IF(BB198&gt;0,BB198/$U198,""),"")</f>
        <v>3.4184779363468083</v>
      </c>
      <c r="BW198" s="48">
        <f t="shared" ref="BW198:BW210" si="652">IFERROR(IF(BC198&gt;0,BC198/$U198,""),"")</f>
        <v>24.997189795187197</v>
      </c>
      <c r="BX198" s="48">
        <f t="shared" ref="BX198:BX210" si="653">IFERROR(IF(BD198&gt;0,BD198/$U198,""),"")</f>
        <v>2.8415686391592523</v>
      </c>
      <c r="BY198" s="48">
        <f t="shared" ref="BY198:BY210" si="654">IFERROR(IF(BE198&gt;0,BE198/$U198,""),"")</f>
        <v>3.9781938556159311</v>
      </c>
      <c r="BZ198" s="48">
        <f t="shared" ref="BZ198:BZ210" si="655">IFERROR(IF(BF198&gt;0,BF198/$U198,""),"")</f>
        <v>7.1078028900698635</v>
      </c>
      <c r="CA198" s="48">
        <f t="shared" ref="CA198:CA210" si="656">IFERROR(IF(BG198&gt;0,BG198/$U198,""),"")</f>
        <v>16.089206275750882</v>
      </c>
      <c r="CB198" s="48">
        <f t="shared" ref="CB198:CB210" si="657">IFERROR(IF(BH198&gt;0,BH198/$U198,""),"")</f>
        <v>26.500933002925898</v>
      </c>
      <c r="CC198" s="48">
        <f t="shared" ref="CC198:CC210" si="658">IFERROR(IF(BI198&gt;0,BI198/$U198,""),"")</f>
        <v>3.1673732608825462</v>
      </c>
      <c r="CD198" s="47">
        <f t="shared" ref="CD198:CD210" si="659">IFERROR(IF(BJ198&gt;0,BJ198/$U198,""),"")</f>
        <v>216.25802755717442</v>
      </c>
      <c r="CE198" s="66">
        <v>3807648</v>
      </c>
      <c r="CF198" s="62">
        <v>44640</v>
      </c>
      <c r="CG198" s="74">
        <v>-288922</v>
      </c>
      <c r="CH198" s="75">
        <f t="shared" ref="CH198:CH210" si="660">IFERROR(IF(SUM(CE198:CG198)&gt;0,SUM(CE198:CG198),""),"")</f>
        <v>3563366</v>
      </c>
      <c r="CI198" s="62">
        <f>64800+30400+9920+4000</f>
        <v>109120</v>
      </c>
      <c r="CJ198" s="62">
        <v>101240</v>
      </c>
      <c r="CK198" s="62">
        <v>322400</v>
      </c>
      <c r="CL198" s="62">
        <v>173600</v>
      </c>
      <c r="CM198" s="62">
        <f>25000+210600</f>
        <v>235600</v>
      </c>
      <c r="CN198" s="62">
        <v>223200</v>
      </c>
      <c r="CO198" s="62">
        <v>0</v>
      </c>
      <c r="CP198" s="75">
        <f t="shared" si="626"/>
        <v>1165160</v>
      </c>
      <c r="CQ198" s="62">
        <v>74400</v>
      </c>
      <c r="CR198" s="75">
        <f t="shared" si="627"/>
        <v>1239560</v>
      </c>
      <c r="CS198" s="75">
        <f t="shared" ref="CS198:CS210" si="661">IFERROR(IF(CH198-CR198&gt;0,CH198-CP198,""),"")</f>
        <v>2398206</v>
      </c>
      <c r="CT198" s="62">
        <v>1856055</v>
      </c>
      <c r="CU198" s="47">
        <f t="shared" ref="CU198:CU210" si="662">IFERROR(IF(CS198-CT198&gt;0,CS198-CT198,""),"")</f>
        <v>542151</v>
      </c>
      <c r="CV198" s="76">
        <f t="shared" ref="CV198:CV210" si="663">IFERROR(IF(CU198&gt;0,CS198/CH198,""),"")</f>
        <v>0.67301702940422059</v>
      </c>
      <c r="CW198" s="75">
        <f t="shared" ref="CW198:CW210" si="664">IFERROR(IF(CU198&gt;0,CR198/T198,""),"")</f>
        <v>4998.2258064516127</v>
      </c>
      <c r="CX198" s="77">
        <f t="shared" ref="CX198:CX210" si="665">IFERROR(IF(CU198&gt;0,CR198/CH198,""),"")</f>
        <v>0.3478621056607713</v>
      </c>
      <c r="CY198" s="75">
        <f t="shared" ref="CY198:CY210" si="666">IFERROR(IF(CU198&gt;0,CU198/T198,""),"")</f>
        <v>2186.0927419354839</v>
      </c>
      <c r="CZ198" s="77">
        <f t="shared" ref="CZ198:CZ210" si="667">IFERROR(IF(CU198&gt;0,CU198/CH198,""),"")</f>
        <v>0.15214575207823164</v>
      </c>
      <c r="DA198" s="77">
        <f t="shared" ref="DA198:DA210" si="668">IFERROR(IF(CT198&gt;0,CT198/CH198,""),"")</f>
        <v>0.52087127732598892</v>
      </c>
      <c r="DB198" s="47">
        <f t="shared" ref="DB198:DB210" si="669">IFERROR(IF(AR198&gt;0,AR198,""),"")</f>
        <v>177629.0443548387</v>
      </c>
      <c r="DC198" s="69">
        <f t="shared" ref="DC198:DC210" si="670">IFERROR(IF(ABS(CE198)&gt;0,CE198/$T198,""),"")</f>
        <v>15353.41935483871</v>
      </c>
      <c r="DD198" s="70">
        <f t="shared" ref="DD198:DD210" si="671">IFERROR(IF(ABS(CF198)&gt;0,CF198/$T198,""),"")</f>
        <v>180</v>
      </c>
      <c r="DE198" s="70">
        <f t="shared" ref="DE198:DE210" si="672">IFERROR(IF(ABS(CG198)&gt;0,CG198/$T198,""),"")</f>
        <v>-1165.008064516129</v>
      </c>
      <c r="DF198" s="70">
        <f t="shared" ref="DF198:DF210" si="673">IFERROR(IF(ABS(CH198)&gt;0,CH198/$T198,""),"")</f>
        <v>14368.411290322581</v>
      </c>
      <c r="DG198" s="70">
        <f t="shared" ref="DG198:DG210" si="674">IFERROR(IF(ABS(CI198)&gt;0,CI198/$T198,""),"")</f>
        <v>440</v>
      </c>
      <c r="DH198" s="70">
        <f t="shared" ref="DH198:DH210" si="675">IFERROR(IF(ABS(CJ198)&gt;0,CJ198/$T198,""),"")</f>
        <v>408.22580645161293</v>
      </c>
      <c r="DI198" s="70">
        <f t="shared" ref="DI198:DI210" si="676">IFERROR(IF(ABS(CK198)&gt;0,CK198/$T198,""),"")</f>
        <v>1300</v>
      </c>
      <c r="DJ198" s="70">
        <f t="shared" ref="DJ198:DJ210" si="677">IFERROR(IF(ABS(CL198)&gt;0,CL198/$T198,""),"")</f>
        <v>700</v>
      </c>
      <c r="DK198" s="70">
        <f t="shared" ref="DK198:DK210" si="678">IFERROR(IF(ABS(CM198)&gt;0,CM198/$T198,""),"")</f>
        <v>950</v>
      </c>
      <c r="DL198" s="70">
        <f t="shared" ref="DL198:DL210" si="679">IFERROR(IF(ABS(CN198)&gt;0,CN198/$T198,""),"")</f>
        <v>900</v>
      </c>
      <c r="DM198" s="70" t="str">
        <f t="shared" ref="DM198:DM210" si="680">IFERROR(IF(ABS(CO198)&gt;0,CO198/$T198,""),"")</f>
        <v/>
      </c>
      <c r="DN198" s="70">
        <f t="shared" ref="DN198:DN210" si="681">IFERROR(IF(ABS(CP198)&gt;0,CP198/$T198,""),"")</f>
        <v>4698.2258064516127</v>
      </c>
      <c r="DO198" s="70">
        <f t="shared" ref="DO198:DO210" si="682">IFERROR(IF(ABS(CQ198)&gt;0,CQ198/$T198,""),"")</f>
        <v>300</v>
      </c>
      <c r="DP198" s="70">
        <f t="shared" ref="DP198:DP210" si="683">IFERROR(IF(ABS(CR198)&gt;0,CR198/$T198,""),"")</f>
        <v>4998.2258064516127</v>
      </c>
      <c r="DQ198" s="70">
        <f t="shared" ref="DQ198:DQ210" si="684">IFERROR(IF(ABS(CS198)&gt;0,CS198/$T198,""),"")</f>
        <v>9670.1854838709678</v>
      </c>
      <c r="DR198" s="70">
        <f t="shared" ref="DR198:DR210" si="685">IFERROR(IF(ABS(CT198)&gt;0,CT198/$T198,""),"")</f>
        <v>7484.0927419354839</v>
      </c>
      <c r="DS198" s="71">
        <f t="shared" ref="DS198:DS210" si="686">IFERROR(IF(ABS(CU198)&gt;0,CU198/$T198,""),"")</f>
        <v>2186.0927419354839</v>
      </c>
      <c r="DT198" s="106">
        <f t="shared" ref="DT198:DT210" si="687">IFERROR(IF(ABS(CE198&gt;0),CE198/$CH198,""),"")</f>
        <v>1.0685537213971283</v>
      </c>
      <c r="DU198" s="92">
        <f t="shared" ref="DU198:DU210" si="688">IFERROR(IF(ABS(CF198&gt;0),CF198/$CH198,""),"")</f>
        <v>1.2527481038995153E-2</v>
      </c>
      <c r="DV198" s="92" t="str">
        <f t="shared" ref="DV198:DV210" si="689">IFERROR(IF(ABS(CG198&gt;0),CG198/$CH198,""),"")</f>
        <v/>
      </c>
      <c r="DW198" s="92">
        <f t="shared" ref="DW198:DW210" si="690">IFERROR(IF(ABS(CH198&gt;0),CH198/$CH198,""),"")</f>
        <v>1</v>
      </c>
      <c r="DX198" s="92">
        <f t="shared" ref="DX198:DX210" si="691">IFERROR(IF(ABS(CI198&gt;0),CI198/$CH198,""),"")</f>
        <v>3.0622731428654817E-2</v>
      </c>
      <c r="DY198" s="92">
        <f t="shared" ref="DY198:DY210" si="692">IFERROR(IF(ABS(CJ198&gt;0),CJ198/$CH198,""),"")</f>
        <v>2.8411339166394919E-2</v>
      </c>
      <c r="DZ198" s="92">
        <f t="shared" ref="DZ198:DZ210" si="693">IFERROR(IF(ABS(CK198&gt;0),CK198/$CH198,""),"")</f>
        <v>9.0476251948298322E-2</v>
      </c>
      <c r="EA198" s="92">
        <f t="shared" ref="EA198:EA210" si="694">IFERROR(IF(ABS(CL198&gt;0),CL198/$CH198,""),"")</f>
        <v>4.8717981818314479E-2</v>
      </c>
      <c r="EB198" s="92">
        <f t="shared" ref="EB198:EB210" si="695">IFERROR(IF(ABS(CM198&gt;0),CM198/$CH198,""),"")</f>
        <v>6.6117261039141076E-2</v>
      </c>
      <c r="EC198" s="92">
        <f t="shared" ref="EC198:EC210" si="696">IFERROR(IF(ABS(CN198&gt;0),CN198/$CH198,""),"")</f>
        <v>6.2637405194975765E-2</v>
      </c>
      <c r="ED198" s="92" t="str">
        <f t="shared" ref="ED198:ED210" si="697">IFERROR(IF(ABS(CO198&gt;0),CO198/$CH198,""),"")</f>
        <v/>
      </c>
      <c r="EE198" s="92">
        <f t="shared" ref="EE198:EE210" si="698">IFERROR(IF(ABS(CP198&gt;0),CP198/$CH198,""),"")</f>
        <v>0.32698297059577941</v>
      </c>
      <c r="EF198" s="92">
        <f t="shared" ref="EF198:EF210" si="699">IFERROR(IF(ABS(CQ198&gt;0),CQ198/$CH198,""),"")</f>
        <v>2.0879135064991922E-2</v>
      </c>
      <c r="EG198" s="92">
        <f t="shared" ref="EG198:EG210" si="700">IFERROR(IF(ABS(CR198&gt;0),CR198/$CH198,""),"")</f>
        <v>0.3478621056607713</v>
      </c>
      <c r="EH198" s="92">
        <f t="shared" ref="EH198:EH210" si="701">IFERROR(IF(ABS(CS198&gt;0),CS198/$CH198,""),"")</f>
        <v>0.67301702940422059</v>
      </c>
      <c r="EI198" s="92">
        <f t="shared" ref="EI198:EI210" si="702">IFERROR(IF(ABS(CT198&gt;0),CT198/$CH198,""),"")</f>
        <v>0.52087127732598892</v>
      </c>
      <c r="EJ198" s="122">
        <f t="shared" ref="EJ198:EJ210" si="703">IFERROR(IF(ABS(CU198&gt;0),CU198/$CH198,""),"")</f>
        <v>0.15214575207823164</v>
      </c>
    </row>
    <row r="199" spans="2:140" ht="12" hidden="1" customHeight="1" outlineLevel="1">
      <c r="B199" s="121">
        <v>45280</v>
      </c>
      <c r="C199" s="117" t="s">
        <v>1071</v>
      </c>
      <c r="D199" s="50" t="s">
        <v>1072</v>
      </c>
      <c r="E199" s="50" t="s">
        <v>702</v>
      </c>
      <c r="F199" s="50" t="s">
        <v>703</v>
      </c>
      <c r="G199" s="50" t="s">
        <v>291</v>
      </c>
      <c r="H199" s="50" t="s">
        <v>242</v>
      </c>
      <c r="I199" s="50" t="s">
        <v>321</v>
      </c>
      <c r="J199" s="52" t="s">
        <v>347</v>
      </c>
      <c r="K199" s="50" t="s">
        <v>347</v>
      </c>
      <c r="L199" s="49">
        <v>1</v>
      </c>
      <c r="M199" s="50" t="s">
        <v>159</v>
      </c>
      <c r="N199" s="50" t="s">
        <v>160</v>
      </c>
      <c r="O199" s="50" t="s">
        <v>160</v>
      </c>
      <c r="P199" s="50" t="s">
        <v>177</v>
      </c>
      <c r="Q199" s="53">
        <v>0.09</v>
      </c>
      <c r="R199" s="49">
        <v>56</v>
      </c>
      <c r="S199" s="49">
        <v>0</v>
      </c>
      <c r="T199" s="54">
        <f t="shared" si="625"/>
        <v>56</v>
      </c>
      <c r="U199" s="55">
        <v>45501</v>
      </c>
      <c r="V199" s="49">
        <v>1.61</v>
      </c>
      <c r="W199" s="56">
        <f t="shared" si="628"/>
        <v>34.782608695652172</v>
      </c>
      <c r="X199" s="49" t="s">
        <v>163</v>
      </c>
      <c r="Y199" s="57" t="s">
        <v>162</v>
      </c>
      <c r="Z199" s="58">
        <v>2400500</v>
      </c>
      <c r="AA199" s="114">
        <v>4.65E-2</v>
      </c>
      <c r="AB199" s="59">
        <v>18</v>
      </c>
      <c r="AC199" s="60">
        <v>35</v>
      </c>
      <c r="AD199" s="61">
        <v>4.65E-2</v>
      </c>
      <c r="AE199" s="62">
        <v>2400000</v>
      </c>
      <c r="AF199" s="63">
        <v>1.17</v>
      </c>
      <c r="AG199" s="59"/>
      <c r="AH199" s="60"/>
      <c r="AI199" s="61"/>
      <c r="AJ199" s="64"/>
      <c r="AK199" s="65">
        <f t="shared" si="629"/>
        <v>2400000</v>
      </c>
      <c r="AL199" s="62">
        <v>500</v>
      </c>
      <c r="AM199" s="49" t="s">
        <v>163</v>
      </c>
      <c r="AN199" s="67">
        <v>0.94</v>
      </c>
      <c r="AO199" s="62">
        <v>15310000</v>
      </c>
      <c r="AP199" s="62">
        <v>0</v>
      </c>
      <c r="AQ199" s="68" t="s">
        <v>163</v>
      </c>
      <c r="AR199" s="69">
        <f t="shared" si="630"/>
        <v>42857.142857142855</v>
      </c>
      <c r="AS199" s="70" t="str">
        <f>IFERROR(IF(#REF!&gt;0,#REF!/T199,""),"")</f>
        <v/>
      </c>
      <c r="AT199" s="70">
        <f t="shared" si="632"/>
        <v>273392.85714285716</v>
      </c>
      <c r="AU199" s="70">
        <f>IFERROR(IF(AL199&gt;0,AL199/T199,""),"")</f>
        <v>8.9285714285714288</v>
      </c>
      <c r="AV199" s="71" t="str">
        <f t="shared" si="634"/>
        <v/>
      </c>
      <c r="AW199" s="115">
        <f t="shared" si="635"/>
        <v>141537.85714285713</v>
      </c>
      <c r="AX199" s="116">
        <f t="shared" si="636"/>
        <v>174.19661106349312</v>
      </c>
      <c r="AY199" s="72">
        <f t="shared" si="637"/>
        <v>177488.46428571429</v>
      </c>
      <c r="AZ199" s="73">
        <f t="shared" si="638"/>
        <v>218.44253972440166</v>
      </c>
      <c r="BA199" s="66">
        <v>2020000</v>
      </c>
      <c r="BB199" s="62">
        <v>782048</v>
      </c>
      <c r="BC199" s="62">
        <v>7144072</v>
      </c>
      <c r="BD199" s="62">
        <v>792612</v>
      </c>
      <c r="BE199" s="62">
        <v>1220622</v>
      </c>
      <c r="BF199" s="62">
        <v>2392534</v>
      </c>
      <c r="BG199" s="62">
        <v>1138092</v>
      </c>
      <c r="BH199" s="62">
        <v>1943378</v>
      </c>
      <c r="BI199" s="62">
        <v>76699</v>
      </c>
      <c r="BJ199" s="47">
        <f t="shared" si="639"/>
        <v>17510057</v>
      </c>
      <c r="BK199" s="69">
        <f t="shared" si="640"/>
        <v>36071.428571428572</v>
      </c>
      <c r="BL199" s="70">
        <f t="shared" si="641"/>
        <v>13965.142857142857</v>
      </c>
      <c r="BM199" s="70">
        <f t="shared" si="642"/>
        <v>127572.71428571429</v>
      </c>
      <c r="BN199" s="70">
        <f t="shared" si="643"/>
        <v>14153.785714285714</v>
      </c>
      <c r="BO199" s="70">
        <f t="shared" si="644"/>
        <v>21796.821428571428</v>
      </c>
      <c r="BP199" s="70">
        <f t="shared" si="645"/>
        <v>42723.821428571428</v>
      </c>
      <c r="BQ199" s="70">
        <f t="shared" si="646"/>
        <v>20323.071428571428</v>
      </c>
      <c r="BR199" s="70">
        <f t="shared" si="647"/>
        <v>34703.178571428572</v>
      </c>
      <c r="BS199" s="70">
        <f t="shared" si="648"/>
        <v>1369.625</v>
      </c>
      <c r="BT199" s="71">
        <f t="shared" si="649"/>
        <v>312679.58928571426</v>
      </c>
      <c r="BU199" s="65">
        <f t="shared" si="650"/>
        <v>44.394628689479354</v>
      </c>
      <c r="BV199" s="48">
        <f t="shared" si="651"/>
        <v>17.187490384826706</v>
      </c>
      <c r="BW199" s="48">
        <f t="shared" si="652"/>
        <v>157.00912067866639</v>
      </c>
      <c r="BX199" s="48">
        <f t="shared" si="653"/>
        <v>17.419661106349309</v>
      </c>
      <c r="BY199" s="48">
        <f t="shared" si="654"/>
        <v>26.826267554559241</v>
      </c>
      <c r="BZ199" s="48">
        <f t="shared" si="655"/>
        <v>52.58200918661128</v>
      </c>
      <c r="CA199" s="48">
        <f t="shared" si="656"/>
        <v>25.012461264587593</v>
      </c>
      <c r="CB199" s="48">
        <f t="shared" si="657"/>
        <v>42.710665699654953</v>
      </c>
      <c r="CC199" s="48">
        <f t="shared" si="658"/>
        <v>1.685655260323949</v>
      </c>
      <c r="CD199" s="47">
        <f t="shared" si="659"/>
        <v>384.82795982505877</v>
      </c>
      <c r="CE199" s="66">
        <v>472872</v>
      </c>
      <c r="CF199" s="62">
        <v>13440</v>
      </c>
      <c r="CG199" s="74">
        <v>-36473</v>
      </c>
      <c r="CH199" s="75">
        <f t="shared" si="660"/>
        <v>449839</v>
      </c>
      <c r="CI199" s="62">
        <f>23788+2240</f>
        <v>26028</v>
      </c>
      <c r="CJ199" s="62">
        <v>22492</v>
      </c>
      <c r="CK199" s="62">
        <v>64612</v>
      </c>
      <c r="CL199" s="62">
        <f>36094+0</f>
        <v>36094</v>
      </c>
      <c r="CM199" s="62">
        <f>17226+25838+3036</f>
        <v>46100</v>
      </c>
      <c r="CN199" s="62">
        <v>25704</v>
      </c>
      <c r="CO199" s="62">
        <v>48272</v>
      </c>
      <c r="CP199" s="75">
        <f t="shared" si="626"/>
        <v>269302</v>
      </c>
      <c r="CQ199" s="62">
        <v>16800</v>
      </c>
      <c r="CR199" s="75">
        <f t="shared" si="627"/>
        <v>286102</v>
      </c>
      <c r="CS199" s="75">
        <f t="shared" si="661"/>
        <v>180537</v>
      </c>
      <c r="CT199" s="62">
        <v>140159</v>
      </c>
      <c r="CU199" s="47">
        <f t="shared" si="662"/>
        <v>40378</v>
      </c>
      <c r="CV199" s="76">
        <f t="shared" si="663"/>
        <v>0.4013369227657006</v>
      </c>
      <c r="CW199" s="75">
        <f t="shared" si="664"/>
        <v>5108.9642857142853</v>
      </c>
      <c r="CX199" s="77">
        <f t="shared" si="665"/>
        <v>0.63600977238523115</v>
      </c>
      <c r="CY199" s="75">
        <f t="shared" si="666"/>
        <v>721.03571428571433</v>
      </c>
      <c r="CZ199" s="77">
        <f t="shared" si="667"/>
        <v>8.9761003381209722E-2</v>
      </c>
      <c r="DA199" s="77">
        <f t="shared" si="668"/>
        <v>0.31157591938449092</v>
      </c>
      <c r="DB199" s="47">
        <f t="shared" si="669"/>
        <v>42857.142857142855</v>
      </c>
      <c r="DC199" s="69">
        <f t="shared" si="670"/>
        <v>8444.1428571428569</v>
      </c>
      <c r="DD199" s="70">
        <f t="shared" si="671"/>
        <v>240</v>
      </c>
      <c r="DE199" s="70">
        <f t="shared" si="672"/>
        <v>-651.30357142857144</v>
      </c>
      <c r="DF199" s="70">
        <f t="shared" si="673"/>
        <v>8032.8392857142853</v>
      </c>
      <c r="DG199" s="70">
        <f t="shared" si="674"/>
        <v>464.78571428571428</v>
      </c>
      <c r="DH199" s="70">
        <f t="shared" si="675"/>
        <v>401.64285714285717</v>
      </c>
      <c r="DI199" s="70">
        <f t="shared" si="676"/>
        <v>1153.7857142857142</v>
      </c>
      <c r="DJ199" s="70">
        <f t="shared" si="677"/>
        <v>644.53571428571433</v>
      </c>
      <c r="DK199" s="70">
        <f t="shared" si="678"/>
        <v>823.21428571428567</v>
      </c>
      <c r="DL199" s="70">
        <f t="shared" si="679"/>
        <v>459</v>
      </c>
      <c r="DM199" s="70">
        <f t="shared" si="680"/>
        <v>862</v>
      </c>
      <c r="DN199" s="70">
        <f t="shared" si="681"/>
        <v>4808.9642857142853</v>
      </c>
      <c r="DO199" s="70">
        <f t="shared" si="682"/>
        <v>300</v>
      </c>
      <c r="DP199" s="70">
        <f t="shared" si="683"/>
        <v>5108.9642857142853</v>
      </c>
      <c r="DQ199" s="70">
        <f t="shared" si="684"/>
        <v>3223.875</v>
      </c>
      <c r="DR199" s="70">
        <f t="shared" si="685"/>
        <v>2502.8392857142858</v>
      </c>
      <c r="DS199" s="71">
        <f t="shared" si="686"/>
        <v>721.03571428571433</v>
      </c>
      <c r="DT199" s="106">
        <f t="shared" si="687"/>
        <v>1.0512027636554411</v>
      </c>
      <c r="DU199" s="92">
        <f t="shared" si="688"/>
        <v>2.9877356120745421E-2</v>
      </c>
      <c r="DV199" s="92" t="str">
        <f t="shared" si="689"/>
        <v/>
      </c>
      <c r="DW199" s="92">
        <f t="shared" si="690"/>
        <v>1</v>
      </c>
      <c r="DX199" s="92">
        <f t="shared" si="691"/>
        <v>5.7860701273122164E-2</v>
      </c>
      <c r="DY199" s="92">
        <f t="shared" si="692"/>
        <v>5.0000111150878428E-2</v>
      </c>
      <c r="DZ199" s="92">
        <f t="shared" si="693"/>
        <v>0.14363361113642881</v>
      </c>
      <c r="EA199" s="92">
        <f t="shared" si="694"/>
        <v>8.0237596117722118E-2</v>
      </c>
      <c r="EB199" s="92">
        <f t="shared" si="695"/>
        <v>0.1024811099082116</v>
      </c>
      <c r="EC199" s="92">
        <f t="shared" si="696"/>
        <v>5.7140443580925619E-2</v>
      </c>
      <c r="ED199" s="92">
        <f t="shared" si="697"/>
        <v>0.10730950406701065</v>
      </c>
      <c r="EE199" s="92">
        <f t="shared" si="698"/>
        <v>0.59866307723429935</v>
      </c>
      <c r="EF199" s="92">
        <f t="shared" si="699"/>
        <v>3.734669515093178E-2</v>
      </c>
      <c r="EG199" s="92">
        <f t="shared" si="700"/>
        <v>0.63600977238523115</v>
      </c>
      <c r="EH199" s="92">
        <f t="shared" si="701"/>
        <v>0.4013369227657006</v>
      </c>
      <c r="EI199" s="92">
        <f t="shared" si="702"/>
        <v>0.31157591938449092</v>
      </c>
      <c r="EJ199" s="122">
        <f t="shared" si="703"/>
        <v>8.9761003381209722E-2</v>
      </c>
    </row>
    <row r="200" spans="2:140" ht="12" customHeight="1" collapsed="1">
      <c r="B200" s="211">
        <v>2024</v>
      </c>
      <c r="C200" s="117"/>
      <c r="D200" s="50"/>
      <c r="E200" s="50"/>
      <c r="F200" s="50"/>
      <c r="G200" s="50"/>
      <c r="H200" s="50"/>
      <c r="I200" s="50"/>
      <c r="J200" s="52"/>
      <c r="K200" s="50"/>
      <c r="L200" s="49"/>
      <c r="M200" s="50"/>
      <c r="N200" s="50"/>
      <c r="O200" s="50"/>
      <c r="P200" s="50"/>
      <c r="Q200" s="53"/>
      <c r="R200" s="49"/>
      <c r="S200" s="49"/>
      <c r="T200" s="54" t="str">
        <f t="shared" si="625"/>
        <v/>
      </c>
      <c r="U200" s="55"/>
      <c r="V200" s="49"/>
      <c r="W200" s="56" t="str">
        <f>IFERROR(IF(T200&gt;0,T200/V200,""),"")</f>
        <v/>
      </c>
      <c r="X200" s="49"/>
      <c r="Y200" s="57"/>
      <c r="Z200" s="58"/>
      <c r="AA200" s="114"/>
      <c r="AB200" s="59"/>
      <c r="AC200" s="60"/>
      <c r="AD200" s="61"/>
      <c r="AE200" s="62"/>
      <c r="AF200" s="63"/>
      <c r="AG200" s="59"/>
      <c r="AH200" s="60"/>
      <c r="AI200" s="61"/>
      <c r="AJ200" s="64"/>
      <c r="AK200" s="65" t="str">
        <f>IFERROR(IF(AE200&gt;0,AJ200+AE200,""),"")</f>
        <v/>
      </c>
      <c r="AL200" s="66"/>
      <c r="AM200" s="49"/>
      <c r="AN200" s="67"/>
      <c r="AO200" s="62"/>
      <c r="AP200" s="62"/>
      <c r="AQ200" s="68"/>
      <c r="AR200" s="69" t="str">
        <f>IFERROR(IF(AK200&gt;0,AK200/T200,""),"")</f>
        <v/>
      </c>
      <c r="AS200" s="70" t="str">
        <f>IFERROR(IF(AL200&gt;0,AL200/T200,""),"")</f>
        <v/>
      </c>
      <c r="AT200" s="70" t="str">
        <f>IFERROR(IF(AO200&gt;0,AO200/T200,""),"")</f>
        <v/>
      </c>
      <c r="AU200" s="70" t="str">
        <f>IFERROR(IF(AP200&gt;0,AP200/T200,""),"")</f>
        <v/>
      </c>
      <c r="AV200" s="71" t="str">
        <f>IFERROR(IF(AQ200&gt;0,AQ200/T200,""),"")</f>
        <v/>
      </c>
      <c r="AW200" s="115" t="str">
        <f>IFERROR(IF(SUM(BB200:BC200)&gt;0,SUM(BB200:BC200)/T200,""),"")</f>
        <v/>
      </c>
      <c r="AX200" s="116" t="str">
        <f>IFERROR(IF(SUM(BB200:BC200)&gt;0,SUM(BB200:BC200)/U200,""),"")</f>
        <v/>
      </c>
      <c r="AY200" s="72" t="str">
        <f>IFERROR(IF(SUM(BL200:BO200)&gt;0,SUM(BL200:BO200),""),"")</f>
        <v/>
      </c>
      <c r="AZ200" s="73" t="str">
        <f>IFERROR(IF(SUM(BV200:BY200)&gt;0,SUM(BV200:BY200),""),"")</f>
        <v/>
      </c>
      <c r="BA200" s="66"/>
      <c r="BB200" s="62"/>
      <c r="BC200" s="62"/>
      <c r="BD200" s="62"/>
      <c r="BE200" s="62"/>
      <c r="BF200" s="62"/>
      <c r="BG200" s="62"/>
      <c r="BH200" s="62"/>
      <c r="BI200" s="62"/>
      <c r="BJ200" s="47" t="str">
        <f>IFERROR(IF(SUM(BA200:BI200)&gt;0,SUM(BA200:BI200),""),"")</f>
        <v/>
      </c>
      <c r="BK200" s="69" t="str">
        <f t="shared" ref="BK200:BT200" si="704">IFERROR(IF(BA200&gt;0,BA200/$T200,""),"")</f>
        <v/>
      </c>
      <c r="BL200" s="70" t="str">
        <f t="shared" si="704"/>
        <v/>
      </c>
      <c r="BM200" s="70" t="str">
        <f t="shared" si="704"/>
        <v/>
      </c>
      <c r="BN200" s="70" t="str">
        <f t="shared" si="704"/>
        <v/>
      </c>
      <c r="BO200" s="70" t="str">
        <f t="shared" si="704"/>
        <v/>
      </c>
      <c r="BP200" s="70" t="str">
        <f t="shared" si="704"/>
        <v/>
      </c>
      <c r="BQ200" s="70" t="str">
        <f t="shared" si="704"/>
        <v/>
      </c>
      <c r="BR200" s="70" t="str">
        <f t="shared" si="704"/>
        <v/>
      </c>
      <c r="BS200" s="70" t="str">
        <f t="shared" si="704"/>
        <v/>
      </c>
      <c r="BT200" s="71" t="str">
        <f t="shared" si="704"/>
        <v/>
      </c>
      <c r="BU200" s="65" t="str">
        <f t="shared" ref="BU200:CD200" si="705">IFERROR(IF(BA200&gt;0,BA200/$U200,""),"")</f>
        <v/>
      </c>
      <c r="BV200" s="48" t="str">
        <f t="shared" si="705"/>
        <v/>
      </c>
      <c r="BW200" s="48" t="str">
        <f t="shared" si="705"/>
        <v/>
      </c>
      <c r="BX200" s="48" t="str">
        <f t="shared" si="705"/>
        <v/>
      </c>
      <c r="BY200" s="48" t="str">
        <f t="shared" si="705"/>
        <v/>
      </c>
      <c r="BZ200" s="48" t="str">
        <f t="shared" si="705"/>
        <v/>
      </c>
      <c r="CA200" s="48" t="str">
        <f t="shared" si="705"/>
        <v/>
      </c>
      <c r="CB200" s="48" t="str">
        <f t="shared" si="705"/>
        <v/>
      </c>
      <c r="CC200" s="48" t="str">
        <f t="shared" si="705"/>
        <v/>
      </c>
      <c r="CD200" s="47" t="str">
        <f t="shared" si="705"/>
        <v/>
      </c>
      <c r="CE200" s="66"/>
      <c r="CF200" s="62"/>
      <c r="CG200" s="74"/>
      <c r="CH200" s="75" t="str">
        <f>IFERROR(IF(SUM(CE200:CG200)&gt;0,SUM(CE200:CG200),""),"")</f>
        <v/>
      </c>
      <c r="CI200" s="62"/>
      <c r="CJ200" s="62"/>
      <c r="CK200" s="62"/>
      <c r="CL200" s="62"/>
      <c r="CM200" s="62"/>
      <c r="CN200" s="62"/>
      <c r="CO200" s="62"/>
      <c r="CP200" s="75" t="str">
        <f t="shared" si="626"/>
        <v/>
      </c>
      <c r="CQ200" s="62"/>
      <c r="CR200" s="75" t="str">
        <f t="shared" si="627"/>
        <v/>
      </c>
      <c r="CS200" s="75" t="str">
        <f>IFERROR(IF(CH200-CR200&gt;0,CH200-CP200,""),"")</f>
        <v/>
      </c>
      <c r="CT200" s="62"/>
      <c r="CU200" s="47" t="str">
        <f>IFERROR(IF(CS200-CT200&gt;0,CS200-CT200,""),"")</f>
        <v/>
      </c>
      <c r="CV200" s="76" t="str">
        <f>IFERROR(IF(CU200&gt;0,CS200/CH200,""),"")</f>
        <v/>
      </c>
      <c r="CW200" s="75" t="str">
        <f>IFERROR(IF(CU200&gt;0,CR200/T200,""),"")</f>
        <v/>
      </c>
      <c r="CX200" s="77" t="str">
        <f>IFERROR(IF(CU200&gt;0,CR200/CH200,""),"")</f>
        <v/>
      </c>
      <c r="CY200" s="75" t="str">
        <f>IFERROR(IF(CU200&gt;0,CU200/T200,""),"")</f>
        <v/>
      </c>
      <c r="CZ200" s="77" t="str">
        <f>IFERROR(IF(CU200&gt;0,CU200/CH200,""),"")</f>
        <v/>
      </c>
      <c r="DA200" s="77" t="str">
        <f>IFERROR(IF(CT200&gt;0,CT200/CH200,""),"")</f>
        <v/>
      </c>
      <c r="DB200" s="47" t="str">
        <f>IFERROR(IF(AR200&gt;0,AR200,""),"")</f>
        <v/>
      </c>
      <c r="DC200" s="69" t="str">
        <f t="shared" ref="DC200:DS200" si="706">IFERROR(IF(ABS(CE200)&gt;0,CE200/$T200,""),"")</f>
        <v/>
      </c>
      <c r="DD200" s="70" t="str">
        <f t="shared" si="706"/>
        <v/>
      </c>
      <c r="DE200" s="70" t="str">
        <f t="shared" si="706"/>
        <v/>
      </c>
      <c r="DF200" s="70" t="str">
        <f t="shared" si="706"/>
        <v/>
      </c>
      <c r="DG200" s="70" t="str">
        <f t="shared" si="706"/>
        <v/>
      </c>
      <c r="DH200" s="70" t="str">
        <f t="shared" si="706"/>
        <v/>
      </c>
      <c r="DI200" s="70" t="str">
        <f t="shared" si="706"/>
        <v/>
      </c>
      <c r="DJ200" s="70" t="str">
        <f t="shared" si="706"/>
        <v/>
      </c>
      <c r="DK200" s="70" t="str">
        <f t="shared" si="706"/>
        <v/>
      </c>
      <c r="DL200" s="70" t="str">
        <f t="shared" si="706"/>
        <v/>
      </c>
      <c r="DM200" s="70" t="str">
        <f t="shared" si="706"/>
        <v/>
      </c>
      <c r="DN200" s="70" t="str">
        <f t="shared" si="706"/>
        <v/>
      </c>
      <c r="DO200" s="70" t="str">
        <f t="shared" si="706"/>
        <v/>
      </c>
      <c r="DP200" s="70" t="str">
        <f t="shared" si="706"/>
        <v/>
      </c>
      <c r="DQ200" s="70" t="str">
        <f t="shared" si="706"/>
        <v/>
      </c>
      <c r="DR200" s="70" t="str">
        <f t="shared" si="706"/>
        <v/>
      </c>
      <c r="DS200" s="71" t="str">
        <f t="shared" si="706"/>
        <v/>
      </c>
      <c r="DT200" s="106" t="str">
        <f t="shared" ref="DT200:EJ200" si="707">IFERROR(IF(ABS(CE200&gt;0),CE200/$CH200,""),"")</f>
        <v/>
      </c>
      <c r="DU200" s="92" t="str">
        <f t="shared" si="707"/>
        <v/>
      </c>
      <c r="DV200" s="92" t="str">
        <f t="shared" si="707"/>
        <v/>
      </c>
      <c r="DW200" s="92" t="str">
        <f t="shared" si="707"/>
        <v/>
      </c>
      <c r="DX200" s="92" t="str">
        <f t="shared" si="707"/>
        <v/>
      </c>
      <c r="DY200" s="92" t="str">
        <f t="shared" si="707"/>
        <v/>
      </c>
      <c r="DZ200" s="92" t="str">
        <f t="shared" si="707"/>
        <v/>
      </c>
      <c r="EA200" s="92" t="str">
        <f t="shared" si="707"/>
        <v/>
      </c>
      <c r="EB200" s="92" t="str">
        <f t="shared" si="707"/>
        <v/>
      </c>
      <c r="EC200" s="92" t="str">
        <f t="shared" si="707"/>
        <v/>
      </c>
      <c r="ED200" s="92" t="str">
        <f t="shared" si="707"/>
        <v/>
      </c>
      <c r="EE200" s="92" t="str">
        <f t="shared" si="707"/>
        <v/>
      </c>
      <c r="EF200" s="92" t="str">
        <f t="shared" si="707"/>
        <v/>
      </c>
      <c r="EG200" s="92" t="str">
        <f t="shared" si="707"/>
        <v/>
      </c>
      <c r="EH200" s="92" t="str">
        <f t="shared" si="707"/>
        <v/>
      </c>
      <c r="EI200" s="92" t="str">
        <f t="shared" si="707"/>
        <v/>
      </c>
      <c r="EJ200" s="122" t="str">
        <f t="shared" si="707"/>
        <v/>
      </c>
    </row>
    <row r="201" spans="2:140" ht="12" hidden="1" customHeight="1" outlineLevel="1">
      <c r="B201" s="121">
        <v>45296</v>
      </c>
      <c r="C201" s="117" t="s">
        <v>1073</v>
      </c>
      <c r="D201" s="50" t="s">
        <v>1074</v>
      </c>
      <c r="E201" s="50" t="s">
        <v>1067</v>
      </c>
      <c r="F201" s="50" t="s">
        <v>646</v>
      </c>
      <c r="G201" s="50" t="s">
        <v>154</v>
      </c>
      <c r="H201" s="50" t="s">
        <v>724</v>
      </c>
      <c r="I201" s="50" t="s">
        <v>226</v>
      </c>
      <c r="J201" s="52" t="s">
        <v>230</v>
      </c>
      <c r="K201" s="50" t="s">
        <v>230</v>
      </c>
      <c r="L201" s="49">
        <v>3</v>
      </c>
      <c r="M201" s="50" t="s">
        <v>159</v>
      </c>
      <c r="N201" s="50" t="s">
        <v>160</v>
      </c>
      <c r="O201" s="50" t="s">
        <v>1075</v>
      </c>
      <c r="P201" s="50" t="s">
        <v>177</v>
      </c>
      <c r="Q201" s="53">
        <v>0.09</v>
      </c>
      <c r="R201" s="49">
        <v>71</v>
      </c>
      <c r="S201" s="49">
        <v>0</v>
      </c>
      <c r="T201" s="54">
        <f t="shared" si="625"/>
        <v>71</v>
      </c>
      <c r="U201" s="55">
        <v>57406</v>
      </c>
      <c r="V201" s="49">
        <v>0.84699999999999998</v>
      </c>
      <c r="W201" s="56">
        <f t="shared" si="628"/>
        <v>83.825265643447466</v>
      </c>
      <c r="X201" s="49" t="s">
        <v>163</v>
      </c>
      <c r="Y201" s="57" t="s">
        <v>249</v>
      </c>
      <c r="Z201" s="58">
        <v>6400000</v>
      </c>
      <c r="AA201" s="114">
        <v>3.44E-2</v>
      </c>
      <c r="AB201" s="59">
        <v>18</v>
      </c>
      <c r="AC201" s="60">
        <v>40</v>
      </c>
      <c r="AD201" s="61">
        <v>0.05</v>
      </c>
      <c r="AE201" s="62">
        <v>3900000</v>
      </c>
      <c r="AF201" s="63">
        <v>1.3</v>
      </c>
      <c r="AG201" s="59">
        <v>40</v>
      </c>
      <c r="AH201" s="60">
        <v>0</v>
      </c>
      <c r="AI201" s="61">
        <v>0.01</v>
      </c>
      <c r="AJ201" s="64">
        <v>2500000</v>
      </c>
      <c r="AK201" s="65">
        <f t="shared" si="629"/>
        <v>6400000</v>
      </c>
      <c r="AL201" s="66">
        <v>0</v>
      </c>
      <c r="AM201" s="49" t="s">
        <v>163</v>
      </c>
      <c r="AN201" s="67">
        <v>0.91</v>
      </c>
      <c r="AO201" s="62">
        <v>16140013</v>
      </c>
      <c r="AP201" s="62">
        <v>0</v>
      </c>
      <c r="AQ201" s="68">
        <v>760731</v>
      </c>
      <c r="AR201" s="69">
        <f t="shared" si="630"/>
        <v>90140.84507042254</v>
      </c>
      <c r="AS201" s="70" t="str">
        <f>IFERROR(IF(AL201&gt;0,AL201/T201,""),"")</f>
        <v/>
      </c>
      <c r="AT201" s="70">
        <f t="shared" si="632"/>
        <v>227324.12676056338</v>
      </c>
      <c r="AU201" s="70" t="str">
        <f>IFERROR(IF(AP201&gt;0,AP201/T201,""),"")</f>
        <v/>
      </c>
      <c r="AV201" s="71">
        <f t="shared" si="634"/>
        <v>10714.521126760563</v>
      </c>
      <c r="AW201" s="115">
        <f t="shared" si="635"/>
        <v>122278.76056338029</v>
      </c>
      <c r="AX201" s="116">
        <f t="shared" si="636"/>
        <v>151.23492317876179</v>
      </c>
      <c r="AY201" s="72">
        <f t="shared" si="637"/>
        <v>149155.61971830984</v>
      </c>
      <c r="AZ201" s="73">
        <f t="shared" si="638"/>
        <v>184.47634393617392</v>
      </c>
      <c r="BA201" s="66">
        <v>5075000</v>
      </c>
      <c r="BB201" s="62">
        <v>1947500</v>
      </c>
      <c r="BC201" s="62">
        <v>6734292</v>
      </c>
      <c r="BD201" s="62">
        <v>607725</v>
      </c>
      <c r="BE201" s="62">
        <v>1300532</v>
      </c>
      <c r="BF201" s="62">
        <v>2400718</v>
      </c>
      <c r="BG201" s="62">
        <v>1992468</v>
      </c>
      <c r="BH201" s="62">
        <v>2152518</v>
      </c>
      <c r="BI201" s="62">
        <v>329259</v>
      </c>
      <c r="BJ201" s="47">
        <f t="shared" si="639"/>
        <v>22540012</v>
      </c>
      <c r="BK201" s="69">
        <f t="shared" si="640"/>
        <v>71478.873239436623</v>
      </c>
      <c r="BL201" s="70">
        <f t="shared" si="641"/>
        <v>27429.577464788734</v>
      </c>
      <c r="BM201" s="70">
        <f t="shared" si="642"/>
        <v>94849.183098591544</v>
      </c>
      <c r="BN201" s="70">
        <f t="shared" si="643"/>
        <v>8559.5070422535209</v>
      </c>
      <c r="BO201" s="70">
        <f t="shared" si="644"/>
        <v>18317.352112676057</v>
      </c>
      <c r="BP201" s="70">
        <f t="shared" si="645"/>
        <v>33812.929577464791</v>
      </c>
      <c r="BQ201" s="70">
        <f t="shared" si="646"/>
        <v>28062.929577464787</v>
      </c>
      <c r="BR201" s="70">
        <f t="shared" si="647"/>
        <v>30317.154929577464</v>
      </c>
      <c r="BS201" s="70">
        <f t="shared" si="648"/>
        <v>4637.4507042253517</v>
      </c>
      <c r="BT201" s="71">
        <f t="shared" si="649"/>
        <v>317464.95774647885</v>
      </c>
      <c r="BU201" s="65">
        <f t="shared" si="650"/>
        <v>88.405393164477587</v>
      </c>
      <c r="BV201" s="48">
        <f t="shared" si="651"/>
        <v>33.92502525868376</v>
      </c>
      <c r="BW201" s="48">
        <f t="shared" si="652"/>
        <v>117.30989792007804</v>
      </c>
      <c r="BX201" s="48">
        <f t="shared" si="653"/>
        <v>10.586436957809289</v>
      </c>
      <c r="BY201" s="48">
        <f t="shared" si="654"/>
        <v>22.654983799602828</v>
      </c>
      <c r="BZ201" s="48">
        <f t="shared" si="655"/>
        <v>41.819983973800646</v>
      </c>
      <c r="CA201" s="48">
        <f t="shared" si="656"/>
        <v>34.708358011357696</v>
      </c>
      <c r="CB201" s="48">
        <f t="shared" si="657"/>
        <v>37.496394105145804</v>
      </c>
      <c r="CC201" s="48">
        <f t="shared" si="658"/>
        <v>5.7356199700379751</v>
      </c>
      <c r="CD201" s="47">
        <f t="shared" si="659"/>
        <v>392.64209316099362</v>
      </c>
      <c r="CE201" s="66">
        <v>806400</v>
      </c>
      <c r="CF201" s="62">
        <v>12780</v>
      </c>
      <c r="CG201" s="74">
        <v>-61304</v>
      </c>
      <c r="CH201" s="75">
        <f t="shared" si="660"/>
        <v>757876</v>
      </c>
      <c r="CI201" s="62">
        <f>34350+2840</f>
        <v>37190</v>
      </c>
      <c r="CJ201" s="62">
        <v>37804</v>
      </c>
      <c r="CK201" s="62">
        <v>98560</v>
      </c>
      <c r="CL201" s="62">
        <v>50256</v>
      </c>
      <c r="CM201" s="62">
        <v>63900</v>
      </c>
      <c r="CN201" s="62">
        <v>42600</v>
      </c>
      <c r="CO201" s="62">
        <v>110500</v>
      </c>
      <c r="CP201" s="75">
        <f t="shared" si="626"/>
        <v>440810</v>
      </c>
      <c r="CQ201" s="62">
        <v>21300</v>
      </c>
      <c r="CR201" s="75">
        <f t="shared" si="627"/>
        <v>462110</v>
      </c>
      <c r="CS201" s="75">
        <f t="shared" si="661"/>
        <v>317066</v>
      </c>
      <c r="CT201" s="62">
        <v>225668</v>
      </c>
      <c r="CU201" s="47">
        <f t="shared" si="662"/>
        <v>91398</v>
      </c>
      <c r="CV201" s="76">
        <f t="shared" si="663"/>
        <v>0.4183613150436219</v>
      </c>
      <c r="CW201" s="75">
        <f t="shared" si="664"/>
        <v>6508.5915492957747</v>
      </c>
      <c r="CX201" s="77">
        <f t="shared" si="665"/>
        <v>0.60974354643767581</v>
      </c>
      <c r="CY201" s="75">
        <f t="shared" si="666"/>
        <v>1287.2957746478874</v>
      </c>
      <c r="CZ201" s="77">
        <f t="shared" si="667"/>
        <v>0.12059756477312911</v>
      </c>
      <c r="DA201" s="77">
        <f t="shared" si="668"/>
        <v>0.29776375027049279</v>
      </c>
      <c r="DB201" s="47">
        <f t="shared" si="669"/>
        <v>90140.84507042254</v>
      </c>
      <c r="DC201" s="69">
        <f t="shared" si="670"/>
        <v>11357.74647887324</v>
      </c>
      <c r="DD201" s="70">
        <f t="shared" si="671"/>
        <v>180</v>
      </c>
      <c r="DE201" s="70">
        <f t="shared" si="672"/>
        <v>-863.43661971830988</v>
      </c>
      <c r="DF201" s="70">
        <f t="shared" si="673"/>
        <v>10674.30985915493</v>
      </c>
      <c r="DG201" s="70">
        <f t="shared" si="674"/>
        <v>523.80281690140851</v>
      </c>
      <c r="DH201" s="70">
        <f t="shared" si="675"/>
        <v>532.45070422535207</v>
      </c>
      <c r="DI201" s="70">
        <f t="shared" si="676"/>
        <v>1388.1690140845071</v>
      </c>
      <c r="DJ201" s="70">
        <f t="shared" si="677"/>
        <v>707.83098591549299</v>
      </c>
      <c r="DK201" s="70">
        <f t="shared" si="678"/>
        <v>900</v>
      </c>
      <c r="DL201" s="70">
        <f t="shared" si="679"/>
        <v>600</v>
      </c>
      <c r="DM201" s="70">
        <f t="shared" si="680"/>
        <v>1556.338028169014</v>
      </c>
      <c r="DN201" s="70">
        <f t="shared" si="681"/>
        <v>6208.5915492957747</v>
      </c>
      <c r="DO201" s="70">
        <f t="shared" si="682"/>
        <v>300</v>
      </c>
      <c r="DP201" s="70">
        <f t="shared" si="683"/>
        <v>6508.5915492957747</v>
      </c>
      <c r="DQ201" s="70">
        <f t="shared" si="684"/>
        <v>4465.7183098591549</v>
      </c>
      <c r="DR201" s="70">
        <f t="shared" si="685"/>
        <v>3178.4225352112676</v>
      </c>
      <c r="DS201" s="71">
        <f t="shared" si="686"/>
        <v>1287.2957746478874</v>
      </c>
      <c r="DT201" s="106">
        <f t="shared" si="687"/>
        <v>1.0640263050947649</v>
      </c>
      <c r="DU201" s="92">
        <f t="shared" si="688"/>
        <v>1.686291688877864E-2</v>
      </c>
      <c r="DV201" s="92" t="str">
        <f t="shared" si="689"/>
        <v/>
      </c>
      <c r="DW201" s="92">
        <f t="shared" si="690"/>
        <v>1</v>
      </c>
      <c r="DX201" s="92">
        <f t="shared" si="691"/>
        <v>4.907135204175881E-2</v>
      </c>
      <c r="DY201" s="92">
        <f t="shared" si="692"/>
        <v>4.9881510959576499E-2</v>
      </c>
      <c r="DZ201" s="92">
        <f t="shared" si="693"/>
        <v>0.13004765951158237</v>
      </c>
      <c r="EA201" s="92">
        <f t="shared" si="694"/>
        <v>6.6311639371084447E-2</v>
      </c>
      <c r="EB201" s="92">
        <f t="shared" si="695"/>
        <v>8.4314584443893198E-2</v>
      </c>
      <c r="EC201" s="92">
        <f t="shared" si="696"/>
        <v>5.6209722962595465E-2</v>
      </c>
      <c r="ED201" s="92">
        <f t="shared" si="697"/>
        <v>0.1458022156658873</v>
      </c>
      <c r="EE201" s="92">
        <f t="shared" si="698"/>
        <v>0.58163868495637805</v>
      </c>
      <c r="EF201" s="92">
        <f t="shared" si="699"/>
        <v>2.8104861481297733E-2</v>
      </c>
      <c r="EG201" s="92">
        <f t="shared" si="700"/>
        <v>0.60974354643767581</v>
      </c>
      <c r="EH201" s="92">
        <f t="shared" si="701"/>
        <v>0.4183613150436219</v>
      </c>
      <c r="EI201" s="92">
        <f t="shared" si="702"/>
        <v>0.29776375027049279</v>
      </c>
      <c r="EJ201" s="122">
        <f t="shared" si="703"/>
        <v>0.12059756477312911</v>
      </c>
    </row>
    <row r="202" spans="2:140" ht="12" hidden="1" customHeight="1" outlineLevel="1">
      <c r="B202" s="121">
        <v>45301</v>
      </c>
      <c r="C202" s="117">
        <v>23476</v>
      </c>
      <c r="D202" s="50" t="s">
        <v>1076</v>
      </c>
      <c r="E202" s="50" t="s">
        <v>1077</v>
      </c>
      <c r="F202" s="50" t="s">
        <v>1078</v>
      </c>
      <c r="G202" s="50" t="s">
        <v>162</v>
      </c>
      <c r="H202" s="50" t="s">
        <v>1079</v>
      </c>
      <c r="I202" s="50" t="s">
        <v>875</v>
      </c>
      <c r="J202" s="52" t="s">
        <v>175</v>
      </c>
      <c r="K202" s="50" t="s">
        <v>176</v>
      </c>
      <c r="L202" s="49">
        <v>6</v>
      </c>
      <c r="M202" s="50" t="s">
        <v>159</v>
      </c>
      <c r="N202" s="50" t="s">
        <v>160</v>
      </c>
      <c r="O202" s="50" t="s">
        <v>160</v>
      </c>
      <c r="P202" s="50" t="s">
        <v>177</v>
      </c>
      <c r="Q202" s="53">
        <v>0.04</v>
      </c>
      <c r="R202" s="49">
        <v>300</v>
      </c>
      <c r="S202" s="49">
        <v>0</v>
      </c>
      <c r="T202" s="54">
        <f t="shared" si="625"/>
        <v>300</v>
      </c>
      <c r="U202" s="55">
        <v>268052</v>
      </c>
      <c r="V202" s="49">
        <v>8.89</v>
      </c>
      <c r="W202" s="56">
        <f t="shared" si="628"/>
        <v>33.745781777277841</v>
      </c>
      <c r="X202" s="49" t="s">
        <v>163</v>
      </c>
      <c r="Y202" s="57" t="s">
        <v>162</v>
      </c>
      <c r="Z202" s="58">
        <v>50653742</v>
      </c>
      <c r="AA202" s="114">
        <v>6.25E-2</v>
      </c>
      <c r="AB202" s="59">
        <v>15</v>
      </c>
      <c r="AC202" s="60">
        <v>40</v>
      </c>
      <c r="AD202" s="61">
        <v>6.1199999999999997E-2</v>
      </c>
      <c r="AE202" s="62">
        <v>31829742</v>
      </c>
      <c r="AF202" s="63">
        <v>1.1599999999999999</v>
      </c>
      <c r="AG202" s="59">
        <v>0</v>
      </c>
      <c r="AH202" s="60">
        <v>0</v>
      </c>
      <c r="AI202" s="61">
        <v>6.5699999999999995E-2</v>
      </c>
      <c r="AJ202" s="64">
        <v>18824000</v>
      </c>
      <c r="AK202" s="65">
        <f t="shared" si="629"/>
        <v>50653742</v>
      </c>
      <c r="AL202" s="66">
        <v>1000000</v>
      </c>
      <c r="AM202" s="49" t="s">
        <v>1080</v>
      </c>
      <c r="AN202" s="67">
        <v>0.88</v>
      </c>
      <c r="AO202" s="62">
        <v>27351971</v>
      </c>
      <c r="AP202" s="62">
        <v>0</v>
      </c>
      <c r="AQ202" s="68">
        <v>3806993</v>
      </c>
      <c r="AR202" s="69">
        <f t="shared" si="630"/>
        <v>168845.80666666667</v>
      </c>
      <c r="AS202" s="70">
        <f t="shared" si="631"/>
        <v>3333.3333333333335</v>
      </c>
      <c r="AT202" s="70">
        <f t="shared" si="632"/>
        <v>91173.236666666664</v>
      </c>
      <c r="AU202" s="70" t="str">
        <f t="shared" si="633"/>
        <v/>
      </c>
      <c r="AV202" s="71">
        <f t="shared" si="634"/>
        <v>12689.976666666667</v>
      </c>
      <c r="AW202" s="115">
        <f t="shared" si="635"/>
        <v>120473.78666666667</v>
      </c>
      <c r="AX202" s="116">
        <f t="shared" si="636"/>
        <v>134.83255487741184</v>
      </c>
      <c r="AY202" s="72">
        <f t="shared" si="637"/>
        <v>143363.8066666667</v>
      </c>
      <c r="AZ202" s="73">
        <f t="shared" si="638"/>
        <v>160.45074090101917</v>
      </c>
      <c r="BA202" s="66">
        <v>1000000</v>
      </c>
      <c r="BB202" s="62">
        <v>4049304</v>
      </c>
      <c r="BC202" s="62">
        <v>32092832</v>
      </c>
      <c r="BD202" s="62">
        <v>1807107</v>
      </c>
      <c r="BE202" s="62">
        <v>5059899</v>
      </c>
      <c r="BF202" s="62">
        <v>3995977</v>
      </c>
      <c r="BG202" s="62">
        <v>6644923</v>
      </c>
      <c r="BH202" s="62">
        <v>7609068</v>
      </c>
      <c r="BI202" s="62">
        <v>1729596</v>
      </c>
      <c r="BJ202" s="47">
        <f t="shared" si="639"/>
        <v>63988706</v>
      </c>
      <c r="BK202" s="69">
        <f t="shared" si="640"/>
        <v>3333.3333333333335</v>
      </c>
      <c r="BL202" s="70">
        <f t="shared" si="641"/>
        <v>13497.68</v>
      </c>
      <c r="BM202" s="70">
        <f t="shared" si="642"/>
        <v>106976.10666666667</v>
      </c>
      <c r="BN202" s="70">
        <f t="shared" si="643"/>
        <v>6023.69</v>
      </c>
      <c r="BO202" s="70">
        <f t="shared" si="644"/>
        <v>16866.330000000002</v>
      </c>
      <c r="BP202" s="70">
        <f t="shared" si="645"/>
        <v>13319.923333333334</v>
      </c>
      <c r="BQ202" s="70">
        <f t="shared" si="646"/>
        <v>22149.743333333332</v>
      </c>
      <c r="BR202" s="70">
        <f t="shared" si="647"/>
        <v>25363.56</v>
      </c>
      <c r="BS202" s="70">
        <f t="shared" si="648"/>
        <v>5765.32</v>
      </c>
      <c r="BT202" s="71">
        <f t="shared" si="649"/>
        <v>213295.68666666668</v>
      </c>
      <c r="BU202" s="65">
        <f t="shared" si="650"/>
        <v>3.7306194320504975</v>
      </c>
      <c r="BV202" s="48">
        <f t="shared" si="651"/>
        <v>15.106412188679808</v>
      </c>
      <c r="BW202" s="48">
        <f t="shared" si="652"/>
        <v>119.72614268873204</v>
      </c>
      <c r="BX202" s="48">
        <f t="shared" si="653"/>
        <v>6.7416284899944783</v>
      </c>
      <c r="BY202" s="48">
        <f t="shared" si="654"/>
        <v>18.876557533612882</v>
      </c>
      <c r="BZ202" s="48">
        <f t="shared" si="655"/>
        <v>14.907469446226852</v>
      </c>
      <c r="CA202" s="48">
        <f t="shared" si="656"/>
        <v>24.789678868279289</v>
      </c>
      <c r="CB202" s="48">
        <f t="shared" si="657"/>
        <v>28.386536940593615</v>
      </c>
      <c r="CC202" s="48">
        <f t="shared" si="658"/>
        <v>6.4524644471968129</v>
      </c>
      <c r="CD202" s="47">
        <f t="shared" si="659"/>
        <v>238.71751003536627</v>
      </c>
      <c r="CE202" s="66">
        <v>4050168</v>
      </c>
      <c r="CF202" s="62">
        <v>72000</v>
      </c>
      <c r="CG202" s="74">
        <v>-309163</v>
      </c>
      <c r="CH202" s="75">
        <f t="shared" si="660"/>
        <v>3813005</v>
      </c>
      <c r="CI202" s="62">
        <f>118500+30000+12000+6000</f>
        <v>166500</v>
      </c>
      <c r="CJ202" s="62">
        <v>171585</v>
      </c>
      <c r="CK202" s="62">
        <v>197955</v>
      </c>
      <c r="CL202" s="62">
        <f>10000+210000</f>
        <v>220000</v>
      </c>
      <c r="CM202" s="62">
        <f>60000+195354</f>
        <v>255354</v>
      </c>
      <c r="CN202" s="62">
        <v>193689</v>
      </c>
      <c r="CO202" s="62">
        <v>0</v>
      </c>
      <c r="CP202" s="75">
        <f t="shared" si="626"/>
        <v>1205083</v>
      </c>
      <c r="CQ202" s="62">
        <v>90000</v>
      </c>
      <c r="CR202" s="75">
        <f t="shared" si="627"/>
        <v>1295083</v>
      </c>
      <c r="CS202" s="75">
        <f t="shared" si="661"/>
        <v>2607922</v>
      </c>
      <c r="CT202" s="62">
        <v>2165448</v>
      </c>
      <c r="CU202" s="47">
        <f t="shared" si="662"/>
        <v>442474</v>
      </c>
      <c r="CV202" s="76">
        <f t="shared" si="663"/>
        <v>0.68395451881127878</v>
      </c>
      <c r="CW202" s="75">
        <f t="shared" si="664"/>
        <v>4316.9433333333336</v>
      </c>
      <c r="CX202" s="77">
        <f t="shared" si="665"/>
        <v>0.33964891207853126</v>
      </c>
      <c r="CY202" s="75">
        <f t="shared" si="666"/>
        <v>1474.9133333333334</v>
      </c>
      <c r="CZ202" s="77">
        <f t="shared" si="667"/>
        <v>0.11604338310597546</v>
      </c>
      <c r="DA202" s="77">
        <f t="shared" si="668"/>
        <v>0.56791113570530327</v>
      </c>
      <c r="DB202" s="47">
        <f t="shared" si="669"/>
        <v>168845.80666666667</v>
      </c>
      <c r="DC202" s="69">
        <f t="shared" si="670"/>
        <v>13500.56</v>
      </c>
      <c r="DD202" s="70">
        <f t="shared" si="671"/>
        <v>240</v>
      </c>
      <c r="DE202" s="70">
        <f t="shared" si="672"/>
        <v>-1030.5433333333333</v>
      </c>
      <c r="DF202" s="70">
        <f t="shared" si="673"/>
        <v>12710.016666666666</v>
      </c>
      <c r="DG202" s="70">
        <f t="shared" si="674"/>
        <v>555</v>
      </c>
      <c r="DH202" s="70">
        <f t="shared" si="675"/>
        <v>571.95000000000005</v>
      </c>
      <c r="DI202" s="70">
        <f t="shared" si="676"/>
        <v>659.85</v>
      </c>
      <c r="DJ202" s="70">
        <f t="shared" si="677"/>
        <v>733.33333333333337</v>
      </c>
      <c r="DK202" s="70">
        <f t="shared" si="678"/>
        <v>851.18</v>
      </c>
      <c r="DL202" s="70">
        <f t="shared" si="679"/>
        <v>645.63</v>
      </c>
      <c r="DM202" s="70" t="str">
        <f t="shared" si="680"/>
        <v/>
      </c>
      <c r="DN202" s="70">
        <f t="shared" si="681"/>
        <v>4016.9433333333332</v>
      </c>
      <c r="DO202" s="70">
        <f t="shared" si="682"/>
        <v>300</v>
      </c>
      <c r="DP202" s="70">
        <f t="shared" si="683"/>
        <v>4316.9433333333336</v>
      </c>
      <c r="DQ202" s="70">
        <f t="shared" si="684"/>
        <v>8693.0733333333337</v>
      </c>
      <c r="DR202" s="70">
        <f t="shared" si="685"/>
        <v>7218.16</v>
      </c>
      <c r="DS202" s="71">
        <f t="shared" si="686"/>
        <v>1474.9133333333334</v>
      </c>
      <c r="DT202" s="106">
        <f t="shared" si="687"/>
        <v>1.0621984497791113</v>
      </c>
      <c r="DU202" s="92">
        <f t="shared" si="688"/>
        <v>1.8882744711848004E-2</v>
      </c>
      <c r="DV202" s="92" t="str">
        <f t="shared" si="689"/>
        <v/>
      </c>
      <c r="DW202" s="92">
        <f t="shared" si="690"/>
        <v>1</v>
      </c>
      <c r="DX202" s="92">
        <f t="shared" si="691"/>
        <v>4.3666347146148511E-2</v>
      </c>
      <c r="DY202" s="92">
        <f t="shared" si="692"/>
        <v>4.4999940991422772E-2</v>
      </c>
      <c r="DZ202" s="92">
        <f t="shared" si="693"/>
        <v>5.1915746242137108E-2</v>
      </c>
      <c r="EA202" s="92">
        <f t="shared" si="694"/>
        <v>5.7697275508424455E-2</v>
      </c>
      <c r="EB202" s="92">
        <f t="shared" si="695"/>
        <v>6.6969227682628266E-2</v>
      </c>
      <c r="EC202" s="92">
        <f t="shared" si="696"/>
        <v>5.0796943617960111E-2</v>
      </c>
      <c r="ED202" s="92" t="str">
        <f t="shared" si="697"/>
        <v/>
      </c>
      <c r="EE202" s="92">
        <f t="shared" si="698"/>
        <v>0.31604548118872122</v>
      </c>
      <c r="EF202" s="92">
        <f t="shared" si="699"/>
        <v>2.3603430889810005E-2</v>
      </c>
      <c r="EG202" s="92">
        <f t="shared" si="700"/>
        <v>0.33964891207853126</v>
      </c>
      <c r="EH202" s="92">
        <f t="shared" si="701"/>
        <v>0.68395451881127878</v>
      </c>
      <c r="EI202" s="92">
        <f t="shared" si="702"/>
        <v>0.56791113570530327</v>
      </c>
      <c r="EJ202" s="122">
        <f t="shared" si="703"/>
        <v>0.11604338310597546</v>
      </c>
    </row>
    <row r="203" spans="2:140" ht="12" hidden="1" customHeight="1" outlineLevel="1">
      <c r="B203" s="121">
        <v>45309</v>
      </c>
      <c r="C203" s="117">
        <v>23479</v>
      </c>
      <c r="D203" s="50" t="s">
        <v>1081</v>
      </c>
      <c r="E203" s="50" t="s">
        <v>1082</v>
      </c>
      <c r="F203" s="50" t="s">
        <v>1083</v>
      </c>
      <c r="G203" s="50" t="s">
        <v>291</v>
      </c>
      <c r="H203" s="50" t="s">
        <v>1084</v>
      </c>
      <c r="I203" s="50" t="s">
        <v>340</v>
      </c>
      <c r="J203" s="52" t="s">
        <v>1085</v>
      </c>
      <c r="K203" s="50" t="s">
        <v>294</v>
      </c>
      <c r="L203" s="49">
        <v>7</v>
      </c>
      <c r="M203" s="50" t="s">
        <v>283</v>
      </c>
      <c r="N203" s="50" t="s">
        <v>160</v>
      </c>
      <c r="O203" s="50" t="s">
        <v>160</v>
      </c>
      <c r="P203" s="50" t="s">
        <v>177</v>
      </c>
      <c r="Q203" s="53">
        <v>0.04</v>
      </c>
      <c r="R203" s="49">
        <v>300</v>
      </c>
      <c r="S203" s="49">
        <v>0</v>
      </c>
      <c r="T203" s="54">
        <f t="shared" si="625"/>
        <v>300</v>
      </c>
      <c r="U203" s="55">
        <v>310080</v>
      </c>
      <c r="V203" s="49">
        <v>16.93</v>
      </c>
      <c r="W203" s="56">
        <f t="shared" si="628"/>
        <v>17.720023626698168</v>
      </c>
      <c r="X203" s="49" t="s">
        <v>163</v>
      </c>
      <c r="Y203" s="57" t="s">
        <v>162</v>
      </c>
      <c r="Z203" s="58">
        <v>44000000</v>
      </c>
      <c r="AA203" s="114">
        <f>((38800000*0.0615)/(Table1[[#This Row],[Construction Loan Principal]]))+((5200000*0.0705)/(Table1[[#This Row],[Construction Loan Principal]]))</f>
        <v>6.2563636363636363E-2</v>
      </c>
      <c r="AB203" s="59">
        <v>17</v>
      </c>
      <c r="AC203" s="60">
        <v>40</v>
      </c>
      <c r="AD203" s="61">
        <v>6.1499999999999999E-2</v>
      </c>
      <c r="AE203" s="62">
        <v>38800000</v>
      </c>
      <c r="AF203" s="63">
        <v>1.34</v>
      </c>
      <c r="AG203" s="59">
        <v>17</v>
      </c>
      <c r="AH203" s="60">
        <v>40</v>
      </c>
      <c r="AI203" s="61">
        <v>7.0499999999999993E-2</v>
      </c>
      <c r="AJ203" s="64">
        <v>5200000</v>
      </c>
      <c r="AK203" s="65">
        <f t="shared" si="629"/>
        <v>44000000</v>
      </c>
      <c r="AL203" s="66">
        <v>0</v>
      </c>
      <c r="AM203" s="49" t="s">
        <v>163</v>
      </c>
      <c r="AN203" s="67">
        <v>0.83</v>
      </c>
      <c r="AO203" s="62">
        <v>29587748</v>
      </c>
      <c r="AP203" s="62">
        <v>0</v>
      </c>
      <c r="AQ203" s="68">
        <v>4207225</v>
      </c>
      <c r="AR203" s="69">
        <f t="shared" si="630"/>
        <v>146666.66666666666</v>
      </c>
      <c r="AS203" s="70" t="str">
        <f t="shared" si="631"/>
        <v/>
      </c>
      <c r="AT203" s="70">
        <f t="shared" si="632"/>
        <v>98625.82666666666</v>
      </c>
      <c r="AU203" s="70" t="str">
        <f t="shared" si="633"/>
        <v/>
      </c>
      <c r="AV203" s="71">
        <f t="shared" si="634"/>
        <v>14024.083333333334</v>
      </c>
      <c r="AW203" s="115">
        <f t="shared" si="635"/>
        <v>134672.26666666666</v>
      </c>
      <c r="AX203" s="116">
        <f t="shared" si="636"/>
        <v>130.29437564499483</v>
      </c>
      <c r="AY203" s="72">
        <f t="shared" si="637"/>
        <v>163907.06333333332</v>
      </c>
      <c r="AZ203" s="73">
        <f t="shared" si="638"/>
        <v>158.57881514447882</v>
      </c>
      <c r="BA203" s="66">
        <v>8000000</v>
      </c>
      <c r="BB203" s="62">
        <v>7879000</v>
      </c>
      <c r="BC203" s="62">
        <v>32522680</v>
      </c>
      <c r="BD203" s="62">
        <v>2811582</v>
      </c>
      <c r="BE203" s="62">
        <v>5958857</v>
      </c>
      <c r="BF203" s="62">
        <v>4642517</v>
      </c>
      <c r="BG203" s="62">
        <v>6036770</v>
      </c>
      <c r="BH203" s="62">
        <v>8943568</v>
      </c>
      <c r="BI203" s="62">
        <v>1000000</v>
      </c>
      <c r="BJ203" s="47">
        <f t="shared" si="639"/>
        <v>77794974</v>
      </c>
      <c r="BK203" s="69">
        <f t="shared" si="640"/>
        <v>26666.666666666668</v>
      </c>
      <c r="BL203" s="70">
        <f t="shared" si="641"/>
        <v>26263.333333333332</v>
      </c>
      <c r="BM203" s="70">
        <f t="shared" si="642"/>
        <v>108408.93333333333</v>
      </c>
      <c r="BN203" s="70">
        <f t="shared" si="643"/>
        <v>9371.94</v>
      </c>
      <c r="BO203" s="70">
        <f t="shared" si="644"/>
        <v>19862.856666666667</v>
      </c>
      <c r="BP203" s="70">
        <f t="shared" si="645"/>
        <v>15475.056666666667</v>
      </c>
      <c r="BQ203" s="70">
        <f t="shared" si="646"/>
        <v>20122.566666666666</v>
      </c>
      <c r="BR203" s="70">
        <f t="shared" si="647"/>
        <v>29811.893333333333</v>
      </c>
      <c r="BS203" s="70">
        <f t="shared" si="648"/>
        <v>3333.3333333333335</v>
      </c>
      <c r="BT203" s="71">
        <f t="shared" si="649"/>
        <v>259316.58</v>
      </c>
      <c r="BU203" s="65">
        <f t="shared" si="650"/>
        <v>25.799793601651185</v>
      </c>
      <c r="BV203" s="48">
        <f t="shared" si="651"/>
        <v>25.409571723426211</v>
      </c>
      <c r="BW203" s="48">
        <f t="shared" si="652"/>
        <v>104.88480392156863</v>
      </c>
      <c r="BX203" s="48">
        <f t="shared" si="653"/>
        <v>9.0672794117647051</v>
      </c>
      <c r="BY203" s="48">
        <f t="shared" si="654"/>
        <v>19.217160087719297</v>
      </c>
      <c r="BZ203" s="48">
        <f t="shared" si="655"/>
        <v>14.971997549019608</v>
      </c>
      <c r="CA203" s="48">
        <f t="shared" si="656"/>
        <v>19.468427502579978</v>
      </c>
      <c r="CB203" s="48">
        <f t="shared" si="657"/>
        <v>28.842776057791539</v>
      </c>
      <c r="CC203" s="48">
        <f t="shared" si="658"/>
        <v>3.2249742002063981</v>
      </c>
      <c r="CD203" s="47">
        <f t="shared" si="659"/>
        <v>250.88678405572756</v>
      </c>
      <c r="CE203" s="66">
        <v>5075040</v>
      </c>
      <c r="CF203" s="62">
        <v>108000</v>
      </c>
      <c r="CG203" s="74">
        <v>-388728</v>
      </c>
      <c r="CH203" s="75">
        <f t="shared" si="660"/>
        <v>4794312</v>
      </c>
      <c r="CI203" s="62">
        <f>105000+12000+7500+8500</f>
        <v>133000</v>
      </c>
      <c r="CJ203" s="62">
        <v>191772</v>
      </c>
      <c r="CK203" s="62">
        <v>330000</v>
      </c>
      <c r="CL203" s="62">
        <v>92000</v>
      </c>
      <c r="CM203" s="62">
        <f>50000+187000</f>
        <v>237000</v>
      </c>
      <c r="CN203" s="62">
        <v>150000</v>
      </c>
      <c r="CO203" s="62">
        <v>77500</v>
      </c>
      <c r="CP203" s="75">
        <f t="shared" si="626"/>
        <v>1211272</v>
      </c>
      <c r="CQ203" s="62">
        <v>75000</v>
      </c>
      <c r="CR203" s="75">
        <f t="shared" si="627"/>
        <v>1286272</v>
      </c>
      <c r="CS203" s="75">
        <f t="shared" si="661"/>
        <v>3583040</v>
      </c>
      <c r="CT203" s="62">
        <f>2610646+390041</f>
        <v>3000687</v>
      </c>
      <c r="CU203" s="47">
        <f t="shared" si="662"/>
        <v>582353</v>
      </c>
      <c r="CV203" s="76">
        <f t="shared" si="663"/>
        <v>0.74735227911742086</v>
      </c>
      <c r="CW203" s="75">
        <f t="shared" si="664"/>
        <v>4287.5733333333337</v>
      </c>
      <c r="CX203" s="77">
        <f t="shared" si="665"/>
        <v>0.26829125847462576</v>
      </c>
      <c r="CY203" s="75">
        <f t="shared" si="666"/>
        <v>1941.1766666666667</v>
      </c>
      <c r="CZ203" s="77">
        <f t="shared" si="667"/>
        <v>0.12146748063121465</v>
      </c>
      <c r="DA203" s="77">
        <f t="shared" si="668"/>
        <v>0.62588479848620615</v>
      </c>
      <c r="DB203" s="47">
        <f t="shared" si="669"/>
        <v>146666.66666666666</v>
      </c>
      <c r="DC203" s="69">
        <f t="shared" si="670"/>
        <v>16916.8</v>
      </c>
      <c r="DD203" s="70">
        <f t="shared" si="671"/>
        <v>360</v>
      </c>
      <c r="DE203" s="70">
        <f t="shared" si="672"/>
        <v>-1295.76</v>
      </c>
      <c r="DF203" s="70">
        <f t="shared" si="673"/>
        <v>15981.04</v>
      </c>
      <c r="DG203" s="70">
        <f t="shared" si="674"/>
        <v>443.33333333333331</v>
      </c>
      <c r="DH203" s="70">
        <f t="shared" si="675"/>
        <v>639.24</v>
      </c>
      <c r="DI203" s="70">
        <f t="shared" si="676"/>
        <v>1100</v>
      </c>
      <c r="DJ203" s="70">
        <f t="shared" si="677"/>
        <v>306.66666666666669</v>
      </c>
      <c r="DK203" s="70">
        <f t="shared" si="678"/>
        <v>790</v>
      </c>
      <c r="DL203" s="70">
        <f t="shared" si="679"/>
        <v>500</v>
      </c>
      <c r="DM203" s="70">
        <f t="shared" si="680"/>
        <v>258.33333333333331</v>
      </c>
      <c r="DN203" s="70">
        <f t="shared" si="681"/>
        <v>4037.5733333333333</v>
      </c>
      <c r="DO203" s="70">
        <f t="shared" si="682"/>
        <v>250</v>
      </c>
      <c r="DP203" s="70">
        <f t="shared" si="683"/>
        <v>4287.5733333333337</v>
      </c>
      <c r="DQ203" s="70">
        <f t="shared" si="684"/>
        <v>11943.466666666667</v>
      </c>
      <c r="DR203" s="70">
        <f t="shared" si="685"/>
        <v>10002.290000000001</v>
      </c>
      <c r="DS203" s="71">
        <f t="shared" si="686"/>
        <v>1941.1766666666667</v>
      </c>
      <c r="DT203" s="106">
        <f t="shared" si="687"/>
        <v>1.0585543869485341</v>
      </c>
      <c r="DU203" s="92">
        <f t="shared" si="688"/>
        <v>2.2526694132547067E-2</v>
      </c>
      <c r="DV203" s="92" t="str">
        <f t="shared" si="689"/>
        <v/>
      </c>
      <c r="DW203" s="92">
        <f t="shared" si="690"/>
        <v>1</v>
      </c>
      <c r="DX203" s="92">
        <f t="shared" si="691"/>
        <v>2.7741206663229261E-2</v>
      </c>
      <c r="DY203" s="92">
        <f t="shared" si="692"/>
        <v>3.9999899881359408E-2</v>
      </c>
      <c r="DZ203" s="92">
        <f t="shared" si="693"/>
        <v>6.883156540500493E-2</v>
      </c>
      <c r="EA203" s="92">
        <f t="shared" si="694"/>
        <v>1.9189406112910465E-2</v>
      </c>
      <c r="EB203" s="92">
        <f t="shared" si="695"/>
        <v>4.9433578790867176E-2</v>
      </c>
      <c r="EC203" s="92">
        <f t="shared" si="696"/>
        <v>3.1287075184093148E-2</v>
      </c>
      <c r="ED203" s="92">
        <f t="shared" si="697"/>
        <v>1.6164988845114796E-2</v>
      </c>
      <c r="EE203" s="92">
        <f t="shared" si="698"/>
        <v>0.2526477208825792</v>
      </c>
      <c r="EF203" s="92">
        <f t="shared" si="699"/>
        <v>1.5643537592046574E-2</v>
      </c>
      <c r="EG203" s="92">
        <f t="shared" si="700"/>
        <v>0.26829125847462576</v>
      </c>
      <c r="EH203" s="92">
        <f t="shared" si="701"/>
        <v>0.74735227911742086</v>
      </c>
      <c r="EI203" s="92">
        <f t="shared" si="702"/>
        <v>0.62588479848620615</v>
      </c>
      <c r="EJ203" s="122">
        <f t="shared" si="703"/>
        <v>0.12146748063121465</v>
      </c>
    </row>
    <row r="204" spans="2:140" ht="12" hidden="1" customHeight="1" outlineLevel="1">
      <c r="B204" s="121">
        <v>45313</v>
      </c>
      <c r="C204" s="117">
        <v>22053</v>
      </c>
      <c r="D204" s="50" t="s">
        <v>1086</v>
      </c>
      <c r="E204" s="50" t="s">
        <v>1087</v>
      </c>
      <c r="F204" s="50" t="s">
        <v>1088</v>
      </c>
      <c r="G204" s="50" t="s">
        <v>162</v>
      </c>
      <c r="H204" s="50" t="s">
        <v>1089</v>
      </c>
      <c r="I204" s="50" t="s">
        <v>182</v>
      </c>
      <c r="J204" s="52" t="s">
        <v>175</v>
      </c>
      <c r="K204" s="50" t="s">
        <v>176</v>
      </c>
      <c r="L204" s="49">
        <v>6</v>
      </c>
      <c r="M204" s="50" t="s">
        <v>159</v>
      </c>
      <c r="N204" s="50" t="s">
        <v>160</v>
      </c>
      <c r="O204" s="50" t="s">
        <v>160</v>
      </c>
      <c r="P204" s="50" t="s">
        <v>177</v>
      </c>
      <c r="Q204" s="53">
        <v>0.09</v>
      </c>
      <c r="R204" s="49">
        <f>146-31</f>
        <v>115</v>
      </c>
      <c r="S204" s="49">
        <v>31</v>
      </c>
      <c r="T204" s="54">
        <f t="shared" si="625"/>
        <v>146</v>
      </c>
      <c r="U204" s="55">
        <v>128957</v>
      </c>
      <c r="V204" s="49">
        <v>6.97</v>
      </c>
      <c r="W204" s="56">
        <f t="shared" si="628"/>
        <v>20.946915351506458</v>
      </c>
      <c r="X204" s="49" t="s">
        <v>163</v>
      </c>
      <c r="Y204" s="57" t="s">
        <v>162</v>
      </c>
      <c r="Z204" s="58">
        <v>11928300</v>
      </c>
      <c r="AA204" s="114">
        <v>3.0800000000000001E-2</v>
      </c>
      <c r="AB204" s="59">
        <v>40</v>
      </c>
      <c r="AC204" s="60">
        <v>40</v>
      </c>
      <c r="AD204" s="61">
        <v>3.0800000000000001E-2</v>
      </c>
      <c r="AE204" s="62">
        <v>11928300</v>
      </c>
      <c r="AF204" s="63">
        <v>1.1100000000000001</v>
      </c>
      <c r="AG204" s="59"/>
      <c r="AH204" s="60"/>
      <c r="AI204" s="61"/>
      <c r="AJ204" s="64"/>
      <c r="AK204" s="65">
        <f t="shared" si="629"/>
        <v>11928300</v>
      </c>
      <c r="AL204" s="66">
        <f>500+477132</f>
        <v>477632</v>
      </c>
      <c r="AM204" s="49" t="s">
        <v>1090</v>
      </c>
      <c r="AN204" s="67">
        <v>0.94</v>
      </c>
      <c r="AO204" s="62">
        <v>19815308</v>
      </c>
      <c r="AP204" s="62">
        <v>0</v>
      </c>
      <c r="AQ204" s="68">
        <v>1343404</v>
      </c>
      <c r="AR204" s="69">
        <f t="shared" si="630"/>
        <v>81700.684931506854</v>
      </c>
      <c r="AS204" s="70">
        <f t="shared" si="631"/>
        <v>3271.4520547945203</v>
      </c>
      <c r="AT204" s="70">
        <f t="shared" si="632"/>
        <v>135721.28767123289</v>
      </c>
      <c r="AU204" s="70" t="str">
        <f t="shared" si="633"/>
        <v/>
      </c>
      <c r="AV204" s="71">
        <f t="shared" si="634"/>
        <v>9201.3972602739723</v>
      </c>
      <c r="AW204" s="115">
        <f t="shared" si="635"/>
        <v>123630.10273972603</v>
      </c>
      <c r="AX204" s="116">
        <f t="shared" si="636"/>
        <v>139.96909822654064</v>
      </c>
      <c r="AY204" s="72">
        <f t="shared" si="637"/>
        <v>146250.02739726027</v>
      </c>
      <c r="AZ204" s="73">
        <f t="shared" si="638"/>
        <v>165.57847964825487</v>
      </c>
      <c r="BA204" s="66">
        <v>2195000</v>
      </c>
      <c r="BB204" s="62">
        <v>2768414</v>
      </c>
      <c r="BC204" s="62">
        <v>15281581</v>
      </c>
      <c r="BD204" s="62">
        <v>786009</v>
      </c>
      <c r="BE204" s="62">
        <v>2516500</v>
      </c>
      <c r="BF204" s="62">
        <v>2287123</v>
      </c>
      <c r="BG204" s="62">
        <v>1565742</v>
      </c>
      <c r="BH204" s="62">
        <v>3575996</v>
      </c>
      <c r="BI204" s="62">
        <v>1169875</v>
      </c>
      <c r="BJ204" s="47">
        <f t="shared" si="639"/>
        <v>32146240</v>
      </c>
      <c r="BK204" s="69">
        <f t="shared" si="640"/>
        <v>15034.246575342466</v>
      </c>
      <c r="BL204" s="70">
        <f t="shared" si="641"/>
        <v>18961.739726027397</v>
      </c>
      <c r="BM204" s="70">
        <f t="shared" si="642"/>
        <v>104668.36301369863</v>
      </c>
      <c r="BN204" s="70">
        <f t="shared" si="643"/>
        <v>5383.6232876712329</v>
      </c>
      <c r="BO204" s="70">
        <f t="shared" si="644"/>
        <v>17236.301369863013</v>
      </c>
      <c r="BP204" s="70">
        <f t="shared" si="645"/>
        <v>15665.226027397261</v>
      </c>
      <c r="BQ204" s="70">
        <f t="shared" si="646"/>
        <v>10724.260273972603</v>
      </c>
      <c r="BR204" s="70">
        <f t="shared" si="647"/>
        <v>24493.123287671231</v>
      </c>
      <c r="BS204" s="70">
        <f t="shared" si="648"/>
        <v>8012.8424657534242</v>
      </c>
      <c r="BT204" s="71">
        <f t="shared" si="649"/>
        <v>220179.72602739726</v>
      </c>
      <c r="BU204" s="65">
        <f t="shared" si="650"/>
        <v>17.021177601836271</v>
      </c>
      <c r="BV204" s="48">
        <f t="shared" si="651"/>
        <v>21.46772955326194</v>
      </c>
      <c r="BW204" s="48">
        <f t="shared" si="652"/>
        <v>118.50136867327869</v>
      </c>
      <c r="BX204" s="48">
        <f t="shared" si="653"/>
        <v>6.0951247314996468</v>
      </c>
      <c r="BY204" s="48">
        <f t="shared" si="654"/>
        <v>19.514256690214566</v>
      </c>
      <c r="BZ204" s="48">
        <f t="shared" si="655"/>
        <v>17.735547508084089</v>
      </c>
      <c r="CA204" s="48">
        <f t="shared" si="656"/>
        <v>12.141582077746845</v>
      </c>
      <c r="CB204" s="48">
        <f t="shared" si="657"/>
        <v>27.730142605674761</v>
      </c>
      <c r="CC204" s="48">
        <f t="shared" si="658"/>
        <v>9.0718223904092063</v>
      </c>
      <c r="CD204" s="47">
        <f t="shared" si="659"/>
        <v>249.27875183200601</v>
      </c>
      <c r="CE204" s="66">
        <v>1535184</v>
      </c>
      <c r="CF204" s="62">
        <f>31464+15948</f>
        <v>47412</v>
      </c>
      <c r="CG204" s="74">
        <v>-118695</v>
      </c>
      <c r="CH204" s="75">
        <f t="shared" si="660"/>
        <v>1463901</v>
      </c>
      <c r="CI204" s="62">
        <f>59608+4600+1646</f>
        <v>65854</v>
      </c>
      <c r="CJ204" s="62">
        <v>73193</v>
      </c>
      <c r="CK204" s="62">
        <v>225116</v>
      </c>
      <c r="CL204" s="62">
        <v>67536</v>
      </c>
      <c r="CM204" s="62">
        <f>27938+84988</f>
        <v>112926</v>
      </c>
      <c r="CN204" s="62">
        <v>73000</v>
      </c>
      <c r="CO204" s="62">
        <v>182500</v>
      </c>
      <c r="CP204" s="75">
        <f t="shared" si="626"/>
        <v>800125</v>
      </c>
      <c r="CQ204" s="62">
        <v>36500</v>
      </c>
      <c r="CR204" s="75">
        <f t="shared" si="627"/>
        <v>836625</v>
      </c>
      <c r="CS204" s="75">
        <f t="shared" si="661"/>
        <v>663776</v>
      </c>
      <c r="CT204" s="62">
        <v>548860</v>
      </c>
      <c r="CU204" s="47">
        <f t="shared" si="662"/>
        <v>114916</v>
      </c>
      <c r="CV204" s="76">
        <f t="shared" si="663"/>
        <v>0.4534295693492934</v>
      </c>
      <c r="CW204" s="75">
        <f t="shared" si="664"/>
        <v>5730.3082191780823</v>
      </c>
      <c r="CX204" s="77">
        <f t="shared" si="665"/>
        <v>0.57150381070851097</v>
      </c>
      <c r="CY204" s="75">
        <f t="shared" si="666"/>
        <v>787.09589041095887</v>
      </c>
      <c r="CZ204" s="77">
        <f t="shared" si="667"/>
        <v>7.8499843910209768E-2</v>
      </c>
      <c r="DA204" s="77">
        <f t="shared" si="668"/>
        <v>0.37492972543908365</v>
      </c>
      <c r="DB204" s="47">
        <f t="shared" si="669"/>
        <v>81700.684931506854</v>
      </c>
      <c r="DC204" s="69">
        <f t="shared" si="670"/>
        <v>10514.95890410959</v>
      </c>
      <c r="DD204" s="70">
        <f t="shared" si="671"/>
        <v>324.73972602739724</v>
      </c>
      <c r="DE204" s="70">
        <f t="shared" si="672"/>
        <v>-812.97945205479448</v>
      </c>
      <c r="DF204" s="70">
        <f t="shared" si="673"/>
        <v>10026.719178082192</v>
      </c>
      <c r="DG204" s="70">
        <f t="shared" si="674"/>
        <v>451.05479452054794</v>
      </c>
      <c r="DH204" s="70">
        <f t="shared" si="675"/>
        <v>501.32191780821915</v>
      </c>
      <c r="DI204" s="70">
        <f t="shared" si="676"/>
        <v>1541.8904109589041</v>
      </c>
      <c r="DJ204" s="70">
        <f t="shared" si="677"/>
        <v>462.57534246575341</v>
      </c>
      <c r="DK204" s="70">
        <f t="shared" si="678"/>
        <v>773.46575342465758</v>
      </c>
      <c r="DL204" s="70">
        <f t="shared" si="679"/>
        <v>500</v>
      </c>
      <c r="DM204" s="70">
        <f t="shared" si="680"/>
        <v>1250</v>
      </c>
      <c r="DN204" s="70">
        <f t="shared" si="681"/>
        <v>5480.3082191780823</v>
      </c>
      <c r="DO204" s="70">
        <f t="shared" si="682"/>
        <v>250</v>
      </c>
      <c r="DP204" s="70">
        <f t="shared" si="683"/>
        <v>5730.3082191780823</v>
      </c>
      <c r="DQ204" s="70">
        <f t="shared" si="684"/>
        <v>4546.41095890411</v>
      </c>
      <c r="DR204" s="70">
        <f t="shared" si="685"/>
        <v>3759.3150684931506</v>
      </c>
      <c r="DS204" s="71">
        <f t="shared" si="686"/>
        <v>787.09589041095887</v>
      </c>
      <c r="DT204" s="106">
        <f t="shared" si="687"/>
        <v>1.0486938665934378</v>
      </c>
      <c r="DU204" s="92">
        <f t="shared" si="688"/>
        <v>3.2387436035633557E-2</v>
      </c>
      <c r="DV204" s="92" t="str">
        <f t="shared" si="689"/>
        <v/>
      </c>
      <c r="DW204" s="92">
        <f t="shared" si="690"/>
        <v>1</v>
      </c>
      <c r="DX204" s="92">
        <f t="shared" si="691"/>
        <v>4.4985282474702869E-2</v>
      </c>
      <c r="DY204" s="92">
        <f t="shared" si="692"/>
        <v>4.9998599632078942E-2</v>
      </c>
      <c r="DZ204" s="92">
        <f t="shared" si="693"/>
        <v>0.15377815849569063</v>
      </c>
      <c r="EA204" s="92">
        <f t="shared" si="694"/>
        <v>4.6134267276270728E-2</v>
      </c>
      <c r="EB204" s="92">
        <f t="shared" si="695"/>
        <v>7.7140462367332213E-2</v>
      </c>
      <c r="EC204" s="92">
        <f t="shared" si="696"/>
        <v>4.9866760115608907E-2</v>
      </c>
      <c r="ED204" s="92">
        <f t="shared" si="697"/>
        <v>0.12466690028902228</v>
      </c>
      <c r="EE204" s="92">
        <f t="shared" si="698"/>
        <v>0.54657043065070654</v>
      </c>
      <c r="EF204" s="92">
        <f t="shared" si="699"/>
        <v>2.4933380057804454E-2</v>
      </c>
      <c r="EG204" s="92">
        <f t="shared" si="700"/>
        <v>0.57150381070851097</v>
      </c>
      <c r="EH204" s="92">
        <f t="shared" si="701"/>
        <v>0.4534295693492934</v>
      </c>
      <c r="EI204" s="92">
        <f t="shared" si="702"/>
        <v>0.37492972543908365</v>
      </c>
      <c r="EJ204" s="122">
        <f t="shared" si="703"/>
        <v>7.8499843910209768E-2</v>
      </c>
    </row>
    <row r="205" spans="2:140" ht="12" hidden="1" customHeight="1" outlineLevel="1">
      <c r="B205" s="121">
        <v>45314</v>
      </c>
      <c r="C205" s="117">
        <v>23480</v>
      </c>
      <c r="D205" s="50" t="s">
        <v>1091</v>
      </c>
      <c r="E205" s="50" t="s">
        <v>1092</v>
      </c>
      <c r="F205" s="50" t="s">
        <v>1093</v>
      </c>
      <c r="G205" s="50" t="s">
        <v>154</v>
      </c>
      <c r="H205" s="50" t="s">
        <v>259</v>
      </c>
      <c r="I205" s="51" t="s">
        <v>709</v>
      </c>
      <c r="J205" s="52" t="s">
        <v>271</v>
      </c>
      <c r="K205" s="50" t="s">
        <v>272</v>
      </c>
      <c r="L205" s="49">
        <v>1</v>
      </c>
      <c r="M205" s="50" t="s">
        <v>159</v>
      </c>
      <c r="N205" s="50" t="s">
        <v>160</v>
      </c>
      <c r="O205" s="50" t="s">
        <v>160</v>
      </c>
      <c r="P205" s="50" t="s">
        <v>161</v>
      </c>
      <c r="Q205" s="53">
        <v>0.04</v>
      </c>
      <c r="R205" s="49">
        <v>164</v>
      </c>
      <c r="S205" s="49">
        <v>0</v>
      </c>
      <c r="T205" s="54">
        <f t="shared" si="625"/>
        <v>164</v>
      </c>
      <c r="U205" s="55">
        <v>139268</v>
      </c>
      <c r="V205" s="49">
        <v>12.14</v>
      </c>
      <c r="W205" s="56">
        <f t="shared" si="628"/>
        <v>13.509060955518946</v>
      </c>
      <c r="X205" s="49">
        <v>1950</v>
      </c>
      <c r="Y205" s="57" t="s">
        <v>162</v>
      </c>
      <c r="Z205" s="58">
        <v>19714163</v>
      </c>
      <c r="AA205" s="114">
        <v>0.05</v>
      </c>
      <c r="AB205" s="59">
        <v>18</v>
      </c>
      <c r="AC205" s="60">
        <v>40</v>
      </c>
      <c r="AD205" s="61">
        <v>5.3499999999999999E-2</v>
      </c>
      <c r="AE205" s="62">
        <v>11475663</v>
      </c>
      <c r="AF205" s="63">
        <v>1.17</v>
      </c>
      <c r="AG205" s="59"/>
      <c r="AH205" s="60"/>
      <c r="AI205" s="61"/>
      <c r="AJ205" s="64"/>
      <c r="AK205" s="65">
        <f t="shared" si="629"/>
        <v>11475663</v>
      </c>
      <c r="AL205" s="62">
        <v>728487</v>
      </c>
      <c r="AM205" s="49" t="s">
        <v>163</v>
      </c>
      <c r="AN205" s="67">
        <v>0.88</v>
      </c>
      <c r="AO205" s="62">
        <v>10484733</v>
      </c>
      <c r="AP205" s="62">
        <v>0</v>
      </c>
      <c r="AQ205" s="68">
        <v>1345231</v>
      </c>
      <c r="AR205" s="69">
        <f t="shared" si="630"/>
        <v>69973.554878048773</v>
      </c>
      <c r="AS205" s="70" t="str">
        <f>IFERROR(IF(#REF!&gt;0,#REF!/T205,""),"")</f>
        <v/>
      </c>
      <c r="AT205" s="70">
        <f t="shared" si="632"/>
        <v>63931.298780487807</v>
      </c>
      <c r="AU205" s="70">
        <f>IFERROR(IF(AL205&gt;0,AL205/T205,""),"")</f>
        <v>4441.9939024390242</v>
      </c>
      <c r="AV205" s="71">
        <f t="shared" si="634"/>
        <v>8202.628048780487</v>
      </c>
      <c r="AW205" s="115">
        <f t="shared" si="635"/>
        <v>39432.92682926829</v>
      </c>
      <c r="AX205" s="116">
        <f t="shared" si="636"/>
        <v>46.435649251802282</v>
      </c>
      <c r="AY205" s="72">
        <f t="shared" si="637"/>
        <v>49448.890243902446</v>
      </c>
      <c r="AZ205" s="73">
        <f t="shared" si="638"/>
        <v>58.23030416176006</v>
      </c>
      <c r="BA205" s="66">
        <v>6700000</v>
      </c>
      <c r="BB205" s="62">
        <v>894500</v>
      </c>
      <c r="BC205" s="62">
        <v>5572500</v>
      </c>
      <c r="BD205" s="62">
        <v>646700</v>
      </c>
      <c r="BE205" s="62">
        <v>995918</v>
      </c>
      <c r="BF205" s="62">
        <v>2589457</v>
      </c>
      <c r="BG205" s="67">
        <v>2962058</v>
      </c>
      <c r="BH205" s="62">
        <v>2481127</v>
      </c>
      <c r="BI205" s="62">
        <v>1191854</v>
      </c>
      <c r="BJ205" s="47">
        <f t="shared" si="639"/>
        <v>24034114</v>
      </c>
      <c r="BK205" s="69">
        <f t="shared" si="640"/>
        <v>40853.658536585368</v>
      </c>
      <c r="BL205" s="70">
        <f t="shared" si="641"/>
        <v>5454.2682926829266</v>
      </c>
      <c r="BM205" s="70">
        <f t="shared" si="642"/>
        <v>33978.658536585368</v>
      </c>
      <c r="BN205" s="70">
        <f t="shared" si="643"/>
        <v>3943.2926829268295</v>
      </c>
      <c r="BO205" s="70">
        <f t="shared" si="644"/>
        <v>6072.6707317073169</v>
      </c>
      <c r="BP205" s="70">
        <f t="shared" si="645"/>
        <v>15789.371951219513</v>
      </c>
      <c r="BQ205" s="70">
        <f t="shared" si="646"/>
        <v>18061.329268292684</v>
      </c>
      <c r="BR205" s="70">
        <f t="shared" si="647"/>
        <v>15128.823170731708</v>
      </c>
      <c r="BS205" s="70">
        <f t="shared" si="648"/>
        <v>7267.4024390243903</v>
      </c>
      <c r="BT205" s="71">
        <f t="shared" si="649"/>
        <v>146549.4756097561</v>
      </c>
      <c r="BU205" s="65">
        <f t="shared" si="650"/>
        <v>48.108682540138439</v>
      </c>
      <c r="BV205" s="48">
        <f t="shared" si="651"/>
        <v>6.4228681391274378</v>
      </c>
      <c r="BW205" s="48">
        <f t="shared" si="652"/>
        <v>40.012781112674844</v>
      </c>
      <c r="BX205" s="48">
        <f t="shared" si="653"/>
        <v>4.643564925180228</v>
      </c>
      <c r="BY205" s="48">
        <f t="shared" si="654"/>
        <v>7.1510899847775509</v>
      </c>
      <c r="BZ205" s="48">
        <f t="shared" si="655"/>
        <v>18.593338024528247</v>
      </c>
      <c r="CA205" s="48">
        <f t="shared" si="656"/>
        <v>21.268762386190655</v>
      </c>
      <c r="CB205" s="48">
        <f t="shared" si="657"/>
        <v>17.81548525145762</v>
      </c>
      <c r="CC205" s="48">
        <f t="shared" si="658"/>
        <v>8.5579889134618146</v>
      </c>
      <c r="CD205" s="47">
        <f t="shared" si="659"/>
        <v>172.57456127753684</v>
      </c>
      <c r="CE205" s="66">
        <v>1757520</v>
      </c>
      <c r="CF205" s="62">
        <v>59040</v>
      </c>
      <c r="CG205" s="74">
        <v>-136242</v>
      </c>
      <c r="CH205" s="75">
        <f t="shared" si="660"/>
        <v>1680318</v>
      </c>
      <c r="CI205" s="62">
        <f>76812+49200+6560</f>
        <v>132572</v>
      </c>
      <c r="CJ205" s="62">
        <v>50044</v>
      </c>
      <c r="CK205" s="62">
        <v>314496</v>
      </c>
      <c r="CL205" s="62">
        <f>116600+0</f>
        <v>116600</v>
      </c>
      <c r="CM205" s="62">
        <f>37803+60597</f>
        <v>98400</v>
      </c>
      <c r="CN205" s="62">
        <v>98400</v>
      </c>
      <c r="CO205" s="62">
        <v>0</v>
      </c>
      <c r="CP205" s="75">
        <f t="shared" si="626"/>
        <v>810512</v>
      </c>
      <c r="CQ205" s="62">
        <v>41000</v>
      </c>
      <c r="CR205" s="75">
        <f t="shared" si="627"/>
        <v>851512</v>
      </c>
      <c r="CS205" s="75">
        <f t="shared" si="661"/>
        <v>869806</v>
      </c>
      <c r="CT205" s="62">
        <f>15940+696256</f>
        <v>712196</v>
      </c>
      <c r="CU205" s="47">
        <f t="shared" si="662"/>
        <v>157610</v>
      </c>
      <c r="CV205" s="76">
        <f t="shared" si="663"/>
        <v>0.51764368411217399</v>
      </c>
      <c r="CW205" s="75">
        <f t="shared" si="664"/>
        <v>5192.1463414634145</v>
      </c>
      <c r="CX205" s="77">
        <f t="shared" si="665"/>
        <v>0.50675645919403356</v>
      </c>
      <c r="CY205" s="75">
        <f t="shared" si="666"/>
        <v>961.03658536585363</v>
      </c>
      <c r="CZ205" s="77">
        <f t="shared" si="667"/>
        <v>9.3797721621740646E-2</v>
      </c>
      <c r="DA205" s="77">
        <f t="shared" si="668"/>
        <v>0.42384596249043338</v>
      </c>
      <c r="DB205" s="47">
        <f t="shared" si="669"/>
        <v>69973.554878048773</v>
      </c>
      <c r="DC205" s="69">
        <f t="shared" si="670"/>
        <v>10716.585365853658</v>
      </c>
      <c r="DD205" s="70">
        <f t="shared" si="671"/>
        <v>360</v>
      </c>
      <c r="DE205" s="70">
        <f t="shared" si="672"/>
        <v>-830.7439024390244</v>
      </c>
      <c r="DF205" s="70">
        <f t="shared" si="673"/>
        <v>10245.841463414634</v>
      </c>
      <c r="DG205" s="70">
        <f t="shared" si="674"/>
        <v>808.36585365853659</v>
      </c>
      <c r="DH205" s="70">
        <f t="shared" si="675"/>
        <v>305.14634146341461</v>
      </c>
      <c r="DI205" s="70">
        <f t="shared" si="676"/>
        <v>1917.6585365853659</v>
      </c>
      <c r="DJ205" s="70">
        <f t="shared" si="677"/>
        <v>710.97560975609758</v>
      </c>
      <c r="DK205" s="70">
        <f t="shared" si="678"/>
        <v>600</v>
      </c>
      <c r="DL205" s="70">
        <f t="shared" si="679"/>
        <v>600</v>
      </c>
      <c r="DM205" s="70" t="str">
        <f t="shared" si="680"/>
        <v/>
      </c>
      <c r="DN205" s="70">
        <f t="shared" si="681"/>
        <v>4942.1463414634145</v>
      </c>
      <c r="DO205" s="70">
        <f t="shared" si="682"/>
        <v>250</v>
      </c>
      <c r="DP205" s="70">
        <f t="shared" si="683"/>
        <v>5192.1463414634145</v>
      </c>
      <c r="DQ205" s="70">
        <f t="shared" si="684"/>
        <v>5303.6951219512193</v>
      </c>
      <c r="DR205" s="70">
        <f t="shared" si="685"/>
        <v>4342.6585365853662</v>
      </c>
      <c r="DS205" s="71">
        <f t="shared" si="686"/>
        <v>961.03658536585363</v>
      </c>
      <c r="DT205" s="106">
        <f t="shared" si="687"/>
        <v>1.0459448747201423</v>
      </c>
      <c r="DU205" s="92">
        <f t="shared" si="688"/>
        <v>3.5136206360938824E-2</v>
      </c>
      <c r="DV205" s="92" t="str">
        <f t="shared" si="689"/>
        <v/>
      </c>
      <c r="DW205" s="92">
        <f t="shared" si="690"/>
        <v>1</v>
      </c>
      <c r="DX205" s="92">
        <f t="shared" si="691"/>
        <v>7.8896970692452259E-2</v>
      </c>
      <c r="DY205" s="92">
        <f t="shared" si="692"/>
        <v>2.9782457844288998E-2</v>
      </c>
      <c r="DZ205" s="92">
        <f t="shared" si="693"/>
        <v>0.18716457242022047</v>
      </c>
      <c r="EA205" s="92">
        <f t="shared" si="694"/>
        <v>6.9391627061068203E-2</v>
      </c>
      <c r="EB205" s="92">
        <f t="shared" si="695"/>
        <v>5.8560343934898035E-2</v>
      </c>
      <c r="EC205" s="92">
        <f t="shared" si="696"/>
        <v>5.8560343934898035E-2</v>
      </c>
      <c r="ED205" s="92" t="str">
        <f t="shared" si="697"/>
        <v/>
      </c>
      <c r="EE205" s="92">
        <f t="shared" si="698"/>
        <v>0.48235631588782601</v>
      </c>
      <c r="EF205" s="92">
        <f t="shared" si="699"/>
        <v>2.4400143306207517E-2</v>
      </c>
      <c r="EG205" s="92">
        <f t="shared" si="700"/>
        <v>0.50675645919403356</v>
      </c>
      <c r="EH205" s="92">
        <f t="shared" si="701"/>
        <v>0.51764368411217399</v>
      </c>
      <c r="EI205" s="92">
        <f t="shared" si="702"/>
        <v>0.42384596249043338</v>
      </c>
      <c r="EJ205" s="122">
        <f t="shared" si="703"/>
        <v>9.3797721621740646E-2</v>
      </c>
    </row>
    <row r="206" spans="2:140" ht="12" hidden="1" customHeight="1" outlineLevel="1">
      <c r="B206" s="121">
        <v>45315</v>
      </c>
      <c r="C206" s="117">
        <v>23475</v>
      </c>
      <c r="D206" s="50" t="s">
        <v>1094</v>
      </c>
      <c r="E206" s="50" t="s">
        <v>1095</v>
      </c>
      <c r="F206" s="50" t="s">
        <v>930</v>
      </c>
      <c r="G206" s="50" t="s">
        <v>162</v>
      </c>
      <c r="H206" s="50" t="s">
        <v>438</v>
      </c>
      <c r="I206" s="50" t="s">
        <v>438</v>
      </c>
      <c r="J206" s="52" t="s">
        <v>230</v>
      </c>
      <c r="K206" s="50" t="s">
        <v>230</v>
      </c>
      <c r="L206" s="49">
        <v>3</v>
      </c>
      <c r="M206" s="50" t="s">
        <v>159</v>
      </c>
      <c r="N206" s="50" t="s">
        <v>244</v>
      </c>
      <c r="O206" s="50" t="s">
        <v>160</v>
      </c>
      <c r="P206" s="50" t="s">
        <v>161</v>
      </c>
      <c r="Q206" s="53">
        <v>0.04</v>
      </c>
      <c r="R206" s="49">
        <v>150</v>
      </c>
      <c r="S206" s="49">
        <v>0</v>
      </c>
      <c r="T206" s="54">
        <f t="shared" si="625"/>
        <v>150</v>
      </c>
      <c r="U206" s="55">
        <v>139587</v>
      </c>
      <c r="V206" s="49">
        <v>7.06</v>
      </c>
      <c r="W206" s="56">
        <f t="shared" si="628"/>
        <v>21.246458923512748</v>
      </c>
      <c r="X206" s="49">
        <v>2007</v>
      </c>
      <c r="Y206" s="57" t="s">
        <v>162</v>
      </c>
      <c r="Z206" s="58">
        <v>24937000</v>
      </c>
      <c r="AA206" s="114">
        <f>((13937000*0.0625)/(Table1[[#This Row],[Construction Loan Principal]]))+((11000000*0.075)/(Table1[[#This Row],[Construction Loan Principal]]))</f>
        <v>6.8013895015438905E-2</v>
      </c>
      <c r="AB206" s="59">
        <v>17</v>
      </c>
      <c r="AC206" s="60">
        <v>40</v>
      </c>
      <c r="AD206" s="61">
        <v>6.25E-2</v>
      </c>
      <c r="AE206" s="62">
        <v>13937000</v>
      </c>
      <c r="AF206" s="63">
        <v>1.1499999999999999</v>
      </c>
      <c r="AG206" s="59"/>
      <c r="AH206" s="60"/>
      <c r="AI206" s="61">
        <v>7.4999999999999997E-2</v>
      </c>
      <c r="AJ206" s="64">
        <v>11000000</v>
      </c>
      <c r="AK206" s="65">
        <f t="shared" si="629"/>
        <v>24937000</v>
      </c>
      <c r="AL206" s="66">
        <v>0</v>
      </c>
      <c r="AM206" s="49" t="s">
        <v>163</v>
      </c>
      <c r="AN206" s="67">
        <v>0.92</v>
      </c>
      <c r="AO206" s="62">
        <v>15008792</v>
      </c>
      <c r="AP206" s="62">
        <v>1872019</v>
      </c>
      <c r="AQ206" s="68">
        <v>3510284</v>
      </c>
      <c r="AR206" s="69">
        <f t="shared" si="630"/>
        <v>166246.66666666666</v>
      </c>
      <c r="AS206" s="70" t="str">
        <f t="shared" si="631"/>
        <v/>
      </c>
      <c r="AT206" s="70">
        <f t="shared" si="632"/>
        <v>100058.61333333333</v>
      </c>
      <c r="AU206" s="70">
        <f t="shared" si="633"/>
        <v>12480.126666666667</v>
      </c>
      <c r="AV206" s="71">
        <f t="shared" si="634"/>
        <v>23401.893333333333</v>
      </c>
      <c r="AW206" s="115">
        <f t="shared" si="635"/>
        <v>57461.626666666663</v>
      </c>
      <c r="AX206" s="116">
        <f t="shared" si="636"/>
        <v>61.748185719300508</v>
      </c>
      <c r="AY206" s="72">
        <f t="shared" si="637"/>
        <v>71281.119999999995</v>
      </c>
      <c r="AZ206" s="73">
        <f t="shared" si="638"/>
        <v>76.598594424982281</v>
      </c>
      <c r="BA206" s="66">
        <v>20900000</v>
      </c>
      <c r="BB206" s="62">
        <v>276833</v>
      </c>
      <c r="BC206" s="62">
        <v>8342411</v>
      </c>
      <c r="BD206" s="62">
        <v>861924</v>
      </c>
      <c r="BE206" s="62">
        <v>1211000</v>
      </c>
      <c r="BF206" s="62">
        <v>3562937</v>
      </c>
      <c r="BG206" s="62">
        <v>2760161</v>
      </c>
      <c r="BH206" s="62">
        <v>4749384</v>
      </c>
      <c r="BI206" s="62">
        <v>968000</v>
      </c>
      <c r="BJ206" s="47">
        <f t="shared" si="639"/>
        <v>43632650</v>
      </c>
      <c r="BK206" s="69">
        <f t="shared" si="640"/>
        <v>139333.33333333334</v>
      </c>
      <c r="BL206" s="70">
        <f t="shared" si="641"/>
        <v>1845.5533333333333</v>
      </c>
      <c r="BM206" s="70">
        <f t="shared" si="642"/>
        <v>55616.073333333334</v>
      </c>
      <c r="BN206" s="70">
        <f t="shared" si="643"/>
        <v>5746.16</v>
      </c>
      <c r="BO206" s="70">
        <f t="shared" si="644"/>
        <v>8073.333333333333</v>
      </c>
      <c r="BP206" s="70">
        <f t="shared" si="645"/>
        <v>23752.913333333334</v>
      </c>
      <c r="BQ206" s="70">
        <f t="shared" si="646"/>
        <v>18401.073333333334</v>
      </c>
      <c r="BR206" s="70">
        <f t="shared" si="647"/>
        <v>31662.560000000001</v>
      </c>
      <c r="BS206" s="70">
        <f t="shared" si="648"/>
        <v>6453.333333333333</v>
      </c>
      <c r="BT206" s="71">
        <f t="shared" si="649"/>
        <v>290884.33333333331</v>
      </c>
      <c r="BU206" s="65">
        <f t="shared" si="650"/>
        <v>149.72741014564394</v>
      </c>
      <c r="BV206" s="48">
        <f t="shared" si="651"/>
        <v>1.9832290972655047</v>
      </c>
      <c r="BW206" s="48">
        <f t="shared" si="652"/>
        <v>59.764956622035001</v>
      </c>
      <c r="BX206" s="48">
        <f t="shared" si="653"/>
        <v>6.1748157063336846</v>
      </c>
      <c r="BY206" s="48">
        <f t="shared" si="654"/>
        <v>8.6755929993480763</v>
      </c>
      <c r="BZ206" s="48">
        <f t="shared" si="655"/>
        <v>25.524848302492352</v>
      </c>
      <c r="CA206" s="48">
        <f t="shared" si="656"/>
        <v>19.773768330861756</v>
      </c>
      <c r="CB206" s="48">
        <f t="shared" si="657"/>
        <v>34.024543832878422</v>
      </c>
      <c r="CC206" s="48">
        <f t="shared" si="658"/>
        <v>6.9347432067456136</v>
      </c>
      <c r="CD206" s="47">
        <f t="shared" si="659"/>
        <v>312.58390824360436</v>
      </c>
      <c r="CE206" s="66">
        <v>2079672</v>
      </c>
      <c r="CF206" s="62">
        <v>54000</v>
      </c>
      <c r="CG206" s="74">
        <v>-160025</v>
      </c>
      <c r="CH206" s="75">
        <f t="shared" si="660"/>
        <v>1973647</v>
      </c>
      <c r="CI206" s="62">
        <f>71250+9000</f>
        <v>80250</v>
      </c>
      <c r="CJ206" s="62">
        <v>67500</v>
      </c>
      <c r="CK206" s="62">
        <v>262500</v>
      </c>
      <c r="CL206" s="62">
        <v>132785</v>
      </c>
      <c r="CM206" s="62">
        <f>43288+53738</f>
        <v>97026</v>
      </c>
      <c r="CN206" s="62">
        <v>195000</v>
      </c>
      <c r="CO206" s="62">
        <v>0</v>
      </c>
      <c r="CP206" s="75">
        <f t="shared" si="626"/>
        <v>835061</v>
      </c>
      <c r="CQ206" s="62">
        <v>45000</v>
      </c>
      <c r="CR206" s="75">
        <f t="shared" si="627"/>
        <v>880061</v>
      </c>
      <c r="CS206" s="75">
        <f t="shared" si="661"/>
        <v>1138586</v>
      </c>
      <c r="CT206" s="62">
        <v>949510</v>
      </c>
      <c r="CU206" s="47">
        <f t="shared" si="662"/>
        <v>189076</v>
      </c>
      <c r="CV206" s="76">
        <f t="shared" si="663"/>
        <v>0.57689444971669201</v>
      </c>
      <c r="CW206" s="75">
        <f t="shared" si="664"/>
        <v>5867.0733333333337</v>
      </c>
      <c r="CX206" s="77">
        <f t="shared" si="665"/>
        <v>0.4459059801474124</v>
      </c>
      <c r="CY206" s="75">
        <f t="shared" si="666"/>
        <v>1260.5066666666667</v>
      </c>
      <c r="CZ206" s="77">
        <f t="shared" si="667"/>
        <v>9.5800312821897729E-2</v>
      </c>
      <c r="DA206" s="77">
        <f t="shared" si="668"/>
        <v>0.48109413689479424</v>
      </c>
      <c r="DB206" s="47">
        <f t="shared" si="669"/>
        <v>166246.66666666666</v>
      </c>
      <c r="DC206" s="69">
        <f t="shared" si="670"/>
        <v>13864.48</v>
      </c>
      <c r="DD206" s="70">
        <f t="shared" si="671"/>
        <v>360</v>
      </c>
      <c r="DE206" s="70">
        <f t="shared" si="672"/>
        <v>-1066.8333333333333</v>
      </c>
      <c r="DF206" s="70">
        <f t="shared" si="673"/>
        <v>13157.646666666667</v>
      </c>
      <c r="DG206" s="70">
        <f t="shared" si="674"/>
        <v>535</v>
      </c>
      <c r="DH206" s="70">
        <f t="shared" si="675"/>
        <v>450</v>
      </c>
      <c r="DI206" s="70">
        <f t="shared" si="676"/>
        <v>1750</v>
      </c>
      <c r="DJ206" s="70">
        <f t="shared" si="677"/>
        <v>885.23333333333335</v>
      </c>
      <c r="DK206" s="70">
        <f t="shared" si="678"/>
        <v>646.84</v>
      </c>
      <c r="DL206" s="70">
        <f t="shared" si="679"/>
        <v>1300</v>
      </c>
      <c r="DM206" s="70" t="str">
        <f t="shared" si="680"/>
        <v/>
      </c>
      <c r="DN206" s="70">
        <f t="shared" si="681"/>
        <v>5567.0733333333337</v>
      </c>
      <c r="DO206" s="70">
        <f t="shared" si="682"/>
        <v>300</v>
      </c>
      <c r="DP206" s="70">
        <f t="shared" si="683"/>
        <v>5867.0733333333337</v>
      </c>
      <c r="DQ206" s="70">
        <f t="shared" si="684"/>
        <v>7590.5733333333337</v>
      </c>
      <c r="DR206" s="70">
        <f t="shared" si="685"/>
        <v>6330.0666666666666</v>
      </c>
      <c r="DS206" s="71">
        <f t="shared" si="686"/>
        <v>1260.5066666666667</v>
      </c>
      <c r="DT206" s="106">
        <f t="shared" si="687"/>
        <v>1.0537203461409259</v>
      </c>
      <c r="DU206" s="92">
        <f t="shared" si="688"/>
        <v>2.7360515836925246E-2</v>
      </c>
      <c r="DV206" s="92" t="str">
        <f t="shared" si="689"/>
        <v/>
      </c>
      <c r="DW206" s="92">
        <f t="shared" si="690"/>
        <v>1</v>
      </c>
      <c r="DX206" s="92">
        <f t="shared" si="691"/>
        <v>4.0660766590986129E-2</v>
      </c>
      <c r="DY206" s="92">
        <f t="shared" si="692"/>
        <v>3.420064479615656E-2</v>
      </c>
      <c r="DZ206" s="92">
        <f t="shared" si="693"/>
        <v>0.13300250754060883</v>
      </c>
      <c r="EA206" s="92">
        <f t="shared" si="694"/>
        <v>6.7279001766779978E-2</v>
      </c>
      <c r="EB206" s="92">
        <f t="shared" si="695"/>
        <v>4.9160766844324237E-2</v>
      </c>
      <c r="EC206" s="92">
        <f t="shared" si="696"/>
        <v>9.8801862744452282E-2</v>
      </c>
      <c r="ED206" s="92" t="str">
        <f t="shared" si="697"/>
        <v/>
      </c>
      <c r="EE206" s="92">
        <f t="shared" si="698"/>
        <v>0.42310555028330799</v>
      </c>
      <c r="EF206" s="92">
        <f t="shared" si="699"/>
        <v>2.2800429864104372E-2</v>
      </c>
      <c r="EG206" s="92">
        <f t="shared" si="700"/>
        <v>0.4459059801474124</v>
      </c>
      <c r="EH206" s="92">
        <f t="shared" si="701"/>
        <v>0.57689444971669201</v>
      </c>
      <c r="EI206" s="92">
        <f t="shared" si="702"/>
        <v>0.48109413689479424</v>
      </c>
      <c r="EJ206" s="122">
        <f t="shared" si="703"/>
        <v>9.5800312821897729E-2</v>
      </c>
    </row>
    <row r="207" spans="2:140" ht="12" hidden="1" customHeight="1" outlineLevel="1">
      <c r="B207" s="121">
        <v>45321</v>
      </c>
      <c r="C207" s="117">
        <v>23701</v>
      </c>
      <c r="D207" s="50" t="s">
        <v>1096</v>
      </c>
      <c r="E207" s="50" t="s">
        <v>1097</v>
      </c>
      <c r="F207" s="50" t="s">
        <v>1098</v>
      </c>
      <c r="G207" s="50" t="s">
        <v>291</v>
      </c>
      <c r="H207" s="50" t="s">
        <v>1007</v>
      </c>
      <c r="I207" s="50" t="s">
        <v>1099</v>
      </c>
      <c r="J207" s="52" t="s">
        <v>360</v>
      </c>
      <c r="K207" s="50" t="s">
        <v>294</v>
      </c>
      <c r="L207" s="49">
        <v>7</v>
      </c>
      <c r="M207" s="50" t="s">
        <v>159</v>
      </c>
      <c r="N207" s="50" t="s">
        <v>361</v>
      </c>
      <c r="O207" s="50" t="s">
        <v>160</v>
      </c>
      <c r="P207" s="50" t="s">
        <v>177</v>
      </c>
      <c r="Q207" s="53"/>
      <c r="R207" s="49">
        <v>60</v>
      </c>
      <c r="S207" s="49">
        <v>0</v>
      </c>
      <c r="T207" s="54">
        <f t="shared" si="625"/>
        <v>60</v>
      </c>
      <c r="U207" s="55">
        <v>38608</v>
      </c>
      <c r="V207" s="49">
        <v>0.44700000000000001</v>
      </c>
      <c r="W207" s="56">
        <f t="shared" si="628"/>
        <v>134.2281879194631</v>
      </c>
      <c r="X207" s="49" t="s">
        <v>163</v>
      </c>
      <c r="Y207" s="57" t="s">
        <v>162</v>
      </c>
      <c r="Z207" s="58">
        <v>4724026</v>
      </c>
      <c r="AA207" s="114">
        <v>0</v>
      </c>
      <c r="AB207" s="59">
        <v>20</v>
      </c>
      <c r="AC207" s="60">
        <v>0</v>
      </c>
      <c r="AD207" s="61">
        <v>0</v>
      </c>
      <c r="AE207" s="62">
        <v>4724026</v>
      </c>
      <c r="AF207" s="63"/>
      <c r="AG207" s="59"/>
      <c r="AH207" s="60"/>
      <c r="AI207" s="61"/>
      <c r="AJ207" s="64"/>
      <c r="AK207" s="65">
        <f t="shared" si="629"/>
        <v>4724026</v>
      </c>
      <c r="AL207" s="66">
        <f>850000+7270702+6000000+1153711</f>
        <v>15274413</v>
      </c>
      <c r="AM207" s="49" t="s">
        <v>1100</v>
      </c>
      <c r="AN207" s="67"/>
      <c r="AO207" s="62">
        <v>1000000</v>
      </c>
      <c r="AP207" s="62">
        <v>0</v>
      </c>
      <c r="AQ207" s="68">
        <v>0</v>
      </c>
      <c r="AR207" s="69">
        <f t="shared" si="630"/>
        <v>78733.766666666663</v>
      </c>
      <c r="AS207" s="70">
        <f t="shared" si="631"/>
        <v>254573.55</v>
      </c>
      <c r="AT207" s="70">
        <f t="shared" si="632"/>
        <v>16666.666666666668</v>
      </c>
      <c r="AU207" s="70" t="str">
        <f t="shared" si="633"/>
        <v/>
      </c>
      <c r="AV207" s="71" t="str">
        <f t="shared" si="634"/>
        <v/>
      </c>
      <c r="AW207" s="115">
        <f t="shared" si="635"/>
        <v>209270.96666666667</v>
      </c>
      <c r="AX207" s="116">
        <f t="shared" si="636"/>
        <v>325.22425404061335</v>
      </c>
      <c r="AY207" s="72">
        <f t="shared" si="637"/>
        <v>255268.71666666667</v>
      </c>
      <c r="AZ207" s="73">
        <f t="shared" si="638"/>
        <v>396.70853191048485</v>
      </c>
      <c r="BA207" s="66">
        <v>2100000</v>
      </c>
      <c r="BB207" s="62">
        <v>1907127</v>
      </c>
      <c r="BC207" s="62">
        <v>10649131</v>
      </c>
      <c r="BD207" s="62">
        <v>878938</v>
      </c>
      <c r="BE207" s="62">
        <v>1880927</v>
      </c>
      <c r="BF207" s="62">
        <v>1971993</v>
      </c>
      <c r="BG207" s="62">
        <v>94956</v>
      </c>
      <c r="BH207" s="62">
        <v>1293000</v>
      </c>
      <c r="BI207" s="62">
        <v>222366</v>
      </c>
      <c r="BJ207" s="47">
        <f t="shared" si="639"/>
        <v>20998438</v>
      </c>
      <c r="BK207" s="69">
        <f t="shared" si="640"/>
        <v>35000</v>
      </c>
      <c r="BL207" s="70">
        <f t="shared" si="641"/>
        <v>31785.45</v>
      </c>
      <c r="BM207" s="70">
        <f t="shared" si="642"/>
        <v>177485.51666666666</v>
      </c>
      <c r="BN207" s="70">
        <f t="shared" si="643"/>
        <v>14648.966666666667</v>
      </c>
      <c r="BO207" s="70">
        <f t="shared" si="644"/>
        <v>31348.783333333333</v>
      </c>
      <c r="BP207" s="70">
        <f t="shared" si="645"/>
        <v>32866.550000000003</v>
      </c>
      <c r="BQ207" s="70">
        <f t="shared" si="646"/>
        <v>1582.6</v>
      </c>
      <c r="BR207" s="70">
        <f t="shared" si="647"/>
        <v>21550</v>
      </c>
      <c r="BS207" s="70">
        <f t="shared" si="648"/>
        <v>3706.1</v>
      </c>
      <c r="BT207" s="71">
        <f t="shared" si="649"/>
        <v>349973.96666666667</v>
      </c>
      <c r="BU207" s="65">
        <f t="shared" si="650"/>
        <v>54.392871943638625</v>
      </c>
      <c r="BV207" s="48">
        <f t="shared" si="651"/>
        <v>49.397197472026519</v>
      </c>
      <c r="BW207" s="48">
        <f t="shared" si="652"/>
        <v>275.82705656858684</v>
      </c>
      <c r="BX207" s="48">
        <f t="shared" si="653"/>
        <v>22.765696228760877</v>
      </c>
      <c r="BY207" s="48">
        <f t="shared" si="654"/>
        <v>48.718581641110653</v>
      </c>
      <c r="BZ207" s="48">
        <f t="shared" si="655"/>
        <v>51.077315582262742</v>
      </c>
      <c r="CA207" s="48">
        <f t="shared" si="656"/>
        <v>2.4594902610857852</v>
      </c>
      <c r="CB207" s="48">
        <f t="shared" si="657"/>
        <v>33.490468296726064</v>
      </c>
      <c r="CC207" s="48">
        <f t="shared" si="658"/>
        <v>5.7595835060091174</v>
      </c>
      <c r="CD207" s="47">
        <f t="shared" si="659"/>
        <v>543.88826150020725</v>
      </c>
      <c r="CE207" s="66">
        <v>1018056</v>
      </c>
      <c r="CF207" s="62">
        <v>7200</v>
      </c>
      <c r="CG207" s="74">
        <v>-76894</v>
      </c>
      <c r="CH207" s="75">
        <f t="shared" si="660"/>
        <v>948362</v>
      </c>
      <c r="CI207" s="62">
        <f>28502+782</f>
        <v>29284</v>
      </c>
      <c r="CJ207" s="62">
        <v>38567</v>
      </c>
      <c r="CK207" s="62">
        <v>340576</v>
      </c>
      <c r="CL207" s="62">
        <v>66019</v>
      </c>
      <c r="CM207" s="62">
        <f>31357+37225</f>
        <v>68582</v>
      </c>
      <c r="CN207" s="62">
        <v>35100</v>
      </c>
      <c r="CO207" s="62">
        <v>29301</v>
      </c>
      <c r="CP207" s="75">
        <f t="shared" si="626"/>
        <v>607429</v>
      </c>
      <c r="CQ207" s="62">
        <v>15000</v>
      </c>
      <c r="CR207" s="75">
        <f t="shared" si="627"/>
        <v>622429</v>
      </c>
      <c r="CS207" s="75">
        <f t="shared" si="661"/>
        <v>340933</v>
      </c>
      <c r="CT207" s="62">
        <v>0</v>
      </c>
      <c r="CU207" s="47">
        <f t="shared" si="662"/>
        <v>340933</v>
      </c>
      <c r="CV207" s="76">
        <f t="shared" si="663"/>
        <v>0.35949669008247903</v>
      </c>
      <c r="CW207" s="75">
        <f t="shared" si="664"/>
        <v>10373.816666666668</v>
      </c>
      <c r="CX207" s="77">
        <f t="shared" si="665"/>
        <v>0.65632005500009494</v>
      </c>
      <c r="CY207" s="75">
        <f t="shared" si="666"/>
        <v>5682.2166666666662</v>
      </c>
      <c r="CZ207" s="77">
        <f t="shared" si="667"/>
        <v>0.35949669008247903</v>
      </c>
      <c r="DA207" s="77" t="str">
        <f t="shared" si="668"/>
        <v/>
      </c>
      <c r="DB207" s="47">
        <f t="shared" si="669"/>
        <v>78733.766666666663</v>
      </c>
      <c r="DC207" s="69">
        <f t="shared" si="670"/>
        <v>16967.599999999999</v>
      </c>
      <c r="DD207" s="70">
        <f t="shared" si="671"/>
        <v>120</v>
      </c>
      <c r="DE207" s="70">
        <f t="shared" si="672"/>
        <v>-1281.5666666666666</v>
      </c>
      <c r="DF207" s="70">
        <f t="shared" si="673"/>
        <v>15806.033333333333</v>
      </c>
      <c r="DG207" s="70">
        <f t="shared" si="674"/>
        <v>488.06666666666666</v>
      </c>
      <c r="DH207" s="70">
        <f t="shared" si="675"/>
        <v>642.7833333333333</v>
      </c>
      <c r="DI207" s="70">
        <f t="shared" si="676"/>
        <v>5676.2666666666664</v>
      </c>
      <c r="DJ207" s="70">
        <f t="shared" si="677"/>
        <v>1100.3166666666666</v>
      </c>
      <c r="DK207" s="70">
        <f t="shared" si="678"/>
        <v>1143.0333333333333</v>
      </c>
      <c r="DL207" s="70">
        <f t="shared" si="679"/>
        <v>585</v>
      </c>
      <c r="DM207" s="70">
        <f t="shared" si="680"/>
        <v>488.35</v>
      </c>
      <c r="DN207" s="70">
        <f t="shared" si="681"/>
        <v>10123.816666666668</v>
      </c>
      <c r="DO207" s="70">
        <f t="shared" si="682"/>
        <v>250</v>
      </c>
      <c r="DP207" s="70">
        <f t="shared" si="683"/>
        <v>10373.816666666668</v>
      </c>
      <c r="DQ207" s="70">
        <f t="shared" si="684"/>
        <v>5682.2166666666662</v>
      </c>
      <c r="DR207" s="70" t="str">
        <f t="shared" si="685"/>
        <v/>
      </c>
      <c r="DS207" s="71">
        <f t="shared" si="686"/>
        <v>5682.2166666666662</v>
      </c>
      <c r="DT207" s="106">
        <f t="shared" si="687"/>
        <v>1.0734888154523272</v>
      </c>
      <c r="DU207" s="92">
        <f t="shared" si="688"/>
        <v>7.5920376396354976E-3</v>
      </c>
      <c r="DV207" s="92" t="str">
        <f t="shared" si="689"/>
        <v/>
      </c>
      <c r="DW207" s="92">
        <f t="shared" si="690"/>
        <v>1</v>
      </c>
      <c r="DX207" s="92">
        <f t="shared" si="691"/>
        <v>3.0878504199873043E-2</v>
      </c>
      <c r="DY207" s="92">
        <f t="shared" si="692"/>
        <v>4.066696050664198E-2</v>
      </c>
      <c r="DZ207" s="92">
        <f t="shared" si="693"/>
        <v>0.35912025154951377</v>
      </c>
      <c r="EA207" s="92">
        <f t="shared" si="694"/>
        <v>6.9613712907096656E-2</v>
      </c>
      <c r="EB207" s="92">
        <f t="shared" si="695"/>
        <v>7.2316267416872457E-2</v>
      </c>
      <c r="EC207" s="92">
        <f t="shared" si="696"/>
        <v>3.7011183493223049E-2</v>
      </c>
      <c r="ED207" s="92">
        <f t="shared" si="697"/>
        <v>3.0896429844299963E-2</v>
      </c>
      <c r="EE207" s="92">
        <f t="shared" si="698"/>
        <v>0.64050330991752091</v>
      </c>
      <c r="EF207" s="92">
        <f t="shared" si="699"/>
        <v>1.5816745082573955E-2</v>
      </c>
      <c r="EG207" s="92">
        <f t="shared" si="700"/>
        <v>0.65632005500009494</v>
      </c>
      <c r="EH207" s="92">
        <f t="shared" si="701"/>
        <v>0.35949669008247903</v>
      </c>
      <c r="EI207" s="92" t="str">
        <f t="shared" si="702"/>
        <v/>
      </c>
      <c r="EJ207" s="122">
        <f t="shared" si="703"/>
        <v>0.35949669008247903</v>
      </c>
    </row>
    <row r="208" spans="2:140" ht="12" hidden="1" customHeight="1" outlineLevel="1">
      <c r="B208" s="121">
        <v>45329</v>
      </c>
      <c r="C208" s="117">
        <v>23482</v>
      </c>
      <c r="D208" s="50" t="s">
        <v>1101</v>
      </c>
      <c r="E208" s="50" t="s">
        <v>511</v>
      </c>
      <c r="F208" s="50" t="s">
        <v>262</v>
      </c>
      <c r="G208" s="50" t="s">
        <v>162</v>
      </c>
      <c r="H208" s="50" t="s">
        <v>1102</v>
      </c>
      <c r="I208" s="50" t="s">
        <v>259</v>
      </c>
      <c r="J208" s="52" t="s">
        <v>1103</v>
      </c>
      <c r="K208" s="50" t="s">
        <v>230</v>
      </c>
      <c r="L208" s="49">
        <v>3</v>
      </c>
      <c r="M208" s="50" t="s">
        <v>159</v>
      </c>
      <c r="N208" s="50" t="s">
        <v>244</v>
      </c>
      <c r="O208" s="50" t="s">
        <v>160</v>
      </c>
      <c r="P208" s="50" t="s">
        <v>161</v>
      </c>
      <c r="Q208" s="53">
        <v>0.04</v>
      </c>
      <c r="R208" s="49">
        <v>204</v>
      </c>
      <c r="S208" s="49">
        <v>0</v>
      </c>
      <c r="T208" s="54">
        <f t="shared" si="625"/>
        <v>204</v>
      </c>
      <c r="U208" s="55">
        <v>184284</v>
      </c>
      <c r="V208" s="49">
        <v>10.17</v>
      </c>
      <c r="W208" s="56">
        <f t="shared" si="628"/>
        <v>20.058997050147493</v>
      </c>
      <c r="X208" s="49">
        <v>2007</v>
      </c>
      <c r="Y208" s="57" t="s">
        <v>162</v>
      </c>
      <c r="Z208" s="58">
        <v>47665157</v>
      </c>
      <c r="AA208" s="114">
        <v>6.5000000000000002E-2</v>
      </c>
      <c r="AB208" s="59">
        <v>15</v>
      </c>
      <c r="AC208" s="60">
        <v>40</v>
      </c>
      <c r="AD208" s="61">
        <v>6.1699999999999998E-2</v>
      </c>
      <c r="AE208" s="62">
        <v>22920000</v>
      </c>
      <c r="AF208" s="63">
        <v>1.19</v>
      </c>
      <c r="AG208" s="59"/>
      <c r="AH208" s="60"/>
      <c r="AI208" s="61"/>
      <c r="AJ208" s="64"/>
      <c r="AK208" s="65">
        <f t="shared" si="629"/>
        <v>22920000</v>
      </c>
      <c r="AL208" s="66">
        <v>18050000</v>
      </c>
      <c r="AM208" s="49" t="s">
        <v>156</v>
      </c>
      <c r="AN208" s="67">
        <v>0.92</v>
      </c>
      <c r="AO208" s="62">
        <v>20203120</v>
      </c>
      <c r="AP208" s="62">
        <v>0</v>
      </c>
      <c r="AQ208" s="68">
        <v>5751795</v>
      </c>
      <c r="AR208" s="69">
        <f t="shared" si="630"/>
        <v>112352.94117647059</v>
      </c>
      <c r="AS208" s="70">
        <f t="shared" si="631"/>
        <v>88480.392156862741</v>
      </c>
      <c r="AT208" s="70">
        <f t="shared" si="632"/>
        <v>99034.901960784307</v>
      </c>
      <c r="AU208" s="70" t="str">
        <f t="shared" si="633"/>
        <v/>
      </c>
      <c r="AV208" s="71">
        <f t="shared" si="634"/>
        <v>28195.073529411766</v>
      </c>
      <c r="AW208" s="115">
        <f t="shared" si="635"/>
        <v>36000</v>
      </c>
      <c r="AX208" s="116">
        <f t="shared" si="636"/>
        <v>39.851533502637231</v>
      </c>
      <c r="AY208" s="72">
        <f t="shared" si="637"/>
        <v>45144</v>
      </c>
      <c r="AZ208" s="73">
        <f t="shared" si="638"/>
        <v>49.973823012307093</v>
      </c>
      <c r="BA208" s="66">
        <v>35700000</v>
      </c>
      <c r="BB208" s="62">
        <v>515959</v>
      </c>
      <c r="BC208" s="62">
        <v>6828041</v>
      </c>
      <c r="BD208" s="62">
        <v>734400</v>
      </c>
      <c r="BE208" s="62">
        <v>1130976</v>
      </c>
      <c r="BF208" s="62">
        <v>1670569</v>
      </c>
      <c r="BG208" s="62">
        <v>12167855</v>
      </c>
      <c r="BH208" s="62">
        <v>7135081</v>
      </c>
      <c r="BI208" s="62">
        <v>1042035</v>
      </c>
      <c r="BJ208" s="47">
        <f t="shared" si="639"/>
        <v>66924916</v>
      </c>
      <c r="BK208" s="69">
        <f t="shared" si="640"/>
        <v>175000</v>
      </c>
      <c r="BL208" s="70">
        <f t="shared" si="641"/>
        <v>2529.2107843137255</v>
      </c>
      <c r="BM208" s="70">
        <f t="shared" si="642"/>
        <v>33470.789215686273</v>
      </c>
      <c r="BN208" s="70">
        <f t="shared" si="643"/>
        <v>3600</v>
      </c>
      <c r="BO208" s="70">
        <f t="shared" si="644"/>
        <v>5544</v>
      </c>
      <c r="BP208" s="70">
        <f t="shared" si="645"/>
        <v>8189.0637254901958</v>
      </c>
      <c r="BQ208" s="70">
        <f t="shared" si="646"/>
        <v>59646.348039215685</v>
      </c>
      <c r="BR208" s="70">
        <f t="shared" si="647"/>
        <v>34975.887254901958</v>
      </c>
      <c r="BS208" s="70">
        <f t="shared" si="648"/>
        <v>5108.0147058823532</v>
      </c>
      <c r="BT208" s="71">
        <f t="shared" si="649"/>
        <v>328063.31372549018</v>
      </c>
      <c r="BU208" s="65">
        <f t="shared" si="650"/>
        <v>193.72273230448656</v>
      </c>
      <c r="BV208" s="48">
        <f t="shared" si="651"/>
        <v>2.7998035640641619</v>
      </c>
      <c r="BW208" s="48">
        <f t="shared" si="652"/>
        <v>37.051729938573075</v>
      </c>
      <c r="BX208" s="48">
        <f t="shared" si="653"/>
        <v>3.9851533502637233</v>
      </c>
      <c r="BY208" s="48">
        <f t="shared" si="654"/>
        <v>6.1371361594061344</v>
      </c>
      <c r="BZ208" s="48">
        <f t="shared" si="655"/>
        <v>9.0651874281001064</v>
      </c>
      <c r="CA208" s="48">
        <f t="shared" si="656"/>
        <v>66.027734366521244</v>
      </c>
      <c r="CB208" s="48">
        <f t="shared" si="657"/>
        <v>38.717853964533006</v>
      </c>
      <c r="CC208" s="48">
        <f t="shared" si="658"/>
        <v>5.6545060884287297</v>
      </c>
      <c r="CD208" s="47">
        <f t="shared" si="659"/>
        <v>363.16183716437672</v>
      </c>
      <c r="CE208" s="66">
        <v>3073824</v>
      </c>
      <c r="CF208" s="62">
        <f>24000+25440+24000</f>
        <v>73440</v>
      </c>
      <c r="CG208" s="74">
        <v>-236045</v>
      </c>
      <c r="CH208" s="75">
        <f t="shared" si="660"/>
        <v>2911219</v>
      </c>
      <c r="CI208" s="62">
        <f>111108+8160+6250+3000</f>
        <v>128518</v>
      </c>
      <c r="CJ208" s="62">
        <v>72780</v>
      </c>
      <c r="CK208" s="62">
        <v>251328</v>
      </c>
      <c r="CL208" s="62">
        <f>113376</f>
        <v>113376</v>
      </c>
      <c r="CM208" s="62">
        <f>106080+159120</f>
        <v>265200</v>
      </c>
      <c r="CN208" s="62">
        <v>181560</v>
      </c>
      <c r="CO208" s="62">
        <v>0</v>
      </c>
      <c r="CP208" s="75">
        <f t="shared" si="626"/>
        <v>1012762</v>
      </c>
      <c r="CQ208" s="62">
        <v>61200</v>
      </c>
      <c r="CR208" s="75">
        <f t="shared" si="627"/>
        <v>1073962</v>
      </c>
      <c r="CS208" s="75">
        <f t="shared" si="661"/>
        <v>1898457</v>
      </c>
      <c r="CT208" s="62">
        <v>1546027</v>
      </c>
      <c r="CU208" s="47">
        <f t="shared" si="662"/>
        <v>352430</v>
      </c>
      <c r="CV208" s="76">
        <f t="shared" si="663"/>
        <v>0.65211754938395217</v>
      </c>
      <c r="CW208" s="75">
        <f t="shared" si="664"/>
        <v>5264.5196078431372</v>
      </c>
      <c r="CX208" s="77">
        <f t="shared" si="665"/>
        <v>0.36890457227711143</v>
      </c>
      <c r="CY208" s="75">
        <f t="shared" si="666"/>
        <v>1727.5980392156862</v>
      </c>
      <c r="CZ208" s="77">
        <f t="shared" si="667"/>
        <v>0.12105925387269044</v>
      </c>
      <c r="DA208" s="77">
        <f t="shared" si="668"/>
        <v>0.53105829551126182</v>
      </c>
      <c r="DB208" s="47">
        <f t="shared" si="669"/>
        <v>112352.94117647059</v>
      </c>
      <c r="DC208" s="69">
        <f t="shared" si="670"/>
        <v>15067.764705882353</v>
      </c>
      <c r="DD208" s="70">
        <f t="shared" si="671"/>
        <v>360</v>
      </c>
      <c r="DE208" s="70">
        <f t="shared" si="672"/>
        <v>-1157.0833333333333</v>
      </c>
      <c r="DF208" s="70">
        <f t="shared" si="673"/>
        <v>14270.681372549019</v>
      </c>
      <c r="DG208" s="70">
        <f t="shared" si="674"/>
        <v>629.99019607843138</v>
      </c>
      <c r="DH208" s="70">
        <f t="shared" si="675"/>
        <v>356.76470588235293</v>
      </c>
      <c r="DI208" s="70">
        <f t="shared" si="676"/>
        <v>1232</v>
      </c>
      <c r="DJ208" s="70">
        <f t="shared" si="677"/>
        <v>555.76470588235293</v>
      </c>
      <c r="DK208" s="70">
        <f t="shared" si="678"/>
        <v>1300</v>
      </c>
      <c r="DL208" s="70">
        <f t="shared" si="679"/>
        <v>890</v>
      </c>
      <c r="DM208" s="70" t="str">
        <f t="shared" si="680"/>
        <v/>
      </c>
      <c r="DN208" s="70">
        <f t="shared" si="681"/>
        <v>4964.5196078431372</v>
      </c>
      <c r="DO208" s="70">
        <f t="shared" si="682"/>
        <v>300</v>
      </c>
      <c r="DP208" s="70">
        <f t="shared" si="683"/>
        <v>5264.5196078431372</v>
      </c>
      <c r="DQ208" s="70">
        <f t="shared" si="684"/>
        <v>9306.1617647058829</v>
      </c>
      <c r="DR208" s="70">
        <f t="shared" si="685"/>
        <v>7578.5637254901958</v>
      </c>
      <c r="DS208" s="71">
        <f t="shared" si="686"/>
        <v>1727.5980392156862</v>
      </c>
      <c r="DT208" s="106">
        <f t="shared" si="687"/>
        <v>1.0558546093577983</v>
      </c>
      <c r="DU208" s="92">
        <f t="shared" si="688"/>
        <v>2.5226545993276357E-2</v>
      </c>
      <c r="DV208" s="92" t="str">
        <f t="shared" si="689"/>
        <v/>
      </c>
      <c r="DW208" s="92">
        <f t="shared" si="690"/>
        <v>1</v>
      </c>
      <c r="DX208" s="92">
        <f t="shared" si="691"/>
        <v>4.414576849079372E-2</v>
      </c>
      <c r="DY208" s="92">
        <f t="shared" si="692"/>
        <v>2.4999836838108021E-2</v>
      </c>
      <c r="DZ208" s="92">
        <f t="shared" si="693"/>
        <v>8.6330846288101309E-2</v>
      </c>
      <c r="EA208" s="92">
        <f t="shared" si="694"/>
        <v>3.8944510873280228E-2</v>
      </c>
      <c r="EB208" s="92">
        <f t="shared" si="695"/>
        <v>9.1095860531275732E-2</v>
      </c>
      <c r="EC208" s="92">
        <f t="shared" si="696"/>
        <v>6.2365627594488771E-2</v>
      </c>
      <c r="ED208" s="92" t="str">
        <f t="shared" si="697"/>
        <v/>
      </c>
      <c r="EE208" s="92">
        <f t="shared" si="698"/>
        <v>0.34788245061604778</v>
      </c>
      <c r="EF208" s="92">
        <f t="shared" si="699"/>
        <v>2.1022121661063629E-2</v>
      </c>
      <c r="EG208" s="92">
        <f t="shared" si="700"/>
        <v>0.36890457227711143</v>
      </c>
      <c r="EH208" s="92">
        <f t="shared" si="701"/>
        <v>0.65211754938395217</v>
      </c>
      <c r="EI208" s="92">
        <f t="shared" si="702"/>
        <v>0.53105829551126182</v>
      </c>
      <c r="EJ208" s="122">
        <f t="shared" si="703"/>
        <v>0.12105925387269044</v>
      </c>
    </row>
    <row r="209" spans="2:140" ht="12" hidden="1" customHeight="1" outlineLevel="1">
      <c r="B209" s="121">
        <v>45334</v>
      </c>
      <c r="C209" s="117">
        <v>23481</v>
      </c>
      <c r="D209" s="146" t="s">
        <v>1104</v>
      </c>
      <c r="E209" s="146" t="s">
        <v>1082</v>
      </c>
      <c r="F209" s="146" t="s">
        <v>1083</v>
      </c>
      <c r="G209" s="146" t="s">
        <v>291</v>
      </c>
      <c r="H209" s="146" t="s">
        <v>1105</v>
      </c>
      <c r="I209" s="146" t="s">
        <v>1033</v>
      </c>
      <c r="J209" s="147" t="s">
        <v>175</v>
      </c>
      <c r="K209" s="146" t="s">
        <v>176</v>
      </c>
      <c r="L209" s="148">
        <v>6</v>
      </c>
      <c r="M209" s="146" t="s">
        <v>159</v>
      </c>
      <c r="N209" s="146" t="s">
        <v>160</v>
      </c>
      <c r="O209" s="146" t="s">
        <v>160</v>
      </c>
      <c r="P209" s="146" t="s">
        <v>177</v>
      </c>
      <c r="Q209" s="149">
        <v>0.04</v>
      </c>
      <c r="R209" s="148">
        <v>369</v>
      </c>
      <c r="S209" s="148">
        <v>0</v>
      </c>
      <c r="T209" s="150">
        <f t="shared" si="625"/>
        <v>369</v>
      </c>
      <c r="U209" s="151">
        <v>355794</v>
      </c>
      <c r="V209" s="148">
        <v>14.6157</v>
      </c>
      <c r="W209" s="152">
        <f t="shared" si="628"/>
        <v>25.246823621174489</v>
      </c>
      <c r="X209" s="148" t="s">
        <v>163</v>
      </c>
      <c r="Y209" s="153" t="s">
        <v>162</v>
      </c>
      <c r="Z209" s="154">
        <v>42375000</v>
      </c>
      <c r="AA209" s="114">
        <v>6.4000000000000001E-2</v>
      </c>
      <c r="AB209" s="155">
        <v>17</v>
      </c>
      <c r="AC209" s="156">
        <v>40</v>
      </c>
      <c r="AD209" s="157">
        <v>6.4000000000000001E-2</v>
      </c>
      <c r="AE209" s="158">
        <v>42375000</v>
      </c>
      <c r="AF209" s="159">
        <v>1.1499999999999999</v>
      </c>
      <c r="AG209" s="155"/>
      <c r="AH209" s="156"/>
      <c r="AI209" s="157"/>
      <c r="AJ209" s="160"/>
      <c r="AK209" s="161">
        <f t="shared" si="629"/>
        <v>42375000</v>
      </c>
      <c r="AL209" s="162">
        <v>0</v>
      </c>
      <c r="AM209" s="148" t="s">
        <v>163</v>
      </c>
      <c r="AN209" s="163">
        <v>0.85</v>
      </c>
      <c r="AO209" s="158">
        <v>32837658</v>
      </c>
      <c r="AP209" s="158">
        <v>0</v>
      </c>
      <c r="AQ209" s="164">
        <v>5804506</v>
      </c>
      <c r="AR209" s="165">
        <f t="shared" si="630"/>
        <v>114837.39837398374</v>
      </c>
      <c r="AS209" s="166" t="str">
        <f t="shared" si="631"/>
        <v/>
      </c>
      <c r="AT209" s="166">
        <f t="shared" si="632"/>
        <v>88990.94308943089</v>
      </c>
      <c r="AU209" s="166" t="str">
        <f t="shared" si="633"/>
        <v/>
      </c>
      <c r="AV209" s="167">
        <f t="shared" si="634"/>
        <v>15730.368563685637</v>
      </c>
      <c r="AW209" s="168">
        <f t="shared" si="635"/>
        <v>128929.53929539295</v>
      </c>
      <c r="AX209" s="169">
        <f t="shared" si="636"/>
        <v>133.71501486815404</v>
      </c>
      <c r="AY209" s="170">
        <f t="shared" si="637"/>
        <v>151953.65853658537</v>
      </c>
      <c r="AZ209" s="171">
        <f t="shared" si="638"/>
        <v>157.59371996155079</v>
      </c>
      <c r="BA209" s="162">
        <v>5472000</v>
      </c>
      <c r="BB209" s="158">
        <v>6800000</v>
      </c>
      <c r="BC209" s="158">
        <v>40775000</v>
      </c>
      <c r="BD209" s="158">
        <v>1610000</v>
      </c>
      <c r="BE209" s="158">
        <v>6885900</v>
      </c>
      <c r="BF209" s="158">
        <v>3656934</v>
      </c>
      <c r="BG209" s="158">
        <v>5124955</v>
      </c>
      <c r="BH209" s="158">
        <v>9692375</v>
      </c>
      <c r="BI209" s="158">
        <v>1000000</v>
      </c>
      <c r="BJ209" s="172">
        <f t="shared" si="639"/>
        <v>81017164</v>
      </c>
      <c r="BK209" s="165">
        <f t="shared" si="640"/>
        <v>14829.268292682927</v>
      </c>
      <c r="BL209" s="166">
        <f t="shared" si="641"/>
        <v>18428.184281842819</v>
      </c>
      <c r="BM209" s="166">
        <f t="shared" si="642"/>
        <v>110501.35501355014</v>
      </c>
      <c r="BN209" s="166">
        <f t="shared" si="643"/>
        <v>4363.1436314363145</v>
      </c>
      <c r="BO209" s="166">
        <f t="shared" si="644"/>
        <v>18660.975609756097</v>
      </c>
      <c r="BP209" s="166">
        <f t="shared" si="645"/>
        <v>9910.3902439024387</v>
      </c>
      <c r="BQ209" s="166">
        <f t="shared" si="646"/>
        <v>13888.766937669378</v>
      </c>
      <c r="BR209" s="166">
        <f t="shared" si="647"/>
        <v>26266.598915989161</v>
      </c>
      <c r="BS209" s="166">
        <f t="shared" si="648"/>
        <v>2710.0271002710028</v>
      </c>
      <c r="BT209" s="167">
        <f t="shared" si="649"/>
        <v>219558.71002710029</v>
      </c>
      <c r="BU209" s="161">
        <f t="shared" si="650"/>
        <v>15.379685998077539</v>
      </c>
      <c r="BV209" s="173">
        <f t="shared" si="651"/>
        <v>19.112182892347818</v>
      </c>
      <c r="BW209" s="173">
        <f t="shared" si="652"/>
        <v>114.60283197580623</v>
      </c>
      <c r="BX209" s="173">
        <f t="shared" si="653"/>
        <v>4.5250903612764688</v>
      </c>
      <c r="BY209" s="173">
        <f t="shared" si="654"/>
        <v>19.353614732120271</v>
      </c>
      <c r="BZ209" s="173">
        <f t="shared" si="655"/>
        <v>10.278234034300747</v>
      </c>
      <c r="CA209" s="173">
        <f t="shared" si="656"/>
        <v>14.40427606986065</v>
      </c>
      <c r="CB209" s="173">
        <f t="shared" si="657"/>
        <v>27.241535832532307</v>
      </c>
      <c r="CC209" s="173">
        <f t="shared" si="658"/>
        <v>2.8106151312276206</v>
      </c>
      <c r="CD209" s="172">
        <f t="shared" si="659"/>
        <v>227.70806702754965</v>
      </c>
      <c r="CE209" s="162">
        <v>5249844</v>
      </c>
      <c r="CF209" s="158">
        <v>132840</v>
      </c>
      <c r="CG209" s="174">
        <v>-403701</v>
      </c>
      <c r="CH209" s="175">
        <f t="shared" si="660"/>
        <v>4978983</v>
      </c>
      <c r="CI209" s="158">
        <f>140000+32000+14760+8500+8500</f>
        <v>203760</v>
      </c>
      <c r="CJ209" s="158">
        <v>199159</v>
      </c>
      <c r="CK209" s="158">
        <v>300000</v>
      </c>
      <c r="CL209" s="158">
        <f>175000+36000</f>
        <v>211000</v>
      </c>
      <c r="CM209" s="158">
        <f>100000+286000</f>
        <v>386000</v>
      </c>
      <c r="CN209" s="158">
        <v>200000</v>
      </c>
      <c r="CO209" s="158">
        <v>0</v>
      </c>
      <c r="CP209" s="175">
        <f t="shared" si="626"/>
        <v>1499919</v>
      </c>
      <c r="CQ209" s="158">
        <v>92250</v>
      </c>
      <c r="CR209" s="175">
        <f t="shared" si="627"/>
        <v>1592169</v>
      </c>
      <c r="CS209" s="175">
        <f t="shared" si="661"/>
        <v>3479064</v>
      </c>
      <c r="CT209" s="158">
        <v>2940897</v>
      </c>
      <c r="CU209" s="172">
        <f t="shared" si="662"/>
        <v>538167</v>
      </c>
      <c r="CV209" s="176">
        <f t="shared" si="663"/>
        <v>0.6987499254365801</v>
      </c>
      <c r="CW209" s="175">
        <f t="shared" si="664"/>
        <v>4314.8211382113823</v>
      </c>
      <c r="CX209" s="177">
        <f t="shared" si="665"/>
        <v>0.31977795465459513</v>
      </c>
      <c r="CY209" s="175">
        <f t="shared" si="666"/>
        <v>1458.4471544715448</v>
      </c>
      <c r="CZ209" s="177">
        <f t="shared" si="667"/>
        <v>0.10808773598945809</v>
      </c>
      <c r="DA209" s="177">
        <f t="shared" si="668"/>
        <v>0.59066218944712201</v>
      </c>
      <c r="DB209" s="172">
        <f t="shared" si="669"/>
        <v>114837.39837398374</v>
      </c>
      <c r="DC209" s="165">
        <f t="shared" si="670"/>
        <v>14227.219512195123</v>
      </c>
      <c r="DD209" s="166">
        <f t="shared" si="671"/>
        <v>360</v>
      </c>
      <c r="DE209" s="166">
        <f t="shared" si="672"/>
        <v>-1094.040650406504</v>
      </c>
      <c r="DF209" s="166">
        <f t="shared" si="673"/>
        <v>13493.178861788618</v>
      </c>
      <c r="DG209" s="166">
        <f t="shared" si="674"/>
        <v>552.19512195121956</v>
      </c>
      <c r="DH209" s="166">
        <f t="shared" si="675"/>
        <v>539.72628726287257</v>
      </c>
      <c r="DI209" s="166">
        <f t="shared" si="676"/>
        <v>813.00813008130081</v>
      </c>
      <c r="DJ209" s="166">
        <f t="shared" si="677"/>
        <v>571.81571815718155</v>
      </c>
      <c r="DK209" s="166">
        <f t="shared" si="678"/>
        <v>1046.0704607046071</v>
      </c>
      <c r="DL209" s="166">
        <f t="shared" si="679"/>
        <v>542.0054200542005</v>
      </c>
      <c r="DM209" s="166" t="str">
        <f t="shared" si="680"/>
        <v/>
      </c>
      <c r="DN209" s="166">
        <f t="shared" si="681"/>
        <v>4064.8211382113823</v>
      </c>
      <c r="DO209" s="166">
        <f t="shared" si="682"/>
        <v>250</v>
      </c>
      <c r="DP209" s="166">
        <f t="shared" si="683"/>
        <v>4314.8211382113823</v>
      </c>
      <c r="DQ209" s="166">
        <f t="shared" si="684"/>
        <v>9428.3577235772354</v>
      </c>
      <c r="DR209" s="166">
        <f t="shared" si="685"/>
        <v>7969.9105691056911</v>
      </c>
      <c r="DS209" s="167">
        <f t="shared" si="686"/>
        <v>1458.4471544715448</v>
      </c>
      <c r="DT209" s="178">
        <f t="shared" si="687"/>
        <v>1.0544008686111199</v>
      </c>
      <c r="DU209" s="179">
        <f t="shared" si="688"/>
        <v>2.6680147331292356E-2</v>
      </c>
      <c r="DV209" s="179" t="str">
        <f t="shared" si="689"/>
        <v/>
      </c>
      <c r="DW209" s="179">
        <f t="shared" si="690"/>
        <v>1</v>
      </c>
      <c r="DX209" s="179">
        <f t="shared" si="691"/>
        <v>4.0924020025776352E-2</v>
      </c>
      <c r="DY209" s="179">
        <f t="shared" si="692"/>
        <v>3.9999935729846836E-2</v>
      </c>
      <c r="DZ209" s="179">
        <f t="shared" si="693"/>
        <v>6.0253268589187794E-2</v>
      </c>
      <c r="EA209" s="179">
        <f t="shared" si="694"/>
        <v>4.2378132241062079E-2</v>
      </c>
      <c r="EB209" s="179">
        <f t="shared" si="695"/>
        <v>7.7525872251421629E-2</v>
      </c>
      <c r="EC209" s="179">
        <f t="shared" si="696"/>
        <v>4.0168845726125196E-2</v>
      </c>
      <c r="ED209" s="179" t="str">
        <f t="shared" si="697"/>
        <v/>
      </c>
      <c r="EE209" s="179">
        <f t="shared" si="698"/>
        <v>0.3012500745634199</v>
      </c>
      <c r="EF209" s="179">
        <f t="shared" si="699"/>
        <v>1.8527880091175244E-2</v>
      </c>
      <c r="EG209" s="179">
        <f t="shared" si="700"/>
        <v>0.31977795465459513</v>
      </c>
      <c r="EH209" s="179">
        <f t="shared" si="701"/>
        <v>0.6987499254365801</v>
      </c>
      <c r="EI209" s="179">
        <f t="shared" si="702"/>
        <v>0.59066218944712201</v>
      </c>
      <c r="EJ209" s="180">
        <f t="shared" si="703"/>
        <v>0.10808773598945809</v>
      </c>
    </row>
    <row r="210" spans="2:140" ht="12" hidden="1" customHeight="1" outlineLevel="1">
      <c r="B210" s="145">
        <v>45336</v>
      </c>
      <c r="C210" s="117" t="s">
        <v>1106</v>
      </c>
      <c r="D210" s="50" t="s">
        <v>656</v>
      </c>
      <c r="E210" s="50" t="s">
        <v>657</v>
      </c>
      <c r="F210" s="50" t="s">
        <v>658</v>
      </c>
      <c r="G210" s="50" t="s">
        <v>291</v>
      </c>
      <c r="H210" s="50" t="s">
        <v>163</v>
      </c>
      <c r="I210" s="50" t="s">
        <v>321</v>
      </c>
      <c r="J210" s="52" t="s">
        <v>609</v>
      </c>
      <c r="K210" s="50" t="s">
        <v>610</v>
      </c>
      <c r="L210" s="49">
        <v>8</v>
      </c>
      <c r="M210" s="50" t="s">
        <v>159</v>
      </c>
      <c r="N210" s="50" t="s">
        <v>361</v>
      </c>
      <c r="O210" s="50" t="s">
        <v>318</v>
      </c>
      <c r="P210" s="50" t="s">
        <v>273</v>
      </c>
      <c r="Q210" s="53">
        <v>0.09</v>
      </c>
      <c r="R210" s="49">
        <v>34</v>
      </c>
      <c r="S210" s="49">
        <v>0</v>
      </c>
      <c r="T210" s="54">
        <f t="shared" si="625"/>
        <v>34</v>
      </c>
      <c r="U210" s="55">
        <v>16046</v>
      </c>
      <c r="V210" s="49">
        <v>3.41</v>
      </c>
      <c r="W210" s="56">
        <f t="shared" si="628"/>
        <v>9.9706744868035191</v>
      </c>
      <c r="X210" s="49">
        <v>1932</v>
      </c>
      <c r="Y210" s="57" t="s">
        <v>162</v>
      </c>
      <c r="Z210" s="58" t="s">
        <v>163</v>
      </c>
      <c r="AA210" s="114" t="s">
        <v>163</v>
      </c>
      <c r="AB210" s="59"/>
      <c r="AC210" s="60"/>
      <c r="AD210" s="61"/>
      <c r="AE210" s="62"/>
      <c r="AF210" s="63"/>
      <c r="AG210" s="59"/>
      <c r="AH210" s="60"/>
      <c r="AI210" s="61"/>
      <c r="AJ210" s="64"/>
      <c r="AK210" s="65" t="str">
        <f t="shared" si="629"/>
        <v/>
      </c>
      <c r="AL210" s="62">
        <v>500</v>
      </c>
      <c r="AM210" s="49" t="s">
        <v>163</v>
      </c>
      <c r="AN210" s="67">
        <v>0.85</v>
      </c>
      <c r="AO210" s="62">
        <v>5057465</v>
      </c>
      <c r="AP210" s="62">
        <v>0</v>
      </c>
      <c r="AQ210" s="68">
        <v>370597</v>
      </c>
      <c r="AR210" s="69" t="str">
        <f t="shared" si="630"/>
        <v/>
      </c>
      <c r="AS210" s="70" t="str">
        <f>IFERROR(IF(#REF!&gt;0,#REF!/T210,""),"")</f>
        <v/>
      </c>
      <c r="AT210" s="70">
        <f t="shared" si="632"/>
        <v>148748.9705882353</v>
      </c>
      <c r="AU210" s="70">
        <f>IFERROR(IF(AL210&gt;0,AL210/T210,""),"")</f>
        <v>14.705882352941176</v>
      </c>
      <c r="AV210" s="71">
        <f t="shared" si="634"/>
        <v>10899.911764705883</v>
      </c>
      <c r="AW210" s="115">
        <f t="shared" si="635"/>
        <v>70068.23529411765</v>
      </c>
      <c r="AX210" s="116">
        <f t="shared" si="636"/>
        <v>148.46815405708588</v>
      </c>
      <c r="AY210" s="72">
        <f t="shared" si="637"/>
        <v>86633.882352941175</v>
      </c>
      <c r="AZ210" s="73">
        <f t="shared" si="638"/>
        <v>183.56923843948647</v>
      </c>
      <c r="BA210" s="66">
        <v>0</v>
      </c>
      <c r="BB210" s="62">
        <v>526150</v>
      </c>
      <c r="BC210" s="62">
        <v>1856170</v>
      </c>
      <c r="BD210" s="62">
        <v>238232</v>
      </c>
      <c r="BE210" s="62">
        <v>325000</v>
      </c>
      <c r="BF210" s="62">
        <v>791895</v>
      </c>
      <c r="BG210" s="62">
        <v>383750</v>
      </c>
      <c r="BH210" s="62">
        <v>800000</v>
      </c>
      <c r="BI210" s="62">
        <v>110000</v>
      </c>
      <c r="BJ210" s="47">
        <f t="shared" si="639"/>
        <v>5031197</v>
      </c>
      <c r="BK210" s="69" t="str">
        <f t="shared" si="640"/>
        <v/>
      </c>
      <c r="BL210" s="70">
        <f t="shared" si="641"/>
        <v>15475</v>
      </c>
      <c r="BM210" s="70">
        <f t="shared" si="642"/>
        <v>54593.23529411765</v>
      </c>
      <c r="BN210" s="70">
        <f t="shared" si="643"/>
        <v>7006.8235294117649</v>
      </c>
      <c r="BO210" s="70">
        <f t="shared" si="644"/>
        <v>9558.823529411764</v>
      </c>
      <c r="BP210" s="70">
        <f t="shared" si="645"/>
        <v>23291.029411764706</v>
      </c>
      <c r="BQ210" s="70">
        <f t="shared" si="646"/>
        <v>11286.764705882353</v>
      </c>
      <c r="BR210" s="70">
        <f t="shared" si="647"/>
        <v>23529.411764705881</v>
      </c>
      <c r="BS210" s="70">
        <f t="shared" si="648"/>
        <v>3235.294117647059</v>
      </c>
      <c r="BT210" s="71">
        <f t="shared" si="649"/>
        <v>147976.38235294117</v>
      </c>
      <c r="BU210" s="65" t="str">
        <f t="shared" si="650"/>
        <v/>
      </c>
      <c r="BV210" s="48">
        <f t="shared" si="651"/>
        <v>32.790103452573852</v>
      </c>
      <c r="BW210" s="48">
        <f t="shared" si="652"/>
        <v>115.67805060451202</v>
      </c>
      <c r="BX210" s="48">
        <f t="shared" si="653"/>
        <v>14.846815405708588</v>
      </c>
      <c r="BY210" s="48">
        <f t="shared" si="654"/>
        <v>20.254268976692011</v>
      </c>
      <c r="BZ210" s="48">
        <f t="shared" si="655"/>
        <v>49.35155178860775</v>
      </c>
      <c r="CA210" s="48">
        <f t="shared" si="656"/>
        <v>23.91561759940172</v>
      </c>
      <c r="CB210" s="48">
        <f t="shared" si="657"/>
        <v>49.85666209647264</v>
      </c>
      <c r="CC210" s="48">
        <f t="shared" si="658"/>
        <v>6.8552910382649879</v>
      </c>
      <c r="CD210" s="47">
        <f t="shared" si="659"/>
        <v>313.54836096223357</v>
      </c>
      <c r="CE210" s="66">
        <v>279888</v>
      </c>
      <c r="CF210" s="62">
        <v>2040</v>
      </c>
      <c r="CG210" s="74">
        <v>-21145</v>
      </c>
      <c r="CH210" s="75">
        <f t="shared" si="660"/>
        <v>260783</v>
      </c>
      <c r="CI210" s="62">
        <f>12840+24000+1360</f>
        <v>38200</v>
      </c>
      <c r="CJ210" s="62">
        <v>13300</v>
      </c>
      <c r="CK210" s="62">
        <v>64000</v>
      </c>
      <c r="CL210" s="62">
        <v>22600</v>
      </c>
      <c r="CM210" s="62">
        <f>15400+17700+1500</f>
        <v>34600</v>
      </c>
      <c r="CN210" s="62">
        <v>24000</v>
      </c>
      <c r="CO210" s="62">
        <v>6800</v>
      </c>
      <c r="CP210" s="75">
        <f t="shared" si="626"/>
        <v>203500</v>
      </c>
      <c r="CQ210" s="62">
        <v>10200</v>
      </c>
      <c r="CR210" s="75">
        <f t="shared" si="627"/>
        <v>213700</v>
      </c>
      <c r="CS210" s="75">
        <f t="shared" si="661"/>
        <v>57283</v>
      </c>
      <c r="CT210" s="62">
        <v>0</v>
      </c>
      <c r="CU210" s="47">
        <f t="shared" si="662"/>
        <v>57283</v>
      </c>
      <c r="CV210" s="76">
        <f t="shared" si="663"/>
        <v>0.21965772308777795</v>
      </c>
      <c r="CW210" s="75">
        <f t="shared" si="664"/>
        <v>6285.2941176470586</v>
      </c>
      <c r="CX210" s="77">
        <f t="shared" si="665"/>
        <v>0.81945525590241697</v>
      </c>
      <c r="CY210" s="75">
        <f t="shared" si="666"/>
        <v>1684.7941176470588</v>
      </c>
      <c r="CZ210" s="77">
        <f t="shared" si="667"/>
        <v>0.21965772308777795</v>
      </c>
      <c r="DA210" s="77" t="str">
        <f t="shared" si="668"/>
        <v/>
      </c>
      <c r="DB210" s="47" t="str">
        <f t="shared" si="669"/>
        <v/>
      </c>
      <c r="DC210" s="69">
        <f t="shared" si="670"/>
        <v>8232</v>
      </c>
      <c r="DD210" s="70">
        <f t="shared" si="671"/>
        <v>60</v>
      </c>
      <c r="DE210" s="70">
        <f t="shared" si="672"/>
        <v>-621.91176470588232</v>
      </c>
      <c r="DF210" s="70">
        <f t="shared" si="673"/>
        <v>7670.088235294118</v>
      </c>
      <c r="DG210" s="70">
        <f t="shared" si="674"/>
        <v>1123.5294117647059</v>
      </c>
      <c r="DH210" s="70">
        <f t="shared" si="675"/>
        <v>391.1764705882353</v>
      </c>
      <c r="DI210" s="70">
        <f t="shared" si="676"/>
        <v>1882.3529411764705</v>
      </c>
      <c r="DJ210" s="70">
        <f t="shared" si="677"/>
        <v>664.70588235294122</v>
      </c>
      <c r="DK210" s="70">
        <f t="shared" si="678"/>
        <v>1017.6470588235294</v>
      </c>
      <c r="DL210" s="70">
        <f t="shared" si="679"/>
        <v>705.88235294117646</v>
      </c>
      <c r="DM210" s="70">
        <f t="shared" si="680"/>
        <v>200</v>
      </c>
      <c r="DN210" s="70">
        <f t="shared" si="681"/>
        <v>5985.2941176470586</v>
      </c>
      <c r="DO210" s="70">
        <f t="shared" si="682"/>
        <v>300</v>
      </c>
      <c r="DP210" s="70">
        <f t="shared" si="683"/>
        <v>6285.2941176470586</v>
      </c>
      <c r="DQ210" s="70">
        <f t="shared" si="684"/>
        <v>1684.7941176470588</v>
      </c>
      <c r="DR210" s="70" t="str">
        <f t="shared" si="685"/>
        <v/>
      </c>
      <c r="DS210" s="71">
        <f t="shared" si="686"/>
        <v>1684.7941176470588</v>
      </c>
      <c r="DT210" s="106">
        <f t="shared" si="687"/>
        <v>1.0732601434909483</v>
      </c>
      <c r="DU210" s="92">
        <f t="shared" si="688"/>
        <v>7.822595798038982E-3</v>
      </c>
      <c r="DV210" s="92" t="str">
        <f t="shared" si="689"/>
        <v/>
      </c>
      <c r="DW210" s="92">
        <f t="shared" si="690"/>
        <v>1</v>
      </c>
      <c r="DX210" s="92">
        <f t="shared" si="691"/>
        <v>0.1464819409240633</v>
      </c>
      <c r="DY210" s="92">
        <f t="shared" si="692"/>
        <v>5.1000256918587485E-2</v>
      </c>
      <c r="DZ210" s="92">
        <f t="shared" si="693"/>
        <v>0.24541477013455631</v>
      </c>
      <c r="EA210" s="92">
        <f t="shared" si="694"/>
        <v>8.6662090703765196E-2</v>
      </c>
      <c r="EB210" s="92">
        <f t="shared" si="695"/>
        <v>0.1326773601039945</v>
      </c>
      <c r="EC210" s="92">
        <f t="shared" si="696"/>
        <v>9.2030538800458625E-2</v>
      </c>
      <c r="ED210" s="92">
        <f t="shared" si="697"/>
        <v>2.607531932679661E-2</v>
      </c>
      <c r="EE210" s="92">
        <f t="shared" si="698"/>
        <v>0.78034227691222202</v>
      </c>
      <c r="EF210" s="92">
        <f t="shared" si="699"/>
        <v>3.9112978990194912E-2</v>
      </c>
      <c r="EG210" s="92">
        <f t="shared" si="700"/>
        <v>0.81945525590241697</v>
      </c>
      <c r="EH210" s="92">
        <f t="shared" si="701"/>
        <v>0.21965772308777795</v>
      </c>
      <c r="EI210" s="92" t="str">
        <f t="shared" si="702"/>
        <v/>
      </c>
      <c r="EJ210" s="122">
        <f t="shared" si="703"/>
        <v>0.21965772308777795</v>
      </c>
    </row>
    <row r="211" spans="2:140" ht="12" hidden="1" customHeight="1" outlineLevel="1">
      <c r="B211" s="145">
        <v>45356</v>
      </c>
      <c r="C211" s="117">
        <v>23416</v>
      </c>
      <c r="D211" s="50" t="s">
        <v>1107</v>
      </c>
      <c r="E211" s="50" t="s">
        <v>1108</v>
      </c>
      <c r="F211" s="50" t="s">
        <v>1109</v>
      </c>
      <c r="G211" s="50" t="s">
        <v>162</v>
      </c>
      <c r="H211" s="50" t="s">
        <v>220</v>
      </c>
      <c r="I211" s="50" t="s">
        <v>672</v>
      </c>
      <c r="J211" s="52" t="s">
        <v>488</v>
      </c>
      <c r="K211" s="50" t="s">
        <v>462</v>
      </c>
      <c r="L211" s="49">
        <v>3</v>
      </c>
      <c r="M211" s="50" t="s">
        <v>159</v>
      </c>
      <c r="N211" s="50" t="s">
        <v>160</v>
      </c>
      <c r="O211" s="50" t="s">
        <v>160</v>
      </c>
      <c r="P211" s="50" t="s">
        <v>231</v>
      </c>
      <c r="Q211" s="53">
        <v>0.04</v>
      </c>
      <c r="R211" s="49">
        <v>96</v>
      </c>
      <c r="S211" s="49">
        <v>0</v>
      </c>
      <c r="T211" s="54">
        <f t="shared" si="625"/>
        <v>96</v>
      </c>
      <c r="U211" s="55">
        <v>95815</v>
      </c>
      <c r="V211" s="49">
        <v>16.899999999999999</v>
      </c>
      <c r="W211" s="56">
        <f t="shared" si="551"/>
        <v>5.6804733727810657</v>
      </c>
      <c r="X211" s="49" t="s">
        <v>163</v>
      </c>
      <c r="Y211" s="57" t="s">
        <v>249</v>
      </c>
      <c r="Z211" s="58">
        <v>23360000</v>
      </c>
      <c r="AA211" s="114">
        <v>8.8800000000000004E-2</v>
      </c>
      <c r="AB211" s="59">
        <v>20</v>
      </c>
      <c r="AC211" s="60">
        <v>40</v>
      </c>
      <c r="AD211" s="61">
        <v>6.7799999999999999E-2</v>
      </c>
      <c r="AE211" s="62">
        <v>17800000</v>
      </c>
      <c r="AF211" s="63">
        <v>1.1399999999999999</v>
      </c>
      <c r="AG211" s="59">
        <v>20</v>
      </c>
      <c r="AH211" s="60">
        <v>40</v>
      </c>
      <c r="AI211" s="61">
        <v>6.7799999999999999E-2</v>
      </c>
      <c r="AJ211" s="64">
        <v>-150000</v>
      </c>
      <c r="AK211" s="65">
        <f t="shared" si="552"/>
        <v>17650000</v>
      </c>
      <c r="AL211" s="62">
        <v>105000</v>
      </c>
      <c r="AM211" s="49" t="s">
        <v>220</v>
      </c>
      <c r="AN211" s="67">
        <v>0.81</v>
      </c>
      <c r="AO211" s="62">
        <v>6992855</v>
      </c>
      <c r="AP211" s="62">
        <v>0</v>
      </c>
      <c r="AQ211" s="68">
        <v>2053844</v>
      </c>
      <c r="AR211" s="69">
        <f t="shared" si="553"/>
        <v>183854.16666666666</v>
      </c>
      <c r="AS211" s="70">
        <f>IFERROR(IF(AL211&gt;0,AL211/T211,""),"")</f>
        <v>1093.75</v>
      </c>
      <c r="AT211" s="70">
        <f t="shared" si="554"/>
        <v>72842.239583333328</v>
      </c>
      <c r="AU211" s="70" t="str">
        <f>IFERROR(IF(AP211&gt;0,AP211/T211,""),"")</f>
        <v/>
      </c>
      <c r="AV211" s="71">
        <f t="shared" si="555"/>
        <v>21394.208333333332</v>
      </c>
      <c r="AW211" s="115">
        <f t="shared" si="556"/>
        <v>186498.27083333334</v>
      </c>
      <c r="AX211" s="116">
        <f t="shared" si="557"/>
        <v>186.85836246934196</v>
      </c>
      <c r="AY211" s="72">
        <f t="shared" si="558"/>
        <v>223327.58333333334</v>
      </c>
      <c r="AZ211" s="73">
        <f t="shared" si="559"/>
        <v>223.75878515889997</v>
      </c>
      <c r="BA211" s="66">
        <v>0</v>
      </c>
      <c r="BB211" s="62">
        <v>2711642</v>
      </c>
      <c r="BC211" s="62">
        <v>15192192</v>
      </c>
      <c r="BD211" s="62">
        <v>1029080</v>
      </c>
      <c r="BE211" s="62">
        <v>2506534</v>
      </c>
      <c r="BF211" s="62">
        <v>4135120</v>
      </c>
      <c r="BG211" s="62">
        <v>4935086</v>
      </c>
      <c r="BH211" s="62">
        <v>4303000</v>
      </c>
      <c r="BI211" s="62">
        <v>981900</v>
      </c>
      <c r="BJ211" s="47">
        <f t="shared" si="560"/>
        <v>35794554</v>
      </c>
      <c r="BK211" s="69" t="str">
        <f t="shared" si="561"/>
        <v/>
      </c>
      <c r="BL211" s="70">
        <f t="shared" si="562"/>
        <v>28246.270833333332</v>
      </c>
      <c r="BM211" s="70">
        <f t="shared" si="563"/>
        <v>158252</v>
      </c>
      <c r="BN211" s="70">
        <f t="shared" si="564"/>
        <v>10719.583333333334</v>
      </c>
      <c r="BO211" s="70">
        <f t="shared" si="565"/>
        <v>26109.729166666668</v>
      </c>
      <c r="BP211" s="70">
        <f t="shared" si="566"/>
        <v>43074.166666666664</v>
      </c>
      <c r="BQ211" s="70">
        <f t="shared" si="567"/>
        <v>51407.145833333336</v>
      </c>
      <c r="BR211" s="70">
        <f t="shared" si="568"/>
        <v>44822.916666666664</v>
      </c>
      <c r="BS211" s="70">
        <f t="shared" si="569"/>
        <v>10228.125</v>
      </c>
      <c r="BT211" s="71">
        <f t="shared" si="570"/>
        <v>372859.9375</v>
      </c>
      <c r="BU211" s="65" t="str">
        <f t="shared" si="571"/>
        <v/>
      </c>
      <c r="BV211" s="48">
        <f t="shared" si="572"/>
        <v>28.300808850388769</v>
      </c>
      <c r="BW211" s="48">
        <f t="shared" si="573"/>
        <v>158.55755361895319</v>
      </c>
      <c r="BX211" s="48">
        <f t="shared" si="574"/>
        <v>10.740280749360748</v>
      </c>
      <c r="BY211" s="48">
        <f t="shared" si="575"/>
        <v>26.160141940197256</v>
      </c>
      <c r="BZ211" s="48">
        <f t="shared" si="576"/>
        <v>43.157334446589779</v>
      </c>
      <c r="CA211" s="48">
        <f t="shared" si="577"/>
        <v>51.506402964045293</v>
      </c>
      <c r="CB211" s="48">
        <f t="shared" si="578"/>
        <v>44.90946094035381</v>
      </c>
      <c r="CC211" s="48">
        <f t="shared" si="579"/>
        <v>10.247873506235976</v>
      </c>
      <c r="CD211" s="47">
        <f t="shared" si="580"/>
        <v>373.57985701612483</v>
      </c>
      <c r="CE211" s="66">
        <v>2300880</v>
      </c>
      <c r="CF211" s="62">
        <v>23040</v>
      </c>
      <c r="CG211" s="74">
        <v>-174294</v>
      </c>
      <c r="CH211" s="75">
        <f t="shared" si="581"/>
        <v>2149626</v>
      </c>
      <c r="CI211" s="62">
        <f>46431+3840+5000+2500</f>
        <v>57771</v>
      </c>
      <c r="CJ211" s="62">
        <v>108075</v>
      </c>
      <c r="CK211" s="62">
        <v>213091</v>
      </c>
      <c r="CL211" s="62">
        <f>108000+6960</f>
        <v>114960</v>
      </c>
      <c r="CM211" s="62">
        <f>12000+20400</f>
        <v>32400</v>
      </c>
      <c r="CN211" s="62">
        <v>79505</v>
      </c>
      <c r="CO211" s="62">
        <v>0</v>
      </c>
      <c r="CP211" s="75">
        <f t="shared" si="626"/>
        <v>605802</v>
      </c>
      <c r="CQ211" s="62">
        <v>43200</v>
      </c>
      <c r="CR211" s="75">
        <f t="shared" si="627"/>
        <v>649002</v>
      </c>
      <c r="CS211" s="75">
        <f t="shared" si="582"/>
        <v>1543824</v>
      </c>
      <c r="CT211" s="62">
        <f>1315634-11087</f>
        <v>1304547</v>
      </c>
      <c r="CU211" s="47">
        <f t="shared" si="583"/>
        <v>239277</v>
      </c>
      <c r="CV211" s="76">
        <f t="shared" si="584"/>
        <v>0.71818260478799567</v>
      </c>
      <c r="CW211" s="75">
        <f t="shared" si="585"/>
        <v>6760.4375</v>
      </c>
      <c r="CX211" s="77">
        <f t="shared" si="586"/>
        <v>0.30191391432742254</v>
      </c>
      <c r="CY211" s="75">
        <f t="shared" si="587"/>
        <v>2492.46875</v>
      </c>
      <c r="CZ211" s="77">
        <f t="shared" si="588"/>
        <v>0.11131099084212788</v>
      </c>
      <c r="DA211" s="77">
        <f t="shared" si="589"/>
        <v>0.60687161394586775</v>
      </c>
      <c r="DB211" s="47">
        <f t="shared" si="590"/>
        <v>183854.16666666666</v>
      </c>
      <c r="DC211" s="69">
        <f t="shared" si="591"/>
        <v>23967.5</v>
      </c>
      <c r="DD211" s="70">
        <f t="shared" si="592"/>
        <v>240</v>
      </c>
      <c r="DE211" s="70">
        <f t="shared" si="593"/>
        <v>-1815.5625</v>
      </c>
      <c r="DF211" s="70">
        <f t="shared" si="594"/>
        <v>22391.9375</v>
      </c>
      <c r="DG211" s="70">
        <f t="shared" si="595"/>
        <v>601.78125</v>
      </c>
      <c r="DH211" s="70">
        <f t="shared" si="596"/>
        <v>1125.78125</v>
      </c>
      <c r="DI211" s="70">
        <f t="shared" si="597"/>
        <v>2219.6979166666665</v>
      </c>
      <c r="DJ211" s="70">
        <f t="shared" si="598"/>
        <v>1197.5</v>
      </c>
      <c r="DK211" s="70">
        <f t="shared" si="599"/>
        <v>337.5</v>
      </c>
      <c r="DL211" s="70">
        <f t="shared" si="600"/>
        <v>828.17708333333337</v>
      </c>
      <c r="DM211" s="70" t="str">
        <f t="shared" si="601"/>
        <v/>
      </c>
      <c r="DN211" s="70">
        <f t="shared" si="602"/>
        <v>6310.4375</v>
      </c>
      <c r="DO211" s="70">
        <f t="shared" si="603"/>
        <v>450</v>
      </c>
      <c r="DP211" s="70">
        <f t="shared" si="604"/>
        <v>6760.4375</v>
      </c>
      <c r="DQ211" s="70">
        <f t="shared" si="605"/>
        <v>16081.5</v>
      </c>
      <c r="DR211" s="70">
        <f t="shared" si="606"/>
        <v>13589.03125</v>
      </c>
      <c r="DS211" s="71">
        <f t="shared" si="607"/>
        <v>2492.46875</v>
      </c>
      <c r="DT211" s="106">
        <f t="shared" si="608"/>
        <v>1.0703629375528581</v>
      </c>
      <c r="DU211" s="92">
        <f t="shared" si="609"/>
        <v>1.071814352822305E-2</v>
      </c>
      <c r="DV211" s="92" t="str">
        <f t="shared" si="610"/>
        <v/>
      </c>
      <c r="DW211" s="92">
        <f t="shared" si="611"/>
        <v>1</v>
      </c>
      <c r="DX211" s="92">
        <f t="shared" si="612"/>
        <v>2.6874907542056153E-2</v>
      </c>
      <c r="DY211" s="92">
        <f t="shared" si="613"/>
        <v>5.0276187578676475E-2</v>
      </c>
      <c r="DZ211" s="92">
        <f t="shared" si="614"/>
        <v>9.9129336917212582E-2</v>
      </c>
      <c r="EA211" s="92">
        <f t="shared" si="615"/>
        <v>5.3479070312696254E-2</v>
      </c>
      <c r="EB211" s="92">
        <f t="shared" si="616"/>
        <v>1.5072389336563663E-2</v>
      </c>
      <c r="EC211" s="92">
        <f t="shared" si="617"/>
        <v>3.69855035247992E-2</v>
      </c>
      <c r="ED211" s="92" t="str">
        <f t="shared" si="618"/>
        <v/>
      </c>
      <c r="EE211" s="92">
        <f t="shared" si="619"/>
        <v>0.28181739521200433</v>
      </c>
      <c r="EF211" s="92">
        <f t="shared" si="620"/>
        <v>2.0096519115418217E-2</v>
      </c>
      <c r="EG211" s="92">
        <f t="shared" si="621"/>
        <v>0.30191391432742254</v>
      </c>
      <c r="EH211" s="92">
        <f t="shared" si="622"/>
        <v>0.71818260478799567</v>
      </c>
      <c r="EI211" s="92">
        <f t="shared" si="623"/>
        <v>0.60687161394586775</v>
      </c>
      <c r="EJ211" s="122">
        <f t="shared" si="624"/>
        <v>0.11131099084212788</v>
      </c>
    </row>
    <row r="212" spans="2:140" ht="12" hidden="1" customHeight="1" outlineLevel="1">
      <c r="B212" s="145">
        <v>45362</v>
      </c>
      <c r="C212" s="117" t="s">
        <v>1110</v>
      </c>
      <c r="D212" s="50" t="s">
        <v>1111</v>
      </c>
      <c r="E212" s="50" t="s">
        <v>422</v>
      </c>
      <c r="F212" s="50" t="s">
        <v>1112</v>
      </c>
      <c r="G212" s="50" t="s">
        <v>291</v>
      </c>
      <c r="H212" s="50" t="s">
        <v>424</v>
      </c>
      <c r="I212" s="50" t="s">
        <v>742</v>
      </c>
      <c r="J212" s="52" t="s">
        <v>175</v>
      </c>
      <c r="K212" s="50" t="s">
        <v>176</v>
      </c>
      <c r="L212" s="49">
        <v>6</v>
      </c>
      <c r="M212" s="50" t="s">
        <v>159</v>
      </c>
      <c r="N212" s="50" t="s">
        <v>160</v>
      </c>
      <c r="O212" s="50" t="s">
        <v>160</v>
      </c>
      <c r="P212" s="50" t="s">
        <v>177</v>
      </c>
      <c r="Q212" s="53">
        <v>0.09</v>
      </c>
      <c r="R212" s="49">
        <v>74</v>
      </c>
      <c r="S212" s="49">
        <v>2</v>
      </c>
      <c r="T212" s="54">
        <f t="shared" si="625"/>
        <v>76</v>
      </c>
      <c r="U212" s="55">
        <v>73058</v>
      </c>
      <c r="V212" s="49">
        <v>29.3</v>
      </c>
      <c r="W212" s="56">
        <f t="shared" ref="W212:W235" si="708">IFERROR(IF(T212&gt;0,T212/V212,""),"")</f>
        <v>2.5938566552901023</v>
      </c>
      <c r="X212" s="49" t="s">
        <v>163</v>
      </c>
      <c r="Y212" s="57" t="s">
        <v>162</v>
      </c>
      <c r="Z212" s="58">
        <v>4397500</v>
      </c>
      <c r="AA212" s="114">
        <v>0.05</v>
      </c>
      <c r="AB212" s="59"/>
      <c r="AC212" s="60"/>
      <c r="AD212" s="61"/>
      <c r="AE212" s="62"/>
      <c r="AF212" s="63"/>
      <c r="AG212" s="59"/>
      <c r="AH212" s="60"/>
      <c r="AI212" s="61"/>
      <c r="AJ212" s="64"/>
      <c r="AK212" s="65" t="str">
        <f t="shared" ref="AK212:AK235" si="709">IFERROR(IF(AE212&gt;0,AJ212+AE212,""),"")</f>
        <v/>
      </c>
      <c r="AL212" s="62">
        <v>500</v>
      </c>
      <c r="AM212" s="49" t="s">
        <v>999</v>
      </c>
      <c r="AN212" s="67">
        <v>0.92990700000000004</v>
      </c>
      <c r="AO212" s="62">
        <v>14384515</v>
      </c>
      <c r="AP212" s="62">
        <v>0</v>
      </c>
      <c r="AQ212" s="68">
        <v>435909</v>
      </c>
      <c r="AR212" s="69" t="str">
        <f t="shared" ref="AR212:AR235" si="710">IFERROR(IF(AK212&gt;0,AK212/T212,""),"")</f>
        <v/>
      </c>
      <c r="AS212" s="70">
        <f t="shared" ref="AS212:AS235" si="711">IFERROR(IF(AL212&gt;0,AL212/T212,""),"")</f>
        <v>6.5789473684210522</v>
      </c>
      <c r="AT212" s="70">
        <f t="shared" ref="AT212:AT235" si="712">IFERROR(IF(AO212&gt;0,AO212/T212,""),"")</f>
        <v>189269.93421052632</v>
      </c>
      <c r="AU212" s="70" t="str">
        <f t="shared" ref="AU212:AU235" si="713">IFERROR(IF(AP212&gt;0,AP212/T212,""),"")</f>
        <v/>
      </c>
      <c r="AV212" s="71">
        <f t="shared" ref="AV212:AV235" si="714">IFERROR(IF(AQ212&gt;0,AQ212/T212,""),"")</f>
        <v>5735.644736842105</v>
      </c>
      <c r="AW212" s="115">
        <f t="shared" ref="AW212:AW235" si="715">IFERROR(IF(SUM(BB212:BC212)&gt;0,SUM(BB212:BC212)/T212,""),"")</f>
        <v>122888.81578947368</v>
      </c>
      <c r="AX212" s="116">
        <f t="shared" ref="AX212:AX235" si="716">IFERROR(IF(SUM(BB212:BC212)&gt;0,SUM(BB212:BC212)/U212,""),"")</f>
        <v>127.83747159790852</v>
      </c>
      <c r="AY212" s="72">
        <f t="shared" ref="AY212:AY235" si="717">IFERROR(IF(SUM(BL212:BO212)&gt;0,SUM(BL212:BO212),""),"")</f>
        <v>147097.9210526316</v>
      </c>
      <c r="AZ212" s="73">
        <f t="shared" ref="AZ212:AZ235" si="718">IFERROR(IF(SUM(BV212:BY212)&gt;0,SUM(BV212:BY212),""),"")</f>
        <v>153.0214623997372</v>
      </c>
      <c r="BA212" s="66">
        <v>1865000</v>
      </c>
      <c r="BB212" s="62">
        <v>1537000</v>
      </c>
      <c r="BC212" s="62">
        <v>7802550</v>
      </c>
      <c r="BD212" s="62">
        <v>466978</v>
      </c>
      <c r="BE212" s="62">
        <v>1372914</v>
      </c>
      <c r="BF212" s="62">
        <v>2189641</v>
      </c>
      <c r="BG212" s="62">
        <v>1162767</v>
      </c>
      <c r="BH212" s="62">
        <v>2038279</v>
      </c>
      <c r="BI212" s="62">
        <v>346886</v>
      </c>
      <c r="BJ212" s="47">
        <f t="shared" ref="BJ212:BJ235" si="719">IFERROR(IF(SUM(BA212:BI212)&gt;0,SUM(BA212:BI212),""),"")</f>
        <v>18782015</v>
      </c>
      <c r="BK212" s="69">
        <f t="shared" ref="BK212:BK235" si="720">IFERROR(IF(BA212&gt;0,BA212/$T212,""),"")</f>
        <v>24539.473684210527</v>
      </c>
      <c r="BL212" s="70">
        <f t="shared" ref="BL212:BL235" si="721">IFERROR(IF(BB212&gt;0,BB212/$T212,""),"")</f>
        <v>20223.684210526317</v>
      </c>
      <c r="BM212" s="70">
        <f t="shared" ref="BM212:BM235" si="722">IFERROR(IF(BC212&gt;0,BC212/$T212,""),"")</f>
        <v>102665.13157894737</v>
      </c>
      <c r="BN212" s="70">
        <f t="shared" ref="BN212:BN235" si="723">IFERROR(IF(BD212&gt;0,BD212/$T212,""),"")</f>
        <v>6144.4473684210525</v>
      </c>
      <c r="BO212" s="70">
        <f t="shared" ref="BO212:BO235" si="724">IFERROR(IF(BE212&gt;0,BE212/$T212,""),"")</f>
        <v>18064.657894736843</v>
      </c>
      <c r="BP212" s="70">
        <f t="shared" ref="BP212:BP235" si="725">IFERROR(IF(BF212&gt;0,BF212/$T212,""),"")</f>
        <v>28811.065789473683</v>
      </c>
      <c r="BQ212" s="70">
        <f t="shared" ref="BQ212:BQ235" si="726">IFERROR(IF(BG212&gt;0,BG212/$T212,""),"")</f>
        <v>15299.565789473685</v>
      </c>
      <c r="BR212" s="70">
        <f t="shared" ref="BR212:BR235" si="727">IFERROR(IF(BH212&gt;0,BH212/$T212,""),"")</f>
        <v>26819.46052631579</v>
      </c>
      <c r="BS212" s="70">
        <f t="shared" ref="BS212:BS235" si="728">IFERROR(IF(BI212&gt;0,BI212/$T212,""),"")</f>
        <v>4564.2894736842109</v>
      </c>
      <c r="BT212" s="71">
        <f t="shared" ref="BT212:BT235" si="729">IFERROR(IF(BJ212&gt;0,BJ212/$T212,""),"")</f>
        <v>247131.77631578947</v>
      </c>
      <c r="BU212" s="65">
        <f t="shared" ref="BU212:BU235" si="730">IFERROR(IF(BA212&gt;0,BA212/$U212,""),"")</f>
        <v>25.527662952722494</v>
      </c>
      <c r="BV212" s="48">
        <f t="shared" ref="BV212:BV235" si="731">IFERROR(IF(BB212&gt;0,BB212/$U212,""),"")</f>
        <v>21.0380793342276</v>
      </c>
      <c r="BW212" s="48">
        <f t="shared" ref="BW212:BW235" si="732">IFERROR(IF(BC212&gt;0,BC212/$U212,""),"")</f>
        <v>106.79939226368091</v>
      </c>
      <c r="BX212" s="48">
        <f t="shared" ref="BX212:BX235" si="733">IFERROR(IF(BD212&gt;0,BD212/$U212,""),"")</f>
        <v>6.3918804237728928</v>
      </c>
      <c r="BY212" s="48">
        <f t="shared" ref="BY212:BY235" si="734">IFERROR(IF(BE212&gt;0,BE212/$U212,""),"")</f>
        <v>18.792110378055792</v>
      </c>
      <c r="BZ212" s="48">
        <f t="shared" ref="BZ212:BZ235" si="735">IFERROR(IF(BF212&gt;0,BF212/$U212,""),"")</f>
        <v>29.971269402392618</v>
      </c>
      <c r="CA212" s="48">
        <f t="shared" ref="CA212:CA235" si="736">IFERROR(IF(BG212&gt;0,BG212/$U212,""),"")</f>
        <v>15.915669741848943</v>
      </c>
      <c r="CB212" s="48">
        <f t="shared" ref="CB212:CB235" si="737">IFERROR(IF(BH212&gt;0,BH212/$U212,""),"")</f>
        <v>27.899463440006571</v>
      </c>
      <c r="CC212" s="48">
        <f t="shared" ref="CC212:CC235" si="738">IFERROR(IF(BI212&gt;0,BI212/$U212,""),"")</f>
        <v>4.7480905581866466</v>
      </c>
      <c r="CD212" s="47">
        <f t="shared" ref="CD212:CD235" si="739">IFERROR(IF(BJ212&gt;0,BJ212/$U212,""),"")</f>
        <v>257.08361849489449</v>
      </c>
      <c r="CE212" s="66">
        <v>789396</v>
      </c>
      <c r="CF212" s="62">
        <v>18240</v>
      </c>
      <c r="CG212" s="74">
        <v>-60573</v>
      </c>
      <c r="CH212" s="75">
        <f t="shared" ref="CH212:CH235" si="740">IFERROR(IF(SUM(CE212:CG212)&gt;0,SUM(CE212:CG212),""),"")</f>
        <v>747063</v>
      </c>
      <c r="CI212" s="62">
        <f>30940+6000+2960</f>
        <v>39900</v>
      </c>
      <c r="CJ212" s="62">
        <v>37353</v>
      </c>
      <c r="CK212" s="62">
        <v>102600</v>
      </c>
      <c r="CL212" s="62">
        <v>45600</v>
      </c>
      <c r="CM212" s="62">
        <f>5320+47880</f>
        <v>53200</v>
      </c>
      <c r="CN212" s="62">
        <v>30400</v>
      </c>
      <c r="CO212" s="62">
        <v>99426</v>
      </c>
      <c r="CP212" s="75">
        <f t="shared" si="626"/>
        <v>408479</v>
      </c>
      <c r="CQ212" s="62">
        <v>19000</v>
      </c>
      <c r="CR212" s="75">
        <f t="shared" si="627"/>
        <v>427479</v>
      </c>
      <c r="CS212" s="75">
        <f t="shared" ref="CS212:CS235" si="741">IFERROR(IF(CH212-CR212&gt;0,CH212-CP212,""),"")</f>
        <v>338584</v>
      </c>
      <c r="CT212" s="62">
        <v>266293</v>
      </c>
      <c r="CU212" s="47">
        <f t="shared" ref="CU212:CU235" si="742">IFERROR(IF(CS212-CT212&gt;0,CS212-CT212,""),"")</f>
        <v>72291</v>
      </c>
      <c r="CV212" s="76">
        <f t="shared" ref="CV212:CV235" si="743">IFERROR(IF(CU212&gt;0,CS212/CH212,""),"")</f>
        <v>0.45322014341494626</v>
      </c>
      <c r="CW212" s="75">
        <f t="shared" ref="CW212:CW235" si="744">IFERROR(IF(CU212&gt;0,CR212/T212,""),"")</f>
        <v>5624.7236842105267</v>
      </c>
      <c r="CX212" s="77">
        <f t="shared" ref="CX212:CX235" si="745">IFERROR(IF(CU212&gt;0,CR212/CH212,""),"")</f>
        <v>0.57221278526710595</v>
      </c>
      <c r="CY212" s="75">
        <f t="shared" ref="CY212:CY235" si="746">IFERROR(IF(CU212&gt;0,CU212/T212,""),"")</f>
        <v>951.1973684210526</v>
      </c>
      <c r="CZ212" s="77">
        <f t="shared" ref="CZ212:CZ235" si="747">IFERROR(IF(CU212&gt;0,CU212/CH212,""),"")</f>
        <v>9.6766939334433644E-2</v>
      </c>
      <c r="DA212" s="77">
        <f t="shared" ref="DA212:DA235" si="748">IFERROR(IF(CT212&gt;0,CT212/CH212,""),"")</f>
        <v>0.35645320408051262</v>
      </c>
      <c r="DB212" s="47" t="str">
        <f t="shared" ref="DB212:DB235" si="749">IFERROR(IF(AR212&gt;0,AR212,""),"")</f>
        <v/>
      </c>
      <c r="DC212" s="69">
        <f t="shared" ref="DC212:DC235" si="750">IFERROR(IF(ABS(CE212)&gt;0,CE212/$T212,""),"")</f>
        <v>10386.78947368421</v>
      </c>
      <c r="DD212" s="70">
        <f t="shared" ref="DD212:DD235" si="751">IFERROR(IF(ABS(CF212)&gt;0,CF212/$T212,""),"")</f>
        <v>240</v>
      </c>
      <c r="DE212" s="70">
        <f t="shared" ref="DE212:DE235" si="752">IFERROR(IF(ABS(CG212)&gt;0,CG212/$T212,""),"")</f>
        <v>-797.01315789473688</v>
      </c>
      <c r="DF212" s="70">
        <f t="shared" ref="DF212:DF235" si="753">IFERROR(IF(ABS(CH212)&gt;0,CH212/$T212,""),"")</f>
        <v>9829.7763157894733</v>
      </c>
      <c r="DG212" s="70">
        <f t="shared" ref="DG212:DG235" si="754">IFERROR(IF(ABS(CI212)&gt;0,CI212/$T212,""),"")</f>
        <v>525</v>
      </c>
      <c r="DH212" s="70">
        <f t="shared" ref="DH212:DH235" si="755">IFERROR(IF(ABS(CJ212)&gt;0,CJ212/$T212,""),"")</f>
        <v>491.48684210526318</v>
      </c>
      <c r="DI212" s="70">
        <f t="shared" ref="DI212:DI235" si="756">IFERROR(IF(ABS(CK212)&gt;0,CK212/$T212,""),"")</f>
        <v>1350</v>
      </c>
      <c r="DJ212" s="70">
        <f t="shared" ref="DJ212:DJ235" si="757">IFERROR(IF(ABS(CL212)&gt;0,CL212/$T212,""),"")</f>
        <v>600</v>
      </c>
      <c r="DK212" s="70">
        <f t="shared" ref="DK212:DK235" si="758">IFERROR(IF(ABS(CM212)&gt;0,CM212/$T212,""),"")</f>
        <v>700</v>
      </c>
      <c r="DL212" s="70">
        <f t="shared" ref="DL212:DL235" si="759">IFERROR(IF(ABS(CN212)&gt;0,CN212/$T212,""),"")</f>
        <v>400</v>
      </c>
      <c r="DM212" s="70">
        <f t="shared" ref="DM212:DM235" si="760">IFERROR(IF(ABS(CO212)&gt;0,CO212/$T212,""),"")</f>
        <v>1308.2368421052631</v>
      </c>
      <c r="DN212" s="70">
        <f t="shared" ref="DN212:DN235" si="761">IFERROR(IF(ABS(CP212)&gt;0,CP212/$T212,""),"")</f>
        <v>5374.7236842105267</v>
      </c>
      <c r="DO212" s="70">
        <f t="shared" ref="DO212:DO235" si="762">IFERROR(IF(ABS(CQ212)&gt;0,CQ212/$T212,""),"")</f>
        <v>250</v>
      </c>
      <c r="DP212" s="70">
        <f t="shared" ref="DP212:DP235" si="763">IFERROR(IF(ABS(CR212)&gt;0,CR212/$T212,""),"")</f>
        <v>5624.7236842105267</v>
      </c>
      <c r="DQ212" s="70">
        <f t="shared" ref="DQ212:DQ235" si="764">IFERROR(IF(ABS(CS212)&gt;0,CS212/$T212,""),"")</f>
        <v>4455.0526315789475</v>
      </c>
      <c r="DR212" s="70">
        <f t="shared" ref="DR212:DR235" si="765">IFERROR(IF(ABS(CT212)&gt;0,CT212/$T212,""),"")</f>
        <v>3503.8552631578946</v>
      </c>
      <c r="DS212" s="71">
        <f t="shared" ref="DS212:DS235" si="766">IFERROR(IF(ABS(CU212)&gt;0,CU212/$T212,""),"")</f>
        <v>951.1973684210526</v>
      </c>
      <c r="DT212" s="106">
        <f t="shared" ref="DT212:DT235" si="767">IFERROR(IF(ABS(CE212&gt;0),CE212/$CH212,""),"")</f>
        <v>1.0566659036788062</v>
      </c>
      <c r="DU212" s="92">
        <f t="shared" ref="DU212:DU235" si="768">IFERROR(IF(ABS(CF212&gt;0),CF212/$CH212,""),"")</f>
        <v>2.4415611534770159E-2</v>
      </c>
      <c r="DV212" s="92" t="str">
        <f t="shared" ref="DV212:DV235" si="769">IFERROR(IF(ABS(CG212&gt;0),CG212/$CH212,""),"")</f>
        <v/>
      </c>
      <c r="DW212" s="92">
        <f t="shared" ref="DW212:DW235" si="770">IFERROR(IF(ABS(CH212&gt;0),CH212/$CH212,""),"")</f>
        <v>1</v>
      </c>
      <c r="DX212" s="92">
        <f t="shared" ref="DX212:DX235" si="771">IFERROR(IF(ABS(CI212&gt;0),CI212/$CH212,""),"")</f>
        <v>5.3409150232309723E-2</v>
      </c>
      <c r="DY212" s="92">
        <f t="shared" ref="DY212:DY235" si="772">IFERROR(IF(ABS(CJ212&gt;0),CJ212/$CH212,""),"")</f>
        <v>4.9999799213720934E-2</v>
      </c>
      <c r="DZ212" s="92">
        <f t="shared" ref="DZ212:DZ235" si="773">IFERROR(IF(ABS(CK212&gt;0),CK212/$CH212,""),"")</f>
        <v>0.13733781488308214</v>
      </c>
      <c r="EA212" s="92">
        <f t="shared" ref="EA212:EA235" si="774">IFERROR(IF(ABS(CL212&gt;0),CL212/$CH212,""),"")</f>
        <v>6.1039028836925399E-2</v>
      </c>
      <c r="EB212" s="92">
        <f t="shared" ref="EB212:EB235" si="775">IFERROR(IF(ABS(CM212&gt;0),CM212/$CH212,""),"")</f>
        <v>7.1212200309746301E-2</v>
      </c>
      <c r="EC212" s="92">
        <f t="shared" ref="EC212:EC235" si="776">IFERROR(IF(ABS(CN212&gt;0),CN212/$CH212,""),"")</f>
        <v>4.0692685891283602E-2</v>
      </c>
      <c r="ED212" s="92">
        <f t="shared" ref="ED212:ED235" si="777">IFERROR(IF(ABS(CO212&gt;0),CO212/$CH212,""),"")</f>
        <v>0.13308917721798563</v>
      </c>
      <c r="EE212" s="92">
        <f t="shared" ref="EE212:EE235" si="778">IFERROR(IF(ABS(CP212&gt;0),CP212/$CH212,""),"")</f>
        <v>0.54677985658505379</v>
      </c>
      <c r="EF212" s="92">
        <f t="shared" ref="EF212:EF235" si="779">IFERROR(IF(ABS(CQ212&gt;0),CQ212/$CH212,""),"")</f>
        <v>2.5432928682052248E-2</v>
      </c>
      <c r="EG212" s="92">
        <f t="shared" ref="EG212:EG235" si="780">IFERROR(IF(ABS(CR212&gt;0),CR212/$CH212,""),"")</f>
        <v>0.57221278526710595</v>
      </c>
      <c r="EH212" s="92">
        <f t="shared" ref="EH212:EH235" si="781">IFERROR(IF(ABS(CS212&gt;0),CS212/$CH212,""),"")</f>
        <v>0.45322014341494626</v>
      </c>
      <c r="EI212" s="92">
        <f t="shared" ref="EI212:EI235" si="782">IFERROR(IF(ABS(CT212&gt;0),CT212/$CH212,""),"")</f>
        <v>0.35645320408051262</v>
      </c>
      <c r="EJ212" s="122">
        <f t="shared" ref="EJ212:EJ235" si="783">IFERROR(IF(ABS(CU212&gt;0),CU212/$CH212,""),"")</f>
        <v>9.6766939334433644E-2</v>
      </c>
    </row>
    <row r="213" spans="2:140" ht="12" hidden="1" customHeight="1" outlineLevel="1">
      <c r="B213" s="145">
        <v>45362</v>
      </c>
      <c r="C213" s="117">
        <v>24406</v>
      </c>
      <c r="D213" s="50" t="s">
        <v>1113</v>
      </c>
      <c r="E213" s="50" t="s">
        <v>1114</v>
      </c>
      <c r="F213" s="50" t="s">
        <v>1115</v>
      </c>
      <c r="G213" s="50" t="s">
        <v>154</v>
      </c>
      <c r="H213" s="50" t="s">
        <v>942</v>
      </c>
      <c r="I213" s="50" t="s">
        <v>947</v>
      </c>
      <c r="J213" s="52" t="s">
        <v>175</v>
      </c>
      <c r="K213" s="50" t="s">
        <v>176</v>
      </c>
      <c r="L213" s="49">
        <v>6</v>
      </c>
      <c r="M213" s="50" t="s">
        <v>159</v>
      </c>
      <c r="N213" s="50" t="s">
        <v>160</v>
      </c>
      <c r="O213" s="50" t="s">
        <v>160</v>
      </c>
      <c r="P213" s="50" t="s">
        <v>923</v>
      </c>
      <c r="Q213" s="53">
        <v>0.04</v>
      </c>
      <c r="R213" s="49">
        <v>220</v>
      </c>
      <c r="S213" s="49">
        <v>0</v>
      </c>
      <c r="T213" s="54">
        <f t="shared" si="625"/>
        <v>220</v>
      </c>
      <c r="U213" s="55">
        <v>196404</v>
      </c>
      <c r="V213" s="49">
        <v>15.2</v>
      </c>
      <c r="W213" s="56">
        <f t="shared" si="708"/>
        <v>14.473684210526317</v>
      </c>
      <c r="X213" s="49">
        <v>1998</v>
      </c>
      <c r="Y213" s="57" t="s">
        <v>162</v>
      </c>
      <c r="Z213" s="58">
        <v>18182000</v>
      </c>
      <c r="AA213" s="114">
        <f>(((14682000*6.45%)/(Table1[[#This Row],[Construction Loan Principal]]))+((3500000*8.32%)/(Table1[[#This Row],[Construction Loan Principal]])))</f>
        <v>6.8099714002859968E-2</v>
      </c>
      <c r="AB213" s="59">
        <v>16</v>
      </c>
      <c r="AC213" s="60">
        <v>40</v>
      </c>
      <c r="AD213" s="61">
        <v>6.4500000000000002E-2</v>
      </c>
      <c r="AE213" s="62">
        <v>14682000</v>
      </c>
      <c r="AF213" s="63">
        <v>1.2</v>
      </c>
      <c r="AG213" s="59"/>
      <c r="AH213" s="60"/>
      <c r="AI213" s="61"/>
      <c r="AJ213" s="64"/>
      <c r="AK213" s="65">
        <f t="shared" si="709"/>
        <v>14682000</v>
      </c>
      <c r="AL213" s="62">
        <v>9000000</v>
      </c>
      <c r="AM213" s="49" t="s">
        <v>1116</v>
      </c>
      <c r="AN213" s="67">
        <v>0.87</v>
      </c>
      <c r="AO213" s="62">
        <v>13190101</v>
      </c>
      <c r="AP213" s="62">
        <v>0</v>
      </c>
      <c r="AQ213" s="68">
        <v>502383</v>
      </c>
      <c r="AR213" s="69">
        <f t="shared" si="710"/>
        <v>66736.363636363632</v>
      </c>
      <c r="AS213" s="70">
        <f t="shared" si="711"/>
        <v>40909.090909090912</v>
      </c>
      <c r="AT213" s="70">
        <f t="shared" si="712"/>
        <v>59955.004545454547</v>
      </c>
      <c r="AU213" s="70" t="str">
        <f t="shared" si="713"/>
        <v/>
      </c>
      <c r="AV213" s="71">
        <f t="shared" si="714"/>
        <v>2283.5590909090911</v>
      </c>
      <c r="AW213" s="115">
        <f t="shared" si="715"/>
        <v>44568.181818181816</v>
      </c>
      <c r="AX213" s="116">
        <f t="shared" si="716"/>
        <v>49.922608500845193</v>
      </c>
      <c r="AY213" s="72">
        <f t="shared" si="717"/>
        <v>55264.545454545463</v>
      </c>
      <c r="AZ213" s="73">
        <f t="shared" si="718"/>
        <v>61.904034541048041</v>
      </c>
      <c r="BA213" s="66">
        <v>15800000</v>
      </c>
      <c r="BB213" s="62">
        <v>750000</v>
      </c>
      <c r="BC213" s="62">
        <v>9055000</v>
      </c>
      <c r="BD213" s="62">
        <v>980500</v>
      </c>
      <c r="BE213" s="62">
        <v>1372700</v>
      </c>
      <c r="BF213" s="62">
        <v>1335024</v>
      </c>
      <c r="BG213" s="62">
        <v>3370960</v>
      </c>
      <c r="BH213" s="62">
        <v>4240000</v>
      </c>
      <c r="BI213" s="62">
        <v>1172000</v>
      </c>
      <c r="BJ213" s="47">
        <f>IFERROR(IF(SUM(BA213:BI213)&gt;0,SUM(BA213:BI213),""),"")</f>
        <v>38076184</v>
      </c>
      <c r="BK213" s="69">
        <f t="shared" si="720"/>
        <v>71818.181818181823</v>
      </c>
      <c r="BL213" s="70">
        <f t="shared" si="721"/>
        <v>3409.090909090909</v>
      </c>
      <c r="BM213" s="70">
        <f t="shared" si="722"/>
        <v>41159.090909090912</v>
      </c>
      <c r="BN213" s="70">
        <f t="shared" si="723"/>
        <v>4456.818181818182</v>
      </c>
      <c r="BO213" s="70">
        <f t="shared" si="724"/>
        <v>6239.545454545455</v>
      </c>
      <c r="BP213" s="70">
        <f t="shared" si="725"/>
        <v>6068.2909090909088</v>
      </c>
      <c r="BQ213" s="70">
        <f t="shared" si="726"/>
        <v>15322.545454545454</v>
      </c>
      <c r="BR213" s="70" t="str">
        <f>IFERROR(IF(#REF!&gt;0,#REF!/$T213,""),"")</f>
        <v/>
      </c>
      <c r="BS213" s="70" t="str">
        <f>IFERROR(IF(#REF!&gt;0,#REF!/$T213,""),"")</f>
        <v/>
      </c>
      <c r="BT213" s="71">
        <f t="shared" si="729"/>
        <v>173073.56363636363</v>
      </c>
      <c r="BU213" s="65">
        <f t="shared" si="730"/>
        <v>80.446426753019281</v>
      </c>
      <c r="BV213" s="48">
        <f t="shared" si="731"/>
        <v>3.8186594977699029</v>
      </c>
      <c r="BW213" s="48">
        <f t="shared" si="732"/>
        <v>46.103949003075293</v>
      </c>
      <c r="BX213" s="48">
        <f t="shared" si="733"/>
        <v>4.99226085008452</v>
      </c>
      <c r="BY213" s="48">
        <f t="shared" si="734"/>
        <v>6.9891651901183272</v>
      </c>
      <c r="BZ213" s="48">
        <f t="shared" si="735"/>
        <v>6.7973361031343558</v>
      </c>
      <c r="CA213" s="48">
        <f t="shared" si="736"/>
        <v>17.163397894136576</v>
      </c>
      <c r="CB213" s="48" t="str">
        <f>IFERROR(IF(#REF!&gt;0,#REF!/$U213,""),"")</f>
        <v/>
      </c>
      <c r="CC213" s="48" t="str">
        <f>IFERROR(IF(#REF!&gt;0,#REF!/$U213,""),"")</f>
        <v/>
      </c>
      <c r="CD213" s="47">
        <f t="shared" si="739"/>
        <v>193.86664222724588</v>
      </c>
      <c r="CE213" s="66">
        <v>2708028</v>
      </c>
      <c r="CF213" s="62">
        <v>47520</v>
      </c>
      <c r="CG213" s="74">
        <v>-206666</v>
      </c>
      <c r="CH213" s="75">
        <f t="shared" si="740"/>
        <v>2548882</v>
      </c>
      <c r="CI213" s="62">
        <f>61300+8800+3500+14682+4400</f>
        <v>92682</v>
      </c>
      <c r="CJ213" s="62">
        <v>101955</v>
      </c>
      <c r="CK213" s="62">
        <v>305600</v>
      </c>
      <c r="CL213" s="62">
        <f>5000+119400</f>
        <v>124400</v>
      </c>
      <c r="CM213" s="62">
        <f>77000+119700</f>
        <v>196700</v>
      </c>
      <c r="CN213" s="62">
        <v>429000</v>
      </c>
      <c r="CO213" s="62">
        <v>0</v>
      </c>
      <c r="CP213" s="75">
        <f t="shared" si="626"/>
        <v>1250337</v>
      </c>
      <c r="CQ213" s="62">
        <v>66000</v>
      </c>
      <c r="CR213" s="75">
        <f t="shared" si="627"/>
        <v>1316337</v>
      </c>
      <c r="CS213" s="75">
        <f t="shared" si="741"/>
        <v>1298545</v>
      </c>
      <c r="CT213" s="62">
        <v>1025212</v>
      </c>
      <c r="CU213" s="47">
        <f t="shared" si="742"/>
        <v>273333</v>
      </c>
      <c r="CV213" s="76">
        <f t="shared" si="743"/>
        <v>0.5094566951314341</v>
      </c>
      <c r="CW213" s="75">
        <f t="shared" si="744"/>
        <v>5983.35</v>
      </c>
      <c r="CX213" s="77">
        <f t="shared" si="745"/>
        <v>0.51643701042260881</v>
      </c>
      <c r="CY213" s="75">
        <f t="shared" si="746"/>
        <v>1242.4227272727273</v>
      </c>
      <c r="CZ213" s="77">
        <f t="shared" si="747"/>
        <v>0.10723642757883653</v>
      </c>
      <c r="DA213" s="77">
        <f t="shared" si="748"/>
        <v>0.40222026755259754</v>
      </c>
      <c r="DB213" s="47">
        <f t="shared" si="749"/>
        <v>66736.363636363632</v>
      </c>
      <c r="DC213" s="69">
        <f t="shared" si="750"/>
        <v>12309.218181818182</v>
      </c>
      <c r="DD213" s="70">
        <f t="shared" si="751"/>
        <v>216</v>
      </c>
      <c r="DE213" s="70">
        <f t="shared" si="752"/>
        <v>-939.39090909090908</v>
      </c>
      <c r="DF213" s="70">
        <f t="shared" si="753"/>
        <v>11585.827272727272</v>
      </c>
      <c r="DG213" s="70">
        <f t="shared" si="754"/>
        <v>421.28181818181821</v>
      </c>
      <c r="DH213" s="70">
        <f t="shared" si="755"/>
        <v>463.43181818181819</v>
      </c>
      <c r="DI213" s="70">
        <f t="shared" si="756"/>
        <v>1389.090909090909</v>
      </c>
      <c r="DJ213" s="70">
        <f t="shared" si="757"/>
        <v>565.4545454545455</v>
      </c>
      <c r="DK213" s="70">
        <f t="shared" si="758"/>
        <v>894.09090909090912</v>
      </c>
      <c r="DL213" s="70">
        <f t="shared" si="759"/>
        <v>1950</v>
      </c>
      <c r="DM213" s="70" t="str">
        <f t="shared" si="760"/>
        <v/>
      </c>
      <c r="DN213" s="70">
        <f t="shared" si="761"/>
        <v>5683.35</v>
      </c>
      <c r="DO213" s="70">
        <f t="shared" si="762"/>
        <v>300</v>
      </c>
      <c r="DP213" s="70">
        <f t="shared" si="763"/>
        <v>5983.35</v>
      </c>
      <c r="DQ213" s="70">
        <f t="shared" si="764"/>
        <v>5902.477272727273</v>
      </c>
      <c r="DR213" s="70">
        <f t="shared" si="765"/>
        <v>4660.0545454545454</v>
      </c>
      <c r="DS213" s="71">
        <f t="shared" si="766"/>
        <v>1242.4227272727273</v>
      </c>
      <c r="DT213" s="106">
        <f t="shared" si="767"/>
        <v>1.0624375706682381</v>
      </c>
      <c r="DU213" s="92">
        <f t="shared" si="768"/>
        <v>1.8643467998910895E-2</v>
      </c>
      <c r="DV213" s="92" t="str">
        <f t="shared" si="769"/>
        <v/>
      </c>
      <c r="DW213" s="92">
        <f t="shared" si="770"/>
        <v>1</v>
      </c>
      <c r="DX213" s="92">
        <f t="shared" si="771"/>
        <v>3.6361824517572805E-2</v>
      </c>
      <c r="DY213" s="92">
        <f t="shared" si="772"/>
        <v>3.9999890147915829E-2</v>
      </c>
      <c r="DZ213" s="92">
        <f t="shared" si="773"/>
        <v>0.11989570329265929</v>
      </c>
      <c r="EA213" s="92">
        <f t="shared" si="774"/>
        <v>4.8805711680650572E-2</v>
      </c>
      <c r="EB213" s="92">
        <f t="shared" si="775"/>
        <v>7.7171089128488496E-2</v>
      </c>
      <c r="EC213" s="92">
        <f t="shared" si="776"/>
        <v>0.16830908610127893</v>
      </c>
      <c r="ED213" s="92" t="str">
        <f t="shared" si="777"/>
        <v/>
      </c>
      <c r="EE213" s="92">
        <f t="shared" si="778"/>
        <v>0.4905433048685659</v>
      </c>
      <c r="EF213" s="92">
        <f t="shared" si="779"/>
        <v>2.5893705554042908E-2</v>
      </c>
      <c r="EG213" s="92">
        <f t="shared" si="780"/>
        <v>0.51643701042260881</v>
      </c>
      <c r="EH213" s="92">
        <f t="shared" si="781"/>
        <v>0.5094566951314341</v>
      </c>
      <c r="EI213" s="92">
        <f t="shared" si="782"/>
        <v>0.40222026755259754</v>
      </c>
      <c r="EJ213" s="122">
        <f t="shared" si="783"/>
        <v>0.10723642757883653</v>
      </c>
    </row>
    <row r="214" spans="2:140" ht="12" hidden="1" customHeight="1" outlineLevel="1">
      <c r="B214" s="145">
        <v>45364</v>
      </c>
      <c r="C214" s="117">
        <v>24410</v>
      </c>
      <c r="D214" s="50" t="s">
        <v>1117</v>
      </c>
      <c r="E214" s="50" t="s">
        <v>1118</v>
      </c>
      <c r="F214" s="50" t="s">
        <v>1119</v>
      </c>
      <c r="G214" s="50" t="s">
        <v>162</v>
      </c>
      <c r="H214" s="50" t="s">
        <v>493</v>
      </c>
      <c r="I214" s="50" t="s">
        <v>306</v>
      </c>
      <c r="J214" s="52" t="s">
        <v>175</v>
      </c>
      <c r="K214" s="50" t="s">
        <v>176</v>
      </c>
      <c r="L214" s="49">
        <v>6</v>
      </c>
      <c r="M214" s="50" t="s">
        <v>159</v>
      </c>
      <c r="N214" s="50" t="s">
        <v>160</v>
      </c>
      <c r="O214" s="50" t="s">
        <v>160</v>
      </c>
      <c r="P214" s="50" t="s">
        <v>923</v>
      </c>
      <c r="Q214" s="53">
        <v>0.04</v>
      </c>
      <c r="R214" s="49">
        <v>250</v>
      </c>
      <c r="S214" s="49">
        <v>0</v>
      </c>
      <c r="T214" s="54">
        <f t="shared" si="625"/>
        <v>250</v>
      </c>
      <c r="U214" s="55">
        <v>209668</v>
      </c>
      <c r="V214" s="49">
        <v>19.600000000000001</v>
      </c>
      <c r="W214" s="56">
        <f t="shared" si="708"/>
        <v>12.755102040816325</v>
      </c>
      <c r="X214" s="49">
        <v>1965</v>
      </c>
      <c r="Y214" s="57" t="s">
        <v>162</v>
      </c>
      <c r="Z214" s="58">
        <v>38580000</v>
      </c>
      <c r="AA214" s="114">
        <v>7.0000000000000007E-2</v>
      </c>
      <c r="AB214" s="59">
        <v>18</v>
      </c>
      <c r="AC214" s="60">
        <v>40</v>
      </c>
      <c r="AD214" s="61">
        <v>7.0000000000000007E-2</v>
      </c>
      <c r="AE214" s="62">
        <v>38580000</v>
      </c>
      <c r="AF214" s="63">
        <v>1.17</v>
      </c>
      <c r="AG214" s="59"/>
      <c r="AH214" s="60"/>
      <c r="AI214" s="61"/>
      <c r="AJ214" s="64"/>
      <c r="AK214" s="65">
        <f t="shared" si="709"/>
        <v>38580000</v>
      </c>
      <c r="AL214" s="62">
        <v>0</v>
      </c>
      <c r="AM214" s="49" t="s">
        <v>163</v>
      </c>
      <c r="AN214" s="67">
        <v>0.87</v>
      </c>
      <c r="AO214" s="62">
        <v>21726539</v>
      </c>
      <c r="AP214" s="62">
        <v>0</v>
      </c>
      <c r="AQ214" s="68">
        <v>0</v>
      </c>
      <c r="AR214" s="69">
        <f t="shared" si="710"/>
        <v>154320</v>
      </c>
      <c r="AS214" s="70" t="str">
        <f t="shared" si="711"/>
        <v/>
      </c>
      <c r="AT214" s="70">
        <f t="shared" si="712"/>
        <v>86906.156000000003</v>
      </c>
      <c r="AU214" s="70" t="str">
        <f t="shared" si="713"/>
        <v/>
      </c>
      <c r="AV214" s="71" t="str">
        <f t="shared" si="714"/>
        <v/>
      </c>
      <c r="AW214" s="115">
        <f t="shared" si="715"/>
        <v>62500</v>
      </c>
      <c r="AX214" s="116">
        <f t="shared" si="716"/>
        <v>74.522578552759597</v>
      </c>
      <c r="AY214" s="72">
        <f t="shared" si="717"/>
        <v>78375</v>
      </c>
      <c r="AZ214" s="73">
        <f t="shared" si="718"/>
        <v>93.451313505160542</v>
      </c>
      <c r="BA214" s="66">
        <v>26000000</v>
      </c>
      <c r="BB214" s="62">
        <v>848000</v>
      </c>
      <c r="BC214" s="62">
        <v>14777000</v>
      </c>
      <c r="BD214" s="62">
        <v>1562500</v>
      </c>
      <c r="BE214" s="62">
        <v>2406250</v>
      </c>
      <c r="BF214" s="62">
        <v>3772770</v>
      </c>
      <c r="BG214" s="62">
        <v>5285840</v>
      </c>
      <c r="BH214" s="62">
        <v>7072853</v>
      </c>
      <c r="BI214" s="62">
        <v>1906926</v>
      </c>
      <c r="BJ214" s="47">
        <f t="shared" si="719"/>
        <v>63632139</v>
      </c>
      <c r="BK214" s="69">
        <f t="shared" si="720"/>
        <v>104000</v>
      </c>
      <c r="BL214" s="70">
        <f t="shared" si="721"/>
        <v>3392</v>
      </c>
      <c r="BM214" s="70">
        <f t="shared" si="722"/>
        <v>59108</v>
      </c>
      <c r="BN214" s="70">
        <f t="shared" si="723"/>
        <v>6250</v>
      </c>
      <c r="BO214" s="70">
        <f t="shared" si="724"/>
        <v>9625</v>
      </c>
      <c r="BP214" s="70">
        <f t="shared" si="725"/>
        <v>15091.08</v>
      </c>
      <c r="BQ214" s="70">
        <f>IFERROR(IF(BH213&gt;0,BH213/$T214,""),"")</f>
        <v>16960</v>
      </c>
      <c r="BR214" s="70">
        <f>IFERROR(IF(BI213&gt;0,BI213/$T214,""),"")</f>
        <v>4688</v>
      </c>
      <c r="BS214" s="70">
        <f t="shared" si="728"/>
        <v>7627.7039999999997</v>
      </c>
      <c r="BT214" s="71">
        <f t="shared" si="729"/>
        <v>254528.55600000001</v>
      </c>
      <c r="BU214" s="65">
        <f t="shared" si="730"/>
        <v>124.00557071179198</v>
      </c>
      <c r="BV214" s="48">
        <f t="shared" si="731"/>
        <v>4.0444893832153692</v>
      </c>
      <c r="BW214" s="48">
        <f t="shared" si="732"/>
        <v>70.478089169544234</v>
      </c>
      <c r="BX214" s="48">
        <f t="shared" si="733"/>
        <v>7.4522578552759597</v>
      </c>
      <c r="BY214" s="48">
        <f t="shared" si="734"/>
        <v>11.476477097124979</v>
      </c>
      <c r="BZ214" s="48">
        <f t="shared" si="735"/>
        <v>17.994019115935671</v>
      </c>
      <c r="CA214" s="48">
        <f>IFERROR(IF(BH213&gt;0,BH213/$U214,""),"")</f>
        <v>20.222446916076844</v>
      </c>
      <c r="CB214" s="48">
        <f>IFERROR(IF(BI213&gt;0,BI213/$U214,""),"")</f>
        <v>5.5897895720853921</v>
      </c>
      <c r="CC214" s="48">
        <f t="shared" si="738"/>
        <v>9.0949787282751782</v>
      </c>
      <c r="CD214" s="47">
        <f t="shared" si="739"/>
        <v>303.48998893488755</v>
      </c>
      <c r="CE214" s="66">
        <v>5480880</v>
      </c>
      <c r="CF214" s="62">
        <v>8436</v>
      </c>
      <c r="CG214" s="74">
        <v>-274466</v>
      </c>
      <c r="CH214" s="75">
        <f t="shared" si="740"/>
        <v>5214850</v>
      </c>
      <c r="CI214" s="62">
        <f>109500+88126+10000+8000</f>
        <v>215626</v>
      </c>
      <c r="CJ214" s="62">
        <v>150000</v>
      </c>
      <c r="CK214" s="62">
        <v>386594</v>
      </c>
      <c r="CL214" s="62">
        <f>45000+157500</f>
        <v>202500</v>
      </c>
      <c r="CM214" s="62">
        <f>50169+219238</f>
        <v>269407</v>
      </c>
      <c r="CN214" s="62">
        <v>513434</v>
      </c>
      <c r="CO214" s="62">
        <v>0</v>
      </c>
      <c r="CP214" s="75">
        <f t="shared" si="626"/>
        <v>1737561</v>
      </c>
      <c r="CQ214" s="62">
        <v>75000</v>
      </c>
      <c r="CR214" s="75">
        <f t="shared" si="627"/>
        <v>1812561</v>
      </c>
      <c r="CS214" s="75">
        <f t="shared" si="741"/>
        <v>3477289</v>
      </c>
      <c r="CT214" s="62">
        <v>2911978</v>
      </c>
      <c r="CU214" s="47">
        <f t="shared" si="742"/>
        <v>565311</v>
      </c>
      <c r="CV214" s="76">
        <f t="shared" si="743"/>
        <v>0.666805181357086</v>
      </c>
      <c r="CW214" s="75">
        <f t="shared" si="744"/>
        <v>7250.2439999999997</v>
      </c>
      <c r="CX214" s="77">
        <f t="shared" si="745"/>
        <v>0.3475768238779639</v>
      </c>
      <c r="CY214" s="75">
        <f t="shared" si="746"/>
        <v>2261.2440000000001</v>
      </c>
      <c r="CZ214" s="77">
        <f t="shared" si="747"/>
        <v>0.10840407681908396</v>
      </c>
      <c r="DA214" s="77">
        <f t="shared" si="748"/>
        <v>0.55840110453800207</v>
      </c>
      <c r="DB214" s="47">
        <f t="shared" si="749"/>
        <v>154320</v>
      </c>
      <c r="DC214" s="69">
        <f t="shared" si="750"/>
        <v>21923.52</v>
      </c>
      <c r="DD214" s="70">
        <f t="shared" si="751"/>
        <v>33.744</v>
      </c>
      <c r="DE214" s="70">
        <f t="shared" si="752"/>
        <v>-1097.864</v>
      </c>
      <c r="DF214" s="70">
        <f t="shared" si="753"/>
        <v>20859.400000000001</v>
      </c>
      <c r="DG214" s="70">
        <f t="shared" si="754"/>
        <v>862.50400000000002</v>
      </c>
      <c r="DH214" s="70">
        <f t="shared" si="755"/>
        <v>600</v>
      </c>
      <c r="DI214" s="70">
        <f t="shared" si="756"/>
        <v>1546.376</v>
      </c>
      <c r="DJ214" s="70">
        <f t="shared" si="757"/>
        <v>810</v>
      </c>
      <c r="DK214" s="70">
        <f t="shared" si="758"/>
        <v>1077.6279999999999</v>
      </c>
      <c r="DL214" s="70">
        <f t="shared" si="759"/>
        <v>2053.7359999999999</v>
      </c>
      <c r="DM214" s="70" t="str">
        <f t="shared" si="760"/>
        <v/>
      </c>
      <c r="DN214" s="70">
        <f t="shared" si="761"/>
        <v>6950.2439999999997</v>
      </c>
      <c r="DO214" s="70">
        <f t="shared" si="762"/>
        <v>300</v>
      </c>
      <c r="DP214" s="70">
        <f t="shared" si="763"/>
        <v>7250.2439999999997</v>
      </c>
      <c r="DQ214" s="70">
        <f t="shared" si="764"/>
        <v>13909.156000000001</v>
      </c>
      <c r="DR214" s="70">
        <f t="shared" si="765"/>
        <v>11647.912</v>
      </c>
      <c r="DS214" s="71">
        <f t="shared" si="766"/>
        <v>2261.2440000000001</v>
      </c>
      <c r="DT214" s="106">
        <f t="shared" si="767"/>
        <v>1.051013931369071</v>
      </c>
      <c r="DU214" s="92">
        <f t="shared" si="768"/>
        <v>1.6176879488384135E-3</v>
      </c>
      <c r="DV214" s="92" t="str">
        <f t="shared" si="769"/>
        <v/>
      </c>
      <c r="DW214" s="92">
        <f t="shared" si="770"/>
        <v>1</v>
      </c>
      <c r="DX214" s="92">
        <f t="shared" si="771"/>
        <v>4.1348456810838277E-2</v>
      </c>
      <c r="DY214" s="92">
        <f t="shared" si="772"/>
        <v>2.8764010470099813E-2</v>
      </c>
      <c r="DZ214" s="92">
        <f t="shared" si="773"/>
        <v>7.4133292424518438E-2</v>
      </c>
      <c r="EA214" s="92">
        <f t="shared" si="774"/>
        <v>3.8831414134634742E-2</v>
      </c>
      <c r="EB214" s="92">
        <f t="shared" si="775"/>
        <v>5.1661505124787864E-2</v>
      </c>
      <c r="EC214" s="92">
        <f t="shared" si="776"/>
        <v>9.8456139678034849E-2</v>
      </c>
      <c r="ED214" s="92" t="str">
        <f t="shared" si="777"/>
        <v/>
      </c>
      <c r="EE214" s="92">
        <f t="shared" si="778"/>
        <v>0.333194818642914</v>
      </c>
      <c r="EF214" s="92">
        <f t="shared" si="779"/>
        <v>1.4382005235049906E-2</v>
      </c>
      <c r="EG214" s="92">
        <f t="shared" si="780"/>
        <v>0.3475768238779639</v>
      </c>
      <c r="EH214" s="92">
        <f t="shared" si="781"/>
        <v>0.666805181357086</v>
      </c>
      <c r="EI214" s="92">
        <f t="shared" si="782"/>
        <v>0.55840110453800207</v>
      </c>
      <c r="EJ214" s="122">
        <f t="shared" si="783"/>
        <v>0.10840407681908396</v>
      </c>
    </row>
    <row r="215" spans="2:140" ht="12" hidden="1" customHeight="1" outlineLevel="1">
      <c r="B215" s="145">
        <v>45373</v>
      </c>
      <c r="C215" s="117">
        <v>24412</v>
      </c>
      <c r="D215" s="50" t="s">
        <v>940</v>
      </c>
      <c r="E215" s="50" t="s">
        <v>1120</v>
      </c>
      <c r="F215" s="50" t="s">
        <v>432</v>
      </c>
      <c r="G215" s="50" t="s">
        <v>162</v>
      </c>
      <c r="H215" s="50" t="s">
        <v>1121</v>
      </c>
      <c r="I215" s="50" t="s">
        <v>182</v>
      </c>
      <c r="J215" s="52" t="s">
        <v>183</v>
      </c>
      <c r="K215" s="50" t="s">
        <v>184</v>
      </c>
      <c r="L215" s="49">
        <v>9</v>
      </c>
      <c r="M215" s="50" t="s">
        <v>159</v>
      </c>
      <c r="N215" s="50" t="s">
        <v>160</v>
      </c>
      <c r="O215" s="50" t="s">
        <v>160</v>
      </c>
      <c r="P215" s="50" t="s">
        <v>177</v>
      </c>
      <c r="Q215" s="53">
        <v>0.04</v>
      </c>
      <c r="R215" s="49">
        <v>288</v>
      </c>
      <c r="S215" s="49">
        <v>0</v>
      </c>
      <c r="T215" s="54">
        <f t="shared" si="625"/>
        <v>288</v>
      </c>
      <c r="U215" s="55">
        <v>317250</v>
      </c>
      <c r="V215" s="49">
        <v>16.5</v>
      </c>
      <c r="W215" s="56">
        <f t="shared" si="708"/>
        <v>17.454545454545453</v>
      </c>
      <c r="X215" s="49" t="s">
        <v>163</v>
      </c>
      <c r="Y215" s="57" t="s">
        <v>162</v>
      </c>
      <c r="Z215" s="58">
        <v>55913973</v>
      </c>
      <c r="AA215" s="114">
        <f>(((1811510*5.25%)/(Table1[[#This Row],[Construction Loan Principal]]))+((21442463*6.5%)/(Table1[[#This Row],[Construction Loan Principal]]))+((32660000*4.1%)/(Table1[[#This Row],[Construction Loan Principal]])))</f>
        <v>5.0576344664329254E-2</v>
      </c>
      <c r="AB215" s="59">
        <v>40</v>
      </c>
      <c r="AC215" s="60">
        <v>40</v>
      </c>
      <c r="AD215" s="61">
        <v>0.05</v>
      </c>
      <c r="AE215" s="62">
        <v>34471510</v>
      </c>
      <c r="AF215" s="63">
        <v>1.19</v>
      </c>
      <c r="AG215" s="59"/>
      <c r="AH215" s="60"/>
      <c r="AI215" s="61"/>
      <c r="AJ215" s="64"/>
      <c r="AK215" s="65">
        <f t="shared" si="709"/>
        <v>34471510</v>
      </c>
      <c r="AL215" s="62">
        <v>0</v>
      </c>
      <c r="AM215" s="49" t="s">
        <v>163</v>
      </c>
      <c r="AN215" s="67">
        <v>0.89</v>
      </c>
      <c r="AO215" s="62">
        <v>28207806</v>
      </c>
      <c r="AP215" s="62">
        <v>0</v>
      </c>
      <c r="AQ215" s="68">
        <v>5510708</v>
      </c>
      <c r="AR215" s="69">
        <f t="shared" si="710"/>
        <v>119692.74305555556</v>
      </c>
      <c r="AS215" s="70" t="str">
        <f t="shared" si="711"/>
        <v/>
      </c>
      <c r="AT215" s="70">
        <f t="shared" si="712"/>
        <v>97943.770833333328</v>
      </c>
      <c r="AU215" s="70" t="str">
        <f t="shared" si="713"/>
        <v/>
      </c>
      <c r="AV215" s="71">
        <f t="shared" si="714"/>
        <v>19134.402777777777</v>
      </c>
      <c r="AW215" s="115">
        <f t="shared" si="715"/>
        <v>132801.04513888888</v>
      </c>
      <c r="AX215" s="116">
        <f t="shared" si="716"/>
        <v>120.55697714736013</v>
      </c>
      <c r="AY215" s="72">
        <f t="shared" si="717"/>
        <v>156568.99652777778</v>
      </c>
      <c r="AZ215" s="73">
        <f t="shared" si="718"/>
        <v>142.13355713159967</v>
      </c>
      <c r="BA215" s="66">
        <v>2412500</v>
      </c>
      <c r="BB215" s="62">
        <v>5344810</v>
      </c>
      <c r="BC215" s="62">
        <v>32901891</v>
      </c>
      <c r="BD215" s="62">
        <v>1490632</v>
      </c>
      <c r="BE215" s="62">
        <v>5354538</v>
      </c>
      <c r="BF215" s="62">
        <v>2937357</v>
      </c>
      <c r="BG215" s="62">
        <v>6734995</v>
      </c>
      <c r="BH215" s="62">
        <v>7950808</v>
      </c>
      <c r="BI215" s="62">
        <v>3062493</v>
      </c>
      <c r="BJ215" s="47">
        <f t="shared" si="719"/>
        <v>68190024</v>
      </c>
      <c r="BK215" s="69">
        <f t="shared" si="720"/>
        <v>8376.7361111111113</v>
      </c>
      <c r="BL215" s="70">
        <f t="shared" si="721"/>
        <v>18558.368055555555</v>
      </c>
      <c r="BM215" s="70">
        <f t="shared" si="722"/>
        <v>114242.67708333333</v>
      </c>
      <c r="BN215" s="70">
        <f t="shared" si="723"/>
        <v>5175.8055555555557</v>
      </c>
      <c r="BO215" s="70">
        <f t="shared" si="724"/>
        <v>18592.145833333332</v>
      </c>
      <c r="BP215" s="70">
        <f t="shared" si="725"/>
        <v>10199.15625</v>
      </c>
      <c r="BQ215" s="70">
        <f t="shared" si="726"/>
        <v>23385.399305555555</v>
      </c>
      <c r="BR215" s="70">
        <f t="shared" si="727"/>
        <v>27606.972222222223</v>
      </c>
      <c r="BS215" s="70">
        <f t="shared" si="728"/>
        <v>10633.65625</v>
      </c>
      <c r="BT215" s="71">
        <f t="shared" si="729"/>
        <v>236770.91666666666</v>
      </c>
      <c r="BU215" s="65">
        <f t="shared" si="730"/>
        <v>7.6044129235618598</v>
      </c>
      <c r="BV215" s="48">
        <f t="shared" si="731"/>
        <v>16.847312844759653</v>
      </c>
      <c r="BW215" s="48">
        <f t="shared" si="732"/>
        <v>103.70966430260047</v>
      </c>
      <c r="BX215" s="48">
        <f t="shared" si="733"/>
        <v>4.6986036249014971</v>
      </c>
      <c r="BY215" s="48">
        <f t="shared" si="734"/>
        <v>16.87797635933806</v>
      </c>
      <c r="BZ215" s="48">
        <f t="shared" si="735"/>
        <v>9.258808510638298</v>
      </c>
      <c r="CA215" s="48">
        <f t="shared" si="736"/>
        <v>21.229298660362492</v>
      </c>
      <c r="CB215" s="48">
        <f t="shared" si="737"/>
        <v>25.06164854215918</v>
      </c>
      <c r="CC215" s="48">
        <f t="shared" si="738"/>
        <v>9.653248226950355</v>
      </c>
      <c r="CD215" s="47">
        <f t="shared" si="739"/>
        <v>214.94097399527186</v>
      </c>
      <c r="CE215" s="66">
        <v>3871932</v>
      </c>
      <c r="CF215" s="62">
        <v>84540</v>
      </c>
      <c r="CG215" s="74">
        <v>-296735</v>
      </c>
      <c r="CH215" s="75">
        <f t="shared" si="740"/>
        <v>3659737</v>
      </c>
      <c r="CI215" s="62">
        <f>107565+11520</f>
        <v>119085</v>
      </c>
      <c r="CJ215" s="62">
        <v>146389</v>
      </c>
      <c r="CK215" s="62">
        <v>297679</v>
      </c>
      <c r="CL215" s="62">
        <v>156339</v>
      </c>
      <c r="CM215" s="62">
        <f>36554+201023</f>
        <v>237577</v>
      </c>
      <c r="CN215" s="62">
        <v>158400</v>
      </c>
      <c r="CO215" s="62">
        <v>0</v>
      </c>
      <c r="CP215" s="75">
        <f t="shared" si="626"/>
        <v>1115469</v>
      </c>
      <c r="CQ215" s="62">
        <v>72000</v>
      </c>
      <c r="CR215" s="75">
        <f t="shared" si="627"/>
        <v>1187469</v>
      </c>
      <c r="CS215" s="75">
        <f t="shared" si="741"/>
        <v>2544268</v>
      </c>
      <c r="CT215" s="62">
        <v>2080824</v>
      </c>
      <c r="CU215" s="47">
        <f t="shared" si="742"/>
        <v>463444</v>
      </c>
      <c r="CV215" s="76">
        <f t="shared" si="743"/>
        <v>0.69520514725511695</v>
      </c>
      <c r="CW215" s="75">
        <f t="shared" si="744"/>
        <v>4123.15625</v>
      </c>
      <c r="CX215" s="77">
        <f t="shared" si="745"/>
        <v>0.32446839759250462</v>
      </c>
      <c r="CY215" s="75">
        <f t="shared" si="746"/>
        <v>1609.1805555555557</v>
      </c>
      <c r="CZ215" s="77">
        <f t="shared" si="747"/>
        <v>0.12663314331057121</v>
      </c>
      <c r="DA215" s="77">
        <f t="shared" si="748"/>
        <v>0.56857200394454577</v>
      </c>
      <c r="DB215" s="47">
        <f t="shared" si="749"/>
        <v>119692.74305555556</v>
      </c>
      <c r="DC215" s="69">
        <f t="shared" si="750"/>
        <v>13444.208333333334</v>
      </c>
      <c r="DD215" s="70">
        <f t="shared" si="751"/>
        <v>293.54166666666669</v>
      </c>
      <c r="DE215" s="70">
        <f t="shared" si="752"/>
        <v>-1030.3298611111111</v>
      </c>
      <c r="DF215" s="70">
        <f t="shared" si="753"/>
        <v>12707.420138888889</v>
      </c>
      <c r="DG215" s="70">
        <f t="shared" si="754"/>
        <v>413.48958333333331</v>
      </c>
      <c r="DH215" s="70">
        <f t="shared" si="755"/>
        <v>508.29513888888891</v>
      </c>
      <c r="DI215" s="70">
        <f t="shared" si="756"/>
        <v>1033.6076388888889</v>
      </c>
      <c r="DJ215" s="70">
        <f t="shared" si="757"/>
        <v>542.84375</v>
      </c>
      <c r="DK215" s="70">
        <f t="shared" si="758"/>
        <v>824.92013888888891</v>
      </c>
      <c r="DL215" s="70">
        <f t="shared" si="759"/>
        <v>550</v>
      </c>
      <c r="DM215" s="70" t="str">
        <f t="shared" si="760"/>
        <v/>
      </c>
      <c r="DN215" s="70">
        <f t="shared" si="761"/>
        <v>3873.15625</v>
      </c>
      <c r="DO215" s="70">
        <f t="shared" si="762"/>
        <v>250</v>
      </c>
      <c r="DP215" s="70">
        <f t="shared" si="763"/>
        <v>4123.15625</v>
      </c>
      <c r="DQ215" s="70">
        <f t="shared" si="764"/>
        <v>8834.2638888888887</v>
      </c>
      <c r="DR215" s="70">
        <f t="shared" si="765"/>
        <v>7225.083333333333</v>
      </c>
      <c r="DS215" s="71">
        <f t="shared" si="766"/>
        <v>1609.1805555555557</v>
      </c>
      <c r="DT215" s="106">
        <f t="shared" si="767"/>
        <v>1.0579809423464035</v>
      </c>
      <c r="DU215" s="92">
        <f t="shared" si="768"/>
        <v>2.3100020575248986E-2</v>
      </c>
      <c r="DV215" s="92" t="str">
        <f t="shared" si="769"/>
        <v/>
      </c>
      <c r="DW215" s="92">
        <f t="shared" si="770"/>
        <v>1</v>
      </c>
      <c r="DX215" s="92">
        <f t="shared" si="771"/>
        <v>3.2539223446930748E-2</v>
      </c>
      <c r="DY215" s="92">
        <f t="shared" si="772"/>
        <v>3.9999868843034352E-2</v>
      </c>
      <c r="DZ215" s="92">
        <f t="shared" si="773"/>
        <v>8.1338904954099164E-2</v>
      </c>
      <c r="EA215" s="92">
        <f t="shared" si="774"/>
        <v>4.2718643443504276E-2</v>
      </c>
      <c r="EB215" s="92">
        <f t="shared" si="775"/>
        <v>6.4916413392547057E-2</v>
      </c>
      <c r="EC215" s="92">
        <f t="shared" si="776"/>
        <v>4.3281798664767439E-2</v>
      </c>
      <c r="ED215" s="92" t="str">
        <f t="shared" si="777"/>
        <v/>
      </c>
      <c r="EE215" s="92">
        <f t="shared" si="778"/>
        <v>0.30479485274488305</v>
      </c>
      <c r="EF215" s="92">
        <f t="shared" si="779"/>
        <v>1.9673544847621564E-2</v>
      </c>
      <c r="EG215" s="92">
        <f t="shared" si="780"/>
        <v>0.32446839759250462</v>
      </c>
      <c r="EH215" s="92">
        <f t="shared" si="781"/>
        <v>0.69520514725511695</v>
      </c>
      <c r="EI215" s="92">
        <f t="shared" si="782"/>
        <v>0.56857200394454577</v>
      </c>
      <c r="EJ215" s="122">
        <f t="shared" si="783"/>
        <v>0.12663314331057121</v>
      </c>
    </row>
    <row r="216" spans="2:140" ht="12" hidden="1" customHeight="1" outlineLevel="1">
      <c r="B216" s="145">
        <v>45373</v>
      </c>
      <c r="C216" s="117">
        <v>24431</v>
      </c>
      <c r="D216" s="50" t="s">
        <v>1122</v>
      </c>
      <c r="E216" s="50" t="s">
        <v>1118</v>
      </c>
      <c r="F216" s="50" t="s">
        <v>1123</v>
      </c>
      <c r="G216" s="50" t="s">
        <v>162</v>
      </c>
      <c r="H216" s="50" t="s">
        <v>1124</v>
      </c>
      <c r="I216" s="50" t="s">
        <v>396</v>
      </c>
      <c r="J216" s="52" t="s">
        <v>183</v>
      </c>
      <c r="K216" s="50" t="s">
        <v>184</v>
      </c>
      <c r="L216" s="49">
        <v>9</v>
      </c>
      <c r="M216" s="50" t="s">
        <v>159</v>
      </c>
      <c r="N216" s="50" t="s">
        <v>160</v>
      </c>
      <c r="O216" s="50" t="s">
        <v>160</v>
      </c>
      <c r="P216" s="50" t="s">
        <v>923</v>
      </c>
      <c r="Q216" s="53">
        <v>0.04</v>
      </c>
      <c r="R216" s="49">
        <v>100</v>
      </c>
      <c r="S216" s="49">
        <v>0</v>
      </c>
      <c r="T216" s="54">
        <f t="shared" si="625"/>
        <v>100</v>
      </c>
      <c r="U216" s="55">
        <v>80156</v>
      </c>
      <c r="V216" s="49">
        <v>12.7</v>
      </c>
      <c r="W216" s="56">
        <f t="shared" si="708"/>
        <v>7.8740157480314963</v>
      </c>
      <c r="X216" s="49">
        <v>1969</v>
      </c>
      <c r="Y216" s="57" t="s">
        <v>162</v>
      </c>
      <c r="Z216" s="58">
        <v>13405408</v>
      </c>
      <c r="AA216" s="114">
        <f>(((12240000*6.2%)/(Table1[[#This Row],[Construction Loan Principal]]))+((1165408*8.34%)/(Table1[[#This Row],[Construction Loan Principal]])))</f>
        <v>6.3860423136692296E-2</v>
      </c>
      <c r="AB216" s="59">
        <v>18</v>
      </c>
      <c r="AC216" s="60">
        <v>40</v>
      </c>
      <c r="AD216" s="61">
        <v>6.2E-2</v>
      </c>
      <c r="AE216" s="62">
        <v>12240000</v>
      </c>
      <c r="AF216" s="63">
        <v>1.1499999999999999</v>
      </c>
      <c r="AG216" s="59"/>
      <c r="AH216" s="60"/>
      <c r="AI216" s="61"/>
      <c r="AJ216" s="64"/>
      <c r="AK216" s="65">
        <f t="shared" si="709"/>
        <v>12240000</v>
      </c>
      <c r="AL216" s="62">
        <v>1750000</v>
      </c>
      <c r="AM216" s="49" t="s">
        <v>1125</v>
      </c>
      <c r="AN216" s="67">
        <v>0.9</v>
      </c>
      <c r="AO216" s="62">
        <v>7600915</v>
      </c>
      <c r="AP216" s="62">
        <v>0</v>
      </c>
      <c r="AQ216" s="68">
        <v>2035199</v>
      </c>
      <c r="AR216" s="69">
        <f t="shared" si="710"/>
        <v>122400</v>
      </c>
      <c r="AS216" s="70">
        <f t="shared" si="711"/>
        <v>17500</v>
      </c>
      <c r="AT216" s="70">
        <f t="shared" si="712"/>
        <v>76009.149999999994</v>
      </c>
      <c r="AU216" s="70" t="str">
        <f t="shared" si="713"/>
        <v/>
      </c>
      <c r="AV216" s="71">
        <f t="shared" si="714"/>
        <v>20351.990000000002</v>
      </c>
      <c r="AW216" s="115">
        <f t="shared" si="715"/>
        <v>45600</v>
      </c>
      <c r="AX216" s="116">
        <f t="shared" si="716"/>
        <v>56.889066320674686</v>
      </c>
      <c r="AY216" s="72">
        <f t="shared" si="717"/>
        <v>56245.760000000002</v>
      </c>
      <c r="AZ216" s="73">
        <f t="shared" si="718"/>
        <v>70.17036778282349</v>
      </c>
      <c r="BA216" s="66">
        <v>12550000</v>
      </c>
      <c r="BB216" s="62">
        <v>298240</v>
      </c>
      <c r="BC216" s="62">
        <v>4261760</v>
      </c>
      <c r="BD216" s="62">
        <v>426176</v>
      </c>
      <c r="BE216" s="62">
        <v>638400</v>
      </c>
      <c r="BF216" s="62">
        <v>860148</v>
      </c>
      <c r="BG216" s="62">
        <v>1572675</v>
      </c>
      <c r="BH216" s="62">
        <v>2754230</v>
      </c>
      <c r="BI216" s="62">
        <v>395835</v>
      </c>
      <c r="BJ216" s="47">
        <f t="shared" si="719"/>
        <v>23757464</v>
      </c>
      <c r="BK216" s="69">
        <f t="shared" si="720"/>
        <v>125500</v>
      </c>
      <c r="BL216" s="70">
        <f t="shared" si="721"/>
        <v>2982.4</v>
      </c>
      <c r="BM216" s="70">
        <f t="shared" si="722"/>
        <v>42617.599999999999</v>
      </c>
      <c r="BN216" s="70">
        <f t="shared" si="723"/>
        <v>4261.76</v>
      </c>
      <c r="BO216" s="70">
        <f t="shared" si="724"/>
        <v>6384</v>
      </c>
      <c r="BP216" s="70">
        <f t="shared" si="725"/>
        <v>8601.48</v>
      </c>
      <c r="BQ216" s="70">
        <f t="shared" si="726"/>
        <v>15726.75</v>
      </c>
      <c r="BR216" s="70">
        <f t="shared" si="727"/>
        <v>27542.3</v>
      </c>
      <c r="BS216" s="70">
        <f t="shared" si="728"/>
        <v>3958.35</v>
      </c>
      <c r="BT216" s="71">
        <f t="shared" si="729"/>
        <v>237574.64</v>
      </c>
      <c r="BU216" s="65">
        <f t="shared" si="730"/>
        <v>156.56968910624283</v>
      </c>
      <c r="BV216" s="48">
        <f t="shared" si="731"/>
        <v>3.7207445481311443</v>
      </c>
      <c r="BW216" s="48">
        <f t="shared" si="732"/>
        <v>53.168321772543543</v>
      </c>
      <c r="BX216" s="48">
        <f t="shared" si="733"/>
        <v>5.3168321772543541</v>
      </c>
      <c r="BY216" s="48">
        <f t="shared" si="734"/>
        <v>7.9644692848944558</v>
      </c>
      <c r="BZ216" s="48">
        <f t="shared" si="735"/>
        <v>10.730924696841159</v>
      </c>
      <c r="CA216" s="48">
        <f t="shared" si="736"/>
        <v>19.620178152602424</v>
      </c>
      <c r="CB216" s="48">
        <f t="shared" si="737"/>
        <v>34.360871300963119</v>
      </c>
      <c r="CC216" s="48">
        <f t="shared" si="738"/>
        <v>4.938307799790409</v>
      </c>
      <c r="CD216" s="47">
        <f t="shared" si="739"/>
        <v>296.39033883926345</v>
      </c>
      <c r="CE216" s="66">
        <v>1797600</v>
      </c>
      <c r="CF216" s="62">
        <v>0</v>
      </c>
      <c r="CG216" s="74">
        <v>-89880</v>
      </c>
      <c r="CH216" s="75">
        <f t="shared" si="740"/>
        <v>1707720</v>
      </c>
      <c r="CI216" s="62">
        <f>25000+28283+4000+2500+3000</f>
        <v>62783</v>
      </c>
      <c r="CJ216" s="62">
        <v>57600</v>
      </c>
      <c r="CK216" s="62">
        <v>219691</v>
      </c>
      <c r="CL216" s="62">
        <f>90000+20000</f>
        <v>110000</v>
      </c>
      <c r="CM216" s="62">
        <f>18400+85100+72000</f>
        <v>175500</v>
      </c>
      <c r="CN216" s="62">
        <v>27900</v>
      </c>
      <c r="CO216" s="62">
        <v>71140</v>
      </c>
      <c r="CP216" s="75">
        <f t="shared" si="626"/>
        <v>724614</v>
      </c>
      <c r="CQ216" s="62">
        <v>30000</v>
      </c>
      <c r="CR216" s="75">
        <f t="shared" si="627"/>
        <v>754614</v>
      </c>
      <c r="CS216" s="75">
        <f t="shared" si="741"/>
        <v>983106</v>
      </c>
      <c r="CT216" s="62">
        <v>828725</v>
      </c>
      <c r="CU216" s="47">
        <f t="shared" si="742"/>
        <v>154381</v>
      </c>
      <c r="CV216" s="76">
        <f t="shared" si="743"/>
        <v>0.57568336729674652</v>
      </c>
      <c r="CW216" s="75">
        <f t="shared" si="744"/>
        <v>7546.14</v>
      </c>
      <c r="CX216" s="77">
        <f t="shared" si="745"/>
        <v>0.44188391539596655</v>
      </c>
      <c r="CY216" s="75">
        <f t="shared" si="746"/>
        <v>1543.81</v>
      </c>
      <c r="CZ216" s="77">
        <f t="shared" si="747"/>
        <v>9.0401822312791327E-2</v>
      </c>
      <c r="DA216" s="77">
        <f t="shared" si="748"/>
        <v>0.4852815449839552</v>
      </c>
      <c r="DB216" s="47">
        <f t="shared" si="749"/>
        <v>122400</v>
      </c>
      <c r="DC216" s="69">
        <f t="shared" si="750"/>
        <v>17976</v>
      </c>
      <c r="DD216" s="70" t="str">
        <f t="shared" si="751"/>
        <v/>
      </c>
      <c r="DE216" s="70">
        <f t="shared" si="752"/>
        <v>-898.8</v>
      </c>
      <c r="DF216" s="70">
        <f t="shared" si="753"/>
        <v>17077.2</v>
      </c>
      <c r="DG216" s="70">
        <f t="shared" si="754"/>
        <v>627.83000000000004</v>
      </c>
      <c r="DH216" s="70">
        <f t="shared" si="755"/>
        <v>576</v>
      </c>
      <c r="DI216" s="70">
        <f t="shared" si="756"/>
        <v>2196.91</v>
      </c>
      <c r="DJ216" s="70">
        <f t="shared" si="757"/>
        <v>1100</v>
      </c>
      <c r="DK216" s="70">
        <f t="shared" si="758"/>
        <v>1755</v>
      </c>
      <c r="DL216" s="70">
        <f t="shared" si="759"/>
        <v>279</v>
      </c>
      <c r="DM216" s="70">
        <f t="shared" si="760"/>
        <v>711.4</v>
      </c>
      <c r="DN216" s="70">
        <f t="shared" si="761"/>
        <v>7246.14</v>
      </c>
      <c r="DO216" s="70">
        <f t="shared" si="762"/>
        <v>300</v>
      </c>
      <c r="DP216" s="70">
        <f t="shared" si="763"/>
        <v>7546.14</v>
      </c>
      <c r="DQ216" s="70">
        <f t="shared" si="764"/>
        <v>9831.06</v>
      </c>
      <c r="DR216" s="70">
        <f t="shared" si="765"/>
        <v>8287.25</v>
      </c>
      <c r="DS216" s="71">
        <f t="shared" si="766"/>
        <v>1543.81</v>
      </c>
      <c r="DT216" s="106">
        <f t="shared" si="767"/>
        <v>1.0526315789473684</v>
      </c>
      <c r="DU216" s="92" t="str">
        <f t="shared" si="768"/>
        <v/>
      </c>
      <c r="DV216" s="92" t="str">
        <f t="shared" si="769"/>
        <v/>
      </c>
      <c r="DW216" s="92">
        <f t="shared" si="770"/>
        <v>1</v>
      </c>
      <c r="DX216" s="92">
        <f t="shared" si="771"/>
        <v>3.6764223643220198E-2</v>
      </c>
      <c r="DY216" s="92">
        <f t="shared" si="772"/>
        <v>3.3729182770009136E-2</v>
      </c>
      <c r="DZ216" s="92">
        <f t="shared" si="773"/>
        <v>0.12864579673482773</v>
      </c>
      <c r="EA216" s="92">
        <f t="shared" si="774"/>
        <v>6.4413369873281334E-2</v>
      </c>
      <c r="EB216" s="92">
        <f t="shared" si="775"/>
        <v>0.10276860375237158</v>
      </c>
      <c r="EC216" s="92">
        <f t="shared" si="776"/>
        <v>1.6337572904223174E-2</v>
      </c>
      <c r="ED216" s="92">
        <f t="shared" si="777"/>
        <v>4.1657883025320308E-2</v>
      </c>
      <c r="EE216" s="92">
        <f t="shared" si="778"/>
        <v>0.42431663270325348</v>
      </c>
      <c r="EF216" s="92">
        <f t="shared" si="779"/>
        <v>1.7567282692713092E-2</v>
      </c>
      <c r="EG216" s="92">
        <f t="shared" si="780"/>
        <v>0.44188391539596655</v>
      </c>
      <c r="EH216" s="92">
        <f t="shared" si="781"/>
        <v>0.57568336729674652</v>
      </c>
      <c r="EI216" s="92">
        <f t="shared" si="782"/>
        <v>0.4852815449839552</v>
      </c>
      <c r="EJ216" s="122">
        <f t="shared" si="783"/>
        <v>9.0401822312791327E-2</v>
      </c>
    </row>
    <row r="217" spans="2:140" ht="12" hidden="1" customHeight="1" outlineLevel="1">
      <c r="B217" s="145">
        <v>45377</v>
      </c>
      <c r="C217" s="117">
        <v>24436</v>
      </c>
      <c r="D217" s="50" t="s">
        <v>1126</v>
      </c>
      <c r="E217" s="50" t="s">
        <v>616</v>
      </c>
      <c r="F217" s="50" t="s">
        <v>1127</v>
      </c>
      <c r="G217" s="50" t="s">
        <v>162</v>
      </c>
      <c r="H217" s="50" t="s">
        <v>1128</v>
      </c>
      <c r="I217" s="50" t="s">
        <v>248</v>
      </c>
      <c r="J217" s="52" t="s">
        <v>1103</v>
      </c>
      <c r="K217" s="50" t="s">
        <v>230</v>
      </c>
      <c r="L217" s="49">
        <v>3</v>
      </c>
      <c r="M217" s="50" t="s">
        <v>159</v>
      </c>
      <c r="N217" s="50" t="s">
        <v>244</v>
      </c>
      <c r="O217" s="50" t="s">
        <v>160</v>
      </c>
      <c r="P217" s="50" t="s">
        <v>177</v>
      </c>
      <c r="Q217" s="53">
        <v>0.04</v>
      </c>
      <c r="R217" s="49">
        <v>204</v>
      </c>
      <c r="S217" s="49">
        <v>0</v>
      </c>
      <c r="T217" s="54">
        <f t="shared" si="625"/>
        <v>204</v>
      </c>
      <c r="U217" s="55">
        <v>159600</v>
      </c>
      <c r="V217" s="49">
        <v>34.1</v>
      </c>
      <c r="W217" s="56">
        <f t="shared" si="708"/>
        <v>5.9824046920821115</v>
      </c>
      <c r="X217" s="49" t="s">
        <v>163</v>
      </c>
      <c r="Y217" s="57" t="s">
        <v>162</v>
      </c>
      <c r="Z217" s="58">
        <v>33717000</v>
      </c>
      <c r="AA217" s="114">
        <f>(((23977006*6%)/(Table1[[#This Row],[Construction Loan Principal]]))+((9739994*6.5%)/(Table1[[#This Row],[Construction Loan Principal]])))</f>
        <v>6.1444374351217482E-2</v>
      </c>
      <c r="AB217" s="59">
        <v>15</v>
      </c>
      <c r="AC217" s="60">
        <v>40</v>
      </c>
      <c r="AD217" s="61">
        <v>0.06</v>
      </c>
      <c r="AE217" s="62">
        <v>23977006</v>
      </c>
      <c r="AF217" s="63">
        <v>1.1499999999999999</v>
      </c>
      <c r="AG217" s="59"/>
      <c r="AH217" s="60"/>
      <c r="AI217" s="61"/>
      <c r="AJ217" s="64"/>
      <c r="AK217" s="65">
        <f t="shared" si="709"/>
        <v>23977006</v>
      </c>
      <c r="AL217" s="62">
        <v>0</v>
      </c>
      <c r="AM217" s="49" t="s">
        <v>163</v>
      </c>
      <c r="AN217" s="67">
        <v>0.87</v>
      </c>
      <c r="AO217" s="62">
        <v>18289760</v>
      </c>
      <c r="AP217" s="62">
        <v>0</v>
      </c>
      <c r="AQ217" s="68">
        <v>2764478</v>
      </c>
      <c r="AR217" s="69">
        <f t="shared" si="710"/>
        <v>117534.34313725489</v>
      </c>
      <c r="AS217" s="70" t="str">
        <f t="shared" si="711"/>
        <v/>
      </c>
      <c r="AT217" s="70">
        <f t="shared" si="712"/>
        <v>89655.686274509804</v>
      </c>
      <c r="AU217" s="70" t="str">
        <f t="shared" si="713"/>
        <v/>
      </c>
      <c r="AV217" s="71">
        <f t="shared" si="714"/>
        <v>13551.362745098038</v>
      </c>
      <c r="AW217" s="115">
        <f t="shared" si="715"/>
        <v>120417.73529411765</v>
      </c>
      <c r="AX217" s="116">
        <f t="shared" si="716"/>
        <v>153.91740601503759</v>
      </c>
      <c r="AY217" s="72">
        <f t="shared" si="717"/>
        <v>143297.10784313726</v>
      </c>
      <c r="AZ217" s="73">
        <f t="shared" si="718"/>
        <v>183.16171679197993</v>
      </c>
      <c r="BA217" s="66">
        <v>2097965</v>
      </c>
      <c r="BB217" s="62">
        <v>3689600</v>
      </c>
      <c r="BC217" s="62">
        <v>20875618</v>
      </c>
      <c r="BD217" s="62">
        <v>1228261</v>
      </c>
      <c r="BE217" s="62">
        <v>3439131</v>
      </c>
      <c r="BF217" s="62">
        <v>2039684</v>
      </c>
      <c r="BG217" s="62">
        <v>4840274</v>
      </c>
      <c r="BH217" s="62">
        <v>5273053</v>
      </c>
      <c r="BI217" s="62">
        <v>1547658</v>
      </c>
      <c r="BJ217" s="47">
        <f t="shared" si="719"/>
        <v>45031244</v>
      </c>
      <c r="BK217" s="69">
        <f t="shared" si="720"/>
        <v>10284.142156862745</v>
      </c>
      <c r="BL217" s="70">
        <f t="shared" si="721"/>
        <v>18086.274509803923</v>
      </c>
      <c r="BM217" s="70">
        <f t="shared" si="722"/>
        <v>102331.46078431372</v>
      </c>
      <c r="BN217" s="70">
        <f t="shared" si="723"/>
        <v>6020.8872549019607</v>
      </c>
      <c r="BO217" s="70">
        <f t="shared" si="724"/>
        <v>16858.485294117647</v>
      </c>
      <c r="BP217" s="70">
        <f t="shared" si="725"/>
        <v>9998.4509803921574</v>
      </c>
      <c r="BQ217" s="70">
        <f t="shared" si="726"/>
        <v>23726.833333333332</v>
      </c>
      <c r="BR217" s="70">
        <f t="shared" si="727"/>
        <v>25848.299019607843</v>
      </c>
      <c r="BS217" s="70">
        <f t="shared" si="728"/>
        <v>7586.5588235294117</v>
      </c>
      <c r="BT217" s="71">
        <f t="shared" si="729"/>
        <v>220741.39215686274</v>
      </c>
      <c r="BU217" s="65">
        <f t="shared" si="730"/>
        <v>13.145144110275689</v>
      </c>
      <c r="BV217" s="48">
        <f t="shared" si="731"/>
        <v>23.117794486215537</v>
      </c>
      <c r="BW217" s="48">
        <f t="shared" si="732"/>
        <v>130.79961152882206</v>
      </c>
      <c r="BX217" s="48">
        <f t="shared" si="733"/>
        <v>7.6958709273182961</v>
      </c>
      <c r="BY217" s="48">
        <f t="shared" si="734"/>
        <v>21.54843984962406</v>
      </c>
      <c r="BZ217" s="48">
        <f t="shared" si="735"/>
        <v>12.779974937343358</v>
      </c>
      <c r="CA217" s="48">
        <f t="shared" si="736"/>
        <v>30.327531328320802</v>
      </c>
      <c r="CB217" s="48">
        <f t="shared" si="737"/>
        <v>33.03917919799499</v>
      </c>
      <c r="CC217" s="48">
        <f t="shared" si="738"/>
        <v>9.6971052631578942</v>
      </c>
      <c r="CD217" s="47">
        <f t="shared" si="739"/>
        <v>282.15065162907268</v>
      </c>
      <c r="CE217" s="66">
        <v>2947212</v>
      </c>
      <c r="CF217" s="62">
        <v>61200</v>
      </c>
      <c r="CG217" s="74">
        <v>-225631</v>
      </c>
      <c r="CH217" s="75">
        <f t="shared" si="740"/>
        <v>2782781</v>
      </c>
      <c r="CI217" s="62">
        <f>102408+8160+4000+5000</f>
        <v>119568</v>
      </c>
      <c r="CJ217" s="62">
        <v>111311</v>
      </c>
      <c r="CK217" s="62">
        <v>234600</v>
      </c>
      <c r="CL217" s="62">
        <v>142800</v>
      </c>
      <c r="CM217" s="62">
        <f>32058+122982</f>
        <v>155040</v>
      </c>
      <c r="CN217" s="62">
        <v>147900</v>
      </c>
      <c r="CO217" s="62">
        <v>0</v>
      </c>
      <c r="CP217" s="75">
        <f t="shared" si="626"/>
        <v>911219</v>
      </c>
      <c r="CQ217" s="62">
        <v>51000</v>
      </c>
      <c r="CR217" s="75">
        <f t="shared" si="627"/>
        <v>962219</v>
      </c>
      <c r="CS217" s="75">
        <f t="shared" si="741"/>
        <v>1871562</v>
      </c>
      <c r="CT217" s="62">
        <v>1583097</v>
      </c>
      <c r="CU217" s="47">
        <f t="shared" si="742"/>
        <v>288465</v>
      </c>
      <c r="CV217" s="76">
        <f t="shared" si="743"/>
        <v>0.67255094813425853</v>
      </c>
      <c r="CW217" s="75">
        <f t="shared" si="744"/>
        <v>4716.7598039215691</v>
      </c>
      <c r="CX217" s="77">
        <f t="shared" si="745"/>
        <v>0.3457760420241478</v>
      </c>
      <c r="CY217" s="75">
        <f t="shared" si="746"/>
        <v>1414.0441176470588</v>
      </c>
      <c r="CZ217" s="77">
        <f t="shared" si="747"/>
        <v>0.10366069051067979</v>
      </c>
      <c r="DA217" s="77">
        <f t="shared" si="748"/>
        <v>0.5688902576235787</v>
      </c>
      <c r="DB217" s="47">
        <f t="shared" si="749"/>
        <v>117534.34313725489</v>
      </c>
      <c r="DC217" s="69">
        <f t="shared" si="750"/>
        <v>14447.117647058823</v>
      </c>
      <c r="DD217" s="70">
        <f t="shared" si="751"/>
        <v>300</v>
      </c>
      <c r="DE217" s="70">
        <f t="shared" si="752"/>
        <v>-1106.0343137254902</v>
      </c>
      <c r="DF217" s="70">
        <f t="shared" si="753"/>
        <v>13641.083333333334</v>
      </c>
      <c r="DG217" s="70">
        <f t="shared" si="754"/>
        <v>586.11764705882354</v>
      </c>
      <c r="DH217" s="70">
        <f t="shared" si="755"/>
        <v>545.64215686274508</v>
      </c>
      <c r="DI217" s="70">
        <f t="shared" si="756"/>
        <v>1150</v>
      </c>
      <c r="DJ217" s="70">
        <f t="shared" si="757"/>
        <v>700</v>
      </c>
      <c r="DK217" s="70">
        <f t="shared" si="758"/>
        <v>760</v>
      </c>
      <c r="DL217" s="70">
        <f t="shared" si="759"/>
        <v>725</v>
      </c>
      <c r="DM217" s="70" t="str">
        <f t="shared" si="760"/>
        <v/>
      </c>
      <c r="DN217" s="70">
        <f t="shared" si="761"/>
        <v>4466.7598039215691</v>
      </c>
      <c r="DO217" s="70">
        <f t="shared" si="762"/>
        <v>250</v>
      </c>
      <c r="DP217" s="70">
        <f t="shared" si="763"/>
        <v>4716.7598039215691</v>
      </c>
      <c r="DQ217" s="70">
        <f t="shared" si="764"/>
        <v>9174.323529411764</v>
      </c>
      <c r="DR217" s="70">
        <f t="shared" si="765"/>
        <v>7760.2794117647063</v>
      </c>
      <c r="DS217" s="71">
        <f t="shared" si="766"/>
        <v>1414.0441176470588</v>
      </c>
      <c r="DT217" s="106">
        <f t="shared" si="767"/>
        <v>1.0590887317399393</v>
      </c>
      <c r="DU217" s="92">
        <f t="shared" si="768"/>
        <v>2.1992388190087541E-2</v>
      </c>
      <c r="DV217" s="92" t="str">
        <f t="shared" si="769"/>
        <v/>
      </c>
      <c r="DW217" s="92">
        <f t="shared" si="770"/>
        <v>1</v>
      </c>
      <c r="DX217" s="92">
        <f t="shared" si="771"/>
        <v>4.2967089397261231E-2</v>
      </c>
      <c r="DY217" s="92">
        <f t="shared" si="772"/>
        <v>3.9999913755340434E-2</v>
      </c>
      <c r="DZ217" s="92">
        <f t="shared" si="773"/>
        <v>8.4304154728668909E-2</v>
      </c>
      <c r="EA217" s="92">
        <f t="shared" si="774"/>
        <v>5.1315572443537599E-2</v>
      </c>
      <c r="EB217" s="92">
        <f t="shared" si="775"/>
        <v>5.5714050081555104E-2</v>
      </c>
      <c r="EC217" s="92">
        <f t="shared" si="776"/>
        <v>5.3148271459378227E-2</v>
      </c>
      <c r="ED217" s="92" t="str">
        <f t="shared" si="777"/>
        <v/>
      </c>
      <c r="EE217" s="92">
        <f t="shared" si="778"/>
        <v>0.32744905186574153</v>
      </c>
      <c r="EF217" s="92">
        <f t="shared" si="779"/>
        <v>1.8326990158406286E-2</v>
      </c>
      <c r="EG217" s="92">
        <f t="shared" si="780"/>
        <v>0.3457760420241478</v>
      </c>
      <c r="EH217" s="92">
        <f t="shared" si="781"/>
        <v>0.67255094813425853</v>
      </c>
      <c r="EI217" s="92">
        <f t="shared" si="782"/>
        <v>0.5688902576235787</v>
      </c>
      <c r="EJ217" s="122">
        <f t="shared" si="783"/>
        <v>0.10366069051067979</v>
      </c>
    </row>
    <row r="218" spans="2:140" ht="12" hidden="1" customHeight="1" outlineLevel="1">
      <c r="B218" s="121">
        <v>45377</v>
      </c>
      <c r="C218" s="117">
        <v>24413</v>
      </c>
      <c r="D218" s="50" t="s">
        <v>1129</v>
      </c>
      <c r="E218" s="50" t="s">
        <v>1130</v>
      </c>
      <c r="F218" s="50" t="s">
        <v>163</v>
      </c>
      <c r="G218" s="50" t="s">
        <v>162</v>
      </c>
      <c r="H218" s="50" t="s">
        <v>242</v>
      </c>
      <c r="I218" s="50" t="s">
        <v>306</v>
      </c>
      <c r="J218" s="52" t="s">
        <v>360</v>
      </c>
      <c r="K218" s="50" t="s">
        <v>294</v>
      </c>
      <c r="L218" s="49">
        <v>7</v>
      </c>
      <c r="M218" s="50" t="s">
        <v>159</v>
      </c>
      <c r="N218" s="50" t="s">
        <v>160</v>
      </c>
      <c r="O218" s="50" t="s">
        <v>160</v>
      </c>
      <c r="P218" s="50" t="s">
        <v>161</v>
      </c>
      <c r="Q218" s="53">
        <v>0.04</v>
      </c>
      <c r="R218" s="49">
        <v>199</v>
      </c>
      <c r="S218" s="49">
        <v>0</v>
      </c>
      <c r="T218" s="54">
        <f t="shared" si="625"/>
        <v>199</v>
      </c>
      <c r="U218" s="55">
        <v>163554</v>
      </c>
      <c r="V218" s="49">
        <v>14.5</v>
      </c>
      <c r="W218" s="56">
        <f t="shared" si="708"/>
        <v>13.724137931034482</v>
      </c>
      <c r="X218" s="49">
        <v>1970</v>
      </c>
      <c r="Y218" s="57" t="s">
        <v>162</v>
      </c>
      <c r="Z218" s="58">
        <v>85280000</v>
      </c>
      <c r="AA218" s="114">
        <f>(((60000000*5.7%)/(Table1[[#This Row],[Construction Loan Principal]]))+((4030000*5.7%)/(Table1[[#This Row],[Construction Loan Principal]]))+((21250000*6.6%)/(Table1[[#This Row],[Construction Loan Principal]])))</f>
        <v>5.924261257035647E-2</v>
      </c>
      <c r="AB218" s="59">
        <v>17</v>
      </c>
      <c r="AC218" s="60">
        <v>40</v>
      </c>
      <c r="AD218" s="61">
        <v>5.7000000000000002E-2</v>
      </c>
      <c r="AE218" s="62">
        <v>60000000</v>
      </c>
      <c r="AF218" s="63">
        <v>1.24</v>
      </c>
      <c r="AG218" s="59">
        <v>17</v>
      </c>
      <c r="AH218" s="60">
        <v>40</v>
      </c>
      <c r="AI218" s="61">
        <v>5.7000000000000002E-2</v>
      </c>
      <c r="AJ218" s="64">
        <v>4030000</v>
      </c>
      <c r="AK218" s="65">
        <f t="shared" si="709"/>
        <v>64030000</v>
      </c>
      <c r="AL218" s="66">
        <v>0</v>
      </c>
      <c r="AM218" s="49" t="s">
        <v>163</v>
      </c>
      <c r="AN218" s="67">
        <v>0.88</v>
      </c>
      <c r="AO218" s="62">
        <v>35884147</v>
      </c>
      <c r="AP218" s="62">
        <v>5789100</v>
      </c>
      <c r="AQ218" s="68">
        <v>8520092</v>
      </c>
      <c r="AR218" s="69">
        <f t="shared" si="710"/>
        <v>321758.79396984924</v>
      </c>
      <c r="AS218" s="70" t="str">
        <f t="shared" si="711"/>
        <v/>
      </c>
      <c r="AT218" s="70">
        <f t="shared" si="712"/>
        <v>180322.34673366835</v>
      </c>
      <c r="AU218" s="70">
        <f t="shared" si="713"/>
        <v>29090.954773869347</v>
      </c>
      <c r="AV218" s="71">
        <f t="shared" si="714"/>
        <v>42814.532663316582</v>
      </c>
      <c r="AW218" s="115">
        <f t="shared" si="715"/>
        <v>74561.39698492462</v>
      </c>
      <c r="AX218" s="116">
        <f t="shared" si="716"/>
        <v>90.720606038372651</v>
      </c>
      <c r="AY218" s="72">
        <f t="shared" si="717"/>
        <v>93499.984924623117</v>
      </c>
      <c r="AZ218" s="73">
        <f t="shared" si="718"/>
        <v>113.76363158345256</v>
      </c>
      <c r="BA218" s="66">
        <v>69500000</v>
      </c>
      <c r="BB218" s="62">
        <v>2044760</v>
      </c>
      <c r="BC218" s="62">
        <v>12792958</v>
      </c>
      <c r="BD218" s="62">
        <v>1483771</v>
      </c>
      <c r="BE218" s="62">
        <v>2285008</v>
      </c>
      <c r="BF218" s="62">
        <v>2319315</v>
      </c>
      <c r="BG218" s="62">
        <v>9087444</v>
      </c>
      <c r="BH218" s="62">
        <v>13331742</v>
      </c>
      <c r="BI218" s="62">
        <v>1378340</v>
      </c>
      <c r="BJ218" s="47">
        <f t="shared" si="719"/>
        <v>114223338</v>
      </c>
      <c r="BK218" s="69">
        <f t="shared" si="720"/>
        <v>349246.23115577892</v>
      </c>
      <c r="BL218" s="70">
        <f t="shared" si="721"/>
        <v>10275.175879396986</v>
      </c>
      <c r="BM218" s="70">
        <f t="shared" si="722"/>
        <v>64286.221105527635</v>
      </c>
      <c r="BN218" s="70">
        <f t="shared" si="723"/>
        <v>7456.13567839196</v>
      </c>
      <c r="BO218" s="70">
        <f t="shared" si="724"/>
        <v>11482.452261306533</v>
      </c>
      <c r="BP218" s="70">
        <f t="shared" si="725"/>
        <v>11654.849246231155</v>
      </c>
      <c r="BQ218" s="70">
        <f t="shared" si="726"/>
        <v>45665.547738693465</v>
      </c>
      <c r="BR218" s="70">
        <f t="shared" si="727"/>
        <v>66993.678391959795</v>
      </c>
      <c r="BS218" s="70">
        <f t="shared" si="728"/>
        <v>6926.3316582914576</v>
      </c>
      <c r="BT218" s="71">
        <f t="shared" si="729"/>
        <v>573986.62311557785</v>
      </c>
      <c r="BU218" s="65">
        <f t="shared" si="730"/>
        <v>424.93610672927593</v>
      </c>
      <c r="BV218" s="48">
        <f t="shared" si="731"/>
        <v>12.502048253176321</v>
      </c>
      <c r="BW218" s="48">
        <f t="shared" si="732"/>
        <v>78.218557785196325</v>
      </c>
      <c r="BX218" s="48">
        <f t="shared" si="733"/>
        <v>9.0720557124863959</v>
      </c>
      <c r="BY218" s="48">
        <f t="shared" si="734"/>
        <v>13.970969832593516</v>
      </c>
      <c r="BZ218" s="48">
        <f t="shared" si="735"/>
        <v>14.180729300414542</v>
      </c>
      <c r="CA218" s="48">
        <f t="shared" si="736"/>
        <v>55.562346381011778</v>
      </c>
      <c r="CB218" s="48">
        <f t="shared" si="737"/>
        <v>81.51278476833339</v>
      </c>
      <c r="CC218" s="48">
        <f t="shared" si="738"/>
        <v>8.4274306956723777</v>
      </c>
      <c r="CD218" s="47">
        <f t="shared" si="739"/>
        <v>698.38302945816065</v>
      </c>
      <c r="CE218" s="66">
        <v>6436800</v>
      </c>
      <c r="CF218" s="62">
        <v>71640</v>
      </c>
      <c r="CG218" s="74">
        <v>-325422</v>
      </c>
      <c r="CH218" s="75">
        <f t="shared" si="740"/>
        <v>6183018</v>
      </c>
      <c r="CI218" s="62">
        <f>136175+7960+5000+60000</f>
        <v>209135</v>
      </c>
      <c r="CJ218" s="62">
        <v>119400</v>
      </c>
      <c r="CK218" s="62">
        <v>426615</v>
      </c>
      <c r="CL218" s="62">
        <v>224364</v>
      </c>
      <c r="CM218" s="62">
        <f>76125+225888</f>
        <v>302013</v>
      </c>
      <c r="CN218" s="62">
        <v>90188</v>
      </c>
      <c r="CO218" s="62">
        <v>0</v>
      </c>
      <c r="CP218" s="75">
        <f t="shared" si="626"/>
        <v>1371715</v>
      </c>
      <c r="CQ218" s="62">
        <v>59700</v>
      </c>
      <c r="CR218" s="75">
        <f t="shared" si="627"/>
        <v>1431415</v>
      </c>
      <c r="CS218" s="75">
        <f t="shared" si="741"/>
        <v>4811303</v>
      </c>
      <c r="CT218" s="62">
        <f>3812020+256041</f>
        <v>4068061</v>
      </c>
      <c r="CU218" s="47">
        <f t="shared" si="742"/>
        <v>743242</v>
      </c>
      <c r="CV218" s="76">
        <f t="shared" si="743"/>
        <v>0.77814798533661067</v>
      </c>
      <c r="CW218" s="75">
        <f t="shared" si="744"/>
        <v>7193.0402010050248</v>
      </c>
      <c r="CX218" s="77">
        <f t="shared" si="745"/>
        <v>0.23150749358970005</v>
      </c>
      <c r="CY218" s="75">
        <f t="shared" si="746"/>
        <v>3734.8844221105528</v>
      </c>
      <c r="CZ218" s="77">
        <f t="shared" si="747"/>
        <v>0.12020699276631573</v>
      </c>
      <c r="DA218" s="77">
        <f t="shared" si="748"/>
        <v>0.65794099257029492</v>
      </c>
      <c r="DB218" s="47">
        <f t="shared" si="749"/>
        <v>321758.79396984924</v>
      </c>
      <c r="DC218" s="69">
        <f t="shared" si="750"/>
        <v>32345.72864321608</v>
      </c>
      <c r="DD218" s="70">
        <f t="shared" si="751"/>
        <v>360</v>
      </c>
      <c r="DE218" s="70">
        <f t="shared" si="752"/>
        <v>-1635.286432160804</v>
      </c>
      <c r="DF218" s="70">
        <f t="shared" si="753"/>
        <v>31070.442211055277</v>
      </c>
      <c r="DG218" s="70">
        <f t="shared" si="754"/>
        <v>1050.929648241206</v>
      </c>
      <c r="DH218" s="70">
        <f t="shared" si="755"/>
        <v>600</v>
      </c>
      <c r="DI218" s="70">
        <f t="shared" si="756"/>
        <v>2143.7939698492464</v>
      </c>
      <c r="DJ218" s="70">
        <f t="shared" si="757"/>
        <v>1127.4572864321608</v>
      </c>
      <c r="DK218" s="70">
        <f t="shared" si="758"/>
        <v>1517.6532663316582</v>
      </c>
      <c r="DL218" s="70">
        <f t="shared" si="759"/>
        <v>453.20603015075375</v>
      </c>
      <c r="DM218" s="70" t="str">
        <f t="shared" si="760"/>
        <v/>
      </c>
      <c r="DN218" s="70">
        <f t="shared" si="761"/>
        <v>6893.0402010050248</v>
      </c>
      <c r="DO218" s="70">
        <f t="shared" si="762"/>
        <v>300</v>
      </c>
      <c r="DP218" s="70">
        <f t="shared" si="763"/>
        <v>7193.0402010050248</v>
      </c>
      <c r="DQ218" s="70">
        <f t="shared" si="764"/>
        <v>24177.402010050253</v>
      </c>
      <c r="DR218" s="70">
        <f t="shared" si="765"/>
        <v>20442.517587939699</v>
      </c>
      <c r="DS218" s="71">
        <f t="shared" si="766"/>
        <v>3734.8844221105528</v>
      </c>
      <c r="DT218" s="106">
        <f t="shared" si="767"/>
        <v>1.0410450042357955</v>
      </c>
      <c r="DU218" s="92">
        <f t="shared" si="768"/>
        <v>1.1586574711572891E-2</v>
      </c>
      <c r="DV218" s="92" t="str">
        <f t="shared" si="769"/>
        <v/>
      </c>
      <c r="DW218" s="92">
        <f t="shared" si="770"/>
        <v>1</v>
      </c>
      <c r="DX218" s="92">
        <f t="shared" si="771"/>
        <v>3.3824096905427092E-2</v>
      </c>
      <c r="DY218" s="92">
        <f t="shared" si="772"/>
        <v>1.9310957852621487E-2</v>
      </c>
      <c r="DZ218" s="92">
        <f t="shared" si="773"/>
        <v>6.8997858327438155E-2</v>
      </c>
      <c r="EA218" s="92">
        <f t="shared" si="774"/>
        <v>3.6287133564870747E-2</v>
      </c>
      <c r="EB218" s="92">
        <f t="shared" si="775"/>
        <v>4.8845563768373311E-2</v>
      </c>
      <c r="EC218" s="92">
        <f t="shared" si="776"/>
        <v>1.4586404244658515E-2</v>
      </c>
      <c r="ED218" s="92" t="str">
        <f t="shared" si="777"/>
        <v/>
      </c>
      <c r="EE218" s="92">
        <f t="shared" si="778"/>
        <v>0.2218520146633893</v>
      </c>
      <c r="EF218" s="92">
        <f t="shared" si="779"/>
        <v>9.6554789263107437E-3</v>
      </c>
      <c r="EG218" s="92">
        <f t="shared" si="780"/>
        <v>0.23150749358970005</v>
      </c>
      <c r="EH218" s="92">
        <f t="shared" si="781"/>
        <v>0.77814798533661067</v>
      </c>
      <c r="EI218" s="92">
        <f t="shared" si="782"/>
        <v>0.65794099257029492</v>
      </c>
      <c r="EJ218" s="122">
        <f t="shared" si="783"/>
        <v>0.12020699276631573</v>
      </c>
    </row>
    <row r="219" spans="2:140" ht="12" hidden="1" customHeight="1" outlineLevel="1">
      <c r="B219" s="121">
        <v>45377</v>
      </c>
      <c r="C219" s="117">
        <v>22039</v>
      </c>
      <c r="D219" s="50" t="s">
        <v>1131</v>
      </c>
      <c r="E219" s="50" t="s">
        <v>1132</v>
      </c>
      <c r="F219" s="50" t="s">
        <v>1133</v>
      </c>
      <c r="G219" s="50" t="s">
        <v>162</v>
      </c>
      <c r="H219" s="50" t="s">
        <v>1134</v>
      </c>
      <c r="I219" s="50" t="s">
        <v>499</v>
      </c>
      <c r="J219" s="52" t="s">
        <v>1014</v>
      </c>
      <c r="K219" s="50" t="s">
        <v>1015</v>
      </c>
      <c r="L219" s="49">
        <v>11</v>
      </c>
      <c r="M219" s="50" t="s">
        <v>159</v>
      </c>
      <c r="N219" s="50" t="s">
        <v>244</v>
      </c>
      <c r="O219" s="50" t="s">
        <v>160</v>
      </c>
      <c r="P219" s="50" t="s">
        <v>177</v>
      </c>
      <c r="Q219" s="53">
        <v>0.09</v>
      </c>
      <c r="R219" s="49">
        <v>96</v>
      </c>
      <c r="S219" s="49">
        <v>3</v>
      </c>
      <c r="T219" s="54">
        <f t="shared" si="625"/>
        <v>99</v>
      </c>
      <c r="U219" s="55">
        <v>82392</v>
      </c>
      <c r="V219" s="49">
        <v>13.6</v>
      </c>
      <c r="W219" s="56">
        <f t="shared" si="708"/>
        <v>7.2794117647058822</v>
      </c>
      <c r="X219" s="49" t="s">
        <v>163</v>
      </c>
      <c r="Y219" s="57" t="s">
        <v>162</v>
      </c>
      <c r="Z219" s="58">
        <v>5085000</v>
      </c>
      <c r="AA219" s="114">
        <v>3.5000000000000003E-2</v>
      </c>
      <c r="AB219" s="59"/>
      <c r="AC219" s="60"/>
      <c r="AD219" s="61"/>
      <c r="AE219" s="62"/>
      <c r="AF219" s="63"/>
      <c r="AG219" s="59"/>
      <c r="AH219" s="60"/>
      <c r="AI219" s="61"/>
      <c r="AJ219" s="64"/>
      <c r="AK219" s="65" t="str">
        <f t="shared" si="709"/>
        <v/>
      </c>
      <c r="AL219" s="66">
        <v>500</v>
      </c>
      <c r="AM219" s="49" t="s">
        <v>1135</v>
      </c>
      <c r="AN219" s="67">
        <v>0.89</v>
      </c>
      <c r="AO219" s="62">
        <v>17798220</v>
      </c>
      <c r="AP219" s="62">
        <v>0</v>
      </c>
      <c r="AQ219" s="68">
        <v>857727</v>
      </c>
      <c r="AR219" s="69" t="str">
        <f t="shared" si="710"/>
        <v/>
      </c>
      <c r="AS219" s="70">
        <f t="shared" si="711"/>
        <v>5.0505050505050502</v>
      </c>
      <c r="AT219" s="70">
        <f t="shared" si="712"/>
        <v>179780</v>
      </c>
      <c r="AU219" s="70" t="str">
        <f t="shared" si="713"/>
        <v/>
      </c>
      <c r="AV219" s="71">
        <f t="shared" si="714"/>
        <v>8663.9090909090901</v>
      </c>
      <c r="AW219" s="115">
        <f t="shared" si="715"/>
        <v>113055.73737373737</v>
      </c>
      <c r="AX219" s="116">
        <f t="shared" si="716"/>
        <v>135.84471793377998</v>
      </c>
      <c r="AY219" s="72">
        <f t="shared" si="717"/>
        <v>137905.38383838386</v>
      </c>
      <c r="AZ219" s="73">
        <f t="shared" si="718"/>
        <v>165.70338139625207</v>
      </c>
      <c r="BA219" s="66">
        <v>3030000</v>
      </c>
      <c r="BB219" s="62">
        <v>2623750</v>
      </c>
      <c r="BC219" s="62">
        <v>8568768</v>
      </c>
      <c r="BD219" s="62">
        <v>783476</v>
      </c>
      <c r="BE219" s="62">
        <v>1676639</v>
      </c>
      <c r="BF219" s="62">
        <v>1953538</v>
      </c>
      <c r="BG219" s="62">
        <v>2568684</v>
      </c>
      <c r="BH219" s="62">
        <v>2536592</v>
      </c>
      <c r="BI219" s="62">
        <v>0</v>
      </c>
      <c r="BJ219" s="47">
        <f t="shared" si="719"/>
        <v>23741447</v>
      </c>
      <c r="BK219" s="69">
        <f t="shared" si="720"/>
        <v>30606.060606060608</v>
      </c>
      <c r="BL219" s="70">
        <f t="shared" si="721"/>
        <v>26502.525252525251</v>
      </c>
      <c r="BM219" s="70">
        <f t="shared" si="722"/>
        <v>86553.212121212127</v>
      </c>
      <c r="BN219" s="70">
        <f t="shared" si="723"/>
        <v>7913.8989898989903</v>
      </c>
      <c r="BO219" s="70">
        <f t="shared" si="724"/>
        <v>16935.747474747473</v>
      </c>
      <c r="BP219" s="70">
        <f t="shared" si="725"/>
        <v>19732.707070707071</v>
      </c>
      <c r="BQ219" s="70">
        <f t="shared" si="726"/>
        <v>25946.303030303032</v>
      </c>
      <c r="BR219" s="70">
        <f t="shared" si="727"/>
        <v>25622.141414141413</v>
      </c>
      <c r="BS219" s="70" t="str">
        <f t="shared" si="728"/>
        <v/>
      </c>
      <c r="BT219" s="71">
        <f t="shared" si="729"/>
        <v>239812.59595959596</v>
      </c>
      <c r="BU219" s="65">
        <f t="shared" si="730"/>
        <v>36.77541508884358</v>
      </c>
      <c r="BV219" s="48">
        <f t="shared" si="731"/>
        <v>31.844717933779979</v>
      </c>
      <c r="BW219" s="48">
        <f t="shared" si="732"/>
        <v>104</v>
      </c>
      <c r="BX219" s="48">
        <f t="shared" si="733"/>
        <v>9.5091270997184196</v>
      </c>
      <c r="BY219" s="48">
        <f t="shared" si="734"/>
        <v>20.349536362753664</v>
      </c>
      <c r="BZ219" s="48">
        <f t="shared" si="735"/>
        <v>23.710287406544325</v>
      </c>
      <c r="CA219" s="48">
        <f t="shared" si="736"/>
        <v>31.176376347218177</v>
      </c>
      <c r="CB219" s="48">
        <f t="shared" si="737"/>
        <v>30.786872511894359</v>
      </c>
      <c r="CC219" s="48" t="str">
        <f t="shared" si="738"/>
        <v/>
      </c>
      <c r="CD219" s="47">
        <f t="shared" si="739"/>
        <v>288.15233275075252</v>
      </c>
      <c r="CE219" s="66">
        <v>755652</v>
      </c>
      <c r="CF219" s="62">
        <v>35640</v>
      </c>
      <c r="CG219" s="74">
        <v>-59347</v>
      </c>
      <c r="CH219" s="75">
        <f t="shared" si="740"/>
        <v>731945</v>
      </c>
      <c r="CI219" s="62">
        <f>32560+13816+3840</f>
        <v>50216</v>
      </c>
      <c r="CJ219" s="62">
        <v>36597</v>
      </c>
      <c r="CK219" s="62">
        <v>99060</v>
      </c>
      <c r="CL219" s="62">
        <v>55729</v>
      </c>
      <c r="CM219" s="62">
        <f>11682+43317</f>
        <v>54999</v>
      </c>
      <c r="CN219" s="62">
        <v>39600</v>
      </c>
      <c r="CO219" s="62">
        <v>72265</v>
      </c>
      <c r="CP219" s="75">
        <f t="shared" si="626"/>
        <v>408466</v>
      </c>
      <c r="CQ219" s="62">
        <v>24750</v>
      </c>
      <c r="CR219" s="75">
        <f t="shared" si="627"/>
        <v>433216</v>
      </c>
      <c r="CS219" s="75">
        <f t="shared" si="741"/>
        <v>323479</v>
      </c>
      <c r="CT219" s="62">
        <v>249363</v>
      </c>
      <c r="CU219" s="47">
        <f t="shared" si="742"/>
        <v>74116</v>
      </c>
      <c r="CV219" s="76">
        <f t="shared" si="743"/>
        <v>0.44194440839134086</v>
      </c>
      <c r="CW219" s="75">
        <f t="shared" si="744"/>
        <v>4375.9191919191917</v>
      </c>
      <c r="CX219" s="77">
        <f t="shared" si="745"/>
        <v>0.59186960768910235</v>
      </c>
      <c r="CY219" s="75">
        <f t="shared" si="746"/>
        <v>748.64646464646466</v>
      </c>
      <c r="CZ219" s="77">
        <f t="shared" si="747"/>
        <v>0.10125897437649004</v>
      </c>
      <c r="DA219" s="77">
        <f t="shared" si="748"/>
        <v>0.34068543401485085</v>
      </c>
      <c r="DB219" s="47" t="str">
        <f t="shared" si="749"/>
        <v/>
      </c>
      <c r="DC219" s="69">
        <f t="shared" si="750"/>
        <v>7632.848484848485</v>
      </c>
      <c r="DD219" s="70">
        <f t="shared" si="751"/>
        <v>360</v>
      </c>
      <c r="DE219" s="70">
        <f t="shared" si="752"/>
        <v>-599.46464646464642</v>
      </c>
      <c r="DF219" s="70">
        <f t="shared" si="753"/>
        <v>7393.3838383838383</v>
      </c>
      <c r="DG219" s="70">
        <f t="shared" si="754"/>
        <v>507.23232323232321</v>
      </c>
      <c r="DH219" s="70">
        <f t="shared" si="755"/>
        <v>369.66666666666669</v>
      </c>
      <c r="DI219" s="70">
        <f t="shared" si="756"/>
        <v>1000.6060606060606</v>
      </c>
      <c r="DJ219" s="70">
        <f t="shared" si="757"/>
        <v>562.91919191919192</v>
      </c>
      <c r="DK219" s="70">
        <f t="shared" si="758"/>
        <v>555.5454545454545</v>
      </c>
      <c r="DL219" s="70">
        <f t="shared" si="759"/>
        <v>400</v>
      </c>
      <c r="DM219" s="70">
        <f t="shared" si="760"/>
        <v>729.94949494949492</v>
      </c>
      <c r="DN219" s="70">
        <f t="shared" si="761"/>
        <v>4125.9191919191917</v>
      </c>
      <c r="DO219" s="70">
        <f t="shared" si="762"/>
        <v>250</v>
      </c>
      <c r="DP219" s="70">
        <f t="shared" si="763"/>
        <v>4375.9191919191917</v>
      </c>
      <c r="DQ219" s="70">
        <f t="shared" si="764"/>
        <v>3267.4646464646466</v>
      </c>
      <c r="DR219" s="70">
        <f t="shared" si="765"/>
        <v>2518.818181818182</v>
      </c>
      <c r="DS219" s="71">
        <f t="shared" si="766"/>
        <v>748.64646464646466</v>
      </c>
      <c r="DT219" s="106">
        <f t="shared" si="767"/>
        <v>1.0323890456250129</v>
      </c>
      <c r="DU219" s="92">
        <f t="shared" si="768"/>
        <v>4.869218315583821E-2</v>
      </c>
      <c r="DV219" s="92" t="str">
        <f t="shared" si="769"/>
        <v/>
      </c>
      <c r="DW219" s="92">
        <f t="shared" si="770"/>
        <v>1</v>
      </c>
      <c r="DX219" s="92">
        <f t="shared" si="771"/>
        <v>6.8606247737193371E-2</v>
      </c>
      <c r="DY219" s="92">
        <f t="shared" si="772"/>
        <v>4.9999658444282016E-2</v>
      </c>
      <c r="DZ219" s="92">
        <f t="shared" si="773"/>
        <v>0.13533803769408903</v>
      </c>
      <c r="EA219" s="92">
        <f t="shared" si="774"/>
        <v>7.6138234430182597E-2</v>
      </c>
      <c r="EB219" s="92">
        <f t="shared" si="775"/>
        <v>7.5140891733668516E-2</v>
      </c>
      <c r="EC219" s="92">
        <f t="shared" si="776"/>
        <v>5.4102425728709123E-2</v>
      </c>
      <c r="ED219" s="92">
        <f t="shared" si="777"/>
        <v>9.8730095840534465E-2</v>
      </c>
      <c r="EE219" s="92">
        <f t="shared" si="778"/>
        <v>0.55805559160865914</v>
      </c>
      <c r="EF219" s="92">
        <f t="shared" si="779"/>
        <v>3.3814016080443203E-2</v>
      </c>
      <c r="EG219" s="92">
        <f t="shared" si="780"/>
        <v>0.59186960768910235</v>
      </c>
      <c r="EH219" s="92">
        <f t="shared" si="781"/>
        <v>0.44194440839134086</v>
      </c>
      <c r="EI219" s="92">
        <f t="shared" si="782"/>
        <v>0.34068543401485085</v>
      </c>
      <c r="EJ219" s="122">
        <f t="shared" si="783"/>
        <v>0.10125897437649004</v>
      </c>
    </row>
    <row r="220" spans="2:140" ht="12" hidden="1" customHeight="1" outlineLevel="1">
      <c r="B220" s="121">
        <v>45383</v>
      </c>
      <c r="C220" s="117">
        <v>24424</v>
      </c>
      <c r="D220" s="50" t="s">
        <v>1136</v>
      </c>
      <c r="E220" s="50" t="s">
        <v>1137</v>
      </c>
      <c r="F220" s="50" t="s">
        <v>1138</v>
      </c>
      <c r="G220" s="50" t="s">
        <v>162</v>
      </c>
      <c r="H220" s="50" t="s">
        <v>396</v>
      </c>
      <c r="I220" s="50" t="s">
        <v>396</v>
      </c>
      <c r="J220" s="52" t="s">
        <v>183</v>
      </c>
      <c r="K220" s="50" t="s">
        <v>184</v>
      </c>
      <c r="L220" s="49">
        <v>9</v>
      </c>
      <c r="M220" s="50" t="s">
        <v>159</v>
      </c>
      <c r="N220" s="50" t="s">
        <v>160</v>
      </c>
      <c r="O220" s="50" t="s">
        <v>160</v>
      </c>
      <c r="P220" s="50" t="s">
        <v>161</v>
      </c>
      <c r="Q220" s="53">
        <v>0.04</v>
      </c>
      <c r="R220" s="49">
        <v>152</v>
      </c>
      <c r="S220" s="49">
        <v>0</v>
      </c>
      <c r="T220" s="54">
        <f t="shared" si="625"/>
        <v>152</v>
      </c>
      <c r="U220" s="55">
        <v>121960</v>
      </c>
      <c r="V220" s="49">
        <v>15.9</v>
      </c>
      <c r="W220" s="56">
        <f t="shared" si="708"/>
        <v>9.5597484276729556</v>
      </c>
      <c r="X220" s="49">
        <v>1972</v>
      </c>
      <c r="Y220" s="57" t="s">
        <v>162</v>
      </c>
      <c r="Z220" s="58">
        <v>21840861</v>
      </c>
      <c r="AA220" s="114">
        <f>(((19810000*6.2%)/(Table1[[#This Row],[Construction Loan Principal]]))+((2030861*8.34%)/(Table1[[#This Row],[Construction Loan Principal]])))</f>
        <v>6.3989867771238496E-2</v>
      </c>
      <c r="AB220" s="59">
        <v>18</v>
      </c>
      <c r="AC220" s="60">
        <v>40</v>
      </c>
      <c r="AD220" s="61">
        <v>6.2E-2</v>
      </c>
      <c r="AE220" s="62">
        <v>19810000</v>
      </c>
      <c r="AF220" s="63">
        <v>1.1499999999999999</v>
      </c>
      <c r="AG220" s="59"/>
      <c r="AH220" s="60"/>
      <c r="AI220" s="61"/>
      <c r="AJ220" s="64"/>
      <c r="AK220" s="65">
        <f t="shared" si="709"/>
        <v>19810000</v>
      </c>
      <c r="AL220" s="66">
        <v>0</v>
      </c>
      <c r="AM220" s="49" t="s">
        <v>163</v>
      </c>
      <c r="AN220" s="67">
        <v>0.9</v>
      </c>
      <c r="AO220" s="62">
        <v>13033788</v>
      </c>
      <c r="AP220" s="62">
        <v>0</v>
      </c>
      <c r="AQ220" s="68">
        <v>2904014</v>
      </c>
      <c r="AR220" s="69">
        <f t="shared" si="710"/>
        <v>130328.94736842105</v>
      </c>
      <c r="AS220" s="70" t="str">
        <f t="shared" si="711"/>
        <v/>
      </c>
      <c r="AT220" s="70">
        <f t="shared" si="712"/>
        <v>85748.605263157893</v>
      </c>
      <c r="AU220" s="70" t="str">
        <f t="shared" si="713"/>
        <v/>
      </c>
      <c r="AV220" s="71">
        <f t="shared" si="714"/>
        <v>19105.355263157893</v>
      </c>
      <c r="AW220" s="115">
        <f t="shared" si="715"/>
        <v>47157.177631578947</v>
      </c>
      <c r="AX220" s="116">
        <f t="shared" si="716"/>
        <v>58.77247458183011</v>
      </c>
      <c r="AY220" s="72">
        <f t="shared" si="717"/>
        <v>58293.177631578947</v>
      </c>
      <c r="AZ220" s="73">
        <f t="shared" si="718"/>
        <v>72.651385700229582</v>
      </c>
      <c r="BA220" s="66">
        <v>19000000</v>
      </c>
      <c r="BB220" s="62">
        <v>487779</v>
      </c>
      <c r="BC220" s="62">
        <v>6680112</v>
      </c>
      <c r="BD220" s="62">
        <v>705280</v>
      </c>
      <c r="BE220" s="62">
        <v>987392</v>
      </c>
      <c r="BF220" s="62">
        <v>793507</v>
      </c>
      <c r="BG220" s="62">
        <v>2310543</v>
      </c>
      <c r="BH220" s="62">
        <v>4170000</v>
      </c>
      <c r="BI220" s="62">
        <v>613289</v>
      </c>
      <c r="BJ220" s="47">
        <f t="shared" si="719"/>
        <v>35747902</v>
      </c>
      <c r="BK220" s="69">
        <f t="shared" si="720"/>
        <v>125000</v>
      </c>
      <c r="BL220" s="70">
        <f t="shared" si="721"/>
        <v>3209.0723684210525</v>
      </c>
      <c r="BM220" s="70">
        <f t="shared" si="722"/>
        <v>43948.105263157893</v>
      </c>
      <c r="BN220" s="70">
        <f t="shared" si="723"/>
        <v>4640</v>
      </c>
      <c r="BO220" s="70">
        <f t="shared" si="724"/>
        <v>6496</v>
      </c>
      <c r="BP220" s="70">
        <f t="shared" si="725"/>
        <v>5220.4407894736842</v>
      </c>
      <c r="BQ220" s="70">
        <f t="shared" si="726"/>
        <v>15200.940789473685</v>
      </c>
      <c r="BR220" s="70">
        <f t="shared" si="727"/>
        <v>27434.21052631579</v>
      </c>
      <c r="BS220" s="70">
        <f t="shared" si="728"/>
        <v>4034.7960526315787</v>
      </c>
      <c r="BT220" s="71">
        <f t="shared" si="729"/>
        <v>235183.56578947368</v>
      </c>
      <c r="BU220" s="65">
        <f t="shared" si="730"/>
        <v>155.78878320760904</v>
      </c>
      <c r="BV220" s="48">
        <f t="shared" si="731"/>
        <v>3.999499836011807</v>
      </c>
      <c r="BW220" s="48">
        <f t="shared" si="732"/>
        <v>54.772974745818303</v>
      </c>
      <c r="BX220" s="48">
        <f t="shared" si="733"/>
        <v>5.7828796326664484</v>
      </c>
      <c r="BY220" s="48">
        <f t="shared" si="734"/>
        <v>8.0960314857330271</v>
      </c>
      <c r="BZ220" s="48">
        <f t="shared" si="735"/>
        <v>6.5062889471958023</v>
      </c>
      <c r="CA220" s="48">
        <f t="shared" si="736"/>
        <v>18.945088553624139</v>
      </c>
      <c r="CB220" s="48">
        <f t="shared" si="737"/>
        <v>34.191538209248932</v>
      </c>
      <c r="CC220" s="48">
        <f t="shared" si="738"/>
        <v>5.0286077402427027</v>
      </c>
      <c r="CD220" s="47">
        <f t="shared" si="739"/>
        <v>293.11169235815021</v>
      </c>
      <c r="CE220" s="66">
        <v>2793600</v>
      </c>
      <c r="CF220" s="62">
        <v>720</v>
      </c>
      <c r="CG220" s="74">
        <v>-139716</v>
      </c>
      <c r="CH220" s="75">
        <f t="shared" si="740"/>
        <v>2654604</v>
      </c>
      <c r="CI220" s="62">
        <f>60800+42246+6080+2500+4560</f>
        <v>116186</v>
      </c>
      <c r="CJ220" s="62">
        <v>87552</v>
      </c>
      <c r="CK220" s="62">
        <v>253028</v>
      </c>
      <c r="CL220" s="62">
        <f>167200+30400</f>
        <v>197600</v>
      </c>
      <c r="CM220" s="62">
        <f>39300+107055+109440</f>
        <v>255795</v>
      </c>
      <c r="CN220" s="62">
        <v>42408</v>
      </c>
      <c r="CO220" s="62">
        <v>113725</v>
      </c>
      <c r="CP220" s="75">
        <f t="shared" si="626"/>
        <v>1066294</v>
      </c>
      <c r="CQ220" s="62">
        <v>45600</v>
      </c>
      <c r="CR220" s="75">
        <f t="shared" si="627"/>
        <v>1111894</v>
      </c>
      <c r="CS220" s="75">
        <f t="shared" si="741"/>
        <v>1588310</v>
      </c>
      <c r="CT220" s="62">
        <v>1341261</v>
      </c>
      <c r="CU220" s="47">
        <f t="shared" si="742"/>
        <v>247049</v>
      </c>
      <c r="CV220" s="76">
        <f t="shared" si="743"/>
        <v>0.59832276301851428</v>
      </c>
      <c r="CW220" s="75">
        <f t="shared" si="744"/>
        <v>7315.0921052631575</v>
      </c>
      <c r="CX220" s="77">
        <f t="shared" si="745"/>
        <v>0.41885494032254905</v>
      </c>
      <c r="CY220" s="75">
        <f t="shared" si="746"/>
        <v>1625.3223684210527</v>
      </c>
      <c r="CZ220" s="77">
        <f t="shared" si="747"/>
        <v>9.3064351594437433E-2</v>
      </c>
      <c r="DA220" s="77">
        <f t="shared" si="748"/>
        <v>0.50525841142407679</v>
      </c>
      <c r="DB220" s="47">
        <f t="shared" si="749"/>
        <v>130328.94736842105</v>
      </c>
      <c r="DC220" s="69">
        <f t="shared" si="750"/>
        <v>18378.947368421053</v>
      </c>
      <c r="DD220" s="70">
        <f t="shared" si="751"/>
        <v>4.7368421052631575</v>
      </c>
      <c r="DE220" s="70">
        <f t="shared" si="752"/>
        <v>-919.18421052631584</v>
      </c>
      <c r="DF220" s="70">
        <f t="shared" si="753"/>
        <v>17464.5</v>
      </c>
      <c r="DG220" s="70">
        <f t="shared" si="754"/>
        <v>764.38157894736844</v>
      </c>
      <c r="DH220" s="70">
        <f t="shared" si="755"/>
        <v>576</v>
      </c>
      <c r="DI220" s="70">
        <f t="shared" si="756"/>
        <v>1664.6578947368421</v>
      </c>
      <c r="DJ220" s="70">
        <f t="shared" si="757"/>
        <v>1300</v>
      </c>
      <c r="DK220" s="70">
        <f t="shared" si="758"/>
        <v>1682.8618421052631</v>
      </c>
      <c r="DL220" s="70">
        <f t="shared" si="759"/>
        <v>279</v>
      </c>
      <c r="DM220" s="70">
        <f t="shared" si="760"/>
        <v>748.19078947368416</v>
      </c>
      <c r="DN220" s="70">
        <f t="shared" si="761"/>
        <v>7015.0921052631575</v>
      </c>
      <c r="DO220" s="70">
        <f t="shared" si="762"/>
        <v>300</v>
      </c>
      <c r="DP220" s="70">
        <f t="shared" si="763"/>
        <v>7315.0921052631575</v>
      </c>
      <c r="DQ220" s="70">
        <f t="shared" si="764"/>
        <v>10449.407894736842</v>
      </c>
      <c r="DR220" s="70">
        <f t="shared" si="765"/>
        <v>8824.08552631579</v>
      </c>
      <c r="DS220" s="71">
        <f t="shared" si="766"/>
        <v>1625.3223684210527</v>
      </c>
      <c r="DT220" s="106">
        <f t="shared" si="767"/>
        <v>1.0523603520525096</v>
      </c>
      <c r="DU220" s="92">
        <f t="shared" si="768"/>
        <v>2.7122689485889419E-4</v>
      </c>
      <c r="DV220" s="92" t="str">
        <f t="shared" si="769"/>
        <v/>
      </c>
      <c r="DW220" s="92">
        <f t="shared" si="770"/>
        <v>1</v>
      </c>
      <c r="DX220" s="92">
        <f t="shared" si="771"/>
        <v>4.3767733341771503E-2</v>
      </c>
      <c r="DY220" s="92">
        <f t="shared" si="772"/>
        <v>3.2981190414841537E-2</v>
      </c>
      <c r="DZ220" s="92">
        <f t="shared" si="773"/>
        <v>9.5316664933828177E-2</v>
      </c>
      <c r="EA220" s="92">
        <f t="shared" si="774"/>
        <v>7.4436714477940966E-2</v>
      </c>
      <c r="EB220" s="92">
        <f t="shared" si="775"/>
        <v>9.6359004958931724E-2</v>
      </c>
      <c r="EC220" s="92">
        <f t="shared" si="776"/>
        <v>1.5975264107188868E-2</v>
      </c>
      <c r="ED220" s="92">
        <f t="shared" si="777"/>
        <v>4.2840664746982976E-2</v>
      </c>
      <c r="EE220" s="92">
        <f t="shared" si="778"/>
        <v>0.40167723698148577</v>
      </c>
      <c r="EF220" s="92">
        <f t="shared" si="779"/>
        <v>1.7177703341063298E-2</v>
      </c>
      <c r="EG220" s="92">
        <f t="shared" si="780"/>
        <v>0.41885494032254905</v>
      </c>
      <c r="EH220" s="92">
        <f t="shared" si="781"/>
        <v>0.59832276301851428</v>
      </c>
      <c r="EI220" s="92">
        <f t="shared" si="782"/>
        <v>0.50525841142407679</v>
      </c>
      <c r="EJ220" s="122">
        <f t="shared" si="783"/>
        <v>9.3064351594437433E-2</v>
      </c>
    </row>
    <row r="221" spans="2:140" ht="12" hidden="1" customHeight="1" outlineLevel="1">
      <c r="B221" s="121">
        <v>45392</v>
      </c>
      <c r="C221" s="117">
        <v>24442</v>
      </c>
      <c r="D221" s="50" t="s">
        <v>1139</v>
      </c>
      <c r="E221" s="50" t="s">
        <v>1120</v>
      </c>
      <c r="F221" s="50" t="s">
        <v>432</v>
      </c>
      <c r="G221" s="50" t="s">
        <v>162</v>
      </c>
      <c r="H221" s="50" t="s">
        <v>1134</v>
      </c>
      <c r="I221" s="50" t="s">
        <v>438</v>
      </c>
      <c r="J221" s="52" t="s">
        <v>1140</v>
      </c>
      <c r="K221" s="50" t="s">
        <v>230</v>
      </c>
      <c r="L221" s="49">
        <v>3</v>
      </c>
      <c r="M221" s="50" t="s">
        <v>159</v>
      </c>
      <c r="N221" s="50" t="s">
        <v>160</v>
      </c>
      <c r="O221" s="50" t="s">
        <v>160</v>
      </c>
      <c r="P221" s="50" t="s">
        <v>177</v>
      </c>
      <c r="Q221" s="53">
        <v>0.04</v>
      </c>
      <c r="R221" s="49">
        <v>288</v>
      </c>
      <c r="S221" s="49">
        <v>0</v>
      </c>
      <c r="T221" s="54">
        <f t="shared" si="625"/>
        <v>288</v>
      </c>
      <c r="U221" s="55">
        <v>270970</v>
      </c>
      <c r="V221" s="49">
        <v>30</v>
      </c>
      <c r="W221" s="56">
        <f t="shared" si="708"/>
        <v>9.6</v>
      </c>
      <c r="X221" s="49" t="s">
        <v>163</v>
      </c>
      <c r="Y221" s="57" t="s">
        <v>162</v>
      </c>
      <c r="Z221" s="58">
        <v>55480126</v>
      </c>
      <c r="AA221" s="114">
        <f>(((34108974*5.37%)/(Table1[[#This Row],[Construction Loan Principal]]))+((21371152*6%)/(Table1[[#This Row],[Construction Loan Principal]])))</f>
        <v>5.6126783558494445E-2</v>
      </c>
      <c r="AB221" s="59">
        <v>40</v>
      </c>
      <c r="AC221" s="60">
        <v>40</v>
      </c>
      <c r="AD221" s="61">
        <v>5.3699999999999998E-2</v>
      </c>
      <c r="AE221" s="62">
        <v>34108974</v>
      </c>
      <c r="AF221" s="63">
        <v>1.1499999999999999</v>
      </c>
      <c r="AG221" s="59"/>
      <c r="AH221" s="60"/>
      <c r="AI221" s="61"/>
      <c r="AJ221" s="64"/>
      <c r="AK221" s="65">
        <f t="shared" si="709"/>
        <v>34108974</v>
      </c>
      <c r="AL221" s="66">
        <v>0</v>
      </c>
      <c r="AM221" s="49" t="s">
        <v>163</v>
      </c>
      <c r="AN221" s="67">
        <v>0.9</v>
      </c>
      <c r="AO221" s="62">
        <v>30040870</v>
      </c>
      <c r="AP221" s="62">
        <v>0</v>
      </c>
      <c r="AQ221" s="68">
        <v>6708723</v>
      </c>
      <c r="AR221" s="69">
        <f t="shared" si="710"/>
        <v>118433.9375</v>
      </c>
      <c r="AS221" s="70" t="str">
        <f t="shared" si="711"/>
        <v/>
      </c>
      <c r="AT221" s="70">
        <f t="shared" si="712"/>
        <v>104308.57638888889</v>
      </c>
      <c r="AU221" s="70" t="str">
        <f t="shared" si="713"/>
        <v/>
      </c>
      <c r="AV221" s="71">
        <f t="shared" si="714"/>
        <v>23294.177083333332</v>
      </c>
      <c r="AW221" s="115">
        <f t="shared" si="715"/>
        <v>135223.22916666666</v>
      </c>
      <c r="AX221" s="116">
        <f t="shared" si="716"/>
        <v>143.72177731852236</v>
      </c>
      <c r="AY221" s="72">
        <f t="shared" si="717"/>
        <v>159493.52430555556</v>
      </c>
      <c r="AZ221" s="73">
        <f t="shared" si="718"/>
        <v>169.51741890246154</v>
      </c>
      <c r="BA221" s="66">
        <v>1625000</v>
      </c>
      <c r="BB221" s="62">
        <v>6078928</v>
      </c>
      <c r="BC221" s="62">
        <v>32865362</v>
      </c>
      <c r="BD221" s="62">
        <v>1537645</v>
      </c>
      <c r="BE221" s="62">
        <v>5452200</v>
      </c>
      <c r="BF221" s="62">
        <v>4754612</v>
      </c>
      <c r="BG221" s="62">
        <v>6933703</v>
      </c>
      <c r="BH221" s="62">
        <v>8327143</v>
      </c>
      <c r="BI221" s="62">
        <v>3283874</v>
      </c>
      <c r="BJ221" s="47">
        <f t="shared" si="719"/>
        <v>70858467</v>
      </c>
      <c r="BK221" s="69">
        <f t="shared" si="720"/>
        <v>5642.3611111111113</v>
      </c>
      <c r="BL221" s="70">
        <f t="shared" si="721"/>
        <v>21107.388888888891</v>
      </c>
      <c r="BM221" s="70">
        <f t="shared" si="722"/>
        <v>114115.84027777778</v>
      </c>
      <c r="BN221" s="70">
        <f t="shared" si="723"/>
        <v>5339.0451388888887</v>
      </c>
      <c r="BO221" s="70">
        <f t="shared" si="724"/>
        <v>18931.25</v>
      </c>
      <c r="BP221" s="70">
        <f t="shared" si="725"/>
        <v>16509.069444444445</v>
      </c>
      <c r="BQ221" s="70">
        <f t="shared" si="726"/>
        <v>24075.357638888891</v>
      </c>
      <c r="BR221" s="70">
        <f t="shared" si="727"/>
        <v>28913.690972222223</v>
      </c>
      <c r="BS221" s="70">
        <f t="shared" si="728"/>
        <v>11402.340277777777</v>
      </c>
      <c r="BT221" s="71">
        <f t="shared" si="729"/>
        <v>246036.34375</v>
      </c>
      <c r="BU221" s="65">
        <f t="shared" si="730"/>
        <v>5.9969738347418531</v>
      </c>
      <c r="BV221" s="48">
        <f t="shared" si="731"/>
        <v>22.433952098018231</v>
      </c>
      <c r="BW221" s="48">
        <f t="shared" si="732"/>
        <v>121.28782522050412</v>
      </c>
      <c r="BX221" s="48">
        <f t="shared" si="733"/>
        <v>5.6745949736133152</v>
      </c>
      <c r="BY221" s="48">
        <f t="shared" si="734"/>
        <v>20.121046610325866</v>
      </c>
      <c r="BZ221" s="48">
        <f t="shared" si="735"/>
        <v>17.546636158984388</v>
      </c>
      <c r="CA221" s="48">
        <f t="shared" si="736"/>
        <v>25.588452596228365</v>
      </c>
      <c r="CB221" s="48">
        <f t="shared" si="737"/>
        <v>30.730866885633095</v>
      </c>
      <c r="CC221" s="48">
        <f t="shared" si="738"/>
        <v>12.118957818208658</v>
      </c>
      <c r="CD221" s="47">
        <f t="shared" si="739"/>
        <v>261.49930619625786</v>
      </c>
      <c r="CE221" s="66">
        <v>4383648</v>
      </c>
      <c r="CF221" s="62">
        <v>84540</v>
      </c>
      <c r="CG221" s="74">
        <v>-335114</v>
      </c>
      <c r="CH221" s="75">
        <f t="shared" si="740"/>
        <v>4133074</v>
      </c>
      <c r="CI221" s="62">
        <f>107914+11520+14400</f>
        <v>133834</v>
      </c>
      <c r="CJ221" s="62">
        <v>165323</v>
      </c>
      <c r="CK221" s="62">
        <v>323689</v>
      </c>
      <c r="CL221" s="62">
        <v>154731</v>
      </c>
      <c r="CM221" s="62">
        <f>36554+201023</f>
        <v>237577</v>
      </c>
      <c r="CN221" s="62">
        <v>201600</v>
      </c>
      <c r="CO221" s="62">
        <v>360000</v>
      </c>
      <c r="CP221" s="75">
        <f t="shared" si="626"/>
        <v>1576754</v>
      </c>
      <c r="CQ221" s="62">
        <v>72000</v>
      </c>
      <c r="CR221" s="75">
        <f t="shared" si="627"/>
        <v>1648754</v>
      </c>
      <c r="CS221" s="75">
        <f t="shared" si="741"/>
        <v>2556320</v>
      </c>
      <c r="CT221" s="62">
        <v>2160277</v>
      </c>
      <c r="CU221" s="47">
        <f t="shared" si="742"/>
        <v>396043</v>
      </c>
      <c r="CV221" s="76">
        <f t="shared" si="743"/>
        <v>0.61850332222457183</v>
      </c>
      <c r="CW221" s="75">
        <f t="shared" si="744"/>
        <v>5724.8402777777774</v>
      </c>
      <c r="CX221" s="77">
        <f t="shared" si="745"/>
        <v>0.3989171256067518</v>
      </c>
      <c r="CY221" s="75">
        <f t="shared" si="746"/>
        <v>1375.1493055555557</v>
      </c>
      <c r="CZ221" s="77">
        <f t="shared" si="747"/>
        <v>9.5822866950845784E-2</v>
      </c>
      <c r="DA221" s="77">
        <f t="shared" si="748"/>
        <v>0.52268045527372609</v>
      </c>
      <c r="DB221" s="47">
        <f t="shared" si="749"/>
        <v>118433.9375</v>
      </c>
      <c r="DC221" s="69">
        <f t="shared" si="750"/>
        <v>15221</v>
      </c>
      <c r="DD221" s="70">
        <f t="shared" si="751"/>
        <v>293.54166666666669</v>
      </c>
      <c r="DE221" s="70">
        <f t="shared" si="752"/>
        <v>-1163.5902777777778</v>
      </c>
      <c r="DF221" s="70">
        <f t="shared" si="753"/>
        <v>14350.951388888889</v>
      </c>
      <c r="DG221" s="70">
        <f t="shared" si="754"/>
        <v>464.70138888888891</v>
      </c>
      <c r="DH221" s="70">
        <f t="shared" si="755"/>
        <v>574.03819444444446</v>
      </c>
      <c r="DI221" s="70">
        <f t="shared" si="756"/>
        <v>1123.9201388888889</v>
      </c>
      <c r="DJ221" s="70">
        <f t="shared" si="757"/>
        <v>537.26041666666663</v>
      </c>
      <c r="DK221" s="70">
        <f t="shared" si="758"/>
        <v>824.92013888888891</v>
      </c>
      <c r="DL221" s="70">
        <f t="shared" si="759"/>
        <v>700</v>
      </c>
      <c r="DM221" s="70">
        <f t="shared" si="760"/>
        <v>1250</v>
      </c>
      <c r="DN221" s="70">
        <f t="shared" si="761"/>
        <v>5474.8402777777774</v>
      </c>
      <c r="DO221" s="70">
        <f t="shared" si="762"/>
        <v>250</v>
      </c>
      <c r="DP221" s="70">
        <f t="shared" si="763"/>
        <v>5724.8402777777774</v>
      </c>
      <c r="DQ221" s="70">
        <f t="shared" si="764"/>
        <v>8876.1111111111113</v>
      </c>
      <c r="DR221" s="70">
        <f t="shared" si="765"/>
        <v>7500.9618055555557</v>
      </c>
      <c r="DS221" s="71">
        <f t="shared" si="766"/>
        <v>1375.1493055555557</v>
      </c>
      <c r="DT221" s="106">
        <f t="shared" si="767"/>
        <v>1.0606265457623067</v>
      </c>
      <c r="DU221" s="92">
        <f t="shared" si="768"/>
        <v>2.0454509161945807E-2</v>
      </c>
      <c r="DV221" s="92" t="str">
        <f t="shared" si="769"/>
        <v/>
      </c>
      <c r="DW221" s="92">
        <f t="shared" si="770"/>
        <v>1</v>
      </c>
      <c r="DX221" s="92">
        <f t="shared" si="771"/>
        <v>3.238122520913006E-2</v>
      </c>
      <c r="DY221" s="92">
        <f t="shared" si="772"/>
        <v>4.0000009678026575E-2</v>
      </c>
      <c r="DZ221" s="92">
        <f t="shared" si="773"/>
        <v>7.8316768584351507E-2</v>
      </c>
      <c r="EA221" s="92">
        <f t="shared" si="774"/>
        <v>3.7437268241507414E-2</v>
      </c>
      <c r="EB221" s="92">
        <f t="shared" si="775"/>
        <v>5.7481912978088461E-2</v>
      </c>
      <c r="EC221" s="92">
        <f t="shared" si="776"/>
        <v>4.8777253927706106E-2</v>
      </c>
      <c r="ED221" s="92">
        <f t="shared" si="777"/>
        <v>8.710223915661805E-2</v>
      </c>
      <c r="EE221" s="92">
        <f t="shared" si="778"/>
        <v>0.38149667777542817</v>
      </c>
      <c r="EF221" s="92">
        <f t="shared" si="779"/>
        <v>1.7420447831323609E-2</v>
      </c>
      <c r="EG221" s="92">
        <f t="shared" si="780"/>
        <v>0.3989171256067518</v>
      </c>
      <c r="EH221" s="92">
        <f t="shared" si="781"/>
        <v>0.61850332222457183</v>
      </c>
      <c r="EI221" s="92">
        <f t="shared" si="782"/>
        <v>0.52268045527372609</v>
      </c>
      <c r="EJ221" s="122">
        <f t="shared" si="783"/>
        <v>9.5822866950845784E-2</v>
      </c>
    </row>
    <row r="222" spans="2:140" ht="12" hidden="1" customHeight="1" outlineLevel="1">
      <c r="B222" s="121">
        <v>45392</v>
      </c>
      <c r="C222" s="117">
        <v>24422</v>
      </c>
      <c r="D222" s="50" t="s">
        <v>1141</v>
      </c>
      <c r="E222" s="50" t="s">
        <v>1142</v>
      </c>
      <c r="F222" s="50" t="s">
        <v>1143</v>
      </c>
      <c r="G222" s="50" t="s">
        <v>154</v>
      </c>
      <c r="H222" s="50" t="s">
        <v>942</v>
      </c>
      <c r="I222" s="50" t="s">
        <v>802</v>
      </c>
      <c r="J222" s="52" t="s">
        <v>551</v>
      </c>
      <c r="K222" s="50" t="s">
        <v>552</v>
      </c>
      <c r="L222" s="49">
        <v>12</v>
      </c>
      <c r="M222" s="50" t="s">
        <v>159</v>
      </c>
      <c r="N222" s="50" t="s">
        <v>160</v>
      </c>
      <c r="O222" s="50" t="s">
        <v>160</v>
      </c>
      <c r="P222" s="50" t="s">
        <v>161</v>
      </c>
      <c r="Q222" s="53">
        <v>0.04</v>
      </c>
      <c r="R222" s="49">
        <v>204</v>
      </c>
      <c r="S222" s="49">
        <v>0</v>
      </c>
      <c r="T222" s="54">
        <f t="shared" si="625"/>
        <v>204</v>
      </c>
      <c r="U222" s="55">
        <v>169214</v>
      </c>
      <c r="V222" s="49">
        <v>14.5</v>
      </c>
      <c r="W222" s="56">
        <f t="shared" si="708"/>
        <v>14.068965517241379</v>
      </c>
      <c r="X222" s="49">
        <v>1970</v>
      </c>
      <c r="Y222" s="57" t="s">
        <v>162</v>
      </c>
      <c r="Z222" s="58">
        <v>27050000</v>
      </c>
      <c r="AA222" s="114">
        <f>(((20150000*5.98%)/(Table1[[#This Row],[Construction Loan Principal]]))+((6900000*7%)/(Table1[[#This Row],[Construction Loan Principal]])))</f>
        <v>6.2401848428835505E-2</v>
      </c>
      <c r="AB222" s="59">
        <v>21</v>
      </c>
      <c r="AC222" s="60">
        <v>40</v>
      </c>
      <c r="AD222" s="61">
        <v>5.9799999999999999E-2</v>
      </c>
      <c r="AE222" s="62">
        <v>20150000</v>
      </c>
      <c r="AF222" s="63">
        <v>1.2</v>
      </c>
      <c r="AG222" s="59"/>
      <c r="AH222" s="60"/>
      <c r="AI222" s="61"/>
      <c r="AJ222" s="64"/>
      <c r="AK222" s="65">
        <f t="shared" si="709"/>
        <v>20150000</v>
      </c>
      <c r="AL222" s="66">
        <v>200000</v>
      </c>
      <c r="AM222" s="49" t="s">
        <v>1144</v>
      </c>
      <c r="AN222" s="67">
        <v>0.85</v>
      </c>
      <c r="AO222" s="62">
        <v>14048260</v>
      </c>
      <c r="AP222" s="62">
        <v>264000</v>
      </c>
      <c r="AQ222" s="68">
        <v>943593</v>
      </c>
      <c r="AR222" s="69">
        <f t="shared" si="710"/>
        <v>98774.509803921566</v>
      </c>
      <c r="AS222" s="70">
        <f t="shared" si="711"/>
        <v>980.39215686274508</v>
      </c>
      <c r="AT222" s="70">
        <f t="shared" si="712"/>
        <v>68864.019607843133</v>
      </c>
      <c r="AU222" s="70">
        <f t="shared" si="713"/>
        <v>1294.1176470588234</v>
      </c>
      <c r="AV222" s="71">
        <f t="shared" si="714"/>
        <v>4625.4558823529414</v>
      </c>
      <c r="AW222" s="115">
        <f t="shared" si="715"/>
        <v>58212.862745098042</v>
      </c>
      <c r="AX222" s="116">
        <f t="shared" si="716"/>
        <v>70.179914191497161</v>
      </c>
      <c r="AY222" s="72">
        <f t="shared" si="717"/>
        <v>72998.926470588238</v>
      </c>
      <c r="AZ222" s="73">
        <f t="shared" si="718"/>
        <v>88.005608283002573</v>
      </c>
      <c r="BA222" s="66">
        <v>12000000</v>
      </c>
      <c r="BB222" s="62">
        <v>986949</v>
      </c>
      <c r="BC222" s="62">
        <v>10888475</v>
      </c>
      <c r="BD222" s="62">
        <v>1187542</v>
      </c>
      <c r="BE222" s="62">
        <v>1828815</v>
      </c>
      <c r="BF222" s="62">
        <v>1814274</v>
      </c>
      <c r="BG222" s="62">
        <v>3751097</v>
      </c>
      <c r="BH222" s="62">
        <v>4237219</v>
      </c>
      <c r="BI222" s="62">
        <v>1219482</v>
      </c>
      <c r="BJ222" s="47">
        <f t="shared" si="719"/>
        <v>37913853</v>
      </c>
      <c r="BK222" s="69">
        <f t="shared" si="720"/>
        <v>58823.529411764706</v>
      </c>
      <c r="BL222" s="70">
        <f t="shared" si="721"/>
        <v>4837.9852941176468</v>
      </c>
      <c r="BM222" s="70">
        <f t="shared" si="722"/>
        <v>53374.877450980392</v>
      </c>
      <c r="BN222" s="70">
        <f t="shared" si="723"/>
        <v>5821.2843137254904</v>
      </c>
      <c r="BO222" s="70">
        <f t="shared" si="724"/>
        <v>8964.7794117647063</v>
      </c>
      <c r="BP222" s="70">
        <f t="shared" si="725"/>
        <v>8893.5</v>
      </c>
      <c r="BQ222" s="70">
        <f t="shared" si="726"/>
        <v>18387.730392156864</v>
      </c>
      <c r="BR222" s="70">
        <f t="shared" si="727"/>
        <v>20770.681372549021</v>
      </c>
      <c r="BS222" s="70">
        <f t="shared" si="728"/>
        <v>5977.8529411764703</v>
      </c>
      <c r="BT222" s="71">
        <f t="shared" si="729"/>
        <v>185852.2205882353</v>
      </c>
      <c r="BU222" s="65">
        <f t="shared" si="730"/>
        <v>70.91611805169785</v>
      </c>
      <c r="BV222" s="48">
        <f t="shared" si="731"/>
        <v>5.8325493162504287</v>
      </c>
      <c r="BW222" s="48">
        <f t="shared" si="732"/>
        <v>64.347364875246726</v>
      </c>
      <c r="BX222" s="48">
        <f t="shared" si="733"/>
        <v>7.0179890552791138</v>
      </c>
      <c r="BY222" s="48">
        <f t="shared" si="734"/>
        <v>10.807705036226317</v>
      </c>
      <c r="BZ222" s="48">
        <f t="shared" si="735"/>
        <v>10.721772430177172</v>
      </c>
      <c r="CA222" s="48">
        <f t="shared" si="736"/>
        <v>22.167769806280806</v>
      </c>
      <c r="CB222" s="48">
        <f t="shared" si="737"/>
        <v>25.040593567908093</v>
      </c>
      <c r="CC222" s="48">
        <f t="shared" si="738"/>
        <v>7.2067441228267164</v>
      </c>
      <c r="CD222" s="47">
        <f t="shared" si="739"/>
        <v>224.05860626189323</v>
      </c>
      <c r="CE222" s="66">
        <v>2796324</v>
      </c>
      <c r="CF222" s="62">
        <v>48030</v>
      </c>
      <c r="CG222" s="74">
        <v>-213327</v>
      </c>
      <c r="CH222" s="75">
        <f t="shared" si="740"/>
        <v>2631027</v>
      </c>
      <c r="CI222" s="62">
        <f>58400+19472+8160+4000</f>
        <v>90032</v>
      </c>
      <c r="CJ222" s="62">
        <v>85500</v>
      </c>
      <c r="CK222" s="62">
        <f>231455+2000+19382</f>
        <v>252837</v>
      </c>
      <c r="CL222" s="62">
        <f>158100+13260</f>
        <v>171360</v>
      </c>
      <c r="CM222" s="62">
        <f>84183+172380</f>
        <v>256563</v>
      </c>
      <c r="CN222" s="62">
        <v>108000</v>
      </c>
      <c r="CO222" s="62">
        <v>0</v>
      </c>
      <c r="CP222" s="75">
        <f t="shared" si="626"/>
        <v>964292</v>
      </c>
      <c r="CQ222" s="62">
        <v>71400</v>
      </c>
      <c r="CR222" s="75">
        <f t="shared" si="627"/>
        <v>1035692</v>
      </c>
      <c r="CS222" s="75">
        <f t="shared" si="741"/>
        <v>1666735</v>
      </c>
      <c r="CT222" s="62">
        <v>1327047</v>
      </c>
      <c r="CU222" s="47">
        <f t="shared" si="742"/>
        <v>339688</v>
      </c>
      <c r="CV222" s="76">
        <f t="shared" si="743"/>
        <v>0.63349216864745217</v>
      </c>
      <c r="CW222" s="75">
        <f t="shared" si="744"/>
        <v>5076.9215686274511</v>
      </c>
      <c r="CX222" s="77">
        <f t="shared" si="745"/>
        <v>0.3936455232120385</v>
      </c>
      <c r="CY222" s="75">
        <f t="shared" si="746"/>
        <v>1665.1372549019609</v>
      </c>
      <c r="CZ222" s="77">
        <f t="shared" si="747"/>
        <v>0.12910851922082137</v>
      </c>
      <c r="DA222" s="77">
        <f t="shared" si="748"/>
        <v>0.50438364942663072</v>
      </c>
      <c r="DB222" s="47">
        <f t="shared" si="749"/>
        <v>98774.509803921566</v>
      </c>
      <c r="DC222" s="69">
        <f t="shared" si="750"/>
        <v>13707.470588235294</v>
      </c>
      <c r="DD222" s="70">
        <f t="shared" si="751"/>
        <v>235.44117647058823</v>
      </c>
      <c r="DE222" s="70">
        <f t="shared" si="752"/>
        <v>-1045.7205882352941</v>
      </c>
      <c r="DF222" s="70">
        <f t="shared" si="753"/>
        <v>12897.191176470587</v>
      </c>
      <c r="DG222" s="70">
        <f t="shared" si="754"/>
        <v>441.33333333333331</v>
      </c>
      <c r="DH222" s="70">
        <f t="shared" si="755"/>
        <v>419.11764705882354</v>
      </c>
      <c r="DI222" s="70">
        <f t="shared" si="756"/>
        <v>1239.3970588235295</v>
      </c>
      <c r="DJ222" s="70">
        <f t="shared" si="757"/>
        <v>840</v>
      </c>
      <c r="DK222" s="70">
        <f t="shared" si="758"/>
        <v>1257.6617647058824</v>
      </c>
      <c r="DL222" s="70">
        <f t="shared" si="759"/>
        <v>529.41176470588232</v>
      </c>
      <c r="DM222" s="70" t="str">
        <f t="shared" si="760"/>
        <v/>
      </c>
      <c r="DN222" s="70">
        <f t="shared" si="761"/>
        <v>4726.9215686274511</v>
      </c>
      <c r="DO222" s="70">
        <f t="shared" si="762"/>
        <v>350</v>
      </c>
      <c r="DP222" s="70">
        <f t="shared" si="763"/>
        <v>5076.9215686274511</v>
      </c>
      <c r="DQ222" s="70">
        <f t="shared" si="764"/>
        <v>8170.2696078431372</v>
      </c>
      <c r="DR222" s="70">
        <f t="shared" si="765"/>
        <v>6505.1323529411766</v>
      </c>
      <c r="DS222" s="71">
        <f t="shared" si="766"/>
        <v>1665.1372549019609</v>
      </c>
      <c r="DT222" s="106">
        <f t="shared" si="767"/>
        <v>1.0628260371330283</v>
      </c>
      <c r="DU222" s="92">
        <f t="shared" si="768"/>
        <v>1.8255228851699355E-2</v>
      </c>
      <c r="DV222" s="92" t="str">
        <f t="shared" si="769"/>
        <v/>
      </c>
      <c r="DW222" s="92">
        <f t="shared" si="770"/>
        <v>1</v>
      </c>
      <c r="DX222" s="92">
        <f t="shared" si="771"/>
        <v>3.4219337163776731E-2</v>
      </c>
      <c r="DY222" s="92">
        <f t="shared" si="772"/>
        <v>3.2496815882163126E-2</v>
      </c>
      <c r="DZ222" s="92">
        <f t="shared" si="773"/>
        <v>9.6098215639748283E-2</v>
      </c>
      <c r="EA222" s="92">
        <f t="shared" si="774"/>
        <v>6.5130460462777456E-2</v>
      </c>
      <c r="EB222" s="92">
        <f t="shared" si="775"/>
        <v>9.7514392668718336E-2</v>
      </c>
      <c r="EC222" s="92">
        <f t="shared" si="776"/>
        <v>4.1048609535363947E-2</v>
      </c>
      <c r="ED222" s="92" t="str">
        <f t="shared" si="777"/>
        <v/>
      </c>
      <c r="EE222" s="92">
        <f t="shared" si="778"/>
        <v>0.36650783135254789</v>
      </c>
      <c r="EF222" s="92">
        <f t="shared" si="779"/>
        <v>2.7137691859490609E-2</v>
      </c>
      <c r="EG222" s="92">
        <f t="shared" si="780"/>
        <v>0.3936455232120385</v>
      </c>
      <c r="EH222" s="92">
        <f t="shared" si="781"/>
        <v>0.63349216864745217</v>
      </c>
      <c r="EI222" s="92">
        <f t="shared" si="782"/>
        <v>0.50438364942663072</v>
      </c>
      <c r="EJ222" s="122">
        <f t="shared" si="783"/>
        <v>0.12910851922082137</v>
      </c>
    </row>
    <row r="223" spans="2:140" ht="12" hidden="1" customHeight="1" outlineLevel="1">
      <c r="B223" s="121">
        <v>45394</v>
      </c>
      <c r="C223" s="117">
        <v>24414</v>
      </c>
      <c r="D223" s="50" t="s">
        <v>1145</v>
      </c>
      <c r="E223" s="50" t="s">
        <v>1146</v>
      </c>
      <c r="F223" s="50" t="s">
        <v>1147</v>
      </c>
      <c r="G223" s="50" t="s">
        <v>162</v>
      </c>
      <c r="H223" s="50" t="s">
        <v>438</v>
      </c>
      <c r="I223" s="50" t="s">
        <v>438</v>
      </c>
      <c r="J223" s="52" t="s">
        <v>360</v>
      </c>
      <c r="K223" s="50" t="s">
        <v>294</v>
      </c>
      <c r="L223" s="49">
        <v>7</v>
      </c>
      <c r="M223" s="50" t="s">
        <v>159</v>
      </c>
      <c r="N223" s="50" t="s">
        <v>160</v>
      </c>
      <c r="O223" s="50" t="s">
        <v>160</v>
      </c>
      <c r="P223" s="50" t="s">
        <v>161</v>
      </c>
      <c r="Q223" s="53">
        <v>0.04</v>
      </c>
      <c r="R223" s="49">
        <v>240</v>
      </c>
      <c r="S223" s="49">
        <v>0</v>
      </c>
      <c r="T223" s="54">
        <f t="shared" si="625"/>
        <v>240</v>
      </c>
      <c r="U223" s="55">
        <v>255968</v>
      </c>
      <c r="V223" s="49">
        <v>4.9000000000000004</v>
      </c>
      <c r="W223" s="56">
        <f t="shared" si="708"/>
        <v>48.979591836734691</v>
      </c>
      <c r="X223" s="49">
        <v>2004</v>
      </c>
      <c r="Y223" s="57" t="s">
        <v>162</v>
      </c>
      <c r="Z223" s="58">
        <v>50000000</v>
      </c>
      <c r="AA223" s="114">
        <f>(((30000000*5.85%)/(Table1[[#This Row],[Construction Loan Principal]]))+((20000000*5.62%)/(Table1[[#This Row],[Construction Loan Principal]])))</f>
        <v>5.7579999999999999E-2</v>
      </c>
      <c r="AB223" s="59">
        <v>18</v>
      </c>
      <c r="AC223" s="60">
        <v>35</v>
      </c>
      <c r="AD223" s="61">
        <v>5.8500000000000003E-2</v>
      </c>
      <c r="AE223" s="62">
        <v>30000000</v>
      </c>
      <c r="AF223" s="63">
        <v>1.1599999999999999</v>
      </c>
      <c r="AG223" s="59"/>
      <c r="AH223" s="60"/>
      <c r="AI223" s="61"/>
      <c r="AJ223" s="64"/>
      <c r="AK223" s="65">
        <f t="shared" si="709"/>
        <v>30000000</v>
      </c>
      <c r="AL223" s="66">
        <v>9500000</v>
      </c>
      <c r="AM223" s="49" t="s">
        <v>163</v>
      </c>
      <c r="AN223" s="67">
        <v>0.88</v>
      </c>
      <c r="AO223" s="62">
        <v>26259779</v>
      </c>
      <c r="AP223" s="62">
        <v>4331500</v>
      </c>
      <c r="AQ223" s="68">
        <v>7320782</v>
      </c>
      <c r="AR223" s="69">
        <f t="shared" si="710"/>
        <v>125000</v>
      </c>
      <c r="AS223" s="70">
        <f t="shared" si="711"/>
        <v>39583.333333333336</v>
      </c>
      <c r="AT223" s="70">
        <f t="shared" si="712"/>
        <v>109415.74583333333</v>
      </c>
      <c r="AU223" s="70">
        <f t="shared" si="713"/>
        <v>18047.916666666668</v>
      </c>
      <c r="AV223" s="71">
        <f t="shared" si="714"/>
        <v>30503.258333333335</v>
      </c>
      <c r="AW223" s="115">
        <f t="shared" si="715"/>
        <v>30000</v>
      </c>
      <c r="AX223" s="116">
        <f t="shared" si="716"/>
        <v>28.128516064508062</v>
      </c>
      <c r="AY223" s="72">
        <f t="shared" si="717"/>
        <v>37620</v>
      </c>
      <c r="AZ223" s="73">
        <f t="shared" si="718"/>
        <v>35.273159144893114</v>
      </c>
      <c r="BA223" s="66">
        <v>46775000</v>
      </c>
      <c r="BB223" s="62">
        <v>1695745</v>
      </c>
      <c r="BC223" s="62">
        <v>5504255</v>
      </c>
      <c r="BD223" s="62">
        <v>720000</v>
      </c>
      <c r="BE223" s="62">
        <v>1108800</v>
      </c>
      <c r="BF223" s="62">
        <v>2810000</v>
      </c>
      <c r="BG223" s="62">
        <v>7919103</v>
      </c>
      <c r="BH223" s="62">
        <v>8971648</v>
      </c>
      <c r="BI223" s="62">
        <v>1907511</v>
      </c>
      <c r="BJ223" s="47">
        <f t="shared" si="719"/>
        <v>77412062</v>
      </c>
      <c r="BK223" s="69">
        <f t="shared" si="720"/>
        <v>194895.83333333334</v>
      </c>
      <c r="BL223" s="70">
        <f t="shared" si="721"/>
        <v>7065.604166666667</v>
      </c>
      <c r="BM223" s="70">
        <f t="shared" si="722"/>
        <v>22934.395833333332</v>
      </c>
      <c r="BN223" s="70">
        <f t="shared" si="723"/>
        <v>3000</v>
      </c>
      <c r="BO223" s="70">
        <f t="shared" si="724"/>
        <v>4620</v>
      </c>
      <c r="BP223" s="70">
        <f t="shared" si="725"/>
        <v>11708.333333333334</v>
      </c>
      <c r="BQ223" s="70">
        <f t="shared" si="726"/>
        <v>32996.262499999997</v>
      </c>
      <c r="BR223" s="70">
        <f t="shared" si="727"/>
        <v>37381.866666666669</v>
      </c>
      <c r="BS223" s="70">
        <f t="shared" si="728"/>
        <v>7947.9624999999996</v>
      </c>
      <c r="BT223" s="71">
        <f t="shared" si="729"/>
        <v>322550.25833333336</v>
      </c>
      <c r="BU223" s="65">
        <f t="shared" si="730"/>
        <v>182.7376859607451</v>
      </c>
      <c r="BV223" s="48">
        <f t="shared" si="731"/>
        <v>6.6248320102512812</v>
      </c>
      <c r="BW223" s="48">
        <f t="shared" si="732"/>
        <v>21.503684054256784</v>
      </c>
      <c r="BX223" s="48">
        <f t="shared" si="733"/>
        <v>2.8128516064508062</v>
      </c>
      <c r="BY223" s="48">
        <f t="shared" si="734"/>
        <v>4.331791473934242</v>
      </c>
      <c r="BZ223" s="48">
        <f t="shared" si="735"/>
        <v>10.977934741842731</v>
      </c>
      <c r="CA223" s="48">
        <f t="shared" si="736"/>
        <v>30.937863326665834</v>
      </c>
      <c r="CB223" s="48">
        <f t="shared" si="737"/>
        <v>35.049881235154395</v>
      </c>
      <c r="CC223" s="48">
        <f t="shared" si="738"/>
        <v>7.4521463620452559</v>
      </c>
      <c r="CD223" s="47">
        <f t="shared" si="739"/>
        <v>302.42867077134645</v>
      </c>
      <c r="CE223" s="66">
        <v>4221504</v>
      </c>
      <c r="CF223" s="62">
        <v>86400</v>
      </c>
      <c r="CG223" s="74">
        <v>-323093</v>
      </c>
      <c r="CH223" s="75">
        <f t="shared" si="740"/>
        <v>3984811</v>
      </c>
      <c r="CI223" s="62">
        <f>143900+9600+5100</f>
        <v>158600</v>
      </c>
      <c r="CJ223" s="62">
        <v>459392</v>
      </c>
      <c r="CK223" s="62">
        <v>457000</v>
      </c>
      <c r="CL223" s="62">
        <v>177843</v>
      </c>
      <c r="CM223" s="62">
        <f>26800+359000+78000</f>
        <v>463800</v>
      </c>
      <c r="CN223" s="62">
        <v>165840</v>
      </c>
      <c r="CO223" s="62">
        <v>0</v>
      </c>
      <c r="CP223" s="75">
        <f t="shared" si="626"/>
        <v>1882475</v>
      </c>
      <c r="CQ223" s="62">
        <v>72000</v>
      </c>
      <c r="CR223" s="75">
        <f t="shared" si="627"/>
        <v>1954475</v>
      </c>
      <c r="CS223" s="75">
        <f t="shared" si="741"/>
        <v>2102336</v>
      </c>
      <c r="CT223" s="62">
        <v>2016548</v>
      </c>
      <c r="CU223" s="47">
        <f t="shared" si="742"/>
        <v>85788</v>
      </c>
      <c r="CV223" s="76">
        <f t="shared" si="743"/>
        <v>0.52758738118319792</v>
      </c>
      <c r="CW223" s="75">
        <f t="shared" si="744"/>
        <v>8143.645833333333</v>
      </c>
      <c r="CX223" s="77">
        <f t="shared" si="745"/>
        <v>0.49048122985004811</v>
      </c>
      <c r="CY223" s="75">
        <f t="shared" si="746"/>
        <v>357.45</v>
      </c>
      <c r="CZ223" s="77">
        <f t="shared" si="747"/>
        <v>2.1528750046112603E-2</v>
      </c>
      <c r="DA223" s="77">
        <f t="shared" si="748"/>
        <v>0.50605863113708527</v>
      </c>
      <c r="DB223" s="47">
        <f t="shared" si="749"/>
        <v>125000</v>
      </c>
      <c r="DC223" s="69">
        <f t="shared" si="750"/>
        <v>17589.599999999999</v>
      </c>
      <c r="DD223" s="70">
        <f t="shared" si="751"/>
        <v>360</v>
      </c>
      <c r="DE223" s="70">
        <f t="shared" si="752"/>
        <v>-1346.2208333333333</v>
      </c>
      <c r="DF223" s="70">
        <f t="shared" si="753"/>
        <v>16603.379166666666</v>
      </c>
      <c r="DG223" s="70">
        <f t="shared" si="754"/>
        <v>660.83333333333337</v>
      </c>
      <c r="DH223" s="70">
        <f t="shared" si="755"/>
        <v>1914.1333333333334</v>
      </c>
      <c r="DI223" s="70">
        <f t="shared" si="756"/>
        <v>1904.1666666666667</v>
      </c>
      <c r="DJ223" s="70">
        <f t="shared" si="757"/>
        <v>741.01250000000005</v>
      </c>
      <c r="DK223" s="70">
        <f t="shared" si="758"/>
        <v>1932.5</v>
      </c>
      <c r="DL223" s="70">
        <f t="shared" si="759"/>
        <v>691</v>
      </c>
      <c r="DM223" s="70" t="str">
        <f t="shared" si="760"/>
        <v/>
      </c>
      <c r="DN223" s="70">
        <f t="shared" si="761"/>
        <v>7843.645833333333</v>
      </c>
      <c r="DO223" s="70">
        <f t="shared" si="762"/>
        <v>300</v>
      </c>
      <c r="DP223" s="70">
        <f t="shared" si="763"/>
        <v>8143.645833333333</v>
      </c>
      <c r="DQ223" s="70">
        <f t="shared" si="764"/>
        <v>8759.7333333333336</v>
      </c>
      <c r="DR223" s="70">
        <f t="shared" si="765"/>
        <v>8402.2833333333328</v>
      </c>
      <c r="DS223" s="71">
        <f t="shared" si="766"/>
        <v>357.45</v>
      </c>
      <c r="DT223" s="106">
        <f t="shared" si="767"/>
        <v>1.059398802101279</v>
      </c>
      <c r="DU223" s="92">
        <f t="shared" si="768"/>
        <v>2.1682333239895192E-2</v>
      </c>
      <c r="DV223" s="92" t="str">
        <f t="shared" si="769"/>
        <v/>
      </c>
      <c r="DW223" s="92">
        <f t="shared" si="770"/>
        <v>1</v>
      </c>
      <c r="DX223" s="92">
        <f t="shared" si="771"/>
        <v>3.9801134859344646E-2</v>
      </c>
      <c r="DY223" s="92">
        <f t="shared" si="772"/>
        <v>0.11528576888590199</v>
      </c>
      <c r="DZ223" s="92">
        <f t="shared" si="773"/>
        <v>0.1146854894749086</v>
      </c>
      <c r="EA223" s="92">
        <f t="shared" si="774"/>
        <v>4.4630222110910653E-2</v>
      </c>
      <c r="EB223" s="92">
        <f t="shared" si="775"/>
        <v>0.11639196940582627</v>
      </c>
      <c r="EC223" s="92">
        <f t="shared" si="776"/>
        <v>4.1618034079909938E-2</v>
      </c>
      <c r="ED223" s="92" t="str">
        <f t="shared" si="777"/>
        <v/>
      </c>
      <c r="EE223" s="92">
        <f t="shared" si="778"/>
        <v>0.47241261881680208</v>
      </c>
      <c r="EF223" s="92">
        <f t="shared" si="779"/>
        <v>1.8068611033245995E-2</v>
      </c>
      <c r="EG223" s="92">
        <f t="shared" si="780"/>
        <v>0.49048122985004811</v>
      </c>
      <c r="EH223" s="92">
        <f t="shared" si="781"/>
        <v>0.52758738118319792</v>
      </c>
      <c r="EI223" s="92">
        <f t="shared" si="782"/>
        <v>0.50605863113708527</v>
      </c>
      <c r="EJ223" s="122">
        <f t="shared" si="783"/>
        <v>2.1528750046112603E-2</v>
      </c>
    </row>
    <row r="224" spans="2:140" ht="12" hidden="1" customHeight="1" outlineLevel="1">
      <c r="B224" s="121">
        <v>45394</v>
      </c>
      <c r="C224" s="117">
        <v>24400</v>
      </c>
      <c r="D224" s="50" t="s">
        <v>1148</v>
      </c>
      <c r="E224" s="50" t="s">
        <v>1149</v>
      </c>
      <c r="F224" s="50" t="s">
        <v>1150</v>
      </c>
      <c r="G224" s="50" t="s">
        <v>162</v>
      </c>
      <c r="H224" s="50" t="s">
        <v>1151</v>
      </c>
      <c r="I224" s="50" t="s">
        <v>1033</v>
      </c>
      <c r="J224" s="52" t="s">
        <v>168</v>
      </c>
      <c r="K224" s="50" t="s">
        <v>169</v>
      </c>
      <c r="L224" s="49">
        <v>7</v>
      </c>
      <c r="M224" s="50" t="s">
        <v>159</v>
      </c>
      <c r="N224" s="50" t="s">
        <v>160</v>
      </c>
      <c r="O224" s="50" t="s">
        <v>160</v>
      </c>
      <c r="P224" s="50" t="s">
        <v>177</v>
      </c>
      <c r="Q224" s="53">
        <v>0.04</v>
      </c>
      <c r="R224" s="49">
        <v>363</v>
      </c>
      <c r="S224" s="49">
        <v>0</v>
      </c>
      <c r="T224" s="54">
        <f t="shared" si="625"/>
        <v>363</v>
      </c>
      <c r="U224" s="55">
        <v>341733</v>
      </c>
      <c r="V224" s="49">
        <v>21</v>
      </c>
      <c r="W224" s="56">
        <f t="shared" si="708"/>
        <v>17.285714285714285</v>
      </c>
      <c r="X224" s="49" t="s">
        <v>163</v>
      </c>
      <c r="Y224" s="57" t="s">
        <v>162</v>
      </c>
      <c r="Z224" s="58">
        <v>53797600</v>
      </c>
      <c r="AA224" s="114">
        <v>5.45E-2</v>
      </c>
      <c r="AB224" s="59">
        <v>40</v>
      </c>
      <c r="AC224" s="60">
        <v>40</v>
      </c>
      <c r="AD224" s="61">
        <v>5.45E-2</v>
      </c>
      <c r="AE224" s="62">
        <f>53797600-470000</f>
        <v>53327600</v>
      </c>
      <c r="AF224" s="63">
        <v>1.1499999999999999</v>
      </c>
      <c r="AG224" s="59"/>
      <c r="AH224" s="60"/>
      <c r="AI224" s="61"/>
      <c r="AJ224" s="64"/>
      <c r="AK224" s="65">
        <f t="shared" si="709"/>
        <v>53327600</v>
      </c>
      <c r="AL224" s="66">
        <v>0</v>
      </c>
      <c r="AM224" s="49" t="s">
        <v>163</v>
      </c>
      <c r="AN224" s="67">
        <v>0.84</v>
      </c>
      <c r="AO224" s="62">
        <v>35581181</v>
      </c>
      <c r="AP224" s="62">
        <v>0</v>
      </c>
      <c r="AQ224" s="68">
        <v>2072775</v>
      </c>
      <c r="AR224" s="69">
        <f t="shared" si="710"/>
        <v>146907.98898071624</v>
      </c>
      <c r="AS224" s="70" t="str">
        <f t="shared" si="711"/>
        <v/>
      </c>
      <c r="AT224" s="70">
        <f t="shared" si="712"/>
        <v>98019.782369146007</v>
      </c>
      <c r="AU224" s="70" t="str">
        <f t="shared" si="713"/>
        <v/>
      </c>
      <c r="AV224" s="71">
        <f t="shared" si="714"/>
        <v>5710.1239669421484</v>
      </c>
      <c r="AW224" s="115">
        <f t="shared" si="715"/>
        <v>129355.3608815427</v>
      </c>
      <c r="AX224" s="116">
        <f t="shared" si="716"/>
        <v>137.40550663822341</v>
      </c>
      <c r="AY224" s="72">
        <f t="shared" si="717"/>
        <v>157387.75482093662</v>
      </c>
      <c r="AZ224" s="73">
        <f t="shared" si="718"/>
        <v>167.18243482484866</v>
      </c>
      <c r="BA224" s="66">
        <v>8250000</v>
      </c>
      <c r="BB224" s="62">
        <v>6790996</v>
      </c>
      <c r="BC224" s="62">
        <v>40165000</v>
      </c>
      <c r="BD224" s="62">
        <v>3286920</v>
      </c>
      <c r="BE224" s="62">
        <v>6888839</v>
      </c>
      <c r="BF224" s="62">
        <v>4811828</v>
      </c>
      <c r="BG224" s="62">
        <v>9160793</v>
      </c>
      <c r="BH224" s="62">
        <v>10627179</v>
      </c>
      <c r="BI224" s="62">
        <v>1000000</v>
      </c>
      <c r="BJ224" s="47">
        <f t="shared" si="719"/>
        <v>90981555</v>
      </c>
      <c r="BK224" s="69">
        <f t="shared" si="720"/>
        <v>22727.272727272728</v>
      </c>
      <c r="BL224" s="70">
        <f t="shared" si="721"/>
        <v>18707.977961432505</v>
      </c>
      <c r="BM224" s="70">
        <f t="shared" si="722"/>
        <v>110647.38292011019</v>
      </c>
      <c r="BN224" s="70">
        <f t="shared" si="723"/>
        <v>9054.8760330578516</v>
      </c>
      <c r="BO224" s="70">
        <f t="shared" si="724"/>
        <v>18977.517906336088</v>
      </c>
      <c r="BP224" s="70">
        <f t="shared" si="725"/>
        <v>13255.724517906336</v>
      </c>
      <c r="BQ224" s="70">
        <f t="shared" si="726"/>
        <v>25236.344352617081</v>
      </c>
      <c r="BR224" s="70">
        <f t="shared" si="727"/>
        <v>29275.975206611569</v>
      </c>
      <c r="BS224" s="70">
        <f t="shared" si="728"/>
        <v>2754.8209366391184</v>
      </c>
      <c r="BT224" s="71">
        <f t="shared" si="729"/>
        <v>250637.89256198346</v>
      </c>
      <c r="BU224" s="65">
        <f t="shared" si="730"/>
        <v>24.141654449526385</v>
      </c>
      <c r="BV224" s="48">
        <f t="shared" si="731"/>
        <v>19.87222773334738</v>
      </c>
      <c r="BW224" s="48">
        <f t="shared" si="732"/>
        <v>117.53327890487603</v>
      </c>
      <c r="BX224" s="48">
        <f t="shared" si="733"/>
        <v>9.6183862840287588</v>
      </c>
      <c r="BY224" s="48">
        <f t="shared" si="734"/>
        <v>20.158541902596472</v>
      </c>
      <c r="BZ224" s="48">
        <f t="shared" si="735"/>
        <v>14.080665314734018</v>
      </c>
      <c r="CA224" s="48">
        <f t="shared" si="736"/>
        <v>26.806872616926078</v>
      </c>
      <c r="CB224" s="48">
        <f t="shared" si="737"/>
        <v>31.097900992880408</v>
      </c>
      <c r="CC224" s="48">
        <f t="shared" si="738"/>
        <v>2.9262611453971377</v>
      </c>
      <c r="CD224" s="47">
        <f t="shared" si="739"/>
        <v>266.23578934431265</v>
      </c>
      <c r="CE224" s="66">
        <v>6107586</v>
      </c>
      <c r="CF224" s="62">
        <v>87120</v>
      </c>
      <c r="CG224" s="74">
        <v>-464602</v>
      </c>
      <c r="CH224" s="75">
        <f t="shared" si="740"/>
        <v>5730104</v>
      </c>
      <c r="CI224" s="62">
        <f>205000+52272+14520+8500</f>
        <v>280292</v>
      </c>
      <c r="CJ224" s="62">
        <v>229203</v>
      </c>
      <c r="CK224" s="62">
        <v>300000</v>
      </c>
      <c r="CL224" s="62">
        <f>7500+300000</f>
        <v>307500</v>
      </c>
      <c r="CM224" s="62">
        <f>100000+289000</f>
        <v>389000</v>
      </c>
      <c r="CN224" s="62">
        <v>200000</v>
      </c>
      <c r="CO224" s="62">
        <v>0</v>
      </c>
      <c r="CP224" s="75">
        <f t="shared" si="626"/>
        <v>1705995</v>
      </c>
      <c r="CQ224" s="62">
        <v>90750</v>
      </c>
      <c r="CR224" s="75">
        <f t="shared" si="627"/>
        <v>1796745</v>
      </c>
      <c r="CS224" s="75">
        <f t="shared" si="741"/>
        <v>4024109</v>
      </c>
      <c r="CT224" s="62">
        <f>3442224-30073</f>
        <v>3412151</v>
      </c>
      <c r="CU224" s="47">
        <f t="shared" si="742"/>
        <v>611958</v>
      </c>
      <c r="CV224" s="76">
        <f t="shared" si="743"/>
        <v>0.70227503724190699</v>
      </c>
      <c r="CW224" s="75">
        <f t="shared" si="744"/>
        <v>4949.7107438016528</v>
      </c>
      <c r="CX224" s="77">
        <f t="shared" si="745"/>
        <v>0.31356237164281836</v>
      </c>
      <c r="CY224" s="75">
        <f t="shared" si="746"/>
        <v>1685.8347107438017</v>
      </c>
      <c r="CZ224" s="77">
        <f t="shared" si="747"/>
        <v>0.10679701450444878</v>
      </c>
      <c r="DA224" s="77">
        <f t="shared" si="748"/>
        <v>0.5954780227374582</v>
      </c>
      <c r="DB224" s="47">
        <f t="shared" si="749"/>
        <v>146907.98898071624</v>
      </c>
      <c r="DC224" s="69">
        <f t="shared" si="750"/>
        <v>16825.305785123968</v>
      </c>
      <c r="DD224" s="70">
        <f t="shared" si="751"/>
        <v>240</v>
      </c>
      <c r="DE224" s="70">
        <f t="shared" si="752"/>
        <v>-1279.8953168044077</v>
      </c>
      <c r="DF224" s="70">
        <f t="shared" si="753"/>
        <v>15785.41046831956</v>
      </c>
      <c r="DG224" s="70">
        <f t="shared" si="754"/>
        <v>772.15426997245174</v>
      </c>
      <c r="DH224" s="70">
        <f t="shared" si="755"/>
        <v>631.41322314049592</v>
      </c>
      <c r="DI224" s="70">
        <f t="shared" si="756"/>
        <v>826.44628099173553</v>
      </c>
      <c r="DJ224" s="70">
        <f t="shared" si="757"/>
        <v>847.10743801652893</v>
      </c>
      <c r="DK224" s="70">
        <f t="shared" si="758"/>
        <v>1071.625344352617</v>
      </c>
      <c r="DL224" s="70">
        <f t="shared" si="759"/>
        <v>550.96418732782365</v>
      </c>
      <c r="DM224" s="70" t="str">
        <f t="shared" si="760"/>
        <v/>
      </c>
      <c r="DN224" s="70">
        <f t="shared" si="761"/>
        <v>4699.7107438016528</v>
      </c>
      <c r="DO224" s="70">
        <f t="shared" si="762"/>
        <v>250</v>
      </c>
      <c r="DP224" s="70">
        <f t="shared" si="763"/>
        <v>4949.7107438016528</v>
      </c>
      <c r="DQ224" s="70">
        <f t="shared" si="764"/>
        <v>11085.699724517906</v>
      </c>
      <c r="DR224" s="70">
        <f t="shared" si="765"/>
        <v>9399.8650137741042</v>
      </c>
      <c r="DS224" s="71">
        <f t="shared" si="766"/>
        <v>1685.8347107438017</v>
      </c>
      <c r="DT224" s="106">
        <f t="shared" si="767"/>
        <v>1.0658769893181694</v>
      </c>
      <c r="DU224" s="92">
        <f t="shared" si="768"/>
        <v>1.5203912529336292E-2</v>
      </c>
      <c r="DV224" s="92" t="str">
        <f t="shared" si="769"/>
        <v/>
      </c>
      <c r="DW224" s="92">
        <f t="shared" si="770"/>
        <v>1</v>
      </c>
      <c r="DX224" s="92">
        <f t="shared" si="771"/>
        <v>4.8915691582561156E-2</v>
      </c>
      <c r="DY224" s="92">
        <f t="shared" si="772"/>
        <v>3.9999797560393319E-2</v>
      </c>
      <c r="DZ224" s="92">
        <f t="shared" si="773"/>
        <v>5.2355070693306791E-2</v>
      </c>
      <c r="EA224" s="92">
        <f t="shared" si="774"/>
        <v>5.3663947460639461E-2</v>
      </c>
      <c r="EB224" s="92">
        <f t="shared" si="775"/>
        <v>6.7887074998987801E-2</v>
      </c>
      <c r="EC224" s="92">
        <f t="shared" si="776"/>
        <v>3.4903380462204522E-2</v>
      </c>
      <c r="ED224" s="92" t="str">
        <f t="shared" si="777"/>
        <v/>
      </c>
      <c r="EE224" s="92">
        <f t="shared" si="778"/>
        <v>0.29772496275809307</v>
      </c>
      <c r="EF224" s="92">
        <f t="shared" si="779"/>
        <v>1.5837408884725304E-2</v>
      </c>
      <c r="EG224" s="92">
        <f t="shared" si="780"/>
        <v>0.31356237164281836</v>
      </c>
      <c r="EH224" s="92">
        <f t="shared" si="781"/>
        <v>0.70227503724190699</v>
      </c>
      <c r="EI224" s="92">
        <f t="shared" si="782"/>
        <v>0.5954780227374582</v>
      </c>
      <c r="EJ224" s="122">
        <f t="shared" si="783"/>
        <v>0.10679701450444878</v>
      </c>
    </row>
    <row r="225" spans="2:140" ht="12" hidden="1" customHeight="1" outlineLevel="1">
      <c r="B225" s="121">
        <v>45397</v>
      </c>
      <c r="C225" s="117">
        <v>24447</v>
      </c>
      <c r="D225" s="50" t="s">
        <v>1152</v>
      </c>
      <c r="E225" s="50" t="s">
        <v>1153</v>
      </c>
      <c r="F225" s="50" t="s">
        <v>1154</v>
      </c>
      <c r="G225" s="50" t="s">
        <v>162</v>
      </c>
      <c r="H225" s="50" t="s">
        <v>220</v>
      </c>
      <c r="I225" s="50" t="s">
        <v>802</v>
      </c>
      <c r="J225" s="52" t="s">
        <v>183</v>
      </c>
      <c r="K225" s="50" t="s">
        <v>184</v>
      </c>
      <c r="L225" s="49">
        <v>9</v>
      </c>
      <c r="M225" s="50" t="s">
        <v>159</v>
      </c>
      <c r="N225" s="50" t="s">
        <v>160</v>
      </c>
      <c r="O225" s="50" t="s">
        <v>160</v>
      </c>
      <c r="P225" s="50" t="s">
        <v>177</v>
      </c>
      <c r="Q225" s="53">
        <v>0.04</v>
      </c>
      <c r="R225" s="49">
        <v>338</v>
      </c>
      <c r="S225" s="49">
        <v>0</v>
      </c>
      <c r="T225" s="54">
        <f t="shared" si="625"/>
        <v>338</v>
      </c>
      <c r="U225" s="55">
        <v>315217</v>
      </c>
      <c r="V225" s="49">
        <v>25.9</v>
      </c>
      <c r="W225" s="56">
        <f t="shared" si="708"/>
        <v>13.050193050193052</v>
      </c>
      <c r="X225" s="49" t="s">
        <v>163</v>
      </c>
      <c r="Y225" s="57" t="s">
        <v>162</v>
      </c>
      <c r="Z225" s="58">
        <v>64973372</v>
      </c>
      <c r="AA225" s="114">
        <f>(((37360000*6.06%)/(Table1[[#This Row],[Construction Loan Principal]]))+((12640000*6.37%)/(Table1[[#This Row],[Construction Loan Principal]]))+((14973372*6.87%)/(Table1[[#This Row],[Construction Loan Principal]])))</f>
        <v>6.306975504365081E-2</v>
      </c>
      <c r="AB225" s="59">
        <v>15</v>
      </c>
      <c r="AC225" s="60">
        <v>40</v>
      </c>
      <c r="AD225" s="61">
        <v>5.7599999999999998E-2</v>
      </c>
      <c r="AE225" s="62">
        <v>37360000</v>
      </c>
      <c r="AF225" s="63">
        <v>1.1499999999999999</v>
      </c>
      <c r="AG225" s="59"/>
      <c r="AH225" s="60"/>
      <c r="AI225" s="61"/>
      <c r="AJ225" s="64"/>
      <c r="AK225" s="65">
        <f t="shared" si="709"/>
        <v>37360000</v>
      </c>
      <c r="AL225" s="66">
        <v>0</v>
      </c>
      <c r="AM225" s="49" t="s">
        <v>163</v>
      </c>
      <c r="AN225" s="67">
        <v>0.92</v>
      </c>
      <c r="AO225" s="62">
        <v>33723416</v>
      </c>
      <c r="AP225" s="62">
        <v>309903</v>
      </c>
      <c r="AQ225" s="68">
        <v>8079370</v>
      </c>
      <c r="AR225" s="69">
        <f t="shared" si="710"/>
        <v>110532.54437869822</v>
      </c>
      <c r="AS225" s="70" t="str">
        <f t="shared" si="711"/>
        <v/>
      </c>
      <c r="AT225" s="70">
        <f t="shared" si="712"/>
        <v>99773.420118343201</v>
      </c>
      <c r="AU225" s="70">
        <f t="shared" si="713"/>
        <v>916.8727810650887</v>
      </c>
      <c r="AV225" s="71">
        <f t="shared" si="714"/>
        <v>23903.461538461539</v>
      </c>
      <c r="AW225" s="115">
        <f t="shared" si="715"/>
        <v>136902.5147928994</v>
      </c>
      <c r="AX225" s="116">
        <f t="shared" si="716"/>
        <v>146.79744430027569</v>
      </c>
      <c r="AY225" s="72">
        <f t="shared" si="717"/>
        <v>161600.95562130178</v>
      </c>
      <c r="AZ225" s="73">
        <f t="shared" si="718"/>
        <v>173.28101910747202</v>
      </c>
      <c r="BA225" s="66">
        <v>6154620</v>
      </c>
      <c r="BB225" s="62">
        <v>7475524</v>
      </c>
      <c r="BC225" s="62">
        <v>38797526</v>
      </c>
      <c r="BD225" s="62">
        <v>2363653</v>
      </c>
      <c r="BE225" s="62">
        <v>5984420</v>
      </c>
      <c r="BF225" s="62">
        <v>2683138</v>
      </c>
      <c r="BG225" s="62">
        <v>8630855</v>
      </c>
      <c r="BH225" s="62">
        <v>9195486</v>
      </c>
      <c r="BI225" s="62">
        <v>928119</v>
      </c>
      <c r="BJ225" s="47">
        <f t="shared" si="719"/>
        <v>82213341</v>
      </c>
      <c r="BK225" s="69">
        <f t="shared" si="720"/>
        <v>18208.934911242603</v>
      </c>
      <c r="BL225" s="70">
        <f t="shared" si="721"/>
        <v>22116.934911242603</v>
      </c>
      <c r="BM225" s="70">
        <f t="shared" si="722"/>
        <v>114785.5798816568</v>
      </c>
      <c r="BN225" s="70">
        <f t="shared" si="723"/>
        <v>6993.0562130177514</v>
      </c>
      <c r="BO225" s="70">
        <f t="shared" si="724"/>
        <v>17705.384615384617</v>
      </c>
      <c r="BP225" s="70">
        <f t="shared" si="725"/>
        <v>7938.2781065088757</v>
      </c>
      <c r="BQ225" s="70">
        <f t="shared" si="726"/>
        <v>25535.073964497042</v>
      </c>
      <c r="BR225" s="70">
        <f t="shared" si="727"/>
        <v>27205.579881656806</v>
      </c>
      <c r="BS225" s="70">
        <f t="shared" si="728"/>
        <v>2745.9142011834319</v>
      </c>
      <c r="BT225" s="71">
        <f t="shared" si="729"/>
        <v>243234.73668639053</v>
      </c>
      <c r="BU225" s="65">
        <f t="shared" si="730"/>
        <v>19.52502561727318</v>
      </c>
      <c r="BV225" s="48">
        <f t="shared" si="731"/>
        <v>23.715484888188136</v>
      </c>
      <c r="BW225" s="48">
        <f t="shared" si="732"/>
        <v>123.08195941208754</v>
      </c>
      <c r="BX225" s="48">
        <f t="shared" si="733"/>
        <v>7.4984946877865086</v>
      </c>
      <c r="BY225" s="48">
        <f t="shared" si="734"/>
        <v>18.985080119409805</v>
      </c>
      <c r="BZ225" s="48">
        <f t="shared" si="735"/>
        <v>8.5120345666635995</v>
      </c>
      <c r="CA225" s="48">
        <f t="shared" si="736"/>
        <v>27.380677438082337</v>
      </c>
      <c r="CB225" s="48">
        <f t="shared" si="737"/>
        <v>29.171922834111104</v>
      </c>
      <c r="CC225" s="48">
        <f t="shared" si="738"/>
        <v>2.9443811723352482</v>
      </c>
      <c r="CD225" s="47">
        <f t="shared" si="739"/>
        <v>260.81506073593749</v>
      </c>
      <c r="CE225" s="66">
        <v>4280700</v>
      </c>
      <c r="CF225" s="62">
        <v>121680</v>
      </c>
      <c r="CG225" s="74">
        <v>-330179</v>
      </c>
      <c r="CH225" s="75">
        <f t="shared" si="740"/>
        <v>4072201</v>
      </c>
      <c r="CI225" s="62">
        <f>129116+32448+13520+5000+11900</f>
        <v>191984</v>
      </c>
      <c r="CJ225" s="62">
        <v>132347</v>
      </c>
      <c r="CK225" s="62">
        <v>425664</v>
      </c>
      <c r="CL225" s="62">
        <v>190170</v>
      </c>
      <c r="CM225" s="62">
        <f>30075+35835</f>
        <v>65910</v>
      </c>
      <c r="CN225" s="62">
        <v>224770</v>
      </c>
      <c r="CO225" s="62">
        <v>0</v>
      </c>
      <c r="CP225" s="75">
        <f t="shared" si="626"/>
        <v>1230845</v>
      </c>
      <c r="CQ225" s="62">
        <v>84500</v>
      </c>
      <c r="CR225" s="75">
        <f t="shared" si="627"/>
        <v>1315345</v>
      </c>
      <c r="CS225" s="75">
        <f t="shared" si="741"/>
        <v>2841356</v>
      </c>
      <c r="CT225" s="62">
        <v>2397131</v>
      </c>
      <c r="CU225" s="47">
        <f t="shared" si="742"/>
        <v>444225</v>
      </c>
      <c r="CV225" s="76">
        <f t="shared" si="743"/>
        <v>0.69774453667684866</v>
      </c>
      <c r="CW225" s="75">
        <f t="shared" si="744"/>
        <v>3891.5532544378698</v>
      </c>
      <c r="CX225" s="77">
        <f t="shared" si="745"/>
        <v>0.32300591252740224</v>
      </c>
      <c r="CY225" s="75">
        <f t="shared" si="746"/>
        <v>1314.2751479289941</v>
      </c>
      <c r="CZ225" s="77">
        <f t="shared" si="747"/>
        <v>0.10908719879004009</v>
      </c>
      <c r="DA225" s="77">
        <f t="shared" si="748"/>
        <v>0.58865733788680863</v>
      </c>
      <c r="DB225" s="47">
        <f t="shared" si="749"/>
        <v>110532.54437869822</v>
      </c>
      <c r="DC225" s="69">
        <f t="shared" si="750"/>
        <v>12664.792899408283</v>
      </c>
      <c r="DD225" s="70">
        <f t="shared" si="751"/>
        <v>360</v>
      </c>
      <c r="DE225" s="70">
        <f t="shared" si="752"/>
        <v>-976.86094674556216</v>
      </c>
      <c r="DF225" s="70">
        <f t="shared" si="753"/>
        <v>12047.931952662722</v>
      </c>
      <c r="DG225" s="70">
        <f t="shared" si="754"/>
        <v>568</v>
      </c>
      <c r="DH225" s="70">
        <f t="shared" si="755"/>
        <v>391.55917159763311</v>
      </c>
      <c r="DI225" s="70">
        <f t="shared" si="756"/>
        <v>1259.3609467455622</v>
      </c>
      <c r="DJ225" s="70">
        <f t="shared" si="757"/>
        <v>562.63313609467457</v>
      </c>
      <c r="DK225" s="70">
        <f t="shared" si="758"/>
        <v>195</v>
      </c>
      <c r="DL225" s="70">
        <f t="shared" si="759"/>
        <v>665</v>
      </c>
      <c r="DM225" s="70" t="str">
        <f t="shared" si="760"/>
        <v/>
      </c>
      <c r="DN225" s="70">
        <f t="shared" si="761"/>
        <v>3641.5532544378698</v>
      </c>
      <c r="DO225" s="70">
        <f t="shared" si="762"/>
        <v>250</v>
      </c>
      <c r="DP225" s="70">
        <f t="shared" si="763"/>
        <v>3891.5532544378698</v>
      </c>
      <c r="DQ225" s="70">
        <f t="shared" si="764"/>
        <v>8406.3786982248512</v>
      </c>
      <c r="DR225" s="70">
        <f t="shared" si="765"/>
        <v>7092.1035502958584</v>
      </c>
      <c r="DS225" s="71">
        <f t="shared" si="766"/>
        <v>1314.2751479289941</v>
      </c>
      <c r="DT225" s="106">
        <f t="shared" si="767"/>
        <v>1.0512005669661197</v>
      </c>
      <c r="DU225" s="92">
        <f t="shared" si="768"/>
        <v>2.9880646854121395E-2</v>
      </c>
      <c r="DV225" s="92" t="str">
        <f t="shared" si="769"/>
        <v/>
      </c>
      <c r="DW225" s="92">
        <f t="shared" si="770"/>
        <v>1</v>
      </c>
      <c r="DX225" s="92">
        <f t="shared" si="771"/>
        <v>4.7145020592058204E-2</v>
      </c>
      <c r="DY225" s="92">
        <f t="shared" si="772"/>
        <v>3.2500114802781102E-2</v>
      </c>
      <c r="DZ225" s="92">
        <f t="shared" si="773"/>
        <v>0.10452922142104479</v>
      </c>
      <c r="EA225" s="92">
        <f t="shared" si="774"/>
        <v>4.6699561244643868E-2</v>
      </c>
      <c r="EB225" s="92">
        <f t="shared" si="775"/>
        <v>1.6185350379315757E-2</v>
      </c>
      <c r="EC225" s="92">
        <f t="shared" si="776"/>
        <v>5.5196194883307577E-2</v>
      </c>
      <c r="ED225" s="92" t="str">
        <f t="shared" si="777"/>
        <v/>
      </c>
      <c r="EE225" s="92">
        <f t="shared" si="778"/>
        <v>0.30225546332315129</v>
      </c>
      <c r="EF225" s="92">
        <f t="shared" si="779"/>
        <v>2.0750449204250968E-2</v>
      </c>
      <c r="EG225" s="92">
        <f t="shared" si="780"/>
        <v>0.32300591252740224</v>
      </c>
      <c r="EH225" s="92">
        <f t="shared" si="781"/>
        <v>0.69774453667684866</v>
      </c>
      <c r="EI225" s="92">
        <f t="shared" si="782"/>
        <v>0.58865733788680863</v>
      </c>
      <c r="EJ225" s="122">
        <f t="shared" si="783"/>
        <v>0.10908719879004009</v>
      </c>
    </row>
    <row r="226" spans="2:140" ht="12" hidden="1" customHeight="1" outlineLevel="1">
      <c r="B226" s="121">
        <v>45398</v>
      </c>
      <c r="C226" s="117">
        <v>24448</v>
      </c>
      <c r="D226" s="50" t="s">
        <v>1155</v>
      </c>
      <c r="E226" s="50" t="s">
        <v>1156</v>
      </c>
      <c r="F226" s="50" t="s">
        <v>394</v>
      </c>
      <c r="G226" s="50" t="s">
        <v>162</v>
      </c>
      <c r="H226" s="50" t="s">
        <v>1157</v>
      </c>
      <c r="I226" s="50" t="s">
        <v>709</v>
      </c>
      <c r="J226" s="52" t="s">
        <v>175</v>
      </c>
      <c r="K226" s="50" t="s">
        <v>176</v>
      </c>
      <c r="L226" s="49">
        <v>6</v>
      </c>
      <c r="M226" s="50" t="s">
        <v>159</v>
      </c>
      <c r="N226" s="50" t="s">
        <v>244</v>
      </c>
      <c r="O226" s="50" t="s">
        <v>160</v>
      </c>
      <c r="P226" s="50" t="s">
        <v>177</v>
      </c>
      <c r="Q226" s="53">
        <v>0.04</v>
      </c>
      <c r="R226" s="49">
        <v>283</v>
      </c>
      <c r="S226" s="49">
        <v>0</v>
      </c>
      <c r="T226" s="54">
        <f t="shared" si="625"/>
        <v>283</v>
      </c>
      <c r="U226" s="55">
        <v>258845</v>
      </c>
      <c r="V226" s="49">
        <v>29.5</v>
      </c>
      <c r="W226" s="56">
        <f t="shared" si="708"/>
        <v>9.5932203389830502</v>
      </c>
      <c r="X226" s="49" t="s">
        <v>163</v>
      </c>
      <c r="Y226" s="57" t="s">
        <v>162</v>
      </c>
      <c r="Z226" s="58">
        <v>49000000</v>
      </c>
      <c r="AA226" s="114">
        <f>(((38000000*7.15%)/(Table1[[#This Row],[Construction Loan Principal]]))+((11000000*7.5%)/(Table1[[#This Row],[Construction Loan Principal]])))</f>
        <v>7.2285714285714286E-2</v>
      </c>
      <c r="AB226" s="59">
        <v>15</v>
      </c>
      <c r="AC226" s="60">
        <v>40</v>
      </c>
      <c r="AD226" s="61">
        <v>5.8500000000000003E-2</v>
      </c>
      <c r="AE226" s="62">
        <f>30250000-602000</f>
        <v>29648000</v>
      </c>
      <c r="AF226" s="63">
        <v>1.1499999999999999</v>
      </c>
      <c r="AG226" s="59"/>
      <c r="AH226" s="60"/>
      <c r="AI226" s="61"/>
      <c r="AJ226" s="64"/>
      <c r="AK226" s="65">
        <f t="shared" si="709"/>
        <v>29648000</v>
      </c>
      <c r="AL226" s="66">
        <v>0</v>
      </c>
      <c r="AM226" s="49" t="s">
        <v>163</v>
      </c>
      <c r="AN226" s="67">
        <v>0.89</v>
      </c>
      <c r="AO226" s="62">
        <v>25793836</v>
      </c>
      <c r="AP226" s="62">
        <v>2776734</v>
      </c>
      <c r="AQ226" s="68">
        <v>6398825</v>
      </c>
      <c r="AR226" s="69">
        <f t="shared" si="710"/>
        <v>104763.25088339223</v>
      </c>
      <c r="AS226" s="70" t="str">
        <f t="shared" si="711"/>
        <v/>
      </c>
      <c r="AT226" s="70">
        <f t="shared" si="712"/>
        <v>91144.296819787982</v>
      </c>
      <c r="AU226" s="70">
        <f t="shared" si="713"/>
        <v>9811.7809187279145</v>
      </c>
      <c r="AV226" s="71">
        <f t="shared" si="714"/>
        <v>22610.689045936397</v>
      </c>
      <c r="AW226" s="115">
        <f t="shared" si="715"/>
        <v>116009.73144876325</v>
      </c>
      <c r="AX226" s="116">
        <f t="shared" si="716"/>
        <v>126.83557341266008</v>
      </c>
      <c r="AY226" s="72">
        <f t="shared" si="717"/>
        <v>138096.27915194345</v>
      </c>
      <c r="AZ226" s="73">
        <f t="shared" si="718"/>
        <v>150.98320230253628</v>
      </c>
      <c r="BA226" s="66">
        <v>3190000</v>
      </c>
      <c r="BB226" s="62">
        <v>5484869</v>
      </c>
      <c r="BC226" s="62">
        <v>27345885</v>
      </c>
      <c r="BD226" s="62">
        <v>1663288</v>
      </c>
      <c r="BE226" s="62">
        <v>4587205</v>
      </c>
      <c r="BF226" s="62">
        <v>3417935</v>
      </c>
      <c r="BG226" s="62">
        <v>10900764</v>
      </c>
      <c r="BH226" s="62">
        <v>7276500</v>
      </c>
      <c r="BI226" s="62">
        <v>750949</v>
      </c>
      <c r="BJ226" s="47">
        <f t="shared" si="719"/>
        <v>64617395</v>
      </c>
      <c r="BK226" s="69">
        <f t="shared" si="720"/>
        <v>11272.084805653711</v>
      </c>
      <c r="BL226" s="70">
        <f t="shared" si="721"/>
        <v>19381.162544169612</v>
      </c>
      <c r="BM226" s="70">
        <f t="shared" si="722"/>
        <v>96628.568904593645</v>
      </c>
      <c r="BN226" s="70">
        <f t="shared" si="723"/>
        <v>5877.3427561837452</v>
      </c>
      <c r="BO226" s="70">
        <f t="shared" si="724"/>
        <v>16209.204946996466</v>
      </c>
      <c r="BP226" s="70">
        <f t="shared" si="725"/>
        <v>12077.508833922262</v>
      </c>
      <c r="BQ226" s="70">
        <f t="shared" si="726"/>
        <v>38518.600706713783</v>
      </c>
      <c r="BR226" s="70">
        <f t="shared" si="727"/>
        <v>25712.014134275618</v>
      </c>
      <c r="BS226" s="70">
        <f t="shared" si="728"/>
        <v>2653.5300353356893</v>
      </c>
      <c r="BT226" s="71">
        <f t="shared" si="729"/>
        <v>228330.01766784451</v>
      </c>
      <c r="BU226" s="65">
        <f t="shared" si="730"/>
        <v>12.323977670034191</v>
      </c>
      <c r="BV226" s="48">
        <f t="shared" si="731"/>
        <v>21.189781529486758</v>
      </c>
      <c r="BW226" s="48">
        <f t="shared" si="732"/>
        <v>105.64579188317333</v>
      </c>
      <c r="BX226" s="48">
        <f t="shared" si="733"/>
        <v>6.425806950105275</v>
      </c>
      <c r="BY226" s="48">
        <f t="shared" si="734"/>
        <v>17.721821939770905</v>
      </c>
      <c r="BZ226" s="48">
        <f t="shared" si="735"/>
        <v>13.204562576059031</v>
      </c>
      <c r="CA226" s="48">
        <f t="shared" si="736"/>
        <v>42.1130947091889</v>
      </c>
      <c r="CB226" s="48">
        <f t="shared" si="737"/>
        <v>28.11141803009523</v>
      </c>
      <c r="CC226" s="48">
        <f t="shared" si="738"/>
        <v>2.9011531997913811</v>
      </c>
      <c r="CD226" s="47">
        <f t="shared" si="739"/>
        <v>249.63740848770499</v>
      </c>
      <c r="CE226" s="66">
        <v>3487824</v>
      </c>
      <c r="CF226" s="62">
        <f>33948+33960+33960</f>
        <v>101868</v>
      </c>
      <c r="CG226" s="74">
        <v>-269227</v>
      </c>
      <c r="CH226" s="75">
        <f t="shared" si="740"/>
        <v>3320465</v>
      </c>
      <c r="CI226" s="62">
        <f>74800+5000+11320+5000</f>
        <v>96120</v>
      </c>
      <c r="CJ226" s="62">
        <v>118033</v>
      </c>
      <c r="CK226" s="62">
        <f>11300+343607</f>
        <v>354907</v>
      </c>
      <c r="CL226" s="62">
        <f>3600+219175</f>
        <v>222775</v>
      </c>
      <c r="CM226" s="62">
        <f>35375+46978</f>
        <v>82353</v>
      </c>
      <c r="CN226" s="62">
        <v>132727</v>
      </c>
      <c r="CO226" s="62">
        <v>0</v>
      </c>
      <c r="CP226" s="75">
        <f t="shared" si="626"/>
        <v>1006915</v>
      </c>
      <c r="CQ226" s="62">
        <v>70750</v>
      </c>
      <c r="CR226" s="75">
        <f t="shared" si="627"/>
        <v>1077665</v>
      </c>
      <c r="CS226" s="75">
        <f t="shared" si="741"/>
        <v>2313550</v>
      </c>
      <c r="CT226" s="62">
        <f>1989700-18995</f>
        <v>1970705</v>
      </c>
      <c r="CU226" s="47">
        <f t="shared" si="742"/>
        <v>342845</v>
      </c>
      <c r="CV226" s="76">
        <f t="shared" si="743"/>
        <v>0.69675482199029348</v>
      </c>
      <c r="CW226" s="75">
        <f t="shared" si="744"/>
        <v>3808.0035335689045</v>
      </c>
      <c r="CX226" s="77">
        <f t="shared" si="745"/>
        <v>0.3245524346740592</v>
      </c>
      <c r="CY226" s="75">
        <f t="shared" si="746"/>
        <v>1211.4664310954063</v>
      </c>
      <c r="CZ226" s="77">
        <f t="shared" si="747"/>
        <v>0.10325210475038887</v>
      </c>
      <c r="DA226" s="77">
        <f t="shared" si="748"/>
        <v>0.59350271723990466</v>
      </c>
      <c r="DB226" s="47">
        <f t="shared" si="749"/>
        <v>104763.25088339223</v>
      </c>
      <c r="DC226" s="69">
        <f t="shared" si="750"/>
        <v>12324.466431095407</v>
      </c>
      <c r="DD226" s="70">
        <f t="shared" si="751"/>
        <v>359.9575971731449</v>
      </c>
      <c r="DE226" s="70">
        <f t="shared" si="752"/>
        <v>-951.33215547703185</v>
      </c>
      <c r="DF226" s="70">
        <f t="shared" si="753"/>
        <v>11733.09187279152</v>
      </c>
      <c r="DG226" s="70">
        <f t="shared" si="754"/>
        <v>339.64664310954066</v>
      </c>
      <c r="DH226" s="70">
        <f t="shared" si="755"/>
        <v>417.07773851590105</v>
      </c>
      <c r="DI226" s="70">
        <f t="shared" si="756"/>
        <v>1254.0883392226149</v>
      </c>
      <c r="DJ226" s="70">
        <f t="shared" si="757"/>
        <v>787.19081272084804</v>
      </c>
      <c r="DK226" s="70">
        <f t="shared" si="758"/>
        <v>291</v>
      </c>
      <c r="DL226" s="70">
        <f t="shared" si="759"/>
        <v>469</v>
      </c>
      <c r="DM226" s="70" t="str">
        <f t="shared" si="760"/>
        <v/>
      </c>
      <c r="DN226" s="70">
        <f t="shared" si="761"/>
        <v>3558.0035335689045</v>
      </c>
      <c r="DO226" s="70">
        <f t="shared" si="762"/>
        <v>250</v>
      </c>
      <c r="DP226" s="70">
        <f t="shared" si="763"/>
        <v>3808.0035335689045</v>
      </c>
      <c r="DQ226" s="70">
        <f t="shared" si="764"/>
        <v>8175.0883392226151</v>
      </c>
      <c r="DR226" s="70">
        <f t="shared" si="765"/>
        <v>6963.6219081272084</v>
      </c>
      <c r="DS226" s="71">
        <f t="shared" si="766"/>
        <v>1211.4664310954063</v>
      </c>
      <c r="DT226" s="106">
        <f t="shared" si="767"/>
        <v>1.0504022779941966</v>
      </c>
      <c r="DU226" s="92">
        <f t="shared" si="768"/>
        <v>3.0678835645007552E-2</v>
      </c>
      <c r="DV226" s="92" t="str">
        <f t="shared" si="769"/>
        <v/>
      </c>
      <c r="DW226" s="92">
        <f t="shared" si="770"/>
        <v>1</v>
      </c>
      <c r="DX226" s="92">
        <f t="shared" si="771"/>
        <v>2.8947752799683178E-2</v>
      </c>
      <c r="DY226" s="92">
        <f t="shared" si="772"/>
        <v>3.5547129694184401E-2</v>
      </c>
      <c r="DZ226" s="92">
        <f t="shared" si="773"/>
        <v>0.10688472849435245</v>
      </c>
      <c r="EA226" s="92">
        <f t="shared" si="774"/>
        <v>6.7091506761854144E-2</v>
      </c>
      <c r="EB226" s="92">
        <f t="shared" si="775"/>
        <v>2.4801646757306582E-2</v>
      </c>
      <c r="EC226" s="92">
        <f t="shared" si="776"/>
        <v>3.9972413502325728E-2</v>
      </c>
      <c r="ED226" s="92" t="str">
        <f t="shared" si="777"/>
        <v/>
      </c>
      <c r="EE226" s="92">
        <f t="shared" si="778"/>
        <v>0.30324517800970646</v>
      </c>
      <c r="EF226" s="92">
        <f t="shared" si="779"/>
        <v>2.1307256664352733E-2</v>
      </c>
      <c r="EG226" s="92">
        <f t="shared" si="780"/>
        <v>0.3245524346740592</v>
      </c>
      <c r="EH226" s="92">
        <f t="shared" si="781"/>
        <v>0.69675482199029348</v>
      </c>
      <c r="EI226" s="92">
        <f t="shared" si="782"/>
        <v>0.59350271723990466</v>
      </c>
      <c r="EJ226" s="122">
        <f t="shared" si="783"/>
        <v>0.10325210475038887</v>
      </c>
    </row>
    <row r="227" spans="2:140" ht="12" hidden="1" customHeight="1" outlineLevel="1">
      <c r="B227" s="121">
        <v>45405</v>
      </c>
      <c r="C227" s="117" t="s">
        <v>1158</v>
      </c>
      <c r="D227" s="50" t="s">
        <v>1159</v>
      </c>
      <c r="E227" s="50" t="s">
        <v>1160</v>
      </c>
      <c r="F227" s="50" t="s">
        <v>546</v>
      </c>
      <c r="G227" s="50" t="s">
        <v>162</v>
      </c>
      <c r="H227" s="50" t="s">
        <v>1134</v>
      </c>
      <c r="I227" s="50" t="s">
        <v>499</v>
      </c>
      <c r="J227" s="52" t="s">
        <v>1161</v>
      </c>
      <c r="K227" s="50" t="s">
        <v>410</v>
      </c>
      <c r="L227" s="49">
        <v>8</v>
      </c>
      <c r="M227" s="50" t="s">
        <v>159</v>
      </c>
      <c r="N227" s="50" t="s">
        <v>244</v>
      </c>
      <c r="O227" s="50" t="s">
        <v>160</v>
      </c>
      <c r="P227" s="50" t="s">
        <v>177</v>
      </c>
      <c r="Q227" s="53">
        <v>0.09</v>
      </c>
      <c r="R227" s="49">
        <v>100</v>
      </c>
      <c r="S227" s="49">
        <v>8</v>
      </c>
      <c r="T227" s="54">
        <f t="shared" si="625"/>
        <v>108</v>
      </c>
      <c r="U227" s="55">
        <v>88467</v>
      </c>
      <c r="V227" s="49">
        <v>20.399999999999999</v>
      </c>
      <c r="W227" s="56">
        <f t="shared" si="708"/>
        <v>5.2941176470588243</v>
      </c>
      <c r="X227" s="49" t="s">
        <v>163</v>
      </c>
      <c r="Y227" s="57" t="s">
        <v>162</v>
      </c>
      <c r="Z227" s="58">
        <v>5640000</v>
      </c>
      <c r="AA227" s="114">
        <v>3.5000000000000003E-2</v>
      </c>
      <c r="AB227" s="59"/>
      <c r="AC227" s="60"/>
      <c r="AD227" s="61"/>
      <c r="AE227" s="62"/>
      <c r="AF227" s="63"/>
      <c r="AG227" s="59"/>
      <c r="AH227" s="60"/>
      <c r="AI227" s="61"/>
      <c r="AJ227" s="64"/>
      <c r="AK227" s="65" t="str">
        <f t="shared" si="709"/>
        <v/>
      </c>
      <c r="AL227" s="66">
        <v>500</v>
      </c>
      <c r="AM227" s="49" t="s">
        <v>1162</v>
      </c>
      <c r="AN227" s="67">
        <v>0.88</v>
      </c>
      <c r="AO227" s="62">
        <v>18078450</v>
      </c>
      <c r="AP227" s="62">
        <v>0</v>
      </c>
      <c r="AQ227" s="68">
        <v>478293</v>
      </c>
      <c r="AR227" s="69" t="str">
        <f t="shared" si="710"/>
        <v/>
      </c>
      <c r="AS227" s="70">
        <f t="shared" si="711"/>
        <v>4.6296296296296298</v>
      </c>
      <c r="AT227" s="70">
        <f t="shared" si="712"/>
        <v>167393.05555555556</v>
      </c>
      <c r="AU227" s="70" t="str">
        <f t="shared" si="713"/>
        <v/>
      </c>
      <c r="AV227" s="71">
        <f t="shared" si="714"/>
        <v>4428.6388888888887</v>
      </c>
      <c r="AW227" s="115">
        <f t="shared" si="715"/>
        <v>111935.50925925926</v>
      </c>
      <c r="AX227" s="116">
        <f t="shared" si="716"/>
        <v>136.65021985599151</v>
      </c>
      <c r="AY227" s="72">
        <f t="shared" si="717"/>
        <v>136538.92592592593</v>
      </c>
      <c r="AZ227" s="73">
        <f t="shared" si="718"/>
        <v>166.68592808617905</v>
      </c>
      <c r="BA227" s="66">
        <v>1616000</v>
      </c>
      <c r="BB227" s="62">
        <v>2800000</v>
      </c>
      <c r="BC227" s="62">
        <v>9289035</v>
      </c>
      <c r="BD227" s="62">
        <v>846232</v>
      </c>
      <c r="BE227" s="62">
        <v>1810937</v>
      </c>
      <c r="BF227" s="62">
        <v>2013756</v>
      </c>
      <c r="BG227" s="62">
        <v>2638990</v>
      </c>
      <c r="BH227" s="62">
        <v>2702083</v>
      </c>
      <c r="BI227" s="62">
        <v>0</v>
      </c>
      <c r="BJ227" s="47">
        <f t="shared" si="719"/>
        <v>23717033</v>
      </c>
      <c r="BK227" s="69">
        <f t="shared" si="720"/>
        <v>14962.962962962964</v>
      </c>
      <c r="BL227" s="70">
        <f t="shared" si="721"/>
        <v>25925.925925925927</v>
      </c>
      <c r="BM227" s="70">
        <f t="shared" si="722"/>
        <v>86009.583333333328</v>
      </c>
      <c r="BN227" s="70">
        <f t="shared" si="723"/>
        <v>7835.4814814814818</v>
      </c>
      <c r="BO227" s="70">
        <f t="shared" si="724"/>
        <v>16767.935185185186</v>
      </c>
      <c r="BP227" s="70">
        <f t="shared" si="725"/>
        <v>18645.888888888891</v>
      </c>
      <c r="BQ227" s="70">
        <f t="shared" si="726"/>
        <v>24435.092592592591</v>
      </c>
      <c r="BR227" s="70">
        <f t="shared" si="727"/>
        <v>25019.287037037036</v>
      </c>
      <c r="BS227" s="70" t="str">
        <f t="shared" si="728"/>
        <v/>
      </c>
      <c r="BT227" s="71">
        <f t="shared" si="729"/>
        <v>219602.15740740742</v>
      </c>
      <c r="BU227" s="65">
        <f t="shared" si="730"/>
        <v>18.266698316886522</v>
      </c>
      <c r="BV227" s="48">
        <f t="shared" si="731"/>
        <v>31.650219855991498</v>
      </c>
      <c r="BW227" s="48">
        <f t="shared" si="732"/>
        <v>105</v>
      </c>
      <c r="BX227" s="48">
        <f t="shared" si="733"/>
        <v>9.5655103032769286</v>
      </c>
      <c r="BY227" s="48">
        <f t="shared" si="734"/>
        <v>20.4701979269106</v>
      </c>
      <c r="BZ227" s="48">
        <f t="shared" si="735"/>
        <v>22.762792905829293</v>
      </c>
      <c r="CA227" s="48">
        <f t="shared" si="736"/>
        <v>29.830219177772502</v>
      </c>
      <c r="CB227" s="48">
        <f t="shared" si="737"/>
        <v>30.543400363977529</v>
      </c>
      <c r="CC227" s="48" t="str">
        <f t="shared" si="738"/>
        <v/>
      </c>
      <c r="CD227" s="47">
        <f t="shared" si="739"/>
        <v>268.0890388506449</v>
      </c>
      <c r="CE227" s="66">
        <v>847536</v>
      </c>
      <c r="CF227" s="62">
        <v>38880</v>
      </c>
      <c r="CG227" s="74">
        <v>-66481</v>
      </c>
      <c r="CH227" s="75">
        <f t="shared" si="740"/>
        <v>819935</v>
      </c>
      <c r="CI227" s="62">
        <f>35750+15072+4000</f>
        <v>54822</v>
      </c>
      <c r="CJ227" s="62">
        <v>40997</v>
      </c>
      <c r="CK227" s="62">
        <v>108568</v>
      </c>
      <c r="CL227" s="62">
        <v>57268</v>
      </c>
      <c r="CM227" s="62">
        <f>23976+47192</f>
        <v>71168</v>
      </c>
      <c r="CN227" s="62">
        <v>43200</v>
      </c>
      <c r="CO227" s="62">
        <v>84969</v>
      </c>
      <c r="CP227" s="75">
        <f t="shared" si="626"/>
        <v>460992</v>
      </c>
      <c r="CQ227" s="62">
        <v>27000</v>
      </c>
      <c r="CR227" s="75">
        <f t="shared" si="627"/>
        <v>487992</v>
      </c>
      <c r="CS227" s="75">
        <f t="shared" si="741"/>
        <v>358943</v>
      </c>
      <c r="CT227" s="62">
        <v>276580</v>
      </c>
      <c r="CU227" s="47">
        <f t="shared" si="742"/>
        <v>82363</v>
      </c>
      <c r="CV227" s="76">
        <f t="shared" si="743"/>
        <v>0.43777006713946837</v>
      </c>
      <c r="CW227" s="75">
        <f t="shared" si="744"/>
        <v>4518.4444444444443</v>
      </c>
      <c r="CX227" s="77">
        <f t="shared" si="745"/>
        <v>0.59515937238927474</v>
      </c>
      <c r="CY227" s="75">
        <f t="shared" si="746"/>
        <v>762.62037037037032</v>
      </c>
      <c r="CZ227" s="77">
        <f t="shared" si="747"/>
        <v>0.1004506454779952</v>
      </c>
      <c r="DA227" s="77">
        <f t="shared" si="748"/>
        <v>0.33731942166147316</v>
      </c>
      <c r="DB227" s="47" t="str">
        <f t="shared" si="749"/>
        <v/>
      </c>
      <c r="DC227" s="69">
        <f t="shared" si="750"/>
        <v>7847.5555555555557</v>
      </c>
      <c r="DD227" s="70">
        <f t="shared" si="751"/>
        <v>360</v>
      </c>
      <c r="DE227" s="70">
        <f t="shared" si="752"/>
        <v>-615.56481481481478</v>
      </c>
      <c r="DF227" s="70">
        <f t="shared" si="753"/>
        <v>7591.9907407407409</v>
      </c>
      <c r="DG227" s="70">
        <f t="shared" si="754"/>
        <v>507.61111111111109</v>
      </c>
      <c r="DH227" s="70">
        <f t="shared" si="755"/>
        <v>379.60185185185185</v>
      </c>
      <c r="DI227" s="70">
        <f t="shared" si="756"/>
        <v>1005.2592592592592</v>
      </c>
      <c r="DJ227" s="70">
        <f t="shared" si="757"/>
        <v>530.25925925925924</v>
      </c>
      <c r="DK227" s="70">
        <f t="shared" si="758"/>
        <v>658.96296296296293</v>
      </c>
      <c r="DL227" s="70">
        <f t="shared" si="759"/>
        <v>400</v>
      </c>
      <c r="DM227" s="70">
        <f t="shared" si="760"/>
        <v>786.75</v>
      </c>
      <c r="DN227" s="70">
        <f t="shared" si="761"/>
        <v>4268.4444444444443</v>
      </c>
      <c r="DO227" s="70">
        <f t="shared" si="762"/>
        <v>250</v>
      </c>
      <c r="DP227" s="70">
        <f t="shared" si="763"/>
        <v>4518.4444444444443</v>
      </c>
      <c r="DQ227" s="70">
        <f t="shared" si="764"/>
        <v>3323.5462962962961</v>
      </c>
      <c r="DR227" s="70">
        <f t="shared" si="765"/>
        <v>2560.9259259259261</v>
      </c>
      <c r="DS227" s="71">
        <f t="shared" si="766"/>
        <v>762.62037037037032</v>
      </c>
      <c r="DT227" s="106">
        <f t="shared" si="767"/>
        <v>1.0336624244604755</v>
      </c>
      <c r="DU227" s="92">
        <f t="shared" si="768"/>
        <v>4.7418392921390107E-2</v>
      </c>
      <c r="DV227" s="92" t="str">
        <f t="shared" si="769"/>
        <v/>
      </c>
      <c r="DW227" s="92">
        <f t="shared" si="770"/>
        <v>1</v>
      </c>
      <c r="DX227" s="92">
        <f t="shared" si="771"/>
        <v>6.6861397549805773E-2</v>
      </c>
      <c r="DY227" s="92">
        <f t="shared" si="772"/>
        <v>5.0000304902217858E-2</v>
      </c>
      <c r="DZ227" s="92">
        <f t="shared" si="773"/>
        <v>0.13241049595394758</v>
      </c>
      <c r="EA227" s="92">
        <f t="shared" si="774"/>
        <v>6.9844560849335616E-2</v>
      </c>
      <c r="EB227" s="92">
        <f t="shared" si="775"/>
        <v>8.679712416228115E-2</v>
      </c>
      <c r="EC227" s="92">
        <f t="shared" si="776"/>
        <v>5.2687103245989013E-2</v>
      </c>
      <c r="ED227" s="92">
        <f t="shared" si="777"/>
        <v>0.10362894619695463</v>
      </c>
      <c r="EE227" s="92">
        <f t="shared" si="778"/>
        <v>0.56222993286053158</v>
      </c>
      <c r="EF227" s="92">
        <f t="shared" si="779"/>
        <v>3.292943952874313E-2</v>
      </c>
      <c r="EG227" s="92">
        <f t="shared" si="780"/>
        <v>0.59515937238927474</v>
      </c>
      <c r="EH227" s="92">
        <f t="shared" si="781"/>
        <v>0.43777006713946837</v>
      </c>
      <c r="EI227" s="92">
        <f t="shared" si="782"/>
        <v>0.33731942166147316</v>
      </c>
      <c r="EJ227" s="122">
        <f t="shared" si="783"/>
        <v>0.1004506454779952</v>
      </c>
    </row>
    <row r="228" spans="2:140" ht="12" hidden="1" customHeight="1" outlineLevel="1">
      <c r="B228" s="121">
        <v>45408</v>
      </c>
      <c r="C228" s="117">
        <v>22219</v>
      </c>
      <c r="D228" s="50" t="s">
        <v>1163</v>
      </c>
      <c r="E228" s="50" t="s">
        <v>1164</v>
      </c>
      <c r="F228" s="50" t="s">
        <v>1165</v>
      </c>
      <c r="G228" s="50" t="s">
        <v>162</v>
      </c>
      <c r="H228" s="50" t="s">
        <v>608</v>
      </c>
      <c r="I228" s="50" t="s">
        <v>1166</v>
      </c>
      <c r="J228" s="52" t="s">
        <v>1167</v>
      </c>
      <c r="K228" s="50" t="s">
        <v>1168</v>
      </c>
      <c r="L228" s="49">
        <v>4</v>
      </c>
      <c r="M228" s="50" t="s">
        <v>283</v>
      </c>
      <c r="N228" s="50" t="s">
        <v>244</v>
      </c>
      <c r="O228" s="50" t="s">
        <v>160</v>
      </c>
      <c r="P228" s="50" t="s">
        <v>177</v>
      </c>
      <c r="Q228" s="53">
        <v>0.09</v>
      </c>
      <c r="R228" s="49">
        <v>76</v>
      </c>
      <c r="S228" s="49">
        <v>0</v>
      </c>
      <c r="T228" s="54">
        <f t="shared" si="625"/>
        <v>76</v>
      </c>
      <c r="U228" s="55">
        <v>67448</v>
      </c>
      <c r="V228" s="49">
        <v>8.9</v>
      </c>
      <c r="W228" s="56">
        <f t="shared" si="708"/>
        <v>8.5393258426966288</v>
      </c>
      <c r="X228" s="49" t="s">
        <v>163</v>
      </c>
      <c r="Y228" s="57" t="s">
        <v>162</v>
      </c>
      <c r="Z228" s="58">
        <v>2964000</v>
      </c>
      <c r="AA228" s="114">
        <v>5.74E-2</v>
      </c>
      <c r="AB228" s="59"/>
      <c r="AC228" s="60"/>
      <c r="AD228" s="61"/>
      <c r="AE228" s="62"/>
      <c r="AF228" s="63"/>
      <c r="AG228" s="59"/>
      <c r="AH228" s="60"/>
      <c r="AI228" s="61"/>
      <c r="AJ228" s="64"/>
      <c r="AK228" s="65" t="str">
        <f t="shared" si="709"/>
        <v/>
      </c>
      <c r="AL228" s="66">
        <v>500</v>
      </c>
      <c r="AM228" s="49" t="s">
        <v>608</v>
      </c>
      <c r="AN228" s="67">
        <v>0.88</v>
      </c>
      <c r="AO228" s="62">
        <v>11954106</v>
      </c>
      <c r="AP228" s="62">
        <v>0</v>
      </c>
      <c r="AQ228" s="68">
        <v>289245</v>
      </c>
      <c r="AR228" s="69" t="str">
        <f t="shared" si="710"/>
        <v/>
      </c>
      <c r="AS228" s="70">
        <f t="shared" si="711"/>
        <v>6.5789473684210522</v>
      </c>
      <c r="AT228" s="70">
        <f t="shared" si="712"/>
        <v>157290.86842105264</v>
      </c>
      <c r="AU228" s="70" t="str">
        <f t="shared" si="713"/>
        <v/>
      </c>
      <c r="AV228" s="71">
        <f t="shared" si="714"/>
        <v>3805.8552631578946</v>
      </c>
      <c r="AW228" s="115">
        <f t="shared" si="715"/>
        <v>120585.56578947368</v>
      </c>
      <c r="AX228" s="116">
        <f t="shared" si="716"/>
        <v>135.87508895741905</v>
      </c>
      <c r="AY228" s="72">
        <f t="shared" si="717"/>
        <v>145118.19736842107</v>
      </c>
      <c r="AZ228" s="73">
        <f t="shared" si="718"/>
        <v>163.51831040208754</v>
      </c>
      <c r="BA228" s="66">
        <v>630000</v>
      </c>
      <c r="BB228" s="62">
        <v>2148127</v>
      </c>
      <c r="BC228" s="62">
        <v>7016376</v>
      </c>
      <c r="BD228" s="62">
        <v>510046</v>
      </c>
      <c r="BE228" s="62">
        <v>1354434</v>
      </c>
      <c r="BF228" s="62">
        <v>738000</v>
      </c>
      <c r="BG228" s="62">
        <v>790911</v>
      </c>
      <c r="BH228" s="62">
        <v>1822000</v>
      </c>
      <c r="BI228" s="62">
        <v>197957</v>
      </c>
      <c r="BJ228" s="47">
        <f t="shared" si="719"/>
        <v>15207851</v>
      </c>
      <c r="BK228" s="69">
        <f t="shared" si="720"/>
        <v>8289.4736842105267</v>
      </c>
      <c r="BL228" s="70">
        <f t="shared" si="721"/>
        <v>28264.82894736842</v>
      </c>
      <c r="BM228" s="70">
        <f t="shared" si="722"/>
        <v>92320.736842105267</v>
      </c>
      <c r="BN228" s="70">
        <f t="shared" si="723"/>
        <v>6711.1315789473683</v>
      </c>
      <c r="BO228" s="70">
        <f t="shared" si="724"/>
        <v>17821.5</v>
      </c>
      <c r="BP228" s="70">
        <f t="shared" si="725"/>
        <v>9710.5263157894733</v>
      </c>
      <c r="BQ228" s="70">
        <f t="shared" si="726"/>
        <v>10406.723684210527</v>
      </c>
      <c r="BR228" s="70">
        <f t="shared" si="727"/>
        <v>23973.684210526317</v>
      </c>
      <c r="BS228" s="70">
        <f t="shared" si="728"/>
        <v>2604.6973684210525</v>
      </c>
      <c r="BT228" s="71">
        <f t="shared" si="729"/>
        <v>200103.30263157896</v>
      </c>
      <c r="BU228" s="65">
        <f t="shared" si="730"/>
        <v>9.3405290001186092</v>
      </c>
      <c r="BV228" s="48">
        <f t="shared" si="731"/>
        <v>31.848638951488553</v>
      </c>
      <c r="BW228" s="48">
        <f t="shared" si="732"/>
        <v>104.0264500059305</v>
      </c>
      <c r="BX228" s="48">
        <f t="shared" si="733"/>
        <v>7.5620626260230104</v>
      </c>
      <c r="BY228" s="48">
        <f t="shared" si="734"/>
        <v>20.081158818645473</v>
      </c>
      <c r="BZ228" s="48">
        <f t="shared" si="735"/>
        <v>10.941762542996086</v>
      </c>
      <c r="CA228" s="48">
        <f t="shared" si="736"/>
        <v>11.726233542877475</v>
      </c>
      <c r="CB228" s="48">
        <f t="shared" si="737"/>
        <v>27.013402917803344</v>
      </c>
      <c r="CC228" s="48">
        <f t="shared" si="738"/>
        <v>2.9349573004388567</v>
      </c>
      <c r="CD228" s="47">
        <f t="shared" si="739"/>
        <v>225.4751957063219</v>
      </c>
      <c r="CE228" s="66">
        <v>598560</v>
      </c>
      <c r="CF228" s="62">
        <v>18240</v>
      </c>
      <c r="CG228" s="74">
        <v>-46260</v>
      </c>
      <c r="CH228" s="75">
        <f t="shared" si="740"/>
        <v>570540</v>
      </c>
      <c r="CI228" s="62">
        <f>26600+6500+3040</f>
        <v>36140</v>
      </c>
      <c r="CJ228" s="62">
        <v>34232</v>
      </c>
      <c r="CK228" s="62">
        <v>86956</v>
      </c>
      <c r="CL228" s="62">
        <f>600+49400</f>
        <v>50000</v>
      </c>
      <c r="CM228" s="62">
        <f>5500+38000+1200</f>
        <v>44700</v>
      </c>
      <c r="CN228" s="62">
        <v>38850</v>
      </c>
      <c r="CO228" s="62">
        <v>42940</v>
      </c>
      <c r="CP228" s="75">
        <f t="shared" si="626"/>
        <v>333818</v>
      </c>
      <c r="CQ228" s="62">
        <v>19000</v>
      </c>
      <c r="CR228" s="75">
        <f t="shared" si="627"/>
        <v>352818</v>
      </c>
      <c r="CS228" s="75">
        <f t="shared" si="741"/>
        <v>236722</v>
      </c>
      <c r="CT228" s="62">
        <v>189292</v>
      </c>
      <c r="CU228" s="47">
        <f t="shared" si="742"/>
        <v>47430</v>
      </c>
      <c r="CV228" s="76">
        <f t="shared" si="743"/>
        <v>0.41490868300206823</v>
      </c>
      <c r="CW228" s="75">
        <f t="shared" si="744"/>
        <v>4642.3421052631575</v>
      </c>
      <c r="CX228" s="77">
        <f t="shared" si="745"/>
        <v>0.61839310127247871</v>
      </c>
      <c r="CY228" s="75">
        <f t="shared" si="746"/>
        <v>624.07894736842104</v>
      </c>
      <c r="CZ228" s="77">
        <f t="shared" si="747"/>
        <v>8.3131769902197922E-2</v>
      </c>
      <c r="DA228" s="77">
        <f t="shared" si="748"/>
        <v>0.33177691309987029</v>
      </c>
      <c r="DB228" s="47" t="str">
        <f t="shared" si="749"/>
        <v/>
      </c>
      <c r="DC228" s="69">
        <f t="shared" si="750"/>
        <v>7875.7894736842109</v>
      </c>
      <c r="DD228" s="70">
        <f t="shared" si="751"/>
        <v>240</v>
      </c>
      <c r="DE228" s="70">
        <f t="shared" si="752"/>
        <v>-608.68421052631584</v>
      </c>
      <c r="DF228" s="70">
        <f t="shared" si="753"/>
        <v>7507.105263157895</v>
      </c>
      <c r="DG228" s="70">
        <f t="shared" si="754"/>
        <v>475.5263157894737</v>
      </c>
      <c r="DH228" s="70">
        <f t="shared" si="755"/>
        <v>450.42105263157896</v>
      </c>
      <c r="DI228" s="70">
        <f t="shared" si="756"/>
        <v>1144.1578947368421</v>
      </c>
      <c r="DJ228" s="70">
        <f t="shared" si="757"/>
        <v>657.89473684210532</v>
      </c>
      <c r="DK228" s="70">
        <f t="shared" si="758"/>
        <v>588.15789473684208</v>
      </c>
      <c r="DL228" s="70">
        <f t="shared" si="759"/>
        <v>511.18421052631578</v>
      </c>
      <c r="DM228" s="70">
        <f t="shared" si="760"/>
        <v>565</v>
      </c>
      <c r="DN228" s="70">
        <f t="shared" si="761"/>
        <v>4392.3421052631575</v>
      </c>
      <c r="DO228" s="70">
        <f t="shared" si="762"/>
        <v>250</v>
      </c>
      <c r="DP228" s="70">
        <f t="shared" si="763"/>
        <v>4642.3421052631575</v>
      </c>
      <c r="DQ228" s="70">
        <f t="shared" si="764"/>
        <v>3114.7631578947367</v>
      </c>
      <c r="DR228" s="70">
        <f t="shared" si="765"/>
        <v>2490.6842105263158</v>
      </c>
      <c r="DS228" s="71">
        <f t="shared" si="766"/>
        <v>624.07894736842104</v>
      </c>
      <c r="DT228" s="106">
        <f t="shared" si="767"/>
        <v>1.0491113681775159</v>
      </c>
      <c r="DU228" s="92">
        <f t="shared" si="768"/>
        <v>3.1969712903565047E-2</v>
      </c>
      <c r="DV228" s="92" t="str">
        <f t="shared" si="769"/>
        <v/>
      </c>
      <c r="DW228" s="92">
        <f t="shared" si="770"/>
        <v>1</v>
      </c>
      <c r="DX228" s="92">
        <f t="shared" si="771"/>
        <v>6.3343499141164508E-2</v>
      </c>
      <c r="DY228" s="92">
        <f t="shared" si="772"/>
        <v>5.9999298909804745E-2</v>
      </c>
      <c r="DZ228" s="92">
        <f t="shared" si="773"/>
        <v>0.15240999754618431</v>
      </c>
      <c r="EA228" s="92">
        <f t="shared" si="774"/>
        <v>8.7636274406702422E-2</v>
      </c>
      <c r="EB228" s="92">
        <f t="shared" si="775"/>
        <v>7.8346829319591971E-2</v>
      </c>
      <c r="EC228" s="92">
        <f t="shared" si="776"/>
        <v>6.8093385214007776E-2</v>
      </c>
      <c r="ED228" s="92">
        <f t="shared" si="777"/>
        <v>7.5262032460476039E-2</v>
      </c>
      <c r="EE228" s="92">
        <f t="shared" si="778"/>
        <v>0.58509131699793182</v>
      </c>
      <c r="EF228" s="92">
        <f t="shared" si="779"/>
        <v>3.3301784274546921E-2</v>
      </c>
      <c r="EG228" s="92">
        <f t="shared" si="780"/>
        <v>0.61839310127247871</v>
      </c>
      <c r="EH228" s="92">
        <f t="shared" si="781"/>
        <v>0.41490868300206823</v>
      </c>
      <c r="EI228" s="92">
        <f t="shared" si="782"/>
        <v>0.33177691309987029</v>
      </c>
      <c r="EJ228" s="122">
        <f t="shared" si="783"/>
        <v>8.3131769902197922E-2</v>
      </c>
    </row>
    <row r="229" spans="2:140" ht="12" hidden="1" customHeight="1" outlineLevel="1">
      <c r="B229" s="121">
        <v>45412</v>
      </c>
      <c r="C229" s="117">
        <v>24441</v>
      </c>
      <c r="D229" s="50" t="s">
        <v>1169</v>
      </c>
      <c r="E229" s="50" t="s">
        <v>1170</v>
      </c>
      <c r="F229" s="50" t="s">
        <v>1171</v>
      </c>
      <c r="G229" s="50" t="s">
        <v>162</v>
      </c>
      <c r="H229" s="50" t="s">
        <v>424</v>
      </c>
      <c r="I229" s="50" t="s">
        <v>391</v>
      </c>
      <c r="J229" s="52" t="s">
        <v>175</v>
      </c>
      <c r="K229" s="50" t="s">
        <v>176</v>
      </c>
      <c r="L229" s="49">
        <v>6</v>
      </c>
      <c r="M229" s="50" t="s">
        <v>159</v>
      </c>
      <c r="N229" s="50" t="s">
        <v>244</v>
      </c>
      <c r="O229" s="50" t="s">
        <v>160</v>
      </c>
      <c r="P229" s="50" t="s">
        <v>177</v>
      </c>
      <c r="Q229" s="53">
        <v>0.04</v>
      </c>
      <c r="R229" s="49">
        <v>120</v>
      </c>
      <c r="S229" s="49">
        <v>0</v>
      </c>
      <c r="T229" s="54">
        <f t="shared" si="625"/>
        <v>120</v>
      </c>
      <c r="U229" s="55">
        <v>83190</v>
      </c>
      <c r="V229" s="49">
        <v>34.700000000000003</v>
      </c>
      <c r="W229" s="56">
        <f t="shared" si="708"/>
        <v>3.4582132564841497</v>
      </c>
      <c r="X229" s="49" t="s">
        <v>163</v>
      </c>
      <c r="Y229" s="57" t="s">
        <v>162</v>
      </c>
      <c r="Z229" s="58">
        <v>21239267</v>
      </c>
      <c r="AA229" s="114">
        <v>0.06</v>
      </c>
      <c r="AB229" s="59">
        <v>15</v>
      </c>
      <c r="AC229" s="60">
        <v>40</v>
      </c>
      <c r="AD229" s="61">
        <v>7.2700000000000001E-2</v>
      </c>
      <c r="AE229" s="62">
        <v>7500000</v>
      </c>
      <c r="AF229" s="63">
        <v>1.19</v>
      </c>
      <c r="AG229" s="59"/>
      <c r="AH229" s="60"/>
      <c r="AI229" s="61"/>
      <c r="AJ229" s="64"/>
      <c r="AK229" s="65">
        <f t="shared" si="709"/>
        <v>7500000</v>
      </c>
      <c r="AL229" s="66">
        <v>0</v>
      </c>
      <c r="AM229" s="49" t="s">
        <v>163</v>
      </c>
      <c r="AN229" s="67">
        <v>0.85</v>
      </c>
      <c r="AO229" s="62">
        <v>14739843</v>
      </c>
      <c r="AP229" s="62">
        <v>0</v>
      </c>
      <c r="AQ229" s="68">
        <v>1682374</v>
      </c>
      <c r="AR229" s="69">
        <f t="shared" si="710"/>
        <v>62500</v>
      </c>
      <c r="AS229" s="70" t="str">
        <f t="shared" si="711"/>
        <v/>
      </c>
      <c r="AT229" s="70">
        <f t="shared" si="712"/>
        <v>122832.02499999999</v>
      </c>
      <c r="AU229" s="70" t="str">
        <f t="shared" si="713"/>
        <v/>
      </c>
      <c r="AV229" s="71">
        <f t="shared" si="714"/>
        <v>14019.783333333333</v>
      </c>
      <c r="AW229" s="115">
        <f t="shared" si="715"/>
        <v>164190.78333333333</v>
      </c>
      <c r="AX229" s="116">
        <f t="shared" si="716"/>
        <v>236.84209640581801</v>
      </c>
      <c r="AY229" s="72">
        <f t="shared" si="717"/>
        <v>197388.76666666666</v>
      </c>
      <c r="AZ229" s="73">
        <f t="shared" si="718"/>
        <v>284.72955884120688</v>
      </c>
      <c r="BA229" s="66">
        <v>3542260</v>
      </c>
      <c r="BB229" s="62">
        <v>2436287</v>
      </c>
      <c r="BC229" s="62">
        <v>17266607</v>
      </c>
      <c r="BD229" s="62">
        <v>1225353</v>
      </c>
      <c r="BE229" s="62">
        <v>2758405</v>
      </c>
      <c r="BF229" s="62">
        <v>2125752</v>
      </c>
      <c r="BG229" s="62">
        <v>4472412</v>
      </c>
      <c r="BH229" s="62">
        <v>4350182</v>
      </c>
      <c r="BI229" s="62">
        <v>302480</v>
      </c>
      <c r="BJ229" s="47">
        <f t="shared" si="719"/>
        <v>38479738</v>
      </c>
      <c r="BK229" s="69">
        <f t="shared" si="720"/>
        <v>29518.833333333332</v>
      </c>
      <c r="BL229" s="70">
        <f t="shared" si="721"/>
        <v>20302.391666666666</v>
      </c>
      <c r="BM229" s="70">
        <f t="shared" si="722"/>
        <v>143888.39166666666</v>
      </c>
      <c r="BN229" s="70">
        <f t="shared" si="723"/>
        <v>10211.275</v>
      </c>
      <c r="BO229" s="70">
        <f t="shared" si="724"/>
        <v>22986.708333333332</v>
      </c>
      <c r="BP229" s="70">
        <f t="shared" si="725"/>
        <v>17714.599999999999</v>
      </c>
      <c r="BQ229" s="70">
        <f t="shared" si="726"/>
        <v>37270.1</v>
      </c>
      <c r="BR229" s="70">
        <f t="shared" si="727"/>
        <v>36251.51666666667</v>
      </c>
      <c r="BS229" s="70">
        <f t="shared" si="728"/>
        <v>2520.6666666666665</v>
      </c>
      <c r="BT229" s="71">
        <f t="shared" si="729"/>
        <v>320664.48333333334</v>
      </c>
      <c r="BU229" s="65">
        <f t="shared" si="730"/>
        <v>42.580358216131749</v>
      </c>
      <c r="BV229" s="48">
        <f t="shared" si="731"/>
        <v>29.28581560283688</v>
      </c>
      <c r="BW229" s="48">
        <f t="shared" si="732"/>
        <v>207.55628080298112</v>
      </c>
      <c r="BX229" s="48">
        <f t="shared" si="733"/>
        <v>14.729570861882438</v>
      </c>
      <c r="BY229" s="48">
        <f t="shared" si="734"/>
        <v>33.157891573506433</v>
      </c>
      <c r="BZ229" s="48">
        <f t="shared" si="735"/>
        <v>25.552975117201587</v>
      </c>
      <c r="CA229" s="48">
        <f t="shared" si="736"/>
        <v>53.761413631446089</v>
      </c>
      <c r="CB229" s="48">
        <f t="shared" si="737"/>
        <v>52.29212645750691</v>
      </c>
      <c r="CC229" s="48">
        <f t="shared" si="738"/>
        <v>3.6360139439836519</v>
      </c>
      <c r="CD229" s="47">
        <f t="shared" si="739"/>
        <v>462.55244620747686</v>
      </c>
      <c r="CE229" s="66">
        <v>1387260</v>
      </c>
      <c r="CF229" s="62">
        <v>7200</v>
      </c>
      <c r="CG229" s="74">
        <v>-104585</v>
      </c>
      <c r="CH229" s="75">
        <f t="shared" si="740"/>
        <v>1289875</v>
      </c>
      <c r="CI229" s="62">
        <f>28000+4800</f>
        <v>32800</v>
      </c>
      <c r="CJ229" s="62">
        <v>64161</v>
      </c>
      <c r="CK229" s="62">
        <v>170000</v>
      </c>
      <c r="CL229" s="62">
        <v>114000</v>
      </c>
      <c r="CM229" s="62">
        <f>48000+60000</f>
        <v>108000</v>
      </c>
      <c r="CN229" s="62">
        <v>80000</v>
      </c>
      <c r="CO229" s="62">
        <v>0</v>
      </c>
      <c r="CP229" s="75">
        <f t="shared" si="626"/>
        <v>568961</v>
      </c>
      <c r="CQ229" s="62">
        <v>36000</v>
      </c>
      <c r="CR229" s="75">
        <f t="shared" si="627"/>
        <v>604961</v>
      </c>
      <c r="CS229" s="75">
        <f t="shared" si="741"/>
        <v>720914</v>
      </c>
      <c r="CT229" s="62">
        <v>577024</v>
      </c>
      <c r="CU229" s="47">
        <f t="shared" si="742"/>
        <v>143890</v>
      </c>
      <c r="CV229" s="76">
        <f t="shared" si="743"/>
        <v>0.55890221920728755</v>
      </c>
      <c r="CW229" s="75">
        <f t="shared" si="744"/>
        <v>5041.3416666666662</v>
      </c>
      <c r="CX229" s="77">
        <f t="shared" si="745"/>
        <v>0.46900746196336857</v>
      </c>
      <c r="CY229" s="75">
        <f t="shared" si="746"/>
        <v>1199.0833333333333</v>
      </c>
      <c r="CZ229" s="77">
        <f t="shared" si="747"/>
        <v>0.11155344510126951</v>
      </c>
      <c r="DA229" s="77">
        <f t="shared" si="748"/>
        <v>0.44734877410601803</v>
      </c>
      <c r="DB229" s="47">
        <f t="shared" si="749"/>
        <v>62500</v>
      </c>
      <c r="DC229" s="69">
        <f t="shared" si="750"/>
        <v>11560.5</v>
      </c>
      <c r="DD229" s="70">
        <f t="shared" si="751"/>
        <v>60</v>
      </c>
      <c r="DE229" s="70">
        <f t="shared" si="752"/>
        <v>-871.54166666666663</v>
      </c>
      <c r="DF229" s="70">
        <f t="shared" si="753"/>
        <v>10748.958333333334</v>
      </c>
      <c r="DG229" s="70">
        <f t="shared" si="754"/>
        <v>273.33333333333331</v>
      </c>
      <c r="DH229" s="70">
        <f t="shared" si="755"/>
        <v>534.67499999999995</v>
      </c>
      <c r="DI229" s="70">
        <f t="shared" si="756"/>
        <v>1416.6666666666667</v>
      </c>
      <c r="DJ229" s="70">
        <f t="shared" si="757"/>
        <v>950</v>
      </c>
      <c r="DK229" s="70">
        <f t="shared" si="758"/>
        <v>900</v>
      </c>
      <c r="DL229" s="70">
        <f t="shared" si="759"/>
        <v>666.66666666666663</v>
      </c>
      <c r="DM229" s="70" t="str">
        <f t="shared" si="760"/>
        <v/>
      </c>
      <c r="DN229" s="70">
        <f t="shared" si="761"/>
        <v>4741.3416666666662</v>
      </c>
      <c r="DO229" s="70">
        <f t="shared" si="762"/>
        <v>300</v>
      </c>
      <c r="DP229" s="70">
        <f t="shared" si="763"/>
        <v>5041.3416666666662</v>
      </c>
      <c r="DQ229" s="70">
        <f t="shared" si="764"/>
        <v>6007.6166666666668</v>
      </c>
      <c r="DR229" s="70">
        <f t="shared" si="765"/>
        <v>4808.5333333333338</v>
      </c>
      <c r="DS229" s="71">
        <f t="shared" si="766"/>
        <v>1199.0833333333333</v>
      </c>
      <c r="DT229" s="106">
        <f t="shared" si="767"/>
        <v>1.0754995639112317</v>
      </c>
      <c r="DU229" s="92">
        <f t="shared" si="768"/>
        <v>5.5819362341312144E-3</v>
      </c>
      <c r="DV229" s="92" t="str">
        <f t="shared" si="769"/>
        <v/>
      </c>
      <c r="DW229" s="92">
        <f t="shared" si="770"/>
        <v>1</v>
      </c>
      <c r="DX229" s="92">
        <f t="shared" si="771"/>
        <v>2.5428820622153309E-2</v>
      </c>
      <c r="DY229" s="92">
        <f t="shared" si="772"/>
        <v>4.9742029266401783E-2</v>
      </c>
      <c r="DZ229" s="92">
        <f t="shared" si="773"/>
        <v>0.13179571663920922</v>
      </c>
      <c r="EA229" s="92">
        <f t="shared" si="774"/>
        <v>8.8380657040410898E-2</v>
      </c>
      <c r="EB229" s="92">
        <f t="shared" si="775"/>
        <v>8.3729043511968221E-2</v>
      </c>
      <c r="EC229" s="92">
        <f t="shared" si="776"/>
        <v>6.2021513712569046E-2</v>
      </c>
      <c r="ED229" s="92" t="str">
        <f t="shared" si="777"/>
        <v/>
      </c>
      <c r="EE229" s="92">
        <f t="shared" si="778"/>
        <v>0.44109778079271245</v>
      </c>
      <c r="EF229" s="92">
        <f t="shared" si="779"/>
        <v>2.7909681170656071E-2</v>
      </c>
      <c r="EG229" s="92">
        <f t="shared" si="780"/>
        <v>0.46900746196336857</v>
      </c>
      <c r="EH229" s="92">
        <f t="shared" si="781"/>
        <v>0.55890221920728755</v>
      </c>
      <c r="EI229" s="92">
        <f t="shared" si="782"/>
        <v>0.44734877410601803</v>
      </c>
      <c r="EJ229" s="122">
        <f t="shared" si="783"/>
        <v>0.11155344510126951</v>
      </c>
    </row>
    <row r="230" spans="2:140" ht="12" hidden="1" customHeight="1" outlineLevel="1">
      <c r="B230" s="121">
        <v>45412</v>
      </c>
      <c r="C230" s="117">
        <v>24427</v>
      </c>
      <c r="D230" s="50" t="s">
        <v>1172</v>
      </c>
      <c r="E230" s="50" t="s">
        <v>1173</v>
      </c>
      <c r="F230" s="50" t="s">
        <v>1174</v>
      </c>
      <c r="G230" s="50" t="s">
        <v>291</v>
      </c>
      <c r="H230" s="50" t="s">
        <v>1175</v>
      </c>
      <c r="I230" s="50" t="s">
        <v>1033</v>
      </c>
      <c r="J230" s="52" t="s">
        <v>1176</v>
      </c>
      <c r="K230" s="50" t="s">
        <v>1177</v>
      </c>
      <c r="L230" s="49">
        <v>7</v>
      </c>
      <c r="M230" s="50" t="s">
        <v>283</v>
      </c>
      <c r="N230" s="50" t="s">
        <v>160</v>
      </c>
      <c r="O230" s="50" t="s">
        <v>160</v>
      </c>
      <c r="P230" s="50" t="s">
        <v>177</v>
      </c>
      <c r="Q230" s="53">
        <v>0.04</v>
      </c>
      <c r="R230" s="49">
        <v>150</v>
      </c>
      <c r="S230" s="49">
        <v>0</v>
      </c>
      <c r="T230" s="54">
        <f t="shared" si="625"/>
        <v>150</v>
      </c>
      <c r="U230" s="55">
        <v>140811</v>
      </c>
      <c r="V230" s="49">
        <v>52.1</v>
      </c>
      <c r="W230" s="56">
        <f t="shared" si="708"/>
        <v>2.8790786948176583</v>
      </c>
      <c r="X230" s="49" t="s">
        <v>163</v>
      </c>
      <c r="Y230" s="57" t="s">
        <v>162</v>
      </c>
      <c r="Z230" s="58">
        <v>35650000</v>
      </c>
      <c r="AA230" s="114">
        <v>6.5000000000000002E-2</v>
      </c>
      <c r="AB230" s="59">
        <v>16</v>
      </c>
      <c r="AC230" s="60">
        <v>40</v>
      </c>
      <c r="AD230" s="61">
        <v>6.0999999999999999E-2</v>
      </c>
      <c r="AE230" s="62">
        <v>21790000</v>
      </c>
      <c r="AF230" s="63">
        <v>1.1499999999999999</v>
      </c>
      <c r="AG230" s="59"/>
      <c r="AH230" s="60"/>
      <c r="AI230" s="61"/>
      <c r="AJ230" s="64"/>
      <c r="AK230" s="65">
        <f t="shared" si="709"/>
        <v>21790000</v>
      </c>
      <c r="AL230" s="66">
        <v>0</v>
      </c>
      <c r="AM230" s="49" t="s">
        <v>163</v>
      </c>
      <c r="AN230" s="67">
        <v>0.86</v>
      </c>
      <c r="AO230" s="62">
        <v>20280345</v>
      </c>
      <c r="AP230" s="62">
        <v>0</v>
      </c>
      <c r="AQ230" s="68">
        <v>5478961</v>
      </c>
      <c r="AR230" s="69">
        <f t="shared" si="710"/>
        <v>145266.66666666666</v>
      </c>
      <c r="AS230" s="70" t="str">
        <f t="shared" si="711"/>
        <v/>
      </c>
      <c r="AT230" s="70">
        <f t="shared" si="712"/>
        <v>135202.29999999999</v>
      </c>
      <c r="AU230" s="70" t="str">
        <f t="shared" si="713"/>
        <v/>
      </c>
      <c r="AV230" s="71">
        <f t="shared" si="714"/>
        <v>36526.406666666669</v>
      </c>
      <c r="AW230" s="115">
        <f t="shared" si="715"/>
        <v>179090</v>
      </c>
      <c r="AX230" s="116">
        <f t="shared" si="716"/>
        <v>190.77699895604746</v>
      </c>
      <c r="AY230" s="72">
        <f t="shared" si="717"/>
        <v>211850.13333333333</v>
      </c>
      <c r="AZ230" s="73">
        <f t="shared" si="718"/>
        <v>225.67498277833408</v>
      </c>
      <c r="BA230" s="66">
        <v>852500</v>
      </c>
      <c r="BB230" s="62">
        <v>2944065</v>
      </c>
      <c r="BC230" s="62">
        <v>23919435</v>
      </c>
      <c r="BD230" s="62">
        <v>1690400</v>
      </c>
      <c r="BE230" s="62">
        <v>3223620</v>
      </c>
      <c r="BF230" s="62">
        <v>2336502</v>
      </c>
      <c r="BG230" s="62">
        <v>5637669</v>
      </c>
      <c r="BH230" s="62">
        <v>5845114</v>
      </c>
      <c r="BI230" s="62">
        <v>1100000</v>
      </c>
      <c r="BJ230" s="47">
        <f t="shared" si="719"/>
        <v>47549305</v>
      </c>
      <c r="BK230" s="69">
        <f t="shared" si="720"/>
        <v>5683.333333333333</v>
      </c>
      <c r="BL230" s="70">
        <f t="shared" si="721"/>
        <v>19627.099999999999</v>
      </c>
      <c r="BM230" s="70">
        <f t="shared" si="722"/>
        <v>159462.9</v>
      </c>
      <c r="BN230" s="70">
        <f t="shared" si="723"/>
        <v>11269.333333333334</v>
      </c>
      <c r="BO230" s="70">
        <f t="shared" si="724"/>
        <v>21490.799999999999</v>
      </c>
      <c r="BP230" s="70">
        <f t="shared" si="725"/>
        <v>15576.68</v>
      </c>
      <c r="BQ230" s="70">
        <f t="shared" si="726"/>
        <v>37584.46</v>
      </c>
      <c r="BR230" s="70">
        <f t="shared" si="727"/>
        <v>38967.426666666666</v>
      </c>
      <c r="BS230" s="70">
        <f t="shared" si="728"/>
        <v>7333.333333333333</v>
      </c>
      <c r="BT230" s="71">
        <f t="shared" si="729"/>
        <v>316995.36666666664</v>
      </c>
      <c r="BU230" s="65">
        <f t="shared" si="730"/>
        <v>6.0542145144910551</v>
      </c>
      <c r="BV230" s="48">
        <f t="shared" si="731"/>
        <v>20.907919125636493</v>
      </c>
      <c r="BW230" s="48">
        <f t="shared" si="732"/>
        <v>169.86907983041098</v>
      </c>
      <c r="BX230" s="48">
        <f t="shared" si="733"/>
        <v>12.004743947560915</v>
      </c>
      <c r="BY230" s="48">
        <f t="shared" si="734"/>
        <v>22.893239874725698</v>
      </c>
      <c r="BZ230" s="48">
        <f t="shared" si="735"/>
        <v>16.593178089779919</v>
      </c>
      <c r="CA230" s="48">
        <f t="shared" si="736"/>
        <v>40.037134882928179</v>
      </c>
      <c r="CB230" s="48">
        <f t="shared" si="737"/>
        <v>41.510350753847355</v>
      </c>
      <c r="CC230" s="48">
        <f t="shared" si="738"/>
        <v>7.8118896961174906</v>
      </c>
      <c r="CD230" s="47">
        <f t="shared" si="739"/>
        <v>337.68175071549808</v>
      </c>
      <c r="CE230" s="66">
        <v>2595024</v>
      </c>
      <c r="CF230" s="62">
        <v>54000</v>
      </c>
      <c r="CG230" s="74">
        <v>-198677</v>
      </c>
      <c r="CH230" s="75">
        <f t="shared" si="740"/>
        <v>2450347</v>
      </c>
      <c r="CI230" s="62">
        <f>38000+11000+25000</f>
        <v>74000</v>
      </c>
      <c r="CJ230" s="62">
        <v>98014</v>
      </c>
      <c r="CK230" s="62">
        <v>217620</v>
      </c>
      <c r="CL230" s="62">
        <v>64000</v>
      </c>
      <c r="CM230" s="62">
        <f>42000+93000</f>
        <v>135000</v>
      </c>
      <c r="CN230" s="62">
        <v>140847</v>
      </c>
      <c r="CO230" s="62">
        <v>0</v>
      </c>
      <c r="CP230" s="75">
        <f t="shared" si="626"/>
        <v>729481</v>
      </c>
      <c r="CQ230" s="62">
        <v>45000</v>
      </c>
      <c r="CR230" s="75">
        <f t="shared" si="627"/>
        <v>774481</v>
      </c>
      <c r="CS230" s="75">
        <f t="shared" si="741"/>
        <v>1720866</v>
      </c>
      <c r="CT230" s="62">
        <v>1456968</v>
      </c>
      <c r="CU230" s="47">
        <f t="shared" si="742"/>
        <v>263898</v>
      </c>
      <c r="CV230" s="76">
        <f t="shared" si="743"/>
        <v>0.70229481783600445</v>
      </c>
      <c r="CW230" s="75">
        <f t="shared" si="744"/>
        <v>5163.2066666666669</v>
      </c>
      <c r="CX230" s="77">
        <f t="shared" si="745"/>
        <v>0.31606992805508771</v>
      </c>
      <c r="CY230" s="75">
        <f t="shared" si="746"/>
        <v>1759.32</v>
      </c>
      <c r="CZ230" s="77">
        <f t="shared" si="747"/>
        <v>0.10769821580372087</v>
      </c>
      <c r="DA230" s="77">
        <f t="shared" si="748"/>
        <v>0.59459660203228359</v>
      </c>
      <c r="DB230" s="47">
        <f t="shared" si="749"/>
        <v>145266.66666666666</v>
      </c>
      <c r="DC230" s="69">
        <f t="shared" si="750"/>
        <v>17300.16</v>
      </c>
      <c r="DD230" s="70">
        <f t="shared" si="751"/>
        <v>360</v>
      </c>
      <c r="DE230" s="70">
        <f t="shared" si="752"/>
        <v>-1324.5133333333333</v>
      </c>
      <c r="DF230" s="70">
        <f t="shared" si="753"/>
        <v>16335.646666666667</v>
      </c>
      <c r="DG230" s="70">
        <f t="shared" si="754"/>
        <v>493.33333333333331</v>
      </c>
      <c r="DH230" s="70">
        <f t="shared" si="755"/>
        <v>653.42666666666662</v>
      </c>
      <c r="DI230" s="70">
        <f t="shared" si="756"/>
        <v>1450.8</v>
      </c>
      <c r="DJ230" s="70">
        <f t="shared" si="757"/>
        <v>426.66666666666669</v>
      </c>
      <c r="DK230" s="70">
        <f t="shared" si="758"/>
        <v>900</v>
      </c>
      <c r="DL230" s="70">
        <f t="shared" si="759"/>
        <v>938.98</v>
      </c>
      <c r="DM230" s="70" t="str">
        <f t="shared" si="760"/>
        <v/>
      </c>
      <c r="DN230" s="70">
        <f t="shared" si="761"/>
        <v>4863.2066666666669</v>
      </c>
      <c r="DO230" s="70">
        <f t="shared" si="762"/>
        <v>300</v>
      </c>
      <c r="DP230" s="70">
        <f t="shared" si="763"/>
        <v>5163.2066666666669</v>
      </c>
      <c r="DQ230" s="70">
        <f t="shared" si="764"/>
        <v>11472.44</v>
      </c>
      <c r="DR230" s="70">
        <f t="shared" si="765"/>
        <v>9713.1200000000008</v>
      </c>
      <c r="DS230" s="71">
        <f t="shared" si="766"/>
        <v>1759.32</v>
      </c>
      <c r="DT230" s="106">
        <f t="shared" si="767"/>
        <v>1.0590434742507897</v>
      </c>
      <c r="DU230" s="92">
        <f t="shared" si="768"/>
        <v>2.2037695069310591E-2</v>
      </c>
      <c r="DV230" s="92" t="str">
        <f t="shared" si="769"/>
        <v/>
      </c>
      <c r="DW230" s="92">
        <f t="shared" si="770"/>
        <v>1</v>
      </c>
      <c r="DX230" s="92">
        <f t="shared" si="771"/>
        <v>3.0199804354240439E-2</v>
      </c>
      <c r="DY230" s="92">
        <f t="shared" si="772"/>
        <v>4.0000048972655709E-2</v>
      </c>
      <c r="DZ230" s="92">
        <f t="shared" si="773"/>
        <v>8.8811911129321686E-2</v>
      </c>
      <c r="EA230" s="92">
        <f t="shared" si="774"/>
        <v>2.6118749711775517E-2</v>
      </c>
      <c r="EB230" s="92">
        <f t="shared" si="775"/>
        <v>5.509423767327648E-2</v>
      </c>
      <c r="EC230" s="92">
        <f t="shared" si="776"/>
        <v>5.748043032272572E-2</v>
      </c>
      <c r="ED230" s="92" t="str">
        <f t="shared" si="777"/>
        <v/>
      </c>
      <c r="EE230" s="92">
        <f t="shared" si="778"/>
        <v>0.29770518216399555</v>
      </c>
      <c r="EF230" s="92">
        <f t="shared" si="779"/>
        <v>1.836474589109216E-2</v>
      </c>
      <c r="EG230" s="92">
        <f t="shared" si="780"/>
        <v>0.31606992805508771</v>
      </c>
      <c r="EH230" s="92">
        <f t="shared" si="781"/>
        <v>0.70229481783600445</v>
      </c>
      <c r="EI230" s="92">
        <f t="shared" si="782"/>
        <v>0.59459660203228359</v>
      </c>
      <c r="EJ230" s="122">
        <f t="shared" si="783"/>
        <v>0.10769821580372087</v>
      </c>
    </row>
    <row r="231" spans="2:140" ht="12" hidden="1" customHeight="1" outlineLevel="1">
      <c r="B231" s="121">
        <v>45413</v>
      </c>
      <c r="C231" s="117">
        <v>24600</v>
      </c>
      <c r="D231" s="50" t="s">
        <v>1178</v>
      </c>
      <c r="E231" s="50" t="s">
        <v>941</v>
      </c>
      <c r="F231" s="50" t="s">
        <v>235</v>
      </c>
      <c r="G231" s="50" t="s">
        <v>162</v>
      </c>
      <c r="H231" s="50" t="s">
        <v>453</v>
      </c>
      <c r="I231" s="50" t="s">
        <v>943</v>
      </c>
      <c r="J231" s="52" t="s">
        <v>1179</v>
      </c>
      <c r="K231" s="50" t="s">
        <v>184</v>
      </c>
      <c r="L231" s="49">
        <v>9</v>
      </c>
      <c r="M231" s="50" t="s">
        <v>159</v>
      </c>
      <c r="N231" s="50" t="s">
        <v>160</v>
      </c>
      <c r="O231" s="50" t="s">
        <v>160</v>
      </c>
      <c r="P231" s="50" t="s">
        <v>177</v>
      </c>
      <c r="Q231" s="53">
        <v>0.04</v>
      </c>
      <c r="R231" s="49">
        <v>321</v>
      </c>
      <c r="S231" s="49">
        <v>0</v>
      </c>
      <c r="T231" s="54">
        <f t="shared" si="625"/>
        <v>321</v>
      </c>
      <c r="U231" s="55">
        <v>302085</v>
      </c>
      <c r="V231" s="49">
        <v>28.8</v>
      </c>
      <c r="W231" s="56">
        <f t="shared" si="708"/>
        <v>11.145833333333334</v>
      </c>
      <c r="X231" s="49" t="s">
        <v>163</v>
      </c>
      <c r="Y231" s="57" t="s">
        <v>162</v>
      </c>
      <c r="Z231" s="58">
        <v>37149836</v>
      </c>
      <c r="AA231" s="114">
        <v>5.3900000000000003E-2</v>
      </c>
      <c r="AB231" s="59"/>
      <c r="AC231" s="60"/>
      <c r="AD231" s="61"/>
      <c r="AE231" s="62"/>
      <c r="AF231" s="63"/>
      <c r="AG231" s="59"/>
      <c r="AH231" s="60"/>
      <c r="AI231" s="61"/>
      <c r="AJ231" s="64"/>
      <c r="AK231" s="65" t="str">
        <f t="shared" si="709"/>
        <v/>
      </c>
      <c r="AL231" s="66">
        <v>0</v>
      </c>
      <c r="AM231" s="49" t="s">
        <v>163</v>
      </c>
      <c r="AN231" s="67">
        <v>0.89</v>
      </c>
      <c r="AO231" s="62">
        <v>31247069</v>
      </c>
      <c r="AP231" s="62">
        <v>389349</v>
      </c>
      <c r="AQ231" s="68">
        <v>3274727</v>
      </c>
      <c r="AR231" s="69" t="str">
        <f t="shared" si="710"/>
        <v/>
      </c>
      <c r="AS231" s="70" t="str">
        <f t="shared" si="711"/>
        <v/>
      </c>
      <c r="AT231" s="70">
        <f t="shared" si="712"/>
        <v>97342.894080996892</v>
      </c>
      <c r="AU231" s="70">
        <f t="shared" si="713"/>
        <v>1212.9252336448599</v>
      </c>
      <c r="AV231" s="71">
        <f t="shared" si="714"/>
        <v>10201.641744548286</v>
      </c>
      <c r="AW231" s="115">
        <f t="shared" si="715"/>
        <v>132276.8660436137</v>
      </c>
      <c r="AX231" s="116">
        <f t="shared" si="716"/>
        <v>140.55935912077726</v>
      </c>
      <c r="AY231" s="72">
        <f t="shared" si="717"/>
        <v>156020.77258566979</v>
      </c>
      <c r="AZ231" s="73">
        <f t="shared" si="718"/>
        <v>165.78998626214477</v>
      </c>
      <c r="BA231" s="66">
        <v>4635000</v>
      </c>
      <c r="BB231" s="62">
        <v>5652865</v>
      </c>
      <c r="BC231" s="62">
        <v>36808009</v>
      </c>
      <c r="BD231" s="62">
        <v>1677273</v>
      </c>
      <c r="BE231" s="62">
        <v>5944521</v>
      </c>
      <c r="BF231" s="62">
        <v>2973295</v>
      </c>
      <c r="BG231" s="62">
        <v>7455402</v>
      </c>
      <c r="BH231" s="62">
        <v>8807502</v>
      </c>
      <c r="BI231" s="62">
        <v>3298532</v>
      </c>
      <c r="BJ231" s="47">
        <f t="shared" si="719"/>
        <v>77252399</v>
      </c>
      <c r="BK231" s="69">
        <f t="shared" si="720"/>
        <v>14439.252336448599</v>
      </c>
      <c r="BL231" s="70">
        <f t="shared" si="721"/>
        <v>17610.171339563862</v>
      </c>
      <c r="BM231" s="70">
        <f t="shared" si="722"/>
        <v>114666.69470404985</v>
      </c>
      <c r="BN231" s="70">
        <f t="shared" si="723"/>
        <v>5225.1495327102803</v>
      </c>
      <c r="BO231" s="70">
        <f t="shared" si="724"/>
        <v>18518.757009345794</v>
      </c>
      <c r="BP231" s="70">
        <f t="shared" si="725"/>
        <v>9262.6012461059181</v>
      </c>
      <c r="BQ231" s="70">
        <f t="shared" si="726"/>
        <v>23225.551401869157</v>
      </c>
      <c r="BR231" s="70">
        <f t="shared" si="727"/>
        <v>27437.700934579439</v>
      </c>
      <c r="BS231" s="70">
        <f t="shared" si="728"/>
        <v>10275.800623052959</v>
      </c>
      <c r="BT231" s="71">
        <f t="shared" si="729"/>
        <v>240661.67912772586</v>
      </c>
      <c r="BU231" s="65">
        <f t="shared" si="730"/>
        <v>15.343363622821391</v>
      </c>
      <c r="BV231" s="48">
        <f t="shared" si="731"/>
        <v>18.712829170597679</v>
      </c>
      <c r="BW231" s="48">
        <f t="shared" si="732"/>
        <v>121.84652995017959</v>
      </c>
      <c r="BX231" s="48">
        <f t="shared" si="733"/>
        <v>5.5523213665028059</v>
      </c>
      <c r="BY231" s="48">
        <f t="shared" si="734"/>
        <v>19.67830577486469</v>
      </c>
      <c r="BZ231" s="48">
        <f t="shared" si="735"/>
        <v>9.8425774202625096</v>
      </c>
      <c r="CA231" s="48">
        <f t="shared" si="736"/>
        <v>24.679815283777746</v>
      </c>
      <c r="CB231" s="48">
        <f t="shared" si="737"/>
        <v>29.155707830577487</v>
      </c>
      <c r="CC231" s="48">
        <f t="shared" si="738"/>
        <v>10.919218100865651</v>
      </c>
      <c r="CD231" s="47">
        <f t="shared" si="739"/>
        <v>255.73066852044954</v>
      </c>
      <c r="CE231" s="66">
        <v>4142508</v>
      </c>
      <c r="CF231" s="62">
        <v>94152</v>
      </c>
      <c r="CG231" s="74">
        <v>-317750</v>
      </c>
      <c r="CH231" s="75">
        <f t="shared" si="740"/>
        <v>3918910</v>
      </c>
      <c r="CI231" s="62">
        <f>88884+12840+8025</f>
        <v>109749</v>
      </c>
      <c r="CJ231" s="62">
        <v>156756</v>
      </c>
      <c r="CK231" s="62">
        <v>287679</v>
      </c>
      <c r="CL231" s="62">
        <v>139239</v>
      </c>
      <c r="CM231" s="62">
        <f>40742+199161</f>
        <v>239903</v>
      </c>
      <c r="CN231" s="62">
        <v>192600</v>
      </c>
      <c r="CO231" s="62">
        <v>0</v>
      </c>
      <c r="CP231" s="75">
        <f t="shared" si="626"/>
        <v>1125926</v>
      </c>
      <c r="CQ231" s="62">
        <v>80250</v>
      </c>
      <c r="CR231" s="75">
        <f t="shared" si="627"/>
        <v>1206176</v>
      </c>
      <c r="CS231" s="75">
        <f t="shared" si="741"/>
        <v>2792984</v>
      </c>
      <c r="CT231" s="62">
        <v>2358898</v>
      </c>
      <c r="CU231" s="47">
        <f t="shared" si="742"/>
        <v>434086</v>
      </c>
      <c r="CV231" s="76">
        <f t="shared" si="743"/>
        <v>0.71269409095896563</v>
      </c>
      <c r="CW231" s="75">
        <f t="shared" si="744"/>
        <v>3757.5576323987539</v>
      </c>
      <c r="CX231" s="77">
        <f t="shared" si="745"/>
        <v>0.30778354185219869</v>
      </c>
      <c r="CY231" s="75">
        <f t="shared" si="746"/>
        <v>1352.2928348909657</v>
      </c>
      <c r="CZ231" s="77">
        <f t="shared" si="747"/>
        <v>0.11076702450426266</v>
      </c>
      <c r="DA231" s="77">
        <f t="shared" si="748"/>
        <v>0.60192706645470295</v>
      </c>
      <c r="DB231" s="47" t="str">
        <f t="shared" si="749"/>
        <v/>
      </c>
      <c r="DC231" s="69">
        <f t="shared" si="750"/>
        <v>12905.009345794393</v>
      </c>
      <c r="DD231" s="70">
        <f t="shared" si="751"/>
        <v>293.30841121495325</v>
      </c>
      <c r="DE231" s="70">
        <f t="shared" si="752"/>
        <v>-989.87538940809964</v>
      </c>
      <c r="DF231" s="70">
        <f t="shared" si="753"/>
        <v>12208.442367601247</v>
      </c>
      <c r="DG231" s="70">
        <f t="shared" si="754"/>
        <v>341.89719626168227</v>
      </c>
      <c r="DH231" s="70">
        <f t="shared" si="755"/>
        <v>488.33644859813086</v>
      </c>
      <c r="DI231" s="70">
        <f t="shared" si="756"/>
        <v>896.19626168224295</v>
      </c>
      <c r="DJ231" s="70">
        <f t="shared" si="757"/>
        <v>433.76635514018693</v>
      </c>
      <c r="DK231" s="70">
        <f t="shared" si="758"/>
        <v>747.36137071651092</v>
      </c>
      <c r="DL231" s="70">
        <f t="shared" si="759"/>
        <v>600</v>
      </c>
      <c r="DM231" s="70" t="str">
        <f t="shared" si="760"/>
        <v/>
      </c>
      <c r="DN231" s="70">
        <f t="shared" si="761"/>
        <v>3507.5576323987539</v>
      </c>
      <c r="DO231" s="70">
        <f t="shared" si="762"/>
        <v>250</v>
      </c>
      <c r="DP231" s="70">
        <f t="shared" si="763"/>
        <v>3757.5576323987539</v>
      </c>
      <c r="DQ231" s="70">
        <f t="shared" si="764"/>
        <v>8700.8847352024914</v>
      </c>
      <c r="DR231" s="70">
        <f t="shared" si="765"/>
        <v>7348.5919003115268</v>
      </c>
      <c r="DS231" s="71">
        <f t="shared" si="766"/>
        <v>1352.2928348909657</v>
      </c>
      <c r="DT231" s="106">
        <f t="shared" si="767"/>
        <v>1.0570561712312863</v>
      </c>
      <c r="DU231" s="92">
        <f t="shared" si="768"/>
        <v>2.4025047781143227E-2</v>
      </c>
      <c r="DV231" s="92" t="str">
        <f t="shared" si="769"/>
        <v/>
      </c>
      <c r="DW231" s="92">
        <f t="shared" si="770"/>
        <v>1</v>
      </c>
      <c r="DX231" s="92">
        <f t="shared" si="771"/>
        <v>2.8004980976853257E-2</v>
      </c>
      <c r="DY231" s="92">
        <f t="shared" si="772"/>
        <v>3.9999897930802185E-2</v>
      </c>
      <c r="DZ231" s="92">
        <f t="shared" si="773"/>
        <v>7.3407911893868444E-2</v>
      </c>
      <c r="EA231" s="92">
        <f t="shared" si="774"/>
        <v>3.5530032585591405E-2</v>
      </c>
      <c r="EB231" s="92">
        <f t="shared" si="775"/>
        <v>6.1216766907124687E-2</v>
      </c>
      <c r="EC231" s="92">
        <f t="shared" si="776"/>
        <v>4.9146318746794392E-2</v>
      </c>
      <c r="ED231" s="92" t="str">
        <f t="shared" si="777"/>
        <v/>
      </c>
      <c r="EE231" s="92">
        <f t="shared" si="778"/>
        <v>0.28730590904103437</v>
      </c>
      <c r="EF231" s="92">
        <f t="shared" si="779"/>
        <v>2.0477632811164329E-2</v>
      </c>
      <c r="EG231" s="92">
        <f t="shared" si="780"/>
        <v>0.30778354185219869</v>
      </c>
      <c r="EH231" s="92">
        <f t="shared" si="781"/>
        <v>0.71269409095896563</v>
      </c>
      <c r="EI231" s="92">
        <f t="shared" si="782"/>
        <v>0.60192706645470295</v>
      </c>
      <c r="EJ231" s="122">
        <f t="shared" si="783"/>
        <v>0.11076702450426266</v>
      </c>
    </row>
    <row r="232" spans="2:140" ht="12" hidden="1" customHeight="1" outlineLevel="1">
      <c r="B232" s="121">
        <v>45413</v>
      </c>
      <c r="C232" s="117">
        <v>24601</v>
      </c>
      <c r="D232" s="50" t="s">
        <v>962</v>
      </c>
      <c r="E232" s="50" t="s">
        <v>1180</v>
      </c>
      <c r="F232" s="50" t="s">
        <v>235</v>
      </c>
      <c r="G232" s="50" t="s">
        <v>162</v>
      </c>
      <c r="H232" s="50" t="s">
        <v>1134</v>
      </c>
      <c r="I232" s="50" t="s">
        <v>438</v>
      </c>
      <c r="J232" s="52" t="s">
        <v>191</v>
      </c>
      <c r="K232" s="50" t="s">
        <v>192</v>
      </c>
      <c r="L232" s="49">
        <v>3</v>
      </c>
      <c r="M232" s="50" t="s">
        <v>159</v>
      </c>
      <c r="N232" s="50" t="s">
        <v>160</v>
      </c>
      <c r="O232" s="50" t="s">
        <v>160</v>
      </c>
      <c r="P232" s="50" t="s">
        <v>177</v>
      </c>
      <c r="Q232" s="53">
        <v>0.04</v>
      </c>
      <c r="R232" s="49">
        <v>243</v>
      </c>
      <c r="S232" s="49">
        <v>0</v>
      </c>
      <c r="T232" s="54">
        <f t="shared" si="625"/>
        <v>243</v>
      </c>
      <c r="U232" s="55">
        <v>231940</v>
      </c>
      <c r="V232" s="49">
        <v>30.6</v>
      </c>
      <c r="W232" s="56">
        <f t="shared" si="708"/>
        <v>7.9411764705882346</v>
      </c>
      <c r="X232" s="49" t="s">
        <v>163</v>
      </c>
      <c r="Y232" s="57" t="s">
        <v>249</v>
      </c>
      <c r="Z232" s="58">
        <v>30185883</v>
      </c>
      <c r="AA232" s="114">
        <v>5.3900000000000003E-2</v>
      </c>
      <c r="AB232" s="59"/>
      <c r="AC232" s="60"/>
      <c r="AD232" s="61"/>
      <c r="AE232" s="62"/>
      <c r="AF232" s="63"/>
      <c r="AG232" s="59"/>
      <c r="AH232" s="60"/>
      <c r="AI232" s="61"/>
      <c r="AJ232" s="64"/>
      <c r="AK232" s="65" t="str">
        <f t="shared" si="709"/>
        <v/>
      </c>
      <c r="AL232" s="66">
        <v>0</v>
      </c>
      <c r="AM232" s="49" t="s">
        <v>163</v>
      </c>
      <c r="AN232" s="67">
        <v>0.89</v>
      </c>
      <c r="AO232" s="62">
        <v>26229168</v>
      </c>
      <c r="AP232" s="62">
        <v>0</v>
      </c>
      <c r="AQ232" s="68">
        <v>960710</v>
      </c>
      <c r="AR232" s="69" t="str">
        <f t="shared" si="710"/>
        <v/>
      </c>
      <c r="AS232" s="70" t="str">
        <f t="shared" si="711"/>
        <v/>
      </c>
      <c r="AT232" s="70">
        <f t="shared" si="712"/>
        <v>107938.96296296296</v>
      </c>
      <c r="AU232" s="70" t="str">
        <f t="shared" si="713"/>
        <v/>
      </c>
      <c r="AV232" s="71">
        <f t="shared" si="714"/>
        <v>3953.5390946502057</v>
      </c>
      <c r="AW232" s="115">
        <f t="shared" si="715"/>
        <v>146527.48559670782</v>
      </c>
      <c r="AX232" s="116">
        <f t="shared" si="716"/>
        <v>153.51461153746658</v>
      </c>
      <c r="AY232" s="72">
        <f t="shared" si="717"/>
        <v>172908.95884773662</v>
      </c>
      <c r="AZ232" s="73">
        <f t="shared" si="718"/>
        <v>181.15407864102784</v>
      </c>
      <c r="BA232" s="66">
        <v>2626500</v>
      </c>
      <c r="BB232" s="62">
        <v>5151788</v>
      </c>
      <c r="BC232" s="62">
        <v>30454391</v>
      </c>
      <c r="BD232" s="62">
        <v>1425834</v>
      </c>
      <c r="BE232" s="62">
        <v>4984864</v>
      </c>
      <c r="BF232" s="62">
        <v>3130001</v>
      </c>
      <c r="BG232" s="62">
        <v>55572760</v>
      </c>
      <c r="BH232" s="62">
        <v>7393096</v>
      </c>
      <c r="BI232" s="62">
        <v>2710412</v>
      </c>
      <c r="BJ232" s="47">
        <f t="shared" si="719"/>
        <v>113449646</v>
      </c>
      <c r="BK232" s="69">
        <f t="shared" si="720"/>
        <v>10808.641975308641</v>
      </c>
      <c r="BL232" s="70">
        <f t="shared" si="721"/>
        <v>21200.773662551441</v>
      </c>
      <c r="BM232" s="70">
        <f t="shared" si="722"/>
        <v>125326.71193415638</v>
      </c>
      <c r="BN232" s="70">
        <f t="shared" si="723"/>
        <v>5867.6296296296296</v>
      </c>
      <c r="BO232" s="70">
        <f t="shared" si="724"/>
        <v>20513.843621399177</v>
      </c>
      <c r="BP232" s="70">
        <f t="shared" si="725"/>
        <v>12880.662551440329</v>
      </c>
      <c r="BQ232" s="70">
        <f t="shared" si="726"/>
        <v>228694.48559670782</v>
      </c>
      <c r="BR232" s="70">
        <f t="shared" si="727"/>
        <v>30424.263374485596</v>
      </c>
      <c r="BS232" s="70">
        <f t="shared" si="728"/>
        <v>11153.958847736625</v>
      </c>
      <c r="BT232" s="71">
        <f t="shared" si="729"/>
        <v>466870.97119341564</v>
      </c>
      <c r="BU232" s="65">
        <f t="shared" si="730"/>
        <v>11.324049323100802</v>
      </c>
      <c r="BV232" s="48">
        <f t="shared" si="731"/>
        <v>22.211727170820041</v>
      </c>
      <c r="BW232" s="48">
        <f t="shared" si="732"/>
        <v>131.30288436664654</v>
      </c>
      <c r="BX232" s="48">
        <f t="shared" si="733"/>
        <v>6.1474260584633953</v>
      </c>
      <c r="BY232" s="48">
        <f t="shared" si="734"/>
        <v>21.492041045097871</v>
      </c>
      <c r="BZ232" s="48">
        <f t="shared" si="735"/>
        <v>13.494873674226094</v>
      </c>
      <c r="CA232" s="48">
        <f t="shared" si="736"/>
        <v>239.59972406656894</v>
      </c>
      <c r="CB232" s="48">
        <f t="shared" si="737"/>
        <v>31.875036647408812</v>
      </c>
      <c r="CC232" s="48">
        <f t="shared" si="738"/>
        <v>11.685832542899025</v>
      </c>
      <c r="CD232" s="47">
        <f t="shared" si="739"/>
        <v>489.13359489523151</v>
      </c>
      <c r="CE232" s="66">
        <v>3424188</v>
      </c>
      <c r="CF232" s="62">
        <v>71448</v>
      </c>
      <c r="CG232" s="74">
        <v>-262173</v>
      </c>
      <c r="CH232" s="75">
        <f t="shared" si="740"/>
        <v>3233463</v>
      </c>
      <c r="CI232" s="62">
        <f>81234+9720+14400</f>
        <v>105354</v>
      </c>
      <c r="CJ232" s="62">
        <v>129339</v>
      </c>
      <c r="CK232" s="62">
        <v>269223</v>
      </c>
      <c r="CL232" s="62">
        <v>115321</v>
      </c>
      <c r="CM232" s="62">
        <f>30842+160468</f>
        <v>191310</v>
      </c>
      <c r="CN232" s="62">
        <v>157950</v>
      </c>
      <c r="CO232" s="62">
        <v>0</v>
      </c>
      <c r="CP232" s="75">
        <f t="shared" si="626"/>
        <v>968497</v>
      </c>
      <c r="CQ232" s="62">
        <v>60750</v>
      </c>
      <c r="CR232" s="75">
        <f t="shared" si="627"/>
        <v>1029247</v>
      </c>
      <c r="CS232" s="75">
        <f t="shared" si="741"/>
        <v>2264966</v>
      </c>
      <c r="CT232" s="62">
        <v>1916708</v>
      </c>
      <c r="CU232" s="47">
        <f t="shared" si="742"/>
        <v>348258</v>
      </c>
      <c r="CV232" s="76">
        <f t="shared" si="743"/>
        <v>0.70047685716521269</v>
      </c>
      <c r="CW232" s="75">
        <f t="shared" si="744"/>
        <v>4235.5843621399181</v>
      </c>
      <c r="CX232" s="77">
        <f t="shared" si="745"/>
        <v>0.31831104917545061</v>
      </c>
      <c r="CY232" s="75">
        <f t="shared" si="746"/>
        <v>1433.1604938271605</v>
      </c>
      <c r="CZ232" s="77">
        <f t="shared" si="747"/>
        <v>0.10770434051665351</v>
      </c>
      <c r="DA232" s="77">
        <f t="shared" si="748"/>
        <v>0.59277251664855912</v>
      </c>
      <c r="DB232" s="47" t="str">
        <f t="shared" si="749"/>
        <v/>
      </c>
      <c r="DC232" s="69">
        <f t="shared" si="750"/>
        <v>14091.308641975309</v>
      </c>
      <c r="DD232" s="70">
        <f t="shared" si="751"/>
        <v>294.02469135802471</v>
      </c>
      <c r="DE232" s="70">
        <f t="shared" si="752"/>
        <v>-1078.9012345679012</v>
      </c>
      <c r="DF232" s="70">
        <f t="shared" si="753"/>
        <v>13306.432098765432</v>
      </c>
      <c r="DG232" s="70">
        <f t="shared" si="754"/>
        <v>433.55555555555554</v>
      </c>
      <c r="DH232" s="70">
        <f t="shared" si="755"/>
        <v>532.25925925925924</v>
      </c>
      <c r="DI232" s="70">
        <f t="shared" si="756"/>
        <v>1107.9135802469136</v>
      </c>
      <c r="DJ232" s="70">
        <f t="shared" si="757"/>
        <v>474.57201646090533</v>
      </c>
      <c r="DK232" s="70">
        <f t="shared" si="758"/>
        <v>787.28395061728395</v>
      </c>
      <c r="DL232" s="70">
        <f t="shared" si="759"/>
        <v>650</v>
      </c>
      <c r="DM232" s="70" t="str">
        <f t="shared" si="760"/>
        <v/>
      </c>
      <c r="DN232" s="70">
        <f t="shared" si="761"/>
        <v>3985.5843621399176</v>
      </c>
      <c r="DO232" s="70">
        <f t="shared" si="762"/>
        <v>250</v>
      </c>
      <c r="DP232" s="70">
        <f t="shared" si="763"/>
        <v>4235.5843621399181</v>
      </c>
      <c r="DQ232" s="70">
        <f t="shared" si="764"/>
        <v>9320.8477366255138</v>
      </c>
      <c r="DR232" s="70">
        <f t="shared" si="765"/>
        <v>7887.6872427983535</v>
      </c>
      <c r="DS232" s="71">
        <f t="shared" si="766"/>
        <v>1433.1604938271605</v>
      </c>
      <c r="DT232" s="106">
        <f t="shared" si="767"/>
        <v>1.0589847479312429</v>
      </c>
      <c r="DU232" s="92">
        <f t="shared" si="768"/>
        <v>2.2096433452307943E-2</v>
      </c>
      <c r="DV232" s="92" t="str">
        <f t="shared" si="769"/>
        <v/>
      </c>
      <c r="DW232" s="92">
        <f t="shared" si="770"/>
        <v>1</v>
      </c>
      <c r="DX232" s="92">
        <f t="shared" si="771"/>
        <v>3.258240468500799E-2</v>
      </c>
      <c r="DY232" s="92">
        <f t="shared" si="772"/>
        <v>4.0000148447655037E-2</v>
      </c>
      <c r="DZ232" s="92">
        <f t="shared" si="773"/>
        <v>8.3261506316911621E-2</v>
      </c>
      <c r="EA232" s="92">
        <f t="shared" si="774"/>
        <v>3.5664858388668744E-2</v>
      </c>
      <c r="EB232" s="92">
        <f t="shared" si="775"/>
        <v>5.9165668510819516E-2</v>
      </c>
      <c r="EC232" s="92">
        <f t="shared" si="776"/>
        <v>4.8848556485724441E-2</v>
      </c>
      <c r="ED232" s="92" t="str">
        <f t="shared" si="777"/>
        <v/>
      </c>
      <c r="EE232" s="92">
        <f t="shared" si="778"/>
        <v>0.29952314283478737</v>
      </c>
      <c r="EF232" s="92">
        <f t="shared" si="779"/>
        <v>1.8787906340663244E-2</v>
      </c>
      <c r="EG232" s="92">
        <f t="shared" si="780"/>
        <v>0.31831104917545061</v>
      </c>
      <c r="EH232" s="92">
        <f t="shared" si="781"/>
        <v>0.70047685716521269</v>
      </c>
      <c r="EI232" s="92">
        <f t="shared" si="782"/>
        <v>0.59277251664855912</v>
      </c>
      <c r="EJ232" s="122">
        <f t="shared" si="783"/>
        <v>0.10770434051665351</v>
      </c>
    </row>
    <row r="233" spans="2:140" ht="12" hidden="1" customHeight="1" outlineLevel="1">
      <c r="B233" s="121">
        <v>45422</v>
      </c>
      <c r="C233" s="117">
        <v>24455</v>
      </c>
      <c r="D233" s="50" t="s">
        <v>1181</v>
      </c>
      <c r="E233" s="50" t="s">
        <v>1182</v>
      </c>
      <c r="F233" s="50" t="s">
        <v>1183</v>
      </c>
      <c r="G233" s="50" t="s">
        <v>162</v>
      </c>
      <c r="H233" s="50" t="s">
        <v>220</v>
      </c>
      <c r="I233" s="50" t="s">
        <v>1184</v>
      </c>
      <c r="J233" s="52" t="s">
        <v>183</v>
      </c>
      <c r="K233" s="50" t="s">
        <v>184</v>
      </c>
      <c r="L233" s="49">
        <v>9</v>
      </c>
      <c r="M233" s="50" t="s">
        <v>159</v>
      </c>
      <c r="N233" s="50" t="s">
        <v>244</v>
      </c>
      <c r="O233" s="50" t="s">
        <v>160</v>
      </c>
      <c r="P233" s="50" t="s">
        <v>177</v>
      </c>
      <c r="Q233" s="53">
        <v>0.04</v>
      </c>
      <c r="R233" s="49">
        <v>239</v>
      </c>
      <c r="S233" s="49">
        <v>0</v>
      </c>
      <c r="T233" s="54">
        <f t="shared" si="625"/>
        <v>239</v>
      </c>
      <c r="U233" s="55">
        <v>207942</v>
      </c>
      <c r="V233" s="49">
        <v>35</v>
      </c>
      <c r="W233" s="56">
        <f t="shared" si="708"/>
        <v>6.8285714285714283</v>
      </c>
      <c r="X233" s="49" t="s">
        <v>163</v>
      </c>
      <c r="Y233" s="57" t="s">
        <v>162</v>
      </c>
      <c r="Z233" s="58">
        <v>42602033</v>
      </c>
      <c r="AA233" s="114">
        <f>(((23370000*6.06%)/(Table1[[#This Row],[Construction Loan Principal]]))+((11630000*6.37%)/(Table1[[#This Row],[Construction Loan Principal]]))+((7602033*6.87%)/(Table1[[#This Row],[Construction Loan Principal]])))</f>
        <v>6.289166216785945E-2</v>
      </c>
      <c r="AB233" s="59">
        <v>15</v>
      </c>
      <c r="AC233" s="60">
        <v>40</v>
      </c>
      <c r="AD233" s="61">
        <v>5.7599999999999998E-2</v>
      </c>
      <c r="AE233" s="62">
        <v>23370000</v>
      </c>
      <c r="AF233" s="63">
        <v>1.1499999999999999</v>
      </c>
      <c r="AG233" s="59"/>
      <c r="AH233" s="60"/>
      <c r="AI233" s="61"/>
      <c r="AJ233" s="64"/>
      <c r="AK233" s="65">
        <f t="shared" si="709"/>
        <v>23370000</v>
      </c>
      <c r="AL233" s="66">
        <v>0</v>
      </c>
      <c r="AM233" s="49" t="s">
        <v>163</v>
      </c>
      <c r="AN233" s="67">
        <v>0.92</v>
      </c>
      <c r="AO233" s="62">
        <v>22523832</v>
      </c>
      <c r="AP233" s="62">
        <v>241070</v>
      </c>
      <c r="AQ233" s="68">
        <v>5888747</v>
      </c>
      <c r="AR233" s="69">
        <f t="shared" si="710"/>
        <v>97782.426778242676</v>
      </c>
      <c r="AS233" s="70" t="str">
        <f t="shared" si="711"/>
        <v/>
      </c>
      <c r="AT233" s="70">
        <f t="shared" si="712"/>
        <v>94241.974895397492</v>
      </c>
      <c r="AU233" s="70">
        <f t="shared" si="713"/>
        <v>1008.6610878661088</v>
      </c>
      <c r="AV233" s="71">
        <f t="shared" si="714"/>
        <v>24639.108786610879</v>
      </c>
      <c r="AW233" s="115">
        <f t="shared" si="715"/>
        <v>128854.72384937239</v>
      </c>
      <c r="AX233" s="116">
        <f t="shared" si="716"/>
        <v>148.10033086149022</v>
      </c>
      <c r="AY233" s="72">
        <f t="shared" si="717"/>
        <v>151745.88284518829</v>
      </c>
      <c r="AZ233" s="73">
        <f t="shared" si="718"/>
        <v>174.41048946340806</v>
      </c>
      <c r="BA233" s="66">
        <v>2943480</v>
      </c>
      <c r="BB233" s="62">
        <v>5233978</v>
      </c>
      <c r="BC233" s="62">
        <v>25562301</v>
      </c>
      <c r="BD233" s="62">
        <v>1579814</v>
      </c>
      <c r="BE233" s="62">
        <v>3891173</v>
      </c>
      <c r="BF233" s="62">
        <v>2027304</v>
      </c>
      <c r="BG233" s="62">
        <v>5967091</v>
      </c>
      <c r="BH233" s="62">
        <v>6141636</v>
      </c>
      <c r="BI233" s="62">
        <v>604534</v>
      </c>
      <c r="BJ233" s="47">
        <f t="shared" si="719"/>
        <v>53951311</v>
      </c>
      <c r="BK233" s="69">
        <f t="shared" si="720"/>
        <v>12315.81589958159</v>
      </c>
      <c r="BL233" s="70">
        <f t="shared" si="721"/>
        <v>21899.489539748953</v>
      </c>
      <c r="BM233" s="70">
        <f t="shared" si="722"/>
        <v>106955.23430962343</v>
      </c>
      <c r="BN233" s="70">
        <f t="shared" si="723"/>
        <v>6610.100418410042</v>
      </c>
      <c r="BO233" s="70">
        <f t="shared" si="724"/>
        <v>16281.058577405858</v>
      </c>
      <c r="BP233" s="70">
        <f t="shared" si="725"/>
        <v>8482.443514644352</v>
      </c>
      <c r="BQ233" s="70">
        <f t="shared" si="726"/>
        <v>24966.907949790795</v>
      </c>
      <c r="BR233" s="70">
        <f t="shared" si="727"/>
        <v>25697.221757322175</v>
      </c>
      <c r="BS233" s="70">
        <f t="shared" si="728"/>
        <v>2529.4309623430963</v>
      </c>
      <c r="BT233" s="71">
        <f t="shared" si="729"/>
        <v>225737.70292887031</v>
      </c>
      <c r="BU233" s="65">
        <f t="shared" si="730"/>
        <v>14.155293302940242</v>
      </c>
      <c r="BV233" s="48">
        <f t="shared" si="731"/>
        <v>25.170374431331815</v>
      </c>
      <c r="BW233" s="48">
        <f t="shared" si="732"/>
        <v>122.92995643015841</v>
      </c>
      <c r="BX233" s="48">
        <f t="shared" si="733"/>
        <v>7.5973781150513124</v>
      </c>
      <c r="BY233" s="48">
        <f t="shared" si="734"/>
        <v>18.712780486866532</v>
      </c>
      <c r="BZ233" s="48">
        <f t="shared" si="735"/>
        <v>9.7493724211558987</v>
      </c>
      <c r="CA233" s="48">
        <f t="shared" si="736"/>
        <v>28.695939252291506</v>
      </c>
      <c r="CB233" s="48">
        <f t="shared" si="737"/>
        <v>29.535331967567881</v>
      </c>
      <c r="CC233" s="48">
        <f t="shared" si="738"/>
        <v>2.9072241298054267</v>
      </c>
      <c r="CD233" s="47">
        <f t="shared" si="739"/>
        <v>259.45365053716904</v>
      </c>
      <c r="CE233" s="66">
        <v>2770908</v>
      </c>
      <c r="CF233" s="62">
        <v>86040</v>
      </c>
      <c r="CG233" s="74">
        <v>-214271</v>
      </c>
      <c r="CH233" s="75">
        <f t="shared" si="740"/>
        <v>2642677</v>
      </c>
      <c r="CI233" s="62">
        <f>85103+22944+14560+11950</f>
        <v>134557</v>
      </c>
      <c r="CJ233" s="62">
        <v>85887</v>
      </c>
      <c r="CK233" s="62">
        <v>300901</v>
      </c>
      <c r="CL233" s="62">
        <v>134557</v>
      </c>
      <c r="CM233" s="62">
        <f>22227+24378</f>
        <v>46605</v>
      </c>
      <c r="CN233" s="62">
        <v>158935</v>
      </c>
      <c r="CO233" s="62">
        <v>0</v>
      </c>
      <c r="CP233" s="75">
        <f t="shared" si="626"/>
        <v>861442</v>
      </c>
      <c r="CQ233" s="62">
        <v>59750</v>
      </c>
      <c r="CR233" s="75">
        <f t="shared" si="627"/>
        <v>921192</v>
      </c>
      <c r="CS233" s="75">
        <f t="shared" si="741"/>
        <v>1781235</v>
      </c>
      <c r="CT233" s="62">
        <v>1496363</v>
      </c>
      <c r="CU233" s="47">
        <f t="shared" si="742"/>
        <v>284872</v>
      </c>
      <c r="CV233" s="76">
        <f t="shared" si="743"/>
        <v>0.67402675393171396</v>
      </c>
      <c r="CW233" s="75">
        <f t="shared" si="744"/>
        <v>3854.3598326359834</v>
      </c>
      <c r="CX233" s="77">
        <f t="shared" si="745"/>
        <v>0.34858289529897146</v>
      </c>
      <c r="CY233" s="75">
        <f t="shared" si="746"/>
        <v>1191.9330543933054</v>
      </c>
      <c r="CZ233" s="77">
        <f t="shared" si="747"/>
        <v>0.10779675306516839</v>
      </c>
      <c r="DA233" s="77">
        <f t="shared" si="748"/>
        <v>0.56623000086654551</v>
      </c>
      <c r="DB233" s="47">
        <f t="shared" si="749"/>
        <v>97782.426778242676</v>
      </c>
      <c r="DC233" s="69">
        <f t="shared" si="750"/>
        <v>11593.757322175732</v>
      </c>
      <c r="DD233" s="70">
        <f t="shared" si="751"/>
        <v>360</v>
      </c>
      <c r="DE233" s="70">
        <f t="shared" si="752"/>
        <v>-896.53138075313802</v>
      </c>
      <c r="DF233" s="70">
        <f t="shared" si="753"/>
        <v>11057.225941422594</v>
      </c>
      <c r="DG233" s="70">
        <f t="shared" si="754"/>
        <v>563</v>
      </c>
      <c r="DH233" s="70">
        <f t="shared" si="755"/>
        <v>359.35983263598325</v>
      </c>
      <c r="DI233" s="70">
        <f t="shared" si="756"/>
        <v>1259</v>
      </c>
      <c r="DJ233" s="70">
        <f t="shared" si="757"/>
        <v>563</v>
      </c>
      <c r="DK233" s="70">
        <f t="shared" si="758"/>
        <v>195</v>
      </c>
      <c r="DL233" s="70">
        <f t="shared" si="759"/>
        <v>665</v>
      </c>
      <c r="DM233" s="70" t="str">
        <f t="shared" si="760"/>
        <v/>
      </c>
      <c r="DN233" s="70">
        <f t="shared" si="761"/>
        <v>3604.3598326359834</v>
      </c>
      <c r="DO233" s="70">
        <f t="shared" si="762"/>
        <v>250</v>
      </c>
      <c r="DP233" s="70">
        <f t="shared" si="763"/>
        <v>3854.3598326359834</v>
      </c>
      <c r="DQ233" s="70">
        <f t="shared" si="764"/>
        <v>7452.8661087866112</v>
      </c>
      <c r="DR233" s="70">
        <f t="shared" si="765"/>
        <v>6260.9330543933056</v>
      </c>
      <c r="DS233" s="71">
        <f t="shared" si="766"/>
        <v>1191.9330543933054</v>
      </c>
      <c r="DT233" s="106">
        <f t="shared" si="767"/>
        <v>1.048523145280335</v>
      </c>
      <c r="DU233" s="92">
        <f t="shared" si="768"/>
        <v>3.2557894892186974E-2</v>
      </c>
      <c r="DV233" s="92" t="str">
        <f t="shared" si="769"/>
        <v/>
      </c>
      <c r="DW233" s="92">
        <f t="shared" si="770"/>
        <v>1</v>
      </c>
      <c r="DX233" s="92">
        <f t="shared" si="771"/>
        <v>5.0916930067503523E-2</v>
      </c>
      <c r="DY233" s="92">
        <f t="shared" si="772"/>
        <v>3.2499999053989571E-2</v>
      </c>
      <c r="DZ233" s="92">
        <f t="shared" si="773"/>
        <v>0.11386219352573167</v>
      </c>
      <c r="EA233" s="92">
        <f t="shared" si="774"/>
        <v>5.0916930067503523E-2</v>
      </c>
      <c r="EB233" s="92">
        <f t="shared" si="775"/>
        <v>1.7635526399934612E-2</v>
      </c>
      <c r="EC233" s="92">
        <f t="shared" si="776"/>
        <v>6.0141666953623163E-2</v>
      </c>
      <c r="ED233" s="92" t="str">
        <f t="shared" si="777"/>
        <v/>
      </c>
      <c r="EE233" s="92">
        <f t="shared" si="778"/>
        <v>0.32597324606828604</v>
      </c>
      <c r="EF233" s="92">
        <f t="shared" si="779"/>
        <v>2.26096492306854E-2</v>
      </c>
      <c r="EG233" s="92">
        <f t="shared" si="780"/>
        <v>0.34858289529897146</v>
      </c>
      <c r="EH233" s="92">
        <f t="shared" si="781"/>
        <v>0.67402675393171396</v>
      </c>
      <c r="EI233" s="92">
        <f t="shared" si="782"/>
        <v>0.56623000086654551</v>
      </c>
      <c r="EJ233" s="122">
        <f t="shared" si="783"/>
        <v>0.10779675306516839</v>
      </c>
    </row>
    <row r="234" spans="2:140" ht="12" hidden="1" customHeight="1" outlineLevel="1">
      <c r="B234" s="121">
        <v>45448</v>
      </c>
      <c r="C234" s="117">
        <v>19409</v>
      </c>
      <c r="D234" s="50" t="s">
        <v>1185</v>
      </c>
      <c r="E234" s="50" t="s">
        <v>1092</v>
      </c>
      <c r="F234" s="50" t="s">
        <v>1186</v>
      </c>
      <c r="G234" s="50" t="s">
        <v>154</v>
      </c>
      <c r="H234" s="50" t="s">
        <v>1187</v>
      </c>
      <c r="I234" s="50" t="s">
        <v>1188</v>
      </c>
      <c r="J234" s="52" t="s">
        <v>1189</v>
      </c>
      <c r="K234" s="50" t="s">
        <v>1190</v>
      </c>
      <c r="L234" s="49">
        <v>4</v>
      </c>
      <c r="M234" s="50" t="s">
        <v>893</v>
      </c>
      <c r="N234" s="50" t="s">
        <v>160</v>
      </c>
      <c r="O234" s="50" t="s">
        <v>160</v>
      </c>
      <c r="P234" s="50" t="s">
        <v>273</v>
      </c>
      <c r="Q234" s="53">
        <v>0.04</v>
      </c>
      <c r="R234" s="49">
        <v>93</v>
      </c>
      <c r="S234" s="49">
        <v>0</v>
      </c>
      <c r="T234" s="54">
        <f t="shared" si="625"/>
        <v>93</v>
      </c>
      <c r="U234" s="55">
        <v>61010</v>
      </c>
      <c r="V234" s="49">
        <v>0.84</v>
      </c>
      <c r="W234" s="56">
        <f t="shared" si="708"/>
        <v>110.71428571428572</v>
      </c>
      <c r="X234" s="49">
        <v>1925</v>
      </c>
      <c r="Y234" s="57" t="s">
        <v>162</v>
      </c>
      <c r="Z234" s="58">
        <v>11982803</v>
      </c>
      <c r="AA234" s="114">
        <f>(((4000000*2%)/(Table1[[#This Row],[Construction Loan Principal]]))+((650000*4%)/(Table1[[#This Row],[Construction Loan Principal]]))+(((650000+260000+1429000)*1.7%)/(Table1[[#This Row],[Construction Loan Principal]]))+((4993803*0.5%)/(Table1[[#This Row],[Construction Loan Principal]])))</f>
        <v>1.4248086612122389E-2</v>
      </c>
      <c r="AB234" s="59"/>
      <c r="AC234" s="60"/>
      <c r="AD234" s="61"/>
      <c r="AE234" s="62"/>
      <c r="AF234" s="63"/>
      <c r="AG234" s="59"/>
      <c r="AH234" s="60"/>
      <c r="AI234" s="61"/>
      <c r="AJ234" s="64"/>
      <c r="AK234" s="65" t="str">
        <f t="shared" si="709"/>
        <v/>
      </c>
      <c r="AL234" s="66">
        <v>0</v>
      </c>
      <c r="AM234" s="49" t="s">
        <v>163</v>
      </c>
      <c r="AN234" s="67">
        <v>0.88</v>
      </c>
      <c r="AO234" s="62">
        <v>12960104</v>
      </c>
      <c r="AP234" s="62">
        <v>0</v>
      </c>
      <c r="AQ234" s="68">
        <v>701154</v>
      </c>
      <c r="AR234" s="69" t="str">
        <f t="shared" si="710"/>
        <v/>
      </c>
      <c r="AS234" s="70" t="str">
        <f t="shared" si="711"/>
        <v/>
      </c>
      <c r="AT234" s="70">
        <f t="shared" si="712"/>
        <v>139355.95698924732</v>
      </c>
      <c r="AU234" s="70" t="str">
        <f t="shared" si="713"/>
        <v/>
      </c>
      <c r="AV234" s="71">
        <f t="shared" si="714"/>
        <v>7539.2903225806449</v>
      </c>
      <c r="AW234" s="115">
        <f t="shared" si="715"/>
        <v>155482.75268817204</v>
      </c>
      <c r="AX234" s="116">
        <f t="shared" si="716"/>
        <v>237.00862153745288</v>
      </c>
      <c r="AY234" s="72">
        <f t="shared" si="717"/>
        <v>192798.60215053763</v>
      </c>
      <c r="AZ234" s="73">
        <f t="shared" si="718"/>
        <v>293.89067366005571</v>
      </c>
      <c r="BA234" s="66">
        <v>555000</v>
      </c>
      <c r="BB234" s="62">
        <v>323175</v>
      </c>
      <c r="BC234" s="62">
        <v>14136721</v>
      </c>
      <c r="BD234" s="62">
        <v>1445990</v>
      </c>
      <c r="BE234" s="62">
        <v>2024384</v>
      </c>
      <c r="BF234" s="62">
        <v>707355</v>
      </c>
      <c r="BG234" s="62">
        <v>2258200</v>
      </c>
      <c r="BH234" s="62">
        <v>3055669</v>
      </c>
      <c r="BI234" s="62">
        <v>272962</v>
      </c>
      <c r="BJ234" s="47">
        <f t="shared" si="719"/>
        <v>24779456</v>
      </c>
      <c r="BK234" s="69">
        <f t="shared" si="720"/>
        <v>5967.7419354838712</v>
      </c>
      <c r="BL234" s="70">
        <f t="shared" si="721"/>
        <v>3475</v>
      </c>
      <c r="BM234" s="70">
        <f t="shared" si="722"/>
        <v>152007.75268817204</v>
      </c>
      <c r="BN234" s="70">
        <f t="shared" si="723"/>
        <v>15548.279569892473</v>
      </c>
      <c r="BO234" s="70">
        <f t="shared" si="724"/>
        <v>21767.569892473119</v>
      </c>
      <c r="BP234" s="70">
        <f t="shared" si="725"/>
        <v>7605.9677419354839</v>
      </c>
      <c r="BQ234" s="70">
        <f t="shared" si="726"/>
        <v>24281.720430107525</v>
      </c>
      <c r="BR234" s="70">
        <f t="shared" si="727"/>
        <v>32856.655913978495</v>
      </c>
      <c r="BS234" s="70">
        <f t="shared" si="728"/>
        <v>2935.0752688172042</v>
      </c>
      <c r="BT234" s="71">
        <f t="shared" si="729"/>
        <v>266445.7634408602</v>
      </c>
      <c r="BU234" s="65">
        <f t="shared" si="730"/>
        <v>9.0968693656777582</v>
      </c>
      <c r="BV234" s="48">
        <f t="shared" si="731"/>
        <v>5.2970824455007373</v>
      </c>
      <c r="BW234" s="48">
        <f t="shared" si="732"/>
        <v>231.71153909195215</v>
      </c>
      <c r="BX234" s="48">
        <f t="shared" si="733"/>
        <v>23.700868710047533</v>
      </c>
      <c r="BY234" s="48">
        <f t="shared" si="734"/>
        <v>33.18118341255532</v>
      </c>
      <c r="BZ234" s="48">
        <f t="shared" si="735"/>
        <v>11.594082937223407</v>
      </c>
      <c r="CA234" s="48">
        <f t="shared" si="736"/>
        <v>37.013604327159484</v>
      </c>
      <c r="CB234" s="48">
        <f t="shared" si="737"/>
        <v>50.084723815767909</v>
      </c>
      <c r="CC234" s="48">
        <f t="shared" si="738"/>
        <v>4.4740534338633013</v>
      </c>
      <c r="CD234" s="47">
        <f t="shared" si="739"/>
        <v>406.15400753974757</v>
      </c>
      <c r="CE234" s="66">
        <v>675456</v>
      </c>
      <c r="CF234" s="62">
        <v>16740</v>
      </c>
      <c r="CG234" s="74">
        <v>-47821</v>
      </c>
      <c r="CH234" s="75">
        <f t="shared" si="740"/>
        <v>644375</v>
      </c>
      <c r="CI234" s="62">
        <f>28950+15000+14570</f>
        <v>58520</v>
      </c>
      <c r="CJ234" s="62">
        <v>36000</v>
      </c>
      <c r="CK234" s="62">
        <v>99625</v>
      </c>
      <c r="CL234" s="62">
        <v>69005</v>
      </c>
      <c r="CM234" s="62">
        <f>25000+47000</f>
        <v>72000</v>
      </c>
      <c r="CN234" s="62">
        <v>28365</v>
      </c>
      <c r="CO234" s="62">
        <v>0</v>
      </c>
      <c r="CP234" s="75">
        <f t="shared" si="626"/>
        <v>363515</v>
      </c>
      <c r="CQ234" s="62">
        <v>23250</v>
      </c>
      <c r="CR234" s="75">
        <f t="shared" si="627"/>
        <v>386765</v>
      </c>
      <c r="CS234" s="75">
        <f t="shared" si="741"/>
        <v>280860</v>
      </c>
      <c r="CT234" s="62">
        <v>178822</v>
      </c>
      <c r="CU234" s="47">
        <f t="shared" si="742"/>
        <v>102038</v>
      </c>
      <c r="CV234" s="76">
        <f t="shared" si="743"/>
        <v>0.43586420950533461</v>
      </c>
      <c r="CW234" s="75">
        <f t="shared" si="744"/>
        <v>4158.7634408602153</v>
      </c>
      <c r="CX234" s="77">
        <f t="shared" si="745"/>
        <v>0.60021726479146464</v>
      </c>
      <c r="CY234" s="75">
        <f t="shared" si="746"/>
        <v>1097.1827956989248</v>
      </c>
      <c r="CZ234" s="77">
        <f t="shared" si="747"/>
        <v>0.15835189136760427</v>
      </c>
      <c r="DA234" s="77">
        <f t="shared" si="748"/>
        <v>0.27751231813773036</v>
      </c>
      <c r="DB234" s="47" t="str">
        <f t="shared" si="749"/>
        <v/>
      </c>
      <c r="DC234" s="69">
        <f t="shared" si="750"/>
        <v>7262.9677419354839</v>
      </c>
      <c r="DD234" s="70">
        <f t="shared" si="751"/>
        <v>180</v>
      </c>
      <c r="DE234" s="70">
        <f t="shared" si="752"/>
        <v>-514.20430107526886</v>
      </c>
      <c r="DF234" s="70">
        <f t="shared" si="753"/>
        <v>6928.7634408602153</v>
      </c>
      <c r="DG234" s="70">
        <f t="shared" si="754"/>
        <v>629.24731182795699</v>
      </c>
      <c r="DH234" s="70">
        <f t="shared" si="755"/>
        <v>387.09677419354841</v>
      </c>
      <c r="DI234" s="70">
        <f t="shared" si="756"/>
        <v>1071.236559139785</v>
      </c>
      <c r="DJ234" s="70">
        <f t="shared" si="757"/>
        <v>741.98924731182797</v>
      </c>
      <c r="DK234" s="70">
        <f t="shared" si="758"/>
        <v>774.19354838709683</v>
      </c>
      <c r="DL234" s="70">
        <f t="shared" si="759"/>
        <v>305</v>
      </c>
      <c r="DM234" s="70" t="str">
        <f t="shared" si="760"/>
        <v/>
      </c>
      <c r="DN234" s="70">
        <f t="shared" si="761"/>
        <v>3908.7634408602153</v>
      </c>
      <c r="DO234" s="70">
        <f t="shared" si="762"/>
        <v>250</v>
      </c>
      <c r="DP234" s="70">
        <f t="shared" si="763"/>
        <v>4158.7634408602153</v>
      </c>
      <c r="DQ234" s="70">
        <f t="shared" si="764"/>
        <v>3020</v>
      </c>
      <c r="DR234" s="70">
        <f t="shared" si="765"/>
        <v>1922.8172043010752</v>
      </c>
      <c r="DS234" s="71">
        <f t="shared" si="766"/>
        <v>1097.1827956989248</v>
      </c>
      <c r="DT234" s="106">
        <f t="shared" si="767"/>
        <v>1.0482343355965082</v>
      </c>
      <c r="DU234" s="92">
        <f t="shared" si="768"/>
        <v>2.5978661493695442E-2</v>
      </c>
      <c r="DV234" s="92" t="str">
        <f t="shared" si="769"/>
        <v/>
      </c>
      <c r="DW234" s="92">
        <f t="shared" si="770"/>
        <v>1</v>
      </c>
      <c r="DX234" s="92">
        <f t="shared" si="771"/>
        <v>9.0816682832201748E-2</v>
      </c>
      <c r="DY234" s="92">
        <f t="shared" si="772"/>
        <v>5.5868089233753637E-2</v>
      </c>
      <c r="DZ234" s="92">
        <f t="shared" si="773"/>
        <v>0.15460717749757516</v>
      </c>
      <c r="EA234" s="92">
        <f t="shared" si="774"/>
        <v>0.1070882638215325</v>
      </c>
      <c r="EB234" s="92">
        <f t="shared" si="775"/>
        <v>0.11173617846750727</v>
      </c>
      <c r="EC234" s="92">
        <f t="shared" si="776"/>
        <v>4.4019398642095052E-2</v>
      </c>
      <c r="ED234" s="92" t="str">
        <f t="shared" si="777"/>
        <v/>
      </c>
      <c r="EE234" s="92">
        <f t="shared" si="778"/>
        <v>0.56413579049466533</v>
      </c>
      <c r="EF234" s="92">
        <f t="shared" si="779"/>
        <v>3.6081474296799226E-2</v>
      </c>
      <c r="EG234" s="92">
        <f t="shared" si="780"/>
        <v>0.60021726479146464</v>
      </c>
      <c r="EH234" s="92">
        <f t="shared" si="781"/>
        <v>0.43586420950533461</v>
      </c>
      <c r="EI234" s="92">
        <f t="shared" si="782"/>
        <v>0.27751231813773036</v>
      </c>
      <c r="EJ234" s="122">
        <f t="shared" si="783"/>
        <v>0.15835189136760427</v>
      </c>
    </row>
    <row r="235" spans="2:140" ht="12" hidden="1" customHeight="1" outlineLevel="1">
      <c r="B235" s="121">
        <v>45450</v>
      </c>
      <c r="C235" s="117">
        <v>24429</v>
      </c>
      <c r="D235" s="50" t="s">
        <v>1191</v>
      </c>
      <c r="E235" s="50" t="s">
        <v>417</v>
      </c>
      <c r="F235" s="50" t="s">
        <v>163</v>
      </c>
      <c r="G235" s="50" t="s">
        <v>291</v>
      </c>
      <c r="H235" s="50" t="s">
        <v>1175</v>
      </c>
      <c r="I235" s="50" t="s">
        <v>391</v>
      </c>
      <c r="J235" s="52" t="s">
        <v>360</v>
      </c>
      <c r="K235" s="50" t="s">
        <v>294</v>
      </c>
      <c r="L235" s="49">
        <v>7</v>
      </c>
      <c r="M235" s="50" t="s">
        <v>159</v>
      </c>
      <c r="N235" s="50" t="s">
        <v>160</v>
      </c>
      <c r="O235" s="50" t="s">
        <v>160</v>
      </c>
      <c r="P235" s="50" t="s">
        <v>177</v>
      </c>
      <c r="Q235" s="53">
        <v>0.04</v>
      </c>
      <c r="R235" s="49">
        <v>114</v>
      </c>
      <c r="S235" s="49">
        <v>0</v>
      </c>
      <c r="T235" s="54">
        <f t="shared" si="625"/>
        <v>114</v>
      </c>
      <c r="U235" s="55">
        <v>111307</v>
      </c>
      <c r="V235" s="49">
        <v>57.1</v>
      </c>
      <c r="W235" s="56">
        <f t="shared" si="708"/>
        <v>1.9964973730297724</v>
      </c>
      <c r="X235" s="49" t="s">
        <v>163</v>
      </c>
      <c r="Y235" s="57" t="s">
        <v>162</v>
      </c>
      <c r="Z235" s="58">
        <f>8500000+4900000</f>
        <v>13400000</v>
      </c>
      <c r="AA235" s="114">
        <f>(((8500000*6.65%)/(Table1[[#This Row],[Construction Loan Principal]]))+((4900000*2%)/(Table1[[#This Row],[Construction Loan Principal]])))</f>
        <v>4.9496268656716413E-2</v>
      </c>
      <c r="AB235" s="59"/>
      <c r="AC235" s="60"/>
      <c r="AD235" s="61"/>
      <c r="AE235" s="62"/>
      <c r="AF235" s="63"/>
      <c r="AG235" s="59"/>
      <c r="AH235" s="60"/>
      <c r="AI235" s="61"/>
      <c r="AJ235" s="64"/>
      <c r="AK235" s="65" t="str">
        <f t="shared" si="709"/>
        <v/>
      </c>
      <c r="AL235" s="66">
        <v>750000</v>
      </c>
      <c r="AM235" s="49" t="s">
        <v>951</v>
      </c>
      <c r="AN235" s="67">
        <v>0.84</v>
      </c>
      <c r="AO235" s="62">
        <v>20305127</v>
      </c>
      <c r="AP235" s="62">
        <v>0</v>
      </c>
      <c r="AQ235" s="68">
        <v>1974813</v>
      </c>
      <c r="AR235" s="69" t="str">
        <f t="shared" si="710"/>
        <v/>
      </c>
      <c r="AS235" s="70">
        <f t="shared" si="711"/>
        <v>6578.9473684210525</v>
      </c>
      <c r="AT235" s="70">
        <f t="shared" si="712"/>
        <v>178115.14912280702</v>
      </c>
      <c r="AU235" s="70" t="str">
        <f t="shared" si="713"/>
        <v/>
      </c>
      <c r="AV235" s="71">
        <f t="shared" si="714"/>
        <v>17322.92105263158</v>
      </c>
      <c r="AW235" s="115">
        <f t="shared" si="715"/>
        <v>273098.35087719298</v>
      </c>
      <c r="AX235" s="116">
        <f t="shared" si="716"/>
        <v>279.70578669805133</v>
      </c>
      <c r="AY235" s="72">
        <f t="shared" si="717"/>
        <v>330845.63157894742</v>
      </c>
      <c r="AZ235" s="73">
        <f t="shared" si="718"/>
        <v>338.85022505323116</v>
      </c>
      <c r="BA235" s="66">
        <v>0</v>
      </c>
      <c r="BB235" s="62">
        <v>2022268</v>
      </c>
      <c r="BC235" s="62">
        <v>29110944</v>
      </c>
      <c r="BD235" s="62">
        <v>1978368</v>
      </c>
      <c r="BE235" s="62">
        <v>4604822</v>
      </c>
      <c r="BF235" s="62">
        <v>2122890</v>
      </c>
      <c r="BG235" s="62">
        <v>5177687</v>
      </c>
      <c r="BH235" s="62">
        <v>3075000</v>
      </c>
      <c r="BI235" s="62">
        <v>724034</v>
      </c>
      <c r="BJ235" s="47">
        <f t="shared" si="719"/>
        <v>48816013</v>
      </c>
      <c r="BK235" s="69" t="str">
        <f t="shared" si="720"/>
        <v/>
      </c>
      <c r="BL235" s="70">
        <f t="shared" si="721"/>
        <v>17739.192982456141</v>
      </c>
      <c r="BM235" s="70">
        <f t="shared" si="722"/>
        <v>255359.15789473685</v>
      </c>
      <c r="BN235" s="70">
        <f t="shared" si="723"/>
        <v>17354.105263157893</v>
      </c>
      <c r="BO235" s="70">
        <f t="shared" si="724"/>
        <v>40393.175438596489</v>
      </c>
      <c r="BP235" s="70">
        <f t="shared" si="725"/>
        <v>18621.842105263157</v>
      </c>
      <c r="BQ235" s="70">
        <f t="shared" si="726"/>
        <v>45418.307017543862</v>
      </c>
      <c r="BR235" s="70">
        <f t="shared" si="727"/>
        <v>26973.684210526317</v>
      </c>
      <c r="BS235" s="70">
        <f t="shared" si="728"/>
        <v>6351.1754385964914</v>
      </c>
      <c r="BT235" s="71">
        <f t="shared" si="729"/>
        <v>428210.64035087719</v>
      </c>
      <c r="BU235" s="65" t="str">
        <f t="shared" si="730"/>
        <v/>
      </c>
      <c r="BV235" s="48">
        <f t="shared" si="731"/>
        <v>18.168381144043053</v>
      </c>
      <c r="BW235" s="48">
        <f t="shared" si="732"/>
        <v>261.53740555400827</v>
      </c>
      <c r="BX235" s="48">
        <f t="shared" si="733"/>
        <v>17.7739764794667</v>
      </c>
      <c r="BY235" s="48">
        <f t="shared" si="734"/>
        <v>41.370461875713119</v>
      </c>
      <c r="BZ235" s="48">
        <f t="shared" si="735"/>
        <v>19.07238538456701</v>
      </c>
      <c r="CA235" s="48">
        <f t="shared" si="736"/>
        <v>46.517173223606783</v>
      </c>
      <c r="CB235" s="48">
        <f t="shared" si="737"/>
        <v>27.626294842193214</v>
      </c>
      <c r="CC235" s="48">
        <f t="shared" si="738"/>
        <v>6.5048379706577304</v>
      </c>
      <c r="CD235" s="47">
        <f t="shared" si="739"/>
        <v>438.57091647425591</v>
      </c>
      <c r="CE235" s="66">
        <v>1889496</v>
      </c>
      <c r="CF235" s="62">
        <v>41040</v>
      </c>
      <c r="CG235" s="74">
        <v>-144790</v>
      </c>
      <c r="CH235" s="75">
        <f t="shared" si="740"/>
        <v>1785746</v>
      </c>
      <c r="CI235" s="62">
        <f>44800+12000+4560+680+5000+8500+100</f>
        <v>75640</v>
      </c>
      <c r="CJ235" s="62">
        <v>82953</v>
      </c>
      <c r="CK235" s="62">
        <v>137500</v>
      </c>
      <c r="CL235" s="62">
        <v>84500</v>
      </c>
      <c r="CM235" s="62">
        <f>18000+64400</f>
        <v>82400</v>
      </c>
      <c r="CN235" s="62">
        <v>110000</v>
      </c>
      <c r="CO235" s="62">
        <v>147500</v>
      </c>
      <c r="CP235" s="75">
        <f t="shared" si="626"/>
        <v>720493</v>
      </c>
      <c r="CQ235" s="62">
        <v>34200</v>
      </c>
      <c r="CR235" s="75">
        <f t="shared" si="627"/>
        <v>754693</v>
      </c>
      <c r="CS235" s="75">
        <f t="shared" si="741"/>
        <v>1065253</v>
      </c>
      <c r="CT235" s="62">
        <v>786160</v>
      </c>
      <c r="CU235" s="47">
        <f t="shared" si="742"/>
        <v>279093</v>
      </c>
      <c r="CV235" s="76">
        <f t="shared" si="743"/>
        <v>0.59653108560791956</v>
      </c>
      <c r="CW235" s="75">
        <f t="shared" si="744"/>
        <v>6620.1140350877195</v>
      </c>
      <c r="CX235" s="77">
        <f t="shared" si="745"/>
        <v>0.42262057425860117</v>
      </c>
      <c r="CY235" s="75">
        <f t="shared" si="746"/>
        <v>2448.1842105263158</v>
      </c>
      <c r="CZ235" s="77">
        <f t="shared" si="747"/>
        <v>0.15628930430195559</v>
      </c>
      <c r="DA235" s="77">
        <f t="shared" si="748"/>
        <v>0.44024178130596403</v>
      </c>
      <c r="DB235" s="47" t="str">
        <f t="shared" si="749"/>
        <v/>
      </c>
      <c r="DC235" s="69">
        <f t="shared" si="750"/>
        <v>16574.526315789473</v>
      </c>
      <c r="DD235" s="70">
        <f t="shared" si="751"/>
        <v>360</v>
      </c>
      <c r="DE235" s="70">
        <f t="shared" si="752"/>
        <v>-1270.0877192982457</v>
      </c>
      <c r="DF235" s="70">
        <f t="shared" si="753"/>
        <v>15664.438596491229</v>
      </c>
      <c r="DG235" s="70">
        <f t="shared" si="754"/>
        <v>663.50877192982455</v>
      </c>
      <c r="DH235" s="70">
        <f t="shared" si="755"/>
        <v>727.65789473684208</v>
      </c>
      <c r="DI235" s="70">
        <f t="shared" si="756"/>
        <v>1206.140350877193</v>
      </c>
      <c r="DJ235" s="70">
        <f t="shared" si="757"/>
        <v>741.22807017543857</v>
      </c>
      <c r="DK235" s="70">
        <f t="shared" si="758"/>
        <v>722.80701754385962</v>
      </c>
      <c r="DL235" s="70">
        <f t="shared" si="759"/>
        <v>964.91228070175441</v>
      </c>
      <c r="DM235" s="70">
        <f t="shared" si="760"/>
        <v>1293.859649122807</v>
      </c>
      <c r="DN235" s="70">
        <f t="shared" si="761"/>
        <v>6320.1140350877195</v>
      </c>
      <c r="DO235" s="70">
        <f t="shared" si="762"/>
        <v>300</v>
      </c>
      <c r="DP235" s="70">
        <f t="shared" si="763"/>
        <v>6620.1140350877195</v>
      </c>
      <c r="DQ235" s="70">
        <f t="shared" si="764"/>
        <v>9344.3245614035095</v>
      </c>
      <c r="DR235" s="70">
        <f t="shared" si="765"/>
        <v>6896.1403508771928</v>
      </c>
      <c r="DS235" s="71">
        <f t="shared" si="766"/>
        <v>2448.1842105263158</v>
      </c>
      <c r="DT235" s="106">
        <f t="shared" si="767"/>
        <v>1.0580989681623254</v>
      </c>
      <c r="DU235" s="92">
        <f t="shared" si="768"/>
        <v>2.2981991839824925E-2</v>
      </c>
      <c r="DV235" s="92" t="str">
        <f t="shared" si="769"/>
        <v/>
      </c>
      <c r="DW235" s="92">
        <f t="shared" si="770"/>
        <v>1</v>
      </c>
      <c r="DX235" s="92">
        <f t="shared" si="771"/>
        <v>4.2357647728176351E-2</v>
      </c>
      <c r="DY235" s="92">
        <f t="shared" si="772"/>
        <v>4.6452854997295248E-2</v>
      </c>
      <c r="DZ235" s="92">
        <f t="shared" si="773"/>
        <v>7.6998632504286721E-2</v>
      </c>
      <c r="EA235" s="92">
        <f t="shared" si="774"/>
        <v>4.7319159611725295E-2</v>
      </c>
      <c r="EB235" s="92">
        <f t="shared" si="775"/>
        <v>4.6143180497114369E-2</v>
      </c>
      <c r="EC235" s="92">
        <f t="shared" si="776"/>
        <v>6.1598906003429377E-2</v>
      </c>
      <c r="ED235" s="92">
        <f t="shared" si="777"/>
        <v>8.2598533050053033E-2</v>
      </c>
      <c r="EE235" s="92">
        <f t="shared" si="778"/>
        <v>0.40346891439208038</v>
      </c>
      <c r="EF235" s="92">
        <f t="shared" si="779"/>
        <v>1.915165986652077E-2</v>
      </c>
      <c r="EG235" s="92">
        <f t="shared" si="780"/>
        <v>0.42262057425860117</v>
      </c>
      <c r="EH235" s="92">
        <f t="shared" si="781"/>
        <v>0.59653108560791956</v>
      </c>
      <c r="EI235" s="92">
        <f t="shared" si="782"/>
        <v>0.44024178130596403</v>
      </c>
      <c r="EJ235" s="122">
        <f t="shared" si="783"/>
        <v>0.15628930430195559</v>
      </c>
    </row>
    <row r="236" spans="2:140" ht="12" hidden="1" customHeight="1" outlineLevel="1">
      <c r="B236" s="121">
        <v>45450</v>
      </c>
      <c r="C236" s="117">
        <v>24602</v>
      </c>
      <c r="D236" s="50" t="s">
        <v>1192</v>
      </c>
      <c r="E236" s="50" t="s">
        <v>1193</v>
      </c>
      <c r="F236" s="50" t="s">
        <v>1194</v>
      </c>
      <c r="G236" s="50" t="s">
        <v>162</v>
      </c>
      <c r="H236" s="50" t="s">
        <v>1195</v>
      </c>
      <c r="I236" s="50" t="s">
        <v>321</v>
      </c>
      <c r="J236" s="52" t="s">
        <v>574</v>
      </c>
      <c r="K236" s="50" t="s">
        <v>312</v>
      </c>
      <c r="L236" s="49">
        <v>10</v>
      </c>
      <c r="M236" s="50" t="s">
        <v>159</v>
      </c>
      <c r="N236" s="50" t="s">
        <v>160</v>
      </c>
      <c r="O236" s="50" t="s">
        <v>160</v>
      </c>
      <c r="P236" s="50" t="s">
        <v>923</v>
      </c>
      <c r="Q236" s="53">
        <v>0.04</v>
      </c>
      <c r="R236" s="49">
        <v>151</v>
      </c>
      <c r="S236" s="49">
        <v>0</v>
      </c>
      <c r="T236" s="54">
        <f t="shared" si="625"/>
        <v>151</v>
      </c>
      <c r="U236" s="55">
        <v>125933</v>
      </c>
      <c r="V236" s="49">
        <v>9.5399999999999991</v>
      </c>
      <c r="W236" s="56">
        <f t="shared" ref="W236:W326" si="784">IFERROR(IF(T236&gt;0,T236/V236,""),"")</f>
        <v>15.828092243186584</v>
      </c>
      <c r="X236" s="49">
        <v>1971</v>
      </c>
      <c r="Y236" s="57" t="s">
        <v>162</v>
      </c>
      <c r="Z236" s="58">
        <v>23810000</v>
      </c>
      <c r="AA236" s="114">
        <v>0.06</v>
      </c>
      <c r="AB236" s="59"/>
      <c r="AC236" s="60"/>
      <c r="AD236" s="61"/>
      <c r="AE236" s="62"/>
      <c r="AF236" s="63"/>
      <c r="AG236" s="59"/>
      <c r="AH236" s="60"/>
      <c r="AI236" s="61"/>
      <c r="AJ236" s="64"/>
      <c r="AK236" s="65" t="str">
        <f t="shared" ref="AK236:AK326" si="785">IFERROR(IF(AE236&gt;0,AJ236+AE236,""),"")</f>
        <v/>
      </c>
      <c r="AL236" s="66">
        <v>0</v>
      </c>
      <c r="AM236" s="49" t="s">
        <v>163</v>
      </c>
      <c r="AN236" s="67">
        <v>0.89</v>
      </c>
      <c r="AO236" s="62">
        <f>19712017+712000</f>
        <v>20424017</v>
      </c>
      <c r="AP236" s="62">
        <v>878429</v>
      </c>
      <c r="AQ236" s="68">
        <v>5571997</v>
      </c>
      <c r="AR236" s="69" t="str">
        <f t="shared" ref="AR236:AR326" si="786">IFERROR(IF(AK236&gt;0,AK236/T236,""),"")</f>
        <v/>
      </c>
      <c r="AS236" s="70" t="str">
        <f t="shared" ref="AS236:AS326" si="787">IFERROR(IF(AL236&gt;0,AL236/T236,""),"")</f>
        <v/>
      </c>
      <c r="AT236" s="70">
        <f t="shared" ref="AT236:AT326" si="788">IFERROR(IF(AO236&gt;0,AO236/T236,""),"")</f>
        <v>135258.39072847684</v>
      </c>
      <c r="AU236" s="70">
        <f t="shared" ref="AU236:AU326" si="789">IFERROR(IF(AP236&gt;0,AP236/T236,""),"")</f>
        <v>5817.4105960264897</v>
      </c>
      <c r="AV236" s="71">
        <f t="shared" ref="AV236:AV326" si="790">IFERROR(IF(AQ236&gt;0,AQ236/T236,""),"")</f>
        <v>36900.642384105959</v>
      </c>
      <c r="AW236" s="115">
        <f t="shared" ref="AW236:AW326" si="791">IFERROR(IF(SUM(BB236:BC236)&gt;0,SUM(BB236:BC236)/T236,""),"")</f>
        <v>84419.145695364234</v>
      </c>
      <c r="AX236" s="116">
        <f t="shared" ref="AX236:AX326" si="792">IFERROR(IF(SUM(BB236:BC236)&gt;0,SUM(BB236:BC236)/U236,""),"")</f>
        <v>101.2228010132372</v>
      </c>
      <c r="AY236" s="72">
        <f t="shared" ref="AY236:AY326" si="793">IFERROR(IF(SUM(BL236:BO236)&gt;0,SUM(BL236:BO236),""),"")</f>
        <v>104781.03973509934</v>
      </c>
      <c r="AZ236" s="73">
        <f t="shared" ref="AZ236:AZ326" si="794">IFERROR(IF(SUM(BV236:BY236)&gt;0,SUM(BV236:BY236),""),"")</f>
        <v>125.63773593895166</v>
      </c>
      <c r="BA236" s="66">
        <v>23480000</v>
      </c>
      <c r="BB236" s="62">
        <v>1229085</v>
      </c>
      <c r="BC236" s="62">
        <v>11518206</v>
      </c>
      <c r="BD236" s="62">
        <v>1274729</v>
      </c>
      <c r="BE236" s="62">
        <v>1799917</v>
      </c>
      <c r="BF236" s="62">
        <v>3302705</v>
      </c>
      <c r="BG236" s="62">
        <v>3851163</v>
      </c>
      <c r="BH236" s="62">
        <v>6338638</v>
      </c>
      <c r="BI236" s="62">
        <v>890000</v>
      </c>
      <c r="BJ236" s="47">
        <f t="shared" ref="BJ236:BJ326" si="795">IFERROR(IF(SUM(BA236:BI236)&gt;0,SUM(BA236:BI236),""),"")</f>
        <v>53684443</v>
      </c>
      <c r="BK236" s="69">
        <f t="shared" ref="BK236:BK326" si="796">IFERROR(IF(BA236&gt;0,BA236/$T236,""),"")</f>
        <v>155496.68874172185</v>
      </c>
      <c r="BL236" s="70">
        <f t="shared" ref="BL236:BL326" si="797">IFERROR(IF(BB236&gt;0,BB236/$T236,""),"")</f>
        <v>8139.635761589404</v>
      </c>
      <c r="BM236" s="70">
        <f t="shared" ref="BM236:BM326" si="798">IFERROR(IF(BC236&gt;0,BC236/$T236,""),"")</f>
        <v>76279.50993377484</v>
      </c>
      <c r="BN236" s="70">
        <f t="shared" ref="BN236:BN326" si="799">IFERROR(IF(BD236&gt;0,BD236/$T236,""),"")</f>
        <v>8441.9139072847684</v>
      </c>
      <c r="BO236" s="70">
        <f t="shared" ref="BO236:BO326" si="800">IFERROR(IF(BE236&gt;0,BE236/$T236,""),"")</f>
        <v>11919.980132450331</v>
      </c>
      <c r="BP236" s="70">
        <f t="shared" ref="BP236:BP326" si="801">IFERROR(IF(BF236&gt;0,BF236/$T236,""),"")</f>
        <v>21872.218543046358</v>
      </c>
      <c r="BQ236" s="70">
        <f t="shared" ref="BQ236:BQ326" si="802">IFERROR(IF(BG236&gt;0,BG236/$T236,""),"")</f>
        <v>25504.390728476821</v>
      </c>
      <c r="BR236" s="70">
        <f t="shared" ref="BR236:BR326" si="803">IFERROR(IF(BH236&gt;0,BH236/$T236,""),"")</f>
        <v>41977.735099337748</v>
      </c>
      <c r="BS236" s="70">
        <f t="shared" ref="BS236:BS326" si="804">IFERROR(IF(BI236&gt;0,BI236/$T236,""),"")</f>
        <v>5894.039735099338</v>
      </c>
      <c r="BT236" s="71">
        <f t="shared" ref="BT236:BT326" si="805">IFERROR(IF(BJ236&gt;0,BJ236/$T236,""),"")</f>
        <v>355526.11258278147</v>
      </c>
      <c r="BU236" s="65">
        <f t="shared" ref="BU236:BU326" si="806">IFERROR(IF(BA236&gt;0,BA236/$U236,""),"")</f>
        <v>186.44834951918878</v>
      </c>
      <c r="BV236" s="48">
        <f t="shared" ref="BV236:BV326" si="807">IFERROR(IF(BB236&gt;0,BB236/$U236,""),"")</f>
        <v>9.7598326094034125</v>
      </c>
      <c r="BW236" s="48">
        <f t="shared" ref="BW236:BW326" si="808">IFERROR(IF(BC236&gt;0,BC236/$U236,""),"")</f>
        <v>91.462968403833784</v>
      </c>
      <c r="BX236" s="48">
        <f t="shared" ref="BX236:BX326" si="809">IFERROR(IF(BD236&gt;0,BD236/$U236,""),"")</f>
        <v>10.122279307250681</v>
      </c>
      <c r="BY236" s="48">
        <f t="shared" ref="BY236:BY326" si="810">IFERROR(IF(BE236&gt;0,BE236/$U236,""),"")</f>
        <v>14.292655618463787</v>
      </c>
      <c r="BZ236" s="48">
        <f t="shared" ref="BZ236:BZ326" si="811">IFERROR(IF(BF236&gt;0,BF236/$U236,""),"")</f>
        <v>26.225889957358277</v>
      </c>
      <c r="CA236" s="48">
        <f t="shared" ref="CA236:CA326" si="812">IFERROR(IF(BG236&gt;0,BG236/$U236,""),"")</f>
        <v>30.581047064709011</v>
      </c>
      <c r="CB236" s="48">
        <f t="shared" ref="CB236:CB326" si="813">IFERROR(IF(BH236&gt;0,BH236/$U236,""),"")</f>
        <v>50.333415387547348</v>
      </c>
      <c r="CC236" s="48">
        <f t="shared" ref="CC236:CC326" si="814">IFERROR(IF(BI236&gt;0,BI236/$U236,""),"")</f>
        <v>7.0672500456591996</v>
      </c>
      <c r="CD236" s="47">
        <f t="shared" ref="CD236:CD326" si="815">IFERROR(IF(BJ236&gt;0,BJ236/$U236,""),"")</f>
        <v>426.29368791341426</v>
      </c>
      <c r="CE236" s="66">
        <v>3050100</v>
      </c>
      <c r="CF236" s="62">
        <v>15855</v>
      </c>
      <c r="CG236" s="74">
        <v>-153298</v>
      </c>
      <c r="CH236" s="75">
        <f t="shared" ref="CH236:CH326" si="816">IFERROR(IF(SUM(CE236:CG236)&gt;0,SUM(CE236:CG236),""),"")</f>
        <v>2912657</v>
      </c>
      <c r="CI236" s="62">
        <f>39733+8225+6040+3775</f>
        <v>57773</v>
      </c>
      <c r="CJ236" s="62">
        <v>116506</v>
      </c>
      <c r="CK236" s="62">
        <v>243210</v>
      </c>
      <c r="CL236" s="62">
        <f>112125+12324</f>
        <v>124449</v>
      </c>
      <c r="CM236" s="62">
        <f>43419+107370</f>
        <v>150789</v>
      </c>
      <c r="CN236" s="62">
        <v>127448</v>
      </c>
      <c r="CO236" s="62">
        <v>140000</v>
      </c>
      <c r="CP236" s="75">
        <f t="shared" si="626"/>
        <v>960175</v>
      </c>
      <c r="CQ236" s="62">
        <v>45300</v>
      </c>
      <c r="CR236" s="75">
        <f t="shared" si="627"/>
        <v>1005475</v>
      </c>
      <c r="CS236" s="75">
        <f t="shared" ref="CS236:CS326" si="817">IFERROR(IF(CH236-CR236&gt;0,CH236-CP236,""),"")</f>
        <v>1952482</v>
      </c>
      <c r="CT236" s="62">
        <v>1631273</v>
      </c>
      <c r="CU236" s="47">
        <f t="shared" ref="CU236:CU326" si="818">IFERROR(IF(CS236-CT236&gt;0,CS236-CT236,""),"")</f>
        <v>321209</v>
      </c>
      <c r="CV236" s="76">
        <f t="shared" ref="CV236:CV326" si="819">IFERROR(IF(CU236&gt;0,CS236/CH236,""),"")</f>
        <v>0.67034395055785834</v>
      </c>
      <c r="CW236" s="75">
        <f t="shared" ref="CW236:CW326" si="820">IFERROR(IF(CU236&gt;0,CR236/T236,""),"")</f>
        <v>6658.7748344370857</v>
      </c>
      <c r="CX236" s="77">
        <f t="shared" ref="CX236:CX326" si="821">IFERROR(IF(CU236&gt;0,CR236/CH236,""),"")</f>
        <v>0.3452088591275938</v>
      </c>
      <c r="CY236" s="75">
        <f t="shared" ref="CY236:CY326" si="822">IFERROR(IF(CU236&gt;0,CU236/T236,""),"")</f>
        <v>2127.2119205298013</v>
      </c>
      <c r="CZ236" s="77">
        <f t="shared" ref="CZ236:CZ326" si="823">IFERROR(IF(CU236&gt;0,CU236/CH236,""),"")</f>
        <v>0.11028040720208387</v>
      </c>
      <c r="DA236" s="77">
        <f t="shared" ref="DA236:DA326" si="824">IFERROR(IF(CT236&gt;0,CT236/CH236,""),"")</f>
        <v>0.56006354335577446</v>
      </c>
      <c r="DB236" s="47" t="str">
        <f t="shared" ref="DB236:DB326" si="825">IFERROR(IF(AR236&gt;0,AR236,""),"")</f>
        <v/>
      </c>
      <c r="DC236" s="69">
        <f t="shared" ref="DC236:DC326" si="826">IFERROR(IF(ABS(CE236)&gt;0,CE236/$T236,""),"")</f>
        <v>20199.337748344369</v>
      </c>
      <c r="DD236" s="70">
        <f t="shared" ref="DD236:DD326" si="827">IFERROR(IF(ABS(CF236)&gt;0,CF236/$T236,""),"")</f>
        <v>105</v>
      </c>
      <c r="DE236" s="70">
        <f t="shared" ref="DE236:DE326" si="828">IFERROR(IF(ABS(CG236)&gt;0,CG236/$T236,""),"")</f>
        <v>-1015.2185430463576</v>
      </c>
      <c r="DF236" s="70">
        <f t="shared" ref="DF236:DF326" si="829">IFERROR(IF(ABS(CH236)&gt;0,CH236/$T236,""),"")</f>
        <v>19289.119205298015</v>
      </c>
      <c r="DG236" s="70">
        <f t="shared" ref="DG236:DG326" si="830">IFERROR(IF(ABS(CI236)&gt;0,CI236/$T236,""),"")</f>
        <v>382.60264900662253</v>
      </c>
      <c r="DH236" s="70">
        <f t="shared" ref="DH236:DH326" si="831">IFERROR(IF(ABS(CJ236)&gt;0,CJ236/$T236,""),"")</f>
        <v>771.56291390728472</v>
      </c>
      <c r="DI236" s="70">
        <f t="shared" ref="DI236:DI326" si="832">IFERROR(IF(ABS(CK236)&gt;0,CK236/$T236,""),"")</f>
        <v>1610.6622516556292</v>
      </c>
      <c r="DJ236" s="70">
        <f t="shared" ref="DJ236:DJ326" si="833">IFERROR(IF(ABS(CL236)&gt;0,CL236/$T236,""),"")</f>
        <v>824.16556291390725</v>
      </c>
      <c r="DK236" s="70">
        <f t="shared" ref="DK236:DK326" si="834">IFERROR(IF(ABS(CM236)&gt;0,CM236/$T236,""),"")</f>
        <v>998.60264900662253</v>
      </c>
      <c r="DL236" s="70">
        <f t="shared" ref="DL236:DL326" si="835">IFERROR(IF(ABS(CN236)&gt;0,CN236/$T236,""),"")</f>
        <v>844.02649006622516</v>
      </c>
      <c r="DM236" s="70">
        <f t="shared" ref="DM236:DM326" si="836">IFERROR(IF(ABS(CO236)&gt;0,CO236/$T236,""),"")</f>
        <v>927.15231788079473</v>
      </c>
      <c r="DN236" s="70">
        <f t="shared" ref="DN236:DN326" si="837">IFERROR(IF(ABS(CP236)&gt;0,CP236/$T236,""),"")</f>
        <v>6358.7748344370857</v>
      </c>
      <c r="DO236" s="70">
        <f t="shared" ref="DO236:DO326" si="838">IFERROR(IF(ABS(CQ236)&gt;0,CQ236/$T236,""),"")</f>
        <v>300</v>
      </c>
      <c r="DP236" s="70">
        <f t="shared" ref="DP236:DP326" si="839">IFERROR(IF(ABS(CR236)&gt;0,CR236/$T236,""),"")</f>
        <v>6658.7748344370857</v>
      </c>
      <c r="DQ236" s="70">
        <f t="shared" ref="DQ236:DQ326" si="840">IFERROR(IF(ABS(CS236)&gt;0,CS236/$T236,""),"")</f>
        <v>12930.344370860927</v>
      </c>
      <c r="DR236" s="70">
        <f t="shared" ref="DR236:DR326" si="841">IFERROR(IF(ABS(CT236)&gt;0,CT236/$T236,""),"")</f>
        <v>10803.132450331126</v>
      </c>
      <c r="DS236" s="71">
        <f t="shared" ref="DS236:DS326" si="842">IFERROR(IF(ABS(CU236)&gt;0,CU236/$T236,""),"")</f>
        <v>2127.2119205298013</v>
      </c>
      <c r="DT236" s="106">
        <f t="shared" ref="DT236:DT326" si="843">IFERROR(IF(ABS(CE236&gt;0),CE236/$CH236,""),"")</f>
        <v>1.0471881859072318</v>
      </c>
      <c r="DU236" s="92">
        <f t="shared" ref="DU236:DU326" si="844">IFERROR(IF(ABS(CF236&gt;0),CF236/$CH236,""),"")</f>
        <v>5.4434833899082522E-3</v>
      </c>
      <c r="DV236" s="92" t="str">
        <f t="shared" ref="DV236:DV326" si="845">IFERROR(IF(ABS(CG236&gt;0),CG236/$CH236,""),"")</f>
        <v/>
      </c>
      <c r="DW236" s="92">
        <f t="shared" ref="DW236:DW326" si="846">IFERROR(IF(ABS(CH236&gt;0),CH236/$CH236,""),"")</f>
        <v>1</v>
      </c>
      <c r="DX236" s="92">
        <f t="shared" ref="DX236:DX326" si="847">IFERROR(IF(ABS(CI236&gt;0),CI236/$CH236,""),"")</f>
        <v>1.9835153950499493E-2</v>
      </c>
      <c r="DY236" s="92">
        <f t="shared" ref="DY236:DY326" si="848">IFERROR(IF(ABS(CJ236&gt;0),CJ236/$CH236,""),"")</f>
        <v>3.9999903867843002E-2</v>
      </c>
      <c r="DZ236" s="92">
        <f t="shared" ref="DZ236:DZ326" si="849">IFERROR(IF(ABS(CK236&gt;0),CK236/$CH236,""),"")</f>
        <v>8.3501078225139455E-2</v>
      </c>
      <c r="EA236" s="92">
        <f t="shared" ref="EA236:EA326" si="850">IFERROR(IF(ABS(CL236&gt;0),CL236/$CH236,""),"")</f>
        <v>4.2726967164345132E-2</v>
      </c>
      <c r="EB236" s="92">
        <f t="shared" ref="EB236:EB326" si="851">IFERROR(IF(ABS(CM236&gt;0),CM236/$CH236,""),"")</f>
        <v>5.1770256504627903E-2</v>
      </c>
      <c r="EC236" s="92">
        <f t="shared" ref="EC236:EC326" si="852">IFERROR(IF(ABS(CN236&gt;0),CN236/$CH236,""),"")</f>
        <v>4.3756611231600566E-2</v>
      </c>
      <c r="ED236" s="92">
        <f t="shared" ref="ED236:ED326" si="853">IFERROR(IF(ABS(CO236&gt;0),CO236/$CH236,""),"")</f>
        <v>4.8066078498086112E-2</v>
      </c>
      <c r="EE236" s="92">
        <f t="shared" ref="EE236:EE326" si="854">IFERROR(IF(ABS(CP236&gt;0),CP236/$CH236,""),"")</f>
        <v>0.32965604944214166</v>
      </c>
      <c r="EF236" s="92">
        <f t="shared" ref="EF236:EF326" si="855">IFERROR(IF(ABS(CQ236&gt;0),CQ236/$CH236,""),"")</f>
        <v>1.5552809685452149E-2</v>
      </c>
      <c r="EG236" s="92">
        <f t="shared" ref="EG236:EG326" si="856">IFERROR(IF(ABS(CR236&gt;0),CR236/$CH236,""),"")</f>
        <v>0.3452088591275938</v>
      </c>
      <c r="EH236" s="92">
        <f t="shared" ref="EH236:EH326" si="857">IFERROR(IF(ABS(CS236&gt;0),CS236/$CH236,""),"")</f>
        <v>0.67034395055785834</v>
      </c>
      <c r="EI236" s="92">
        <f t="shared" ref="EI236:EI326" si="858">IFERROR(IF(ABS(CT236&gt;0),CT236/$CH236,""),"")</f>
        <v>0.56006354335577446</v>
      </c>
      <c r="EJ236" s="122">
        <f t="shared" ref="EJ236:EJ326" si="859">IFERROR(IF(ABS(CU236&gt;0),CU236/$CH236,""),"")</f>
        <v>0.11028040720208387</v>
      </c>
    </row>
    <row r="237" spans="2:140" ht="12" hidden="1" customHeight="1" outlineLevel="1">
      <c r="B237" s="121">
        <v>45455</v>
      </c>
      <c r="C237" s="117">
        <v>24445</v>
      </c>
      <c r="D237" s="50" t="s">
        <v>1196</v>
      </c>
      <c r="E237" s="50" t="s">
        <v>1197</v>
      </c>
      <c r="F237" s="50" t="s">
        <v>1198</v>
      </c>
      <c r="G237" s="50" t="s">
        <v>162</v>
      </c>
      <c r="H237" s="50" t="s">
        <v>1105</v>
      </c>
      <c r="I237" s="50" t="s">
        <v>229</v>
      </c>
      <c r="J237" s="52" t="s">
        <v>168</v>
      </c>
      <c r="K237" s="50" t="s">
        <v>169</v>
      </c>
      <c r="L237" s="49">
        <v>7</v>
      </c>
      <c r="M237" s="50" t="s">
        <v>159</v>
      </c>
      <c r="N237" s="50" t="s">
        <v>244</v>
      </c>
      <c r="O237" s="50" t="s">
        <v>160</v>
      </c>
      <c r="P237" s="50" t="s">
        <v>177</v>
      </c>
      <c r="Q237" s="53">
        <v>0.04</v>
      </c>
      <c r="R237" s="49">
        <v>267</v>
      </c>
      <c r="S237" s="49">
        <v>0</v>
      </c>
      <c r="T237" s="54">
        <f t="shared" si="625"/>
        <v>267</v>
      </c>
      <c r="U237" s="55">
        <v>211348</v>
      </c>
      <c r="V237" s="49">
        <v>9.39</v>
      </c>
      <c r="W237" s="56">
        <f t="shared" si="784"/>
        <v>28.434504792332266</v>
      </c>
      <c r="X237" s="49" t="s">
        <v>163</v>
      </c>
      <c r="Y237" s="57" t="s">
        <v>162</v>
      </c>
      <c r="Z237" s="58">
        <v>34200000</v>
      </c>
      <c r="AA237" s="114">
        <v>6.0999999999999999E-2</v>
      </c>
      <c r="AB237" s="59"/>
      <c r="AC237" s="60"/>
      <c r="AD237" s="61"/>
      <c r="AE237" s="62"/>
      <c r="AF237" s="63"/>
      <c r="AG237" s="59"/>
      <c r="AH237" s="60"/>
      <c r="AI237" s="61"/>
      <c r="AJ237" s="64"/>
      <c r="AK237" s="65" t="str">
        <f t="shared" si="785"/>
        <v/>
      </c>
      <c r="AL237" s="66">
        <v>0</v>
      </c>
      <c r="AM237" s="49" t="s">
        <v>163</v>
      </c>
      <c r="AN237" s="67"/>
      <c r="AO237" s="62">
        <v>32094146</v>
      </c>
      <c r="AP237" s="62">
        <v>1200000</v>
      </c>
      <c r="AQ237" s="68">
        <v>4073235</v>
      </c>
      <c r="AR237" s="69" t="str">
        <f t="shared" si="786"/>
        <v/>
      </c>
      <c r="AS237" s="70" t="str">
        <f t="shared" si="787"/>
        <v/>
      </c>
      <c r="AT237" s="70">
        <f t="shared" si="788"/>
        <v>120202.79400749064</v>
      </c>
      <c r="AU237" s="70">
        <f t="shared" si="789"/>
        <v>4494.3820224719102</v>
      </c>
      <c r="AV237" s="71">
        <f t="shared" si="790"/>
        <v>15255.561797752809</v>
      </c>
      <c r="AW237" s="115">
        <f t="shared" si="791"/>
        <v>126659.89513108614</v>
      </c>
      <c r="AX237" s="116">
        <f t="shared" si="792"/>
        <v>160.01188561046237</v>
      </c>
      <c r="AY237" s="72">
        <f t="shared" si="793"/>
        <v>153181.26591760298</v>
      </c>
      <c r="AZ237" s="73">
        <f t="shared" si="794"/>
        <v>193.51684425686545</v>
      </c>
      <c r="BA237" s="66">
        <v>4100000</v>
      </c>
      <c r="BB237" s="62">
        <v>6058600</v>
      </c>
      <c r="BC237" s="62">
        <v>27759592</v>
      </c>
      <c r="BD237" s="62">
        <v>2346660</v>
      </c>
      <c r="BE237" s="62">
        <v>4734546</v>
      </c>
      <c r="BF237" s="62">
        <v>4458973</v>
      </c>
      <c r="BG237" s="62">
        <v>8106051</v>
      </c>
      <c r="BH237" s="62">
        <v>7773039</v>
      </c>
      <c r="BI237" s="62">
        <v>2156685</v>
      </c>
      <c r="BJ237" s="47">
        <f t="shared" si="795"/>
        <v>67494146</v>
      </c>
      <c r="BK237" s="69">
        <f t="shared" si="796"/>
        <v>15355.805243445693</v>
      </c>
      <c r="BL237" s="70">
        <f t="shared" si="797"/>
        <v>22691.385767790263</v>
      </c>
      <c r="BM237" s="70">
        <f t="shared" si="798"/>
        <v>103968.50936329587</v>
      </c>
      <c r="BN237" s="70">
        <f t="shared" si="799"/>
        <v>8788.9887640449433</v>
      </c>
      <c r="BO237" s="70">
        <f t="shared" si="800"/>
        <v>17732.382022471909</v>
      </c>
      <c r="BP237" s="70">
        <f t="shared" si="801"/>
        <v>16700.2734082397</v>
      </c>
      <c r="BQ237" s="70">
        <f t="shared" si="802"/>
        <v>30359.741573033709</v>
      </c>
      <c r="BR237" s="70">
        <f t="shared" si="803"/>
        <v>29112.505617977527</v>
      </c>
      <c r="BS237" s="70">
        <f t="shared" si="804"/>
        <v>8077.4719101123592</v>
      </c>
      <c r="BT237" s="71">
        <f t="shared" si="805"/>
        <v>252787.063670412</v>
      </c>
      <c r="BU237" s="65">
        <f t="shared" si="806"/>
        <v>19.399284592236501</v>
      </c>
      <c r="BV237" s="48">
        <f t="shared" si="807"/>
        <v>28.6664647879327</v>
      </c>
      <c r="BW237" s="48">
        <f t="shared" si="808"/>
        <v>131.34542082252966</v>
      </c>
      <c r="BX237" s="48">
        <f t="shared" si="809"/>
        <v>11.103298824687245</v>
      </c>
      <c r="BY237" s="48">
        <f t="shared" si="810"/>
        <v>22.401659821715842</v>
      </c>
      <c r="BZ237" s="48">
        <f t="shared" si="811"/>
        <v>21.097777125877698</v>
      </c>
      <c r="CA237" s="48">
        <f t="shared" si="812"/>
        <v>38.354046406873969</v>
      </c>
      <c r="CB237" s="48">
        <f t="shared" si="813"/>
        <v>36.778389196964248</v>
      </c>
      <c r="CC237" s="48">
        <f t="shared" si="814"/>
        <v>10.204425875806727</v>
      </c>
      <c r="CD237" s="47">
        <f t="shared" si="815"/>
        <v>319.35076745462459</v>
      </c>
      <c r="CE237" s="66">
        <v>4217640</v>
      </c>
      <c r="CF237" s="62">
        <v>96120</v>
      </c>
      <c r="CG237" s="74">
        <v>-323532</v>
      </c>
      <c r="CH237" s="75">
        <f t="shared" si="816"/>
        <v>3990228</v>
      </c>
      <c r="CI237" s="62">
        <f>115000+36000+10680+4000+5000+36867</f>
        <v>207547</v>
      </c>
      <c r="CJ237" s="62">
        <v>139658</v>
      </c>
      <c r="CK237" s="62">
        <v>364059</v>
      </c>
      <c r="CL237" s="62">
        <f>169640+10000</f>
        <v>179640</v>
      </c>
      <c r="CM237" s="62">
        <f>61944+141510</f>
        <v>203454</v>
      </c>
      <c r="CN237" s="62">
        <v>134022</v>
      </c>
      <c r="CO237" s="62">
        <v>11000</v>
      </c>
      <c r="CP237" s="75">
        <f t="shared" si="626"/>
        <v>1239380</v>
      </c>
      <c r="CQ237" s="62">
        <v>66750</v>
      </c>
      <c r="CR237" s="75">
        <f t="shared" si="627"/>
        <v>1306130</v>
      </c>
      <c r="CS237" s="75">
        <f t="shared" si="817"/>
        <v>2750848</v>
      </c>
      <c r="CT237" s="62">
        <v>2284098</v>
      </c>
      <c r="CU237" s="47">
        <f t="shared" si="818"/>
        <v>466750</v>
      </c>
      <c r="CV237" s="76">
        <f t="shared" si="819"/>
        <v>0.68939619490415083</v>
      </c>
      <c r="CW237" s="75">
        <f t="shared" si="820"/>
        <v>4891.8726591760296</v>
      </c>
      <c r="CX237" s="77">
        <f t="shared" si="821"/>
        <v>0.3273321724974112</v>
      </c>
      <c r="CY237" s="75">
        <f t="shared" si="822"/>
        <v>1748.1273408239701</v>
      </c>
      <c r="CZ237" s="77">
        <f t="shared" si="823"/>
        <v>0.11697326568807596</v>
      </c>
      <c r="DA237" s="77">
        <f t="shared" si="824"/>
        <v>0.57242292921607485</v>
      </c>
      <c r="DB237" s="47" t="str">
        <f t="shared" si="825"/>
        <v/>
      </c>
      <c r="DC237" s="69">
        <f t="shared" si="826"/>
        <v>15796.404494382023</v>
      </c>
      <c r="DD237" s="70">
        <f t="shared" si="827"/>
        <v>360</v>
      </c>
      <c r="DE237" s="70">
        <f t="shared" si="828"/>
        <v>-1211.7303370786517</v>
      </c>
      <c r="DF237" s="70">
        <f t="shared" si="829"/>
        <v>14944.674157303371</v>
      </c>
      <c r="DG237" s="70">
        <f t="shared" si="830"/>
        <v>777.32958801498125</v>
      </c>
      <c r="DH237" s="70">
        <f t="shared" si="831"/>
        <v>523.06367041198507</v>
      </c>
      <c r="DI237" s="70">
        <f t="shared" si="832"/>
        <v>1363.5168539325844</v>
      </c>
      <c r="DJ237" s="70">
        <f t="shared" si="833"/>
        <v>672.8089887640449</v>
      </c>
      <c r="DK237" s="70">
        <f t="shared" si="834"/>
        <v>762</v>
      </c>
      <c r="DL237" s="70">
        <f t="shared" si="835"/>
        <v>501.95505617977528</v>
      </c>
      <c r="DM237" s="70">
        <f t="shared" si="836"/>
        <v>41.198501872659179</v>
      </c>
      <c r="DN237" s="70">
        <f t="shared" si="837"/>
        <v>4641.8726591760296</v>
      </c>
      <c r="DO237" s="70">
        <f t="shared" si="838"/>
        <v>250</v>
      </c>
      <c r="DP237" s="70">
        <f t="shared" si="839"/>
        <v>4891.8726591760296</v>
      </c>
      <c r="DQ237" s="70">
        <f t="shared" si="840"/>
        <v>10302.801498127341</v>
      </c>
      <c r="DR237" s="70">
        <f t="shared" si="841"/>
        <v>8554.6741573033705</v>
      </c>
      <c r="DS237" s="71">
        <f t="shared" si="842"/>
        <v>1748.1273408239701</v>
      </c>
      <c r="DT237" s="106">
        <f t="shared" si="843"/>
        <v>1.0569922320228318</v>
      </c>
      <c r="DU237" s="92">
        <f t="shared" si="844"/>
        <v>2.4088849058249304E-2</v>
      </c>
      <c r="DV237" s="92" t="str">
        <f t="shared" si="845"/>
        <v/>
      </c>
      <c r="DW237" s="92">
        <f t="shared" si="846"/>
        <v>1</v>
      </c>
      <c r="DX237" s="92">
        <f t="shared" si="847"/>
        <v>5.2013819761677779E-2</v>
      </c>
      <c r="DY237" s="92">
        <f t="shared" si="848"/>
        <v>3.5000005012244914E-2</v>
      </c>
      <c r="DZ237" s="92">
        <f t="shared" si="849"/>
        <v>9.123764356322496E-2</v>
      </c>
      <c r="EA237" s="92">
        <f t="shared" si="850"/>
        <v>4.5019983820473418E-2</v>
      </c>
      <c r="EB237" s="92">
        <f t="shared" si="851"/>
        <v>5.0988063839961024E-2</v>
      </c>
      <c r="EC237" s="92">
        <f t="shared" si="852"/>
        <v>3.3587554395387929E-2</v>
      </c>
      <c r="ED237" s="92">
        <f t="shared" si="853"/>
        <v>2.7567347028791336E-3</v>
      </c>
      <c r="EE237" s="92">
        <f t="shared" si="854"/>
        <v>0.31060380509584917</v>
      </c>
      <c r="EF237" s="92">
        <f t="shared" si="855"/>
        <v>1.6728367401562017E-2</v>
      </c>
      <c r="EG237" s="92">
        <f t="shared" si="856"/>
        <v>0.3273321724974112</v>
      </c>
      <c r="EH237" s="92">
        <f t="shared" si="857"/>
        <v>0.68939619490415083</v>
      </c>
      <c r="EI237" s="92">
        <f t="shared" si="858"/>
        <v>0.57242292921607485</v>
      </c>
      <c r="EJ237" s="122">
        <f t="shared" si="859"/>
        <v>0.11697326568807596</v>
      </c>
    </row>
    <row r="238" spans="2:140" ht="12" hidden="1" customHeight="1" outlineLevel="1">
      <c r="B238" s="121">
        <v>45456</v>
      </c>
      <c r="C238" s="117">
        <v>24443</v>
      </c>
      <c r="D238" s="50" t="s">
        <v>1199</v>
      </c>
      <c r="E238" s="50" t="s">
        <v>1200</v>
      </c>
      <c r="F238" s="50" t="s">
        <v>1201</v>
      </c>
      <c r="G238" s="50" t="s">
        <v>154</v>
      </c>
      <c r="H238" s="50" t="s">
        <v>173</v>
      </c>
      <c r="I238" s="50" t="s">
        <v>321</v>
      </c>
      <c r="J238" s="52" t="s">
        <v>1140</v>
      </c>
      <c r="K238" s="50" t="s">
        <v>230</v>
      </c>
      <c r="L238" s="49">
        <v>3</v>
      </c>
      <c r="M238" s="50" t="s">
        <v>159</v>
      </c>
      <c r="N238" s="50" t="s">
        <v>160</v>
      </c>
      <c r="O238" s="50" t="s">
        <v>160</v>
      </c>
      <c r="P238" s="50" t="s">
        <v>177</v>
      </c>
      <c r="Q238" s="53">
        <v>0.04</v>
      </c>
      <c r="R238" s="49">
        <v>288</v>
      </c>
      <c r="S238" s="49">
        <v>0</v>
      </c>
      <c r="T238" s="54">
        <f t="shared" si="625"/>
        <v>288</v>
      </c>
      <c r="U238" s="55">
        <v>276198</v>
      </c>
      <c r="V238" s="49">
        <v>14.894</v>
      </c>
      <c r="W238" s="56">
        <f t="shared" si="784"/>
        <v>19.336645629112393</v>
      </c>
      <c r="X238" s="49" t="s">
        <v>163</v>
      </c>
      <c r="Y238" s="57" t="s">
        <v>162</v>
      </c>
      <c r="Z238" s="58">
        <v>58425000</v>
      </c>
      <c r="AA238" s="114">
        <f>(((39525000*7.59%)/(Table1[[#This Row],[Construction Loan Principal]]))+((18900000*7.84%)/(Table1[[#This Row],[Construction Loan Principal]])))</f>
        <v>7.6708729139922979E-2</v>
      </c>
      <c r="AB238" s="59">
        <v>17</v>
      </c>
      <c r="AC238" s="60">
        <v>40</v>
      </c>
      <c r="AD238" s="61">
        <v>6.0299999999999999E-2</v>
      </c>
      <c r="AE238" s="62">
        <v>36000000</v>
      </c>
      <c r="AF238" s="63">
        <v>1.17</v>
      </c>
      <c r="AG238" s="59"/>
      <c r="AH238" s="60"/>
      <c r="AI238" s="61"/>
      <c r="AJ238" s="64"/>
      <c r="AK238" s="65">
        <f t="shared" si="785"/>
        <v>36000000</v>
      </c>
      <c r="AL238" s="66">
        <v>0</v>
      </c>
      <c r="AM238" s="49" t="s">
        <v>163</v>
      </c>
      <c r="AN238" s="67">
        <v>0.95</v>
      </c>
      <c r="AO238" s="62">
        <v>31086219</v>
      </c>
      <c r="AP238" s="62">
        <v>0</v>
      </c>
      <c r="AQ238" s="68">
        <v>6781891</v>
      </c>
      <c r="AR238" s="69">
        <f t="shared" si="786"/>
        <v>125000</v>
      </c>
      <c r="AS238" s="70" t="str">
        <f t="shared" si="787"/>
        <v/>
      </c>
      <c r="AT238" s="70">
        <f t="shared" si="788"/>
        <v>107938.26041666667</v>
      </c>
      <c r="AU238" s="70" t="str">
        <f t="shared" si="789"/>
        <v/>
      </c>
      <c r="AV238" s="71">
        <f t="shared" si="790"/>
        <v>23548.232638888891</v>
      </c>
      <c r="AW238" s="115">
        <f t="shared" si="791"/>
        <v>130769.30208333333</v>
      </c>
      <c r="AX238" s="116">
        <f t="shared" si="792"/>
        <v>136.35710251341428</v>
      </c>
      <c r="AY238" s="72">
        <f t="shared" si="793"/>
        <v>157124.60416666666</v>
      </c>
      <c r="AZ238" s="73">
        <f t="shared" si="794"/>
        <v>163.83857232854692</v>
      </c>
      <c r="BA238" s="66">
        <v>5050000</v>
      </c>
      <c r="BB238" s="62">
        <v>9567400</v>
      </c>
      <c r="BC238" s="62">
        <v>28094159</v>
      </c>
      <c r="BD238" s="62">
        <v>2033078</v>
      </c>
      <c r="BE238" s="62">
        <v>5557249</v>
      </c>
      <c r="BF238" s="62">
        <v>5786557</v>
      </c>
      <c r="BG238" s="62">
        <v>10999266</v>
      </c>
      <c r="BH238" s="62">
        <v>8198093</v>
      </c>
      <c r="BI238" s="62">
        <v>1757307</v>
      </c>
      <c r="BJ238" s="47">
        <f t="shared" si="795"/>
        <v>77043109</v>
      </c>
      <c r="BK238" s="69">
        <f t="shared" si="796"/>
        <v>17534.722222222223</v>
      </c>
      <c r="BL238" s="70">
        <f t="shared" si="797"/>
        <v>33220.138888888891</v>
      </c>
      <c r="BM238" s="70">
        <f t="shared" si="798"/>
        <v>97549.163194444438</v>
      </c>
      <c r="BN238" s="70">
        <f t="shared" si="799"/>
        <v>7059.2986111111113</v>
      </c>
      <c r="BO238" s="70">
        <f t="shared" si="800"/>
        <v>19296.003472222223</v>
      </c>
      <c r="BP238" s="70">
        <f t="shared" si="801"/>
        <v>20092.211805555555</v>
      </c>
      <c r="BQ238" s="70">
        <f t="shared" si="802"/>
        <v>38191.895833333336</v>
      </c>
      <c r="BR238" s="70">
        <f t="shared" si="803"/>
        <v>28465.600694444445</v>
      </c>
      <c r="BS238" s="70">
        <f t="shared" si="804"/>
        <v>6101.760416666667</v>
      </c>
      <c r="BT238" s="71">
        <f t="shared" si="805"/>
        <v>267510.79513888888</v>
      </c>
      <c r="BU238" s="65">
        <f t="shared" si="806"/>
        <v>18.283984677658783</v>
      </c>
      <c r="BV238" s="48">
        <f t="shared" si="807"/>
        <v>34.639642575253987</v>
      </c>
      <c r="BW238" s="48">
        <f t="shared" si="808"/>
        <v>101.7174599381603</v>
      </c>
      <c r="BX238" s="48">
        <f t="shared" si="809"/>
        <v>7.3609439604921105</v>
      </c>
      <c r="BY238" s="48">
        <f t="shared" si="810"/>
        <v>20.120525854640512</v>
      </c>
      <c r="BZ238" s="48">
        <f t="shared" si="811"/>
        <v>20.95075634146518</v>
      </c>
      <c r="CA238" s="48">
        <f t="shared" si="812"/>
        <v>39.823843764256075</v>
      </c>
      <c r="CB238" s="48">
        <f t="shared" si="813"/>
        <v>29.681941940202318</v>
      </c>
      <c r="CC238" s="48">
        <f t="shared" si="814"/>
        <v>6.3624899528599048</v>
      </c>
      <c r="CD238" s="47">
        <f t="shared" si="815"/>
        <v>278.94158900498917</v>
      </c>
      <c r="CE238" s="66">
        <v>4652064</v>
      </c>
      <c r="CF238" s="62">
        <v>69120</v>
      </c>
      <c r="CG238" s="74">
        <v>-354089</v>
      </c>
      <c r="CH238" s="75">
        <f t="shared" si="816"/>
        <v>4367095</v>
      </c>
      <c r="CI238" s="62">
        <f>149760+18560+11520+4500</f>
        <v>184340</v>
      </c>
      <c r="CJ238" s="62">
        <v>174672</v>
      </c>
      <c r="CK238" s="62">
        <v>454176</v>
      </c>
      <c r="CL238" s="62">
        <f>316800+16000</f>
        <v>332800</v>
      </c>
      <c r="CM238" s="62">
        <f>40896+74304</f>
        <v>115200</v>
      </c>
      <c r="CN238" s="62">
        <v>244800</v>
      </c>
      <c r="CO238" s="62">
        <v>0</v>
      </c>
      <c r="CP238" s="75">
        <f t="shared" si="626"/>
        <v>1505988</v>
      </c>
      <c r="CQ238" s="62">
        <v>72000</v>
      </c>
      <c r="CR238" s="75">
        <f t="shared" si="627"/>
        <v>1577988</v>
      </c>
      <c r="CS238" s="75">
        <f t="shared" si="817"/>
        <v>2861107</v>
      </c>
      <c r="CT238" s="62">
        <v>2385964</v>
      </c>
      <c r="CU238" s="47">
        <f t="shared" si="818"/>
        <v>475143</v>
      </c>
      <c r="CV238" s="76">
        <f t="shared" si="819"/>
        <v>0.65515107869189926</v>
      </c>
      <c r="CW238" s="75">
        <f t="shared" si="820"/>
        <v>5479.125</v>
      </c>
      <c r="CX238" s="77">
        <f t="shared" si="821"/>
        <v>0.36133585369679388</v>
      </c>
      <c r="CY238" s="75">
        <f t="shared" si="822"/>
        <v>1649.8020833333333</v>
      </c>
      <c r="CZ238" s="77">
        <f t="shared" si="823"/>
        <v>0.10880070161056721</v>
      </c>
      <c r="DA238" s="77">
        <f t="shared" si="824"/>
        <v>0.54635037708133205</v>
      </c>
      <c r="DB238" s="47">
        <f t="shared" si="825"/>
        <v>125000</v>
      </c>
      <c r="DC238" s="69">
        <f t="shared" si="826"/>
        <v>16153</v>
      </c>
      <c r="DD238" s="70">
        <f t="shared" si="827"/>
        <v>240</v>
      </c>
      <c r="DE238" s="70">
        <f t="shared" si="828"/>
        <v>-1229.4756944444443</v>
      </c>
      <c r="DF238" s="70">
        <f t="shared" si="829"/>
        <v>15163.524305555555</v>
      </c>
      <c r="DG238" s="70">
        <f t="shared" si="830"/>
        <v>640.06944444444446</v>
      </c>
      <c r="DH238" s="70">
        <f t="shared" si="831"/>
        <v>606.5</v>
      </c>
      <c r="DI238" s="70">
        <f t="shared" si="832"/>
        <v>1577</v>
      </c>
      <c r="DJ238" s="70">
        <f t="shared" si="833"/>
        <v>1155.5555555555557</v>
      </c>
      <c r="DK238" s="70">
        <f t="shared" si="834"/>
        <v>400</v>
      </c>
      <c r="DL238" s="70">
        <f t="shared" si="835"/>
        <v>850</v>
      </c>
      <c r="DM238" s="70" t="str">
        <f t="shared" si="836"/>
        <v/>
      </c>
      <c r="DN238" s="70">
        <f t="shared" si="837"/>
        <v>5229.125</v>
      </c>
      <c r="DO238" s="70">
        <f t="shared" si="838"/>
        <v>250</v>
      </c>
      <c r="DP238" s="70">
        <f t="shared" si="839"/>
        <v>5479.125</v>
      </c>
      <c r="DQ238" s="70">
        <f t="shared" si="840"/>
        <v>9934.3993055555547</v>
      </c>
      <c r="DR238" s="70">
        <f t="shared" si="841"/>
        <v>8284.5972222222226</v>
      </c>
      <c r="DS238" s="71">
        <f t="shared" si="842"/>
        <v>1649.8020833333333</v>
      </c>
      <c r="DT238" s="106">
        <f t="shared" si="843"/>
        <v>1.0652536754982431</v>
      </c>
      <c r="DU238" s="92">
        <f t="shared" si="844"/>
        <v>1.5827455093145443E-2</v>
      </c>
      <c r="DV238" s="92" t="str">
        <f t="shared" si="845"/>
        <v/>
      </c>
      <c r="DW238" s="92">
        <f t="shared" si="846"/>
        <v>1</v>
      </c>
      <c r="DX238" s="92">
        <f t="shared" si="847"/>
        <v>4.2211126618495819E-2</v>
      </c>
      <c r="DY238" s="92">
        <f t="shared" si="848"/>
        <v>3.9997297974969634E-2</v>
      </c>
      <c r="DZ238" s="92">
        <f t="shared" si="849"/>
        <v>0.10399956950787652</v>
      </c>
      <c r="EA238" s="92">
        <f t="shared" si="850"/>
        <v>7.6206265263292869E-2</v>
      </c>
      <c r="EB238" s="92">
        <f t="shared" si="851"/>
        <v>2.6379091821909072E-2</v>
      </c>
      <c r="EC238" s="92">
        <f t="shared" si="852"/>
        <v>5.6055570121556778E-2</v>
      </c>
      <c r="ED238" s="92" t="str">
        <f t="shared" si="853"/>
        <v/>
      </c>
      <c r="EE238" s="92">
        <f t="shared" si="854"/>
        <v>0.34484892130810069</v>
      </c>
      <c r="EF238" s="92">
        <f t="shared" si="855"/>
        <v>1.6486932388693171E-2</v>
      </c>
      <c r="EG238" s="92">
        <f t="shared" si="856"/>
        <v>0.36133585369679388</v>
      </c>
      <c r="EH238" s="92">
        <f t="shared" si="857"/>
        <v>0.65515107869189926</v>
      </c>
      <c r="EI238" s="92">
        <f t="shared" si="858"/>
        <v>0.54635037708133205</v>
      </c>
      <c r="EJ238" s="122">
        <f t="shared" si="859"/>
        <v>0.10880070161056721</v>
      </c>
    </row>
    <row r="239" spans="2:140" ht="12" hidden="1" customHeight="1" outlineLevel="1">
      <c r="B239" s="121">
        <v>45456</v>
      </c>
      <c r="C239" s="117">
        <v>24407</v>
      </c>
      <c r="D239" s="50" t="s">
        <v>1202</v>
      </c>
      <c r="E239" s="50" t="s">
        <v>1203</v>
      </c>
      <c r="F239" s="50" t="s">
        <v>1204</v>
      </c>
      <c r="G239" s="50" t="s">
        <v>154</v>
      </c>
      <c r="H239" s="50" t="s">
        <v>396</v>
      </c>
      <c r="I239" s="50" t="s">
        <v>248</v>
      </c>
      <c r="J239" s="52" t="s">
        <v>263</v>
      </c>
      <c r="K239" s="50" t="s">
        <v>176</v>
      </c>
      <c r="L239" s="49">
        <v>6</v>
      </c>
      <c r="M239" s="50" t="s">
        <v>159</v>
      </c>
      <c r="N239" s="50" t="s">
        <v>160</v>
      </c>
      <c r="O239" s="50" t="s">
        <v>160</v>
      </c>
      <c r="P239" s="50" t="s">
        <v>923</v>
      </c>
      <c r="Q239" s="53">
        <v>0.04</v>
      </c>
      <c r="R239" s="49">
        <v>210</v>
      </c>
      <c r="S239" s="49">
        <v>0</v>
      </c>
      <c r="T239" s="54">
        <f t="shared" si="625"/>
        <v>210</v>
      </c>
      <c r="U239" s="55">
        <v>180680</v>
      </c>
      <c r="V239" s="49">
        <v>10.5</v>
      </c>
      <c r="W239" s="56">
        <f t="shared" si="784"/>
        <v>20</v>
      </c>
      <c r="X239" s="49">
        <v>1971</v>
      </c>
      <c r="Y239" s="57" t="s">
        <v>162</v>
      </c>
      <c r="Z239" s="58">
        <v>30394075</v>
      </c>
      <c r="AA239" s="114">
        <f>(((29655000*6%)/(Table1[[#This Row],[Construction Loan Principal]]))+((739075*5.9%)/(Table1[[#This Row],[Construction Loan Principal]])))</f>
        <v>5.9975683583066763E-2</v>
      </c>
      <c r="AB239" s="59">
        <v>18</v>
      </c>
      <c r="AC239" s="60">
        <v>40</v>
      </c>
      <c r="AD239" s="61">
        <v>0.06</v>
      </c>
      <c r="AE239" s="62">
        <v>29655000</v>
      </c>
      <c r="AF239" s="63">
        <v>1.17</v>
      </c>
      <c r="AG239" s="59"/>
      <c r="AH239" s="60"/>
      <c r="AI239" s="61"/>
      <c r="AJ239" s="64"/>
      <c r="AK239" s="65">
        <f t="shared" si="785"/>
        <v>29655000</v>
      </c>
      <c r="AL239" s="66">
        <v>0</v>
      </c>
      <c r="AM239" s="49" t="s">
        <v>163</v>
      </c>
      <c r="AN239" s="67">
        <v>0.88</v>
      </c>
      <c r="AO239" s="62">
        <v>18660085</v>
      </c>
      <c r="AP239" s="62">
        <v>0</v>
      </c>
      <c r="AQ239" s="68">
        <v>5104171</v>
      </c>
      <c r="AR239" s="69">
        <f t="shared" si="786"/>
        <v>141214.28571428571</v>
      </c>
      <c r="AS239" s="70" t="str">
        <f t="shared" si="787"/>
        <v/>
      </c>
      <c r="AT239" s="70">
        <f t="shared" si="788"/>
        <v>88857.547619047618</v>
      </c>
      <c r="AU239" s="70" t="str">
        <f t="shared" si="789"/>
        <v/>
      </c>
      <c r="AV239" s="71">
        <f t="shared" si="790"/>
        <v>24305.576190476189</v>
      </c>
      <c r="AW239" s="115">
        <f t="shared" si="791"/>
        <v>45000</v>
      </c>
      <c r="AX239" s="116">
        <f t="shared" si="792"/>
        <v>52.302413106043836</v>
      </c>
      <c r="AY239" s="72">
        <f t="shared" si="793"/>
        <v>55800</v>
      </c>
      <c r="AZ239" s="73">
        <f t="shared" si="794"/>
        <v>64.854992251494352</v>
      </c>
      <c r="BA239" s="66">
        <v>29870000</v>
      </c>
      <c r="BB239" s="62">
        <v>543475</v>
      </c>
      <c r="BC239" s="62">
        <v>8906525</v>
      </c>
      <c r="BD239" s="62">
        <v>945000</v>
      </c>
      <c r="BE239" s="62">
        <v>1323000</v>
      </c>
      <c r="BF239" s="62">
        <v>1741464</v>
      </c>
      <c r="BG239" s="62">
        <v>3408368</v>
      </c>
      <c r="BH239" s="62">
        <v>6278239</v>
      </c>
      <c r="BI239" s="62">
        <v>833185</v>
      </c>
      <c r="BJ239" s="47">
        <f t="shared" si="795"/>
        <v>53849256</v>
      </c>
      <c r="BK239" s="69">
        <f t="shared" si="796"/>
        <v>142238.09523809524</v>
      </c>
      <c r="BL239" s="70">
        <f t="shared" si="797"/>
        <v>2587.9761904761904</v>
      </c>
      <c r="BM239" s="70">
        <f t="shared" si="798"/>
        <v>42412.023809523809</v>
      </c>
      <c r="BN239" s="70">
        <f t="shared" si="799"/>
        <v>4500</v>
      </c>
      <c r="BO239" s="70">
        <f t="shared" si="800"/>
        <v>6300</v>
      </c>
      <c r="BP239" s="70">
        <f t="shared" si="801"/>
        <v>8292.6857142857134</v>
      </c>
      <c r="BQ239" s="70">
        <f t="shared" si="802"/>
        <v>16230.32380952381</v>
      </c>
      <c r="BR239" s="70">
        <f t="shared" si="803"/>
        <v>29896.376190476192</v>
      </c>
      <c r="BS239" s="70">
        <f t="shared" si="804"/>
        <v>3967.5476190476193</v>
      </c>
      <c r="BT239" s="71">
        <f t="shared" si="805"/>
        <v>256425.02857142859</v>
      </c>
      <c r="BU239" s="65">
        <f t="shared" si="806"/>
        <v>165.31990259021475</v>
      </c>
      <c r="BV239" s="48">
        <f t="shared" si="807"/>
        <v>3.0079422182864732</v>
      </c>
      <c r="BW239" s="48">
        <f t="shared" si="808"/>
        <v>49.294470887757363</v>
      </c>
      <c r="BX239" s="48">
        <f t="shared" si="809"/>
        <v>5.2302413106043835</v>
      </c>
      <c r="BY239" s="48">
        <f t="shared" si="810"/>
        <v>7.3223378348461372</v>
      </c>
      <c r="BZ239" s="48">
        <f t="shared" si="811"/>
        <v>9.6383883108257695</v>
      </c>
      <c r="CA239" s="48">
        <f t="shared" si="812"/>
        <v>18.864113349568296</v>
      </c>
      <c r="CB239" s="48">
        <f t="shared" si="813"/>
        <v>34.747835953066193</v>
      </c>
      <c r="CC239" s="48">
        <f t="shared" si="814"/>
        <v>4.6113847686517602</v>
      </c>
      <c r="CD239" s="47">
        <f t="shared" si="815"/>
        <v>298.03661722382111</v>
      </c>
      <c r="CE239" s="66">
        <v>3821652</v>
      </c>
      <c r="CF239" s="62">
        <v>75600</v>
      </c>
      <c r="CG239" s="74">
        <v>-292294</v>
      </c>
      <c r="CH239" s="75">
        <f t="shared" si="816"/>
        <v>3604958</v>
      </c>
      <c r="CI239" s="62">
        <f>214200+28980+8400</f>
        <v>251580</v>
      </c>
      <c r="CJ239" s="62">
        <v>120960</v>
      </c>
      <c r="CK239" s="62">
        <v>315000</v>
      </c>
      <c r="CL239" s="62">
        <f>156450+42000</f>
        <v>198450</v>
      </c>
      <c r="CM239" s="62">
        <f>43391+176804</f>
        <v>220195</v>
      </c>
      <c r="CN239" s="62">
        <v>140700</v>
      </c>
      <c r="CO239" s="62">
        <v>0</v>
      </c>
      <c r="CP239" s="75">
        <f t="shared" si="626"/>
        <v>1246885</v>
      </c>
      <c r="CQ239" s="62">
        <v>63000</v>
      </c>
      <c r="CR239" s="75">
        <f t="shared" si="627"/>
        <v>1309885</v>
      </c>
      <c r="CS239" s="75">
        <f t="shared" si="817"/>
        <v>2358073</v>
      </c>
      <c r="CT239" s="62">
        <v>1957990</v>
      </c>
      <c r="CU239" s="47">
        <f t="shared" si="818"/>
        <v>400083</v>
      </c>
      <c r="CV239" s="76">
        <f t="shared" si="819"/>
        <v>0.65411940999035223</v>
      </c>
      <c r="CW239" s="75">
        <f t="shared" si="820"/>
        <v>6237.5476190476193</v>
      </c>
      <c r="CX239" s="77">
        <f t="shared" si="821"/>
        <v>0.36335652176807609</v>
      </c>
      <c r="CY239" s="75">
        <f t="shared" si="822"/>
        <v>1905.1571428571428</v>
      </c>
      <c r="CZ239" s="77">
        <f t="shared" si="823"/>
        <v>0.11098132072551192</v>
      </c>
      <c r="DA239" s="77">
        <f t="shared" si="824"/>
        <v>0.54313808926484031</v>
      </c>
      <c r="DB239" s="47">
        <f t="shared" si="825"/>
        <v>141214.28571428571</v>
      </c>
      <c r="DC239" s="69">
        <f t="shared" si="826"/>
        <v>18198.342857142856</v>
      </c>
      <c r="DD239" s="70">
        <f t="shared" si="827"/>
        <v>360</v>
      </c>
      <c r="DE239" s="70">
        <f t="shared" si="828"/>
        <v>-1391.8761904761905</v>
      </c>
      <c r="DF239" s="70">
        <f t="shared" si="829"/>
        <v>17166.466666666667</v>
      </c>
      <c r="DG239" s="70">
        <f t="shared" si="830"/>
        <v>1198</v>
      </c>
      <c r="DH239" s="70">
        <f t="shared" si="831"/>
        <v>576</v>
      </c>
      <c r="DI239" s="70">
        <f t="shared" si="832"/>
        <v>1500</v>
      </c>
      <c r="DJ239" s="70">
        <f t="shared" si="833"/>
        <v>945</v>
      </c>
      <c r="DK239" s="70">
        <f t="shared" si="834"/>
        <v>1048.547619047619</v>
      </c>
      <c r="DL239" s="70">
        <f t="shared" si="835"/>
        <v>670</v>
      </c>
      <c r="DM239" s="70" t="str">
        <f t="shared" si="836"/>
        <v/>
      </c>
      <c r="DN239" s="70">
        <f t="shared" si="837"/>
        <v>5937.5476190476193</v>
      </c>
      <c r="DO239" s="70">
        <f t="shared" si="838"/>
        <v>300</v>
      </c>
      <c r="DP239" s="70">
        <f t="shared" si="839"/>
        <v>6237.5476190476193</v>
      </c>
      <c r="DQ239" s="70">
        <f t="shared" si="840"/>
        <v>11228.919047619047</v>
      </c>
      <c r="DR239" s="70">
        <f t="shared" si="841"/>
        <v>9323.7619047619046</v>
      </c>
      <c r="DS239" s="71">
        <f t="shared" si="842"/>
        <v>1905.1571428571428</v>
      </c>
      <c r="DT239" s="106">
        <f t="shared" si="843"/>
        <v>1.060109992959696</v>
      </c>
      <c r="DU239" s="92">
        <f t="shared" si="844"/>
        <v>2.0971118110113905E-2</v>
      </c>
      <c r="DV239" s="92" t="str">
        <f t="shared" si="845"/>
        <v/>
      </c>
      <c r="DW239" s="92">
        <f t="shared" si="846"/>
        <v>1</v>
      </c>
      <c r="DX239" s="92">
        <f t="shared" si="847"/>
        <v>6.9787220821990154E-2</v>
      </c>
      <c r="DY239" s="92">
        <f t="shared" si="848"/>
        <v>3.3553788976182247E-2</v>
      </c>
      <c r="DZ239" s="92">
        <f t="shared" si="849"/>
        <v>8.7379658792141268E-2</v>
      </c>
      <c r="EA239" s="92">
        <f t="shared" si="850"/>
        <v>5.5049185039049001E-2</v>
      </c>
      <c r="EB239" s="92">
        <f t="shared" si="851"/>
        <v>6.108115545312872E-2</v>
      </c>
      <c r="EC239" s="92">
        <f t="shared" si="852"/>
        <v>3.9029580927156436E-2</v>
      </c>
      <c r="ED239" s="92" t="str">
        <f t="shared" si="853"/>
        <v/>
      </c>
      <c r="EE239" s="92">
        <f t="shared" si="854"/>
        <v>0.34588059000964783</v>
      </c>
      <c r="EF239" s="92">
        <f t="shared" si="855"/>
        <v>1.7475931758428254E-2</v>
      </c>
      <c r="EG239" s="92">
        <f t="shared" si="856"/>
        <v>0.36335652176807609</v>
      </c>
      <c r="EH239" s="92">
        <f t="shared" si="857"/>
        <v>0.65411940999035223</v>
      </c>
      <c r="EI239" s="92">
        <f t="shared" si="858"/>
        <v>0.54313808926484031</v>
      </c>
      <c r="EJ239" s="122">
        <f t="shared" si="859"/>
        <v>0.11098132072551192</v>
      </c>
    </row>
    <row r="240" spans="2:140" ht="12" hidden="1" customHeight="1" outlineLevel="1">
      <c r="B240" s="121">
        <v>45457</v>
      </c>
      <c r="C240" s="117">
        <v>24439</v>
      </c>
      <c r="D240" s="50" t="s">
        <v>1205</v>
      </c>
      <c r="E240" s="50" t="s">
        <v>1206</v>
      </c>
      <c r="F240" s="50" t="s">
        <v>1147</v>
      </c>
      <c r="G240" s="50" t="s">
        <v>162</v>
      </c>
      <c r="H240" s="50" t="s">
        <v>317</v>
      </c>
      <c r="I240" s="50" t="s">
        <v>317</v>
      </c>
      <c r="J240" s="52" t="s">
        <v>230</v>
      </c>
      <c r="K240" s="50" t="s">
        <v>230</v>
      </c>
      <c r="L240" s="49">
        <v>3</v>
      </c>
      <c r="M240" s="50" t="s">
        <v>159</v>
      </c>
      <c r="N240" s="50" t="s">
        <v>160</v>
      </c>
      <c r="O240" s="50" t="s">
        <v>160</v>
      </c>
      <c r="P240" s="50" t="s">
        <v>923</v>
      </c>
      <c r="Q240" s="53">
        <v>0.04</v>
      </c>
      <c r="R240" s="49">
        <v>204</v>
      </c>
      <c r="S240" s="49">
        <v>0</v>
      </c>
      <c r="T240" s="54">
        <f t="shared" si="625"/>
        <v>204</v>
      </c>
      <c r="U240" s="55">
        <v>211082</v>
      </c>
      <c r="V240" s="49">
        <v>10.52</v>
      </c>
      <c r="W240" s="56">
        <f t="shared" si="784"/>
        <v>19.391634980988595</v>
      </c>
      <c r="X240" s="49">
        <v>2003</v>
      </c>
      <c r="Y240" s="57" t="s">
        <v>162</v>
      </c>
      <c r="Z240" s="58">
        <v>32709814</v>
      </c>
      <c r="AA240" s="114">
        <f>(((18479000*5.85%)/(Table1[[#This Row],[Construction Loan Principal]]))+((6521000*8.32%)/(Table1[[#This Row],[Construction Loan Principal]]))+((7709814*8.32%)/(Table1[[#This Row],[Construction Loan Principal]])))</f>
        <v>6.9246044162770234E-2</v>
      </c>
      <c r="AB240" s="59">
        <v>18</v>
      </c>
      <c r="AC240" s="60">
        <v>40</v>
      </c>
      <c r="AD240" s="61">
        <v>5.8500000000000003E-2</v>
      </c>
      <c r="AE240" s="62">
        <v>18479000</v>
      </c>
      <c r="AF240" s="63">
        <v>1.1499999999999999</v>
      </c>
      <c r="AG240" s="59"/>
      <c r="AH240" s="60"/>
      <c r="AI240" s="61"/>
      <c r="AJ240" s="64"/>
      <c r="AK240" s="65">
        <f t="shared" si="785"/>
        <v>18479000</v>
      </c>
      <c r="AL240" s="66">
        <v>0</v>
      </c>
      <c r="AM240" s="49" t="s">
        <v>163</v>
      </c>
      <c r="AN240" s="67">
        <v>0.95</v>
      </c>
      <c r="AO240" s="62">
        <v>17788517</v>
      </c>
      <c r="AP240" s="62">
        <v>2209000</v>
      </c>
      <c r="AQ240" s="68">
        <v>4065560</v>
      </c>
      <c r="AR240" s="69">
        <f t="shared" si="786"/>
        <v>90583.333333333328</v>
      </c>
      <c r="AS240" s="70" t="str">
        <f t="shared" si="787"/>
        <v/>
      </c>
      <c r="AT240" s="70">
        <f t="shared" si="788"/>
        <v>87198.612745098042</v>
      </c>
      <c r="AU240" s="70">
        <f t="shared" si="789"/>
        <v>10828.431372549019</v>
      </c>
      <c r="AV240" s="71">
        <f t="shared" si="790"/>
        <v>19929.215686274511</v>
      </c>
      <c r="AW240" s="115">
        <f t="shared" si="791"/>
        <v>38526.862745098042</v>
      </c>
      <c r="AX240" s="116">
        <f t="shared" si="792"/>
        <v>37.234250196606055</v>
      </c>
      <c r="AY240" s="72">
        <f t="shared" si="793"/>
        <v>48312.686274509804</v>
      </c>
      <c r="AZ240" s="73">
        <f t="shared" si="794"/>
        <v>46.691750125543621</v>
      </c>
      <c r="BA240" s="66">
        <v>26350000</v>
      </c>
      <c r="BB240" s="62">
        <v>971248</v>
      </c>
      <c r="BC240" s="62">
        <v>6888232</v>
      </c>
      <c r="BD240" s="62">
        <v>785948</v>
      </c>
      <c r="BE240" s="62">
        <v>1210360</v>
      </c>
      <c r="BF240" s="62">
        <v>1632500</v>
      </c>
      <c r="BG240" s="62">
        <v>5773733</v>
      </c>
      <c r="BH240" s="62">
        <v>5503640</v>
      </c>
      <c r="BI240" s="62">
        <v>678237</v>
      </c>
      <c r="BJ240" s="47">
        <f t="shared" si="795"/>
        <v>49793898</v>
      </c>
      <c r="BK240" s="69">
        <f t="shared" si="796"/>
        <v>129166.66666666667</v>
      </c>
      <c r="BL240" s="70">
        <f t="shared" si="797"/>
        <v>4761.0196078431372</v>
      </c>
      <c r="BM240" s="70">
        <f t="shared" si="798"/>
        <v>33765.843137254902</v>
      </c>
      <c r="BN240" s="70">
        <f t="shared" si="799"/>
        <v>3852.6862745098038</v>
      </c>
      <c r="BO240" s="70">
        <f t="shared" si="800"/>
        <v>5933.1372549019607</v>
      </c>
      <c r="BP240" s="70">
        <f t="shared" si="801"/>
        <v>8002.4509803921565</v>
      </c>
      <c r="BQ240" s="70">
        <f t="shared" si="802"/>
        <v>28302.612745098038</v>
      </c>
      <c r="BR240" s="70">
        <f t="shared" si="803"/>
        <v>26978.627450980392</v>
      </c>
      <c r="BS240" s="70">
        <f t="shared" si="804"/>
        <v>3324.6911764705883</v>
      </c>
      <c r="BT240" s="71">
        <f t="shared" si="805"/>
        <v>244087.73529411765</v>
      </c>
      <c r="BU240" s="65">
        <f t="shared" si="806"/>
        <v>124.8330032878218</v>
      </c>
      <c r="BV240" s="48">
        <f t="shared" si="807"/>
        <v>4.6012829137491593</v>
      </c>
      <c r="BW240" s="48">
        <f t="shared" si="808"/>
        <v>32.632967282856896</v>
      </c>
      <c r="BX240" s="48">
        <f t="shared" si="809"/>
        <v>3.7234250196606058</v>
      </c>
      <c r="BY240" s="48">
        <f t="shared" si="810"/>
        <v>5.7340749092769636</v>
      </c>
      <c r="BZ240" s="48">
        <f t="shared" si="811"/>
        <v>7.7339612093878207</v>
      </c>
      <c r="CA240" s="48">
        <f t="shared" si="812"/>
        <v>27.353033418292416</v>
      </c>
      <c r="CB240" s="48">
        <f t="shared" si="813"/>
        <v>26.073469078367648</v>
      </c>
      <c r="CC240" s="48">
        <f t="shared" si="814"/>
        <v>3.2131446546839615</v>
      </c>
      <c r="CD240" s="47">
        <f t="shared" si="815"/>
        <v>235.89836177409728</v>
      </c>
      <c r="CE240" s="66">
        <v>2632440</v>
      </c>
      <c r="CF240" s="62">
        <v>73440</v>
      </c>
      <c r="CG240" s="74">
        <v>-202941</v>
      </c>
      <c r="CH240" s="75">
        <f t="shared" si="816"/>
        <v>2502939</v>
      </c>
      <c r="CI240" s="62">
        <f>77397+8160+5000</f>
        <v>90557</v>
      </c>
      <c r="CJ240" s="62">
        <v>100002</v>
      </c>
      <c r="CK240" s="62">
        <v>361233</v>
      </c>
      <c r="CL240" s="62">
        <v>153568</v>
      </c>
      <c r="CM240" s="62">
        <f>21140+184744</f>
        <v>205884</v>
      </c>
      <c r="CN240" s="62">
        <v>129475</v>
      </c>
      <c r="CO240" s="62">
        <v>0</v>
      </c>
      <c r="CP240" s="75">
        <f t="shared" si="626"/>
        <v>1040719</v>
      </c>
      <c r="CQ240" s="62">
        <v>61200</v>
      </c>
      <c r="CR240" s="75">
        <f t="shared" si="627"/>
        <v>1101919</v>
      </c>
      <c r="CS240" s="75">
        <f t="shared" si="817"/>
        <v>1462220</v>
      </c>
      <c r="CT240" s="62">
        <v>1215460</v>
      </c>
      <c r="CU240" s="47">
        <f t="shared" si="818"/>
        <v>246760</v>
      </c>
      <c r="CV240" s="76">
        <f t="shared" si="819"/>
        <v>0.5842012130539338</v>
      </c>
      <c r="CW240" s="75">
        <f t="shared" si="820"/>
        <v>5401.5637254901958</v>
      </c>
      <c r="CX240" s="77">
        <f t="shared" si="821"/>
        <v>0.44025004205056534</v>
      </c>
      <c r="CY240" s="75">
        <f t="shared" si="822"/>
        <v>1209.6078431372548</v>
      </c>
      <c r="CZ240" s="77">
        <f t="shared" si="823"/>
        <v>9.8588099829840042E-2</v>
      </c>
      <c r="DA240" s="77">
        <f t="shared" si="824"/>
        <v>0.48561311322409373</v>
      </c>
      <c r="DB240" s="47">
        <f t="shared" si="825"/>
        <v>90583.333333333328</v>
      </c>
      <c r="DC240" s="69">
        <f t="shared" si="826"/>
        <v>12904.117647058823</v>
      </c>
      <c r="DD240" s="70">
        <f t="shared" si="827"/>
        <v>360</v>
      </c>
      <c r="DE240" s="70">
        <f t="shared" si="828"/>
        <v>-994.80882352941171</v>
      </c>
      <c r="DF240" s="70">
        <f t="shared" si="829"/>
        <v>12269.308823529413</v>
      </c>
      <c r="DG240" s="70">
        <f t="shared" si="830"/>
        <v>443.90686274509807</v>
      </c>
      <c r="DH240" s="70">
        <f t="shared" si="831"/>
        <v>490.20588235294116</v>
      </c>
      <c r="DI240" s="70">
        <f t="shared" si="832"/>
        <v>1770.75</v>
      </c>
      <c r="DJ240" s="70">
        <f t="shared" si="833"/>
        <v>752.78431372549016</v>
      </c>
      <c r="DK240" s="70">
        <f t="shared" si="834"/>
        <v>1009.2352941176471</v>
      </c>
      <c r="DL240" s="70">
        <f t="shared" si="835"/>
        <v>634.68137254901956</v>
      </c>
      <c r="DM240" s="70" t="str">
        <f t="shared" si="836"/>
        <v/>
      </c>
      <c r="DN240" s="70">
        <f t="shared" si="837"/>
        <v>5101.5637254901958</v>
      </c>
      <c r="DO240" s="70">
        <f t="shared" si="838"/>
        <v>300</v>
      </c>
      <c r="DP240" s="70">
        <f t="shared" si="839"/>
        <v>5401.5637254901958</v>
      </c>
      <c r="DQ240" s="70">
        <f t="shared" si="840"/>
        <v>7167.7450980392159</v>
      </c>
      <c r="DR240" s="70">
        <f t="shared" si="841"/>
        <v>5958.1372549019607</v>
      </c>
      <c r="DS240" s="71">
        <f t="shared" si="842"/>
        <v>1209.6078431372548</v>
      </c>
      <c r="DT240" s="106">
        <f t="shared" si="843"/>
        <v>1.0517395749556822</v>
      </c>
      <c r="DU240" s="92">
        <f t="shared" si="844"/>
        <v>2.9341506125398979E-2</v>
      </c>
      <c r="DV240" s="92" t="str">
        <f t="shared" si="845"/>
        <v/>
      </c>
      <c r="DW240" s="92">
        <f t="shared" si="846"/>
        <v>1</v>
      </c>
      <c r="DX240" s="92">
        <f t="shared" si="847"/>
        <v>3.6180266478727609E-2</v>
      </c>
      <c r="DY240" s="92">
        <f t="shared" si="848"/>
        <v>3.9953830277126214E-2</v>
      </c>
      <c r="DZ240" s="92">
        <f t="shared" si="849"/>
        <v>0.14432353325430625</v>
      </c>
      <c r="EA240" s="92">
        <f t="shared" si="850"/>
        <v>6.1355070978557608E-2</v>
      </c>
      <c r="EB240" s="92">
        <f t="shared" si="851"/>
        <v>8.2256898789782734E-2</v>
      </c>
      <c r="EC240" s="92">
        <f t="shared" si="852"/>
        <v>5.1729187167565811E-2</v>
      </c>
      <c r="ED240" s="92" t="str">
        <f t="shared" si="853"/>
        <v/>
      </c>
      <c r="EE240" s="92">
        <f t="shared" si="854"/>
        <v>0.4157987869460662</v>
      </c>
      <c r="EF240" s="92">
        <f t="shared" si="855"/>
        <v>2.4451255104499151E-2</v>
      </c>
      <c r="EG240" s="92">
        <f t="shared" si="856"/>
        <v>0.44025004205056534</v>
      </c>
      <c r="EH240" s="92">
        <f t="shared" si="857"/>
        <v>0.5842012130539338</v>
      </c>
      <c r="EI240" s="92">
        <f t="shared" si="858"/>
        <v>0.48561311322409373</v>
      </c>
      <c r="EJ240" s="122">
        <f t="shared" si="859"/>
        <v>9.8588099829840042E-2</v>
      </c>
    </row>
    <row r="241" spans="2:140" ht="12" hidden="1" customHeight="1" outlineLevel="1">
      <c r="B241" s="121">
        <v>45460</v>
      </c>
      <c r="C241" s="117">
        <v>24426</v>
      </c>
      <c r="D241" s="50" t="s">
        <v>1207</v>
      </c>
      <c r="E241" s="50" t="s">
        <v>1208</v>
      </c>
      <c r="F241" s="50" t="s">
        <v>1209</v>
      </c>
      <c r="G241" s="50" t="s">
        <v>291</v>
      </c>
      <c r="H241" s="50" t="s">
        <v>182</v>
      </c>
      <c r="I241" s="50" t="s">
        <v>182</v>
      </c>
      <c r="J241" s="52" t="s">
        <v>263</v>
      </c>
      <c r="K241" s="50" t="s">
        <v>176</v>
      </c>
      <c r="L241" s="49">
        <v>6</v>
      </c>
      <c r="M241" s="50" t="s">
        <v>159</v>
      </c>
      <c r="N241" s="50" t="s">
        <v>160</v>
      </c>
      <c r="O241" s="50" t="s">
        <v>160</v>
      </c>
      <c r="P241" s="50" t="s">
        <v>923</v>
      </c>
      <c r="Q241" s="53">
        <v>0.04</v>
      </c>
      <c r="R241" s="49">
        <v>130</v>
      </c>
      <c r="S241" s="49">
        <v>0</v>
      </c>
      <c r="T241" s="54">
        <f t="shared" si="625"/>
        <v>130</v>
      </c>
      <c r="U241" s="55">
        <v>103094</v>
      </c>
      <c r="V241" s="49">
        <v>6.97</v>
      </c>
      <c r="W241" s="56">
        <f t="shared" si="784"/>
        <v>18.651362984218078</v>
      </c>
      <c r="X241" s="49">
        <v>1982</v>
      </c>
      <c r="Y241" s="57" t="s">
        <v>162</v>
      </c>
      <c r="Z241" s="58">
        <v>15951655</v>
      </c>
      <c r="AA241" s="114">
        <f>(((10150000*8.41%)/(Table1[[#This Row],[Construction Loan Principal]]))+((5801655*7.92%)/(Table1[[#This Row],[Construction Loan Principal]])))</f>
        <v>8.2317858303730868E-2</v>
      </c>
      <c r="AB241" s="59">
        <v>15</v>
      </c>
      <c r="AC241" s="60">
        <v>35</v>
      </c>
      <c r="AD241" s="61">
        <v>5.8299999999999998E-2</v>
      </c>
      <c r="AE241" s="62">
        <v>13208000</v>
      </c>
      <c r="AF241" s="63">
        <v>1.1499999999999999</v>
      </c>
      <c r="AG241" s="59"/>
      <c r="AH241" s="60"/>
      <c r="AI241" s="61"/>
      <c r="AJ241" s="64"/>
      <c r="AK241" s="65">
        <f t="shared" si="785"/>
        <v>13208000</v>
      </c>
      <c r="AL241" s="66">
        <v>0</v>
      </c>
      <c r="AM241" s="49" t="s">
        <v>163</v>
      </c>
      <c r="AN241" s="67">
        <v>0.87</v>
      </c>
      <c r="AO241" s="62">
        <v>8041122</v>
      </c>
      <c r="AP241" s="62">
        <v>0</v>
      </c>
      <c r="AQ241" s="68">
        <v>760686</v>
      </c>
      <c r="AR241" s="69">
        <f t="shared" si="786"/>
        <v>101600</v>
      </c>
      <c r="AS241" s="70" t="str">
        <f t="shared" si="787"/>
        <v/>
      </c>
      <c r="AT241" s="70">
        <f t="shared" si="788"/>
        <v>61854.784615384619</v>
      </c>
      <c r="AU241" s="70" t="str">
        <f t="shared" si="789"/>
        <v/>
      </c>
      <c r="AV241" s="71">
        <f t="shared" si="790"/>
        <v>5851.4307692307693</v>
      </c>
      <c r="AW241" s="115">
        <f t="shared" si="791"/>
        <v>39435.346153846156</v>
      </c>
      <c r="AX241" s="116">
        <f t="shared" si="792"/>
        <v>49.727384716860342</v>
      </c>
      <c r="AY241" s="72">
        <f t="shared" si="793"/>
        <v>49451.930769230763</v>
      </c>
      <c r="AZ241" s="73">
        <f t="shared" si="794"/>
        <v>62.358148873843284</v>
      </c>
      <c r="BA241" s="66">
        <v>10000000</v>
      </c>
      <c r="BB241" s="62">
        <v>279140</v>
      </c>
      <c r="BC241" s="62">
        <v>4847455</v>
      </c>
      <c r="BD241" s="62">
        <v>512660</v>
      </c>
      <c r="BE241" s="62">
        <v>789496</v>
      </c>
      <c r="BF241" s="62">
        <v>1195057</v>
      </c>
      <c r="BG241" s="62">
        <v>2570720</v>
      </c>
      <c r="BH241" s="62">
        <v>2633281</v>
      </c>
      <c r="BI241" s="62">
        <v>882000</v>
      </c>
      <c r="BJ241" s="47">
        <f t="shared" si="795"/>
        <v>23709809</v>
      </c>
      <c r="BK241" s="69">
        <f t="shared" si="796"/>
        <v>76923.076923076922</v>
      </c>
      <c r="BL241" s="70">
        <f t="shared" si="797"/>
        <v>2147.2307692307691</v>
      </c>
      <c r="BM241" s="70">
        <f t="shared" si="798"/>
        <v>37288.115384615383</v>
      </c>
      <c r="BN241" s="70">
        <f t="shared" si="799"/>
        <v>3943.5384615384614</v>
      </c>
      <c r="BO241" s="70">
        <f t="shared" si="800"/>
        <v>6073.0461538461541</v>
      </c>
      <c r="BP241" s="70">
        <f t="shared" si="801"/>
        <v>9192.7461538461539</v>
      </c>
      <c r="BQ241" s="70">
        <f t="shared" si="802"/>
        <v>19774.76923076923</v>
      </c>
      <c r="BR241" s="70">
        <f t="shared" si="803"/>
        <v>20256.007692307692</v>
      </c>
      <c r="BS241" s="70">
        <f t="shared" si="804"/>
        <v>6784.6153846153848</v>
      </c>
      <c r="BT241" s="71">
        <f t="shared" si="805"/>
        <v>182383.14615384614</v>
      </c>
      <c r="BU241" s="65">
        <f t="shared" si="806"/>
        <v>96.998855413506121</v>
      </c>
      <c r="BV241" s="48">
        <f t="shared" si="807"/>
        <v>2.7076260500126099</v>
      </c>
      <c r="BW241" s="48">
        <f t="shared" si="808"/>
        <v>47.019758666847729</v>
      </c>
      <c r="BX241" s="48">
        <f t="shared" si="809"/>
        <v>4.9727433216288048</v>
      </c>
      <c r="BY241" s="48">
        <f t="shared" si="810"/>
        <v>7.6580208353541428</v>
      </c>
      <c r="BZ241" s="48">
        <f t="shared" si="811"/>
        <v>11.591916115389838</v>
      </c>
      <c r="CA241" s="48">
        <f t="shared" si="812"/>
        <v>24.935689758860846</v>
      </c>
      <c r="CB241" s="48">
        <f t="shared" si="813"/>
        <v>25.54252429821328</v>
      </c>
      <c r="CC241" s="48">
        <f t="shared" si="814"/>
        <v>8.5552990474712391</v>
      </c>
      <c r="CD241" s="47">
        <f t="shared" si="815"/>
        <v>229.98243350728461</v>
      </c>
      <c r="CE241" s="66">
        <v>1953180</v>
      </c>
      <c r="CF241" s="62">
        <f>5400+7200+11640</f>
        <v>24240</v>
      </c>
      <c r="CG241" s="74">
        <v>-98871</v>
      </c>
      <c r="CH241" s="75">
        <f t="shared" si="816"/>
        <v>1878549</v>
      </c>
      <c r="CI241" s="62">
        <f>51543+5200+2500+15900</f>
        <v>75143</v>
      </c>
      <c r="CJ241" s="62">
        <v>92776</v>
      </c>
      <c r="CK241" s="62">
        <v>171296</v>
      </c>
      <c r="CL241" s="62">
        <f>4000+90922</f>
        <v>94922</v>
      </c>
      <c r="CM241" s="62">
        <f>46673+145692</f>
        <v>192365</v>
      </c>
      <c r="CN241" s="62">
        <v>193734</v>
      </c>
      <c r="CO241" s="62">
        <v>0</v>
      </c>
      <c r="CP241" s="75">
        <f t="shared" si="626"/>
        <v>820236</v>
      </c>
      <c r="CQ241" s="62">
        <v>39000</v>
      </c>
      <c r="CR241" s="75">
        <f t="shared" si="627"/>
        <v>859236</v>
      </c>
      <c r="CS241" s="75">
        <f t="shared" si="817"/>
        <v>1058313</v>
      </c>
      <c r="CT241" s="62">
        <f>893083-7376</f>
        <v>885707</v>
      </c>
      <c r="CU241" s="47">
        <f t="shared" si="818"/>
        <v>172606</v>
      </c>
      <c r="CV241" s="76">
        <f t="shared" si="819"/>
        <v>0.56336725845319979</v>
      </c>
      <c r="CW241" s="75">
        <f t="shared" si="820"/>
        <v>6609.5076923076922</v>
      </c>
      <c r="CX241" s="77">
        <f t="shared" si="821"/>
        <v>0.45739344568600554</v>
      </c>
      <c r="CY241" s="75">
        <f t="shared" si="822"/>
        <v>1327.7384615384615</v>
      </c>
      <c r="CZ241" s="77">
        <f t="shared" si="823"/>
        <v>9.188261791414544E-2</v>
      </c>
      <c r="DA241" s="77">
        <f t="shared" si="824"/>
        <v>0.47148464053905437</v>
      </c>
      <c r="DB241" s="47">
        <f t="shared" si="825"/>
        <v>101600</v>
      </c>
      <c r="DC241" s="69">
        <f t="shared" si="826"/>
        <v>15024.461538461539</v>
      </c>
      <c r="DD241" s="70">
        <f t="shared" si="827"/>
        <v>186.46153846153845</v>
      </c>
      <c r="DE241" s="70">
        <f t="shared" si="828"/>
        <v>-760.54615384615386</v>
      </c>
      <c r="DF241" s="70">
        <f t="shared" si="829"/>
        <v>14450.376923076923</v>
      </c>
      <c r="DG241" s="70">
        <f t="shared" si="830"/>
        <v>578.02307692307693</v>
      </c>
      <c r="DH241" s="70">
        <f t="shared" si="831"/>
        <v>713.6615384615385</v>
      </c>
      <c r="DI241" s="70">
        <f t="shared" si="832"/>
        <v>1317.6615384615384</v>
      </c>
      <c r="DJ241" s="70">
        <f t="shared" si="833"/>
        <v>730.16923076923081</v>
      </c>
      <c r="DK241" s="70">
        <f t="shared" si="834"/>
        <v>1479.7307692307693</v>
      </c>
      <c r="DL241" s="70">
        <f t="shared" si="835"/>
        <v>1490.2615384615385</v>
      </c>
      <c r="DM241" s="70" t="str">
        <f t="shared" si="836"/>
        <v/>
      </c>
      <c r="DN241" s="70">
        <f t="shared" si="837"/>
        <v>6309.5076923076922</v>
      </c>
      <c r="DO241" s="70">
        <f t="shared" si="838"/>
        <v>300</v>
      </c>
      <c r="DP241" s="70">
        <f t="shared" si="839"/>
        <v>6609.5076923076922</v>
      </c>
      <c r="DQ241" s="70">
        <f t="shared" si="840"/>
        <v>8140.8692307692309</v>
      </c>
      <c r="DR241" s="70">
        <f t="shared" si="841"/>
        <v>6813.1307692307691</v>
      </c>
      <c r="DS241" s="71">
        <f t="shared" si="842"/>
        <v>1327.7384615384615</v>
      </c>
      <c r="DT241" s="106">
        <f t="shared" si="843"/>
        <v>1.0397280028362317</v>
      </c>
      <c r="DU241" s="92">
        <f t="shared" si="844"/>
        <v>1.2903576111136841E-2</v>
      </c>
      <c r="DV241" s="92" t="str">
        <f t="shared" si="845"/>
        <v/>
      </c>
      <c r="DW241" s="92">
        <f t="shared" si="846"/>
        <v>1</v>
      </c>
      <c r="DX241" s="92">
        <f t="shared" si="847"/>
        <v>4.0000553618777045E-2</v>
      </c>
      <c r="DY241" s="92">
        <f t="shared" si="848"/>
        <v>4.9387053518433643E-2</v>
      </c>
      <c r="DZ241" s="92">
        <f t="shared" si="849"/>
        <v>9.1185271185366998E-2</v>
      </c>
      <c r="EA241" s="92">
        <f t="shared" si="850"/>
        <v>5.0529424571837095E-2</v>
      </c>
      <c r="EB241" s="92">
        <f t="shared" si="851"/>
        <v>0.10240084235226231</v>
      </c>
      <c r="EC241" s="92">
        <f t="shared" si="852"/>
        <v>0.10312959630012312</v>
      </c>
      <c r="ED241" s="92" t="str">
        <f t="shared" si="853"/>
        <v/>
      </c>
      <c r="EE241" s="92">
        <f t="shared" si="854"/>
        <v>0.43663274154680021</v>
      </c>
      <c r="EF241" s="92">
        <f t="shared" si="855"/>
        <v>2.0760704139205312E-2</v>
      </c>
      <c r="EG241" s="92">
        <f t="shared" si="856"/>
        <v>0.45739344568600554</v>
      </c>
      <c r="EH241" s="92">
        <f t="shared" si="857"/>
        <v>0.56336725845319979</v>
      </c>
      <c r="EI241" s="92">
        <f t="shared" si="858"/>
        <v>0.47148464053905437</v>
      </c>
      <c r="EJ241" s="122">
        <f t="shared" si="859"/>
        <v>9.188261791414544E-2</v>
      </c>
    </row>
    <row r="242" spans="2:140" ht="12" hidden="1" customHeight="1" outlineLevel="1">
      <c r="B242" s="121">
        <v>45464</v>
      </c>
      <c r="C242" s="117">
        <v>23160</v>
      </c>
      <c r="D242" s="50" t="s">
        <v>1210</v>
      </c>
      <c r="E242" s="50" t="s">
        <v>1108</v>
      </c>
      <c r="F242" s="50" t="s">
        <v>1211</v>
      </c>
      <c r="G242" s="50" t="s">
        <v>154</v>
      </c>
      <c r="H242" s="50" t="s">
        <v>1212</v>
      </c>
      <c r="I242" s="50" t="s">
        <v>1213</v>
      </c>
      <c r="J242" s="52" t="s">
        <v>183</v>
      </c>
      <c r="K242" s="50" t="s">
        <v>184</v>
      </c>
      <c r="L242" s="49">
        <v>9</v>
      </c>
      <c r="M242" s="50" t="s">
        <v>159</v>
      </c>
      <c r="N242" s="50" t="s">
        <v>361</v>
      </c>
      <c r="O242" s="50" t="s">
        <v>160</v>
      </c>
      <c r="P242" s="50" t="s">
        <v>177</v>
      </c>
      <c r="Q242" s="53">
        <v>0.09</v>
      </c>
      <c r="R242" s="49">
        <v>80</v>
      </c>
      <c r="S242" s="49">
        <v>0</v>
      </c>
      <c r="T242" s="54">
        <f t="shared" si="625"/>
        <v>80</v>
      </c>
      <c r="U242" s="55">
        <v>77647</v>
      </c>
      <c r="V242" s="49">
        <v>0.92400000000000004</v>
      </c>
      <c r="W242" s="56">
        <f t="shared" si="784"/>
        <v>86.580086580086572</v>
      </c>
      <c r="X242" s="49" t="s">
        <v>163</v>
      </c>
      <c r="Y242" s="57" t="s">
        <v>162</v>
      </c>
      <c r="Z242" s="58">
        <v>6800000</v>
      </c>
      <c r="AA242" s="114">
        <v>0</v>
      </c>
      <c r="AB242" s="59"/>
      <c r="AC242" s="60"/>
      <c r="AD242" s="61"/>
      <c r="AE242" s="62"/>
      <c r="AF242" s="63"/>
      <c r="AG242" s="59"/>
      <c r="AH242" s="60"/>
      <c r="AI242" s="61"/>
      <c r="AJ242" s="64"/>
      <c r="AK242" s="65" t="str">
        <f t="shared" si="785"/>
        <v/>
      </c>
      <c r="AL242" s="66">
        <v>500</v>
      </c>
      <c r="AM242" s="49" t="s">
        <v>857</v>
      </c>
      <c r="AN242" s="67">
        <v>0.88</v>
      </c>
      <c r="AO242" s="62">
        <v>17598240</v>
      </c>
      <c r="AP242" s="62">
        <v>0</v>
      </c>
      <c r="AQ242" s="68">
        <v>1220876</v>
      </c>
      <c r="AR242" s="69" t="str">
        <f t="shared" si="786"/>
        <v/>
      </c>
      <c r="AS242" s="70">
        <f t="shared" si="787"/>
        <v>6.25</v>
      </c>
      <c r="AT242" s="70">
        <f t="shared" si="788"/>
        <v>219978</v>
      </c>
      <c r="AU242" s="70" t="str">
        <f t="shared" si="789"/>
        <v/>
      </c>
      <c r="AV242" s="71">
        <f t="shared" si="790"/>
        <v>15260.95</v>
      </c>
      <c r="AW242" s="115">
        <f t="shared" si="791"/>
        <v>153632.25</v>
      </c>
      <c r="AX242" s="116">
        <f t="shared" si="792"/>
        <v>158.28789264234291</v>
      </c>
      <c r="AY242" s="72">
        <f t="shared" si="793"/>
        <v>190988.71249999999</v>
      </c>
      <c r="AZ242" s="73">
        <f t="shared" si="794"/>
        <v>196.77639831545326</v>
      </c>
      <c r="BA242" s="66">
        <v>500000</v>
      </c>
      <c r="BB242" s="62">
        <v>1137190</v>
      </c>
      <c r="BC242" s="62">
        <v>11153390</v>
      </c>
      <c r="BD242" s="62">
        <v>951757</v>
      </c>
      <c r="BE242" s="62">
        <v>2036760</v>
      </c>
      <c r="BF242" s="62">
        <v>3384611</v>
      </c>
      <c r="BG242" s="62">
        <v>1676693</v>
      </c>
      <c r="BH242" s="62">
        <v>3119011</v>
      </c>
      <c r="BI242" s="62">
        <v>354256</v>
      </c>
      <c r="BJ242" s="47">
        <f t="shared" si="795"/>
        <v>24313668</v>
      </c>
      <c r="BK242" s="69">
        <f t="shared" si="796"/>
        <v>6250</v>
      </c>
      <c r="BL242" s="70">
        <f t="shared" si="797"/>
        <v>14214.875</v>
      </c>
      <c r="BM242" s="70">
        <f t="shared" si="798"/>
        <v>139417.375</v>
      </c>
      <c r="BN242" s="70">
        <f t="shared" si="799"/>
        <v>11896.9625</v>
      </c>
      <c r="BO242" s="70">
        <f t="shared" si="800"/>
        <v>25459.5</v>
      </c>
      <c r="BP242" s="70">
        <f t="shared" si="801"/>
        <v>42307.637499999997</v>
      </c>
      <c r="BQ242" s="70">
        <f t="shared" si="802"/>
        <v>20958.662499999999</v>
      </c>
      <c r="BR242" s="70">
        <f t="shared" si="803"/>
        <v>38987.637499999997</v>
      </c>
      <c r="BS242" s="70">
        <f t="shared" si="804"/>
        <v>4428.2</v>
      </c>
      <c r="BT242" s="71">
        <f t="shared" si="805"/>
        <v>303920.84999999998</v>
      </c>
      <c r="BU242" s="65">
        <f t="shared" si="806"/>
        <v>6.439398817726377</v>
      </c>
      <c r="BV242" s="48">
        <f t="shared" si="807"/>
        <v>14.645639883060518</v>
      </c>
      <c r="BW242" s="48">
        <f t="shared" si="808"/>
        <v>143.6422527592824</v>
      </c>
      <c r="BX242" s="48">
        <f t="shared" si="809"/>
        <v>12.257485801125608</v>
      </c>
      <c r="BY242" s="48">
        <f t="shared" si="810"/>
        <v>26.231019871984753</v>
      </c>
      <c r="BZ242" s="48">
        <f t="shared" si="811"/>
        <v>43.589720143727384</v>
      </c>
      <c r="CA242" s="48">
        <f t="shared" si="812"/>
        <v>21.593789843780186</v>
      </c>
      <c r="CB242" s="48">
        <f t="shared" si="813"/>
        <v>40.169111491751131</v>
      </c>
      <c r="CC242" s="48">
        <f t="shared" si="814"/>
        <v>4.5623913351449508</v>
      </c>
      <c r="CD242" s="47">
        <f t="shared" si="815"/>
        <v>313.13080994758332</v>
      </c>
      <c r="CE242" s="66">
        <v>775272</v>
      </c>
      <c r="CF242" s="62">
        <v>2880</v>
      </c>
      <c r="CG242" s="74">
        <v>-58361</v>
      </c>
      <c r="CH242" s="75">
        <f t="shared" si="816"/>
        <v>719791</v>
      </c>
      <c r="CI242" s="62">
        <f>24756+118223+3200</f>
        <v>146179</v>
      </c>
      <c r="CJ242" s="62">
        <v>35990</v>
      </c>
      <c r="CK242" s="62">
        <v>84477</v>
      </c>
      <c r="CL242" s="62">
        <v>86217</v>
      </c>
      <c r="CM242" s="62">
        <f>9033+71041</f>
        <v>80074</v>
      </c>
      <c r="CN242" s="62">
        <v>96000</v>
      </c>
      <c r="CO242" s="62">
        <v>0</v>
      </c>
      <c r="CP242" s="75">
        <f t="shared" si="626"/>
        <v>528937</v>
      </c>
      <c r="CQ242" s="62">
        <v>28000</v>
      </c>
      <c r="CR242" s="75">
        <f t="shared" si="627"/>
        <v>556937</v>
      </c>
      <c r="CS242" s="75">
        <f t="shared" si="817"/>
        <v>190854</v>
      </c>
      <c r="CT242" s="62">
        <v>0</v>
      </c>
      <c r="CU242" s="47">
        <f t="shared" si="818"/>
        <v>190854</v>
      </c>
      <c r="CV242" s="76">
        <f t="shared" si="819"/>
        <v>0.26515196772396432</v>
      </c>
      <c r="CW242" s="75">
        <f t="shared" si="820"/>
        <v>6961.7124999999996</v>
      </c>
      <c r="CX242" s="77">
        <f t="shared" si="821"/>
        <v>0.77374821302294694</v>
      </c>
      <c r="CY242" s="75">
        <f t="shared" si="822"/>
        <v>2385.6750000000002</v>
      </c>
      <c r="CZ242" s="77">
        <f t="shared" si="823"/>
        <v>0.26515196772396432</v>
      </c>
      <c r="DA242" s="77" t="str">
        <f t="shared" si="824"/>
        <v/>
      </c>
      <c r="DB242" s="47" t="str">
        <f t="shared" si="825"/>
        <v/>
      </c>
      <c r="DC242" s="69">
        <f t="shared" si="826"/>
        <v>9690.9</v>
      </c>
      <c r="DD242" s="70">
        <f t="shared" si="827"/>
        <v>36</v>
      </c>
      <c r="DE242" s="70">
        <f t="shared" si="828"/>
        <v>-729.51250000000005</v>
      </c>
      <c r="DF242" s="70">
        <f t="shared" si="829"/>
        <v>8997.3875000000007</v>
      </c>
      <c r="DG242" s="70">
        <f t="shared" si="830"/>
        <v>1827.2375</v>
      </c>
      <c r="DH242" s="70">
        <f t="shared" si="831"/>
        <v>449.875</v>
      </c>
      <c r="DI242" s="70">
        <f t="shared" si="832"/>
        <v>1055.9625000000001</v>
      </c>
      <c r="DJ242" s="70">
        <f t="shared" si="833"/>
        <v>1077.7125000000001</v>
      </c>
      <c r="DK242" s="70">
        <f t="shared" si="834"/>
        <v>1000.925</v>
      </c>
      <c r="DL242" s="70">
        <f t="shared" si="835"/>
        <v>1200</v>
      </c>
      <c r="DM242" s="70" t="str">
        <f t="shared" si="836"/>
        <v/>
      </c>
      <c r="DN242" s="70">
        <f t="shared" si="837"/>
        <v>6611.7124999999996</v>
      </c>
      <c r="DO242" s="70">
        <f t="shared" si="838"/>
        <v>350</v>
      </c>
      <c r="DP242" s="70">
        <f t="shared" si="839"/>
        <v>6961.7124999999996</v>
      </c>
      <c r="DQ242" s="70">
        <f t="shared" si="840"/>
        <v>2385.6750000000002</v>
      </c>
      <c r="DR242" s="70" t="str">
        <f t="shared" si="841"/>
        <v/>
      </c>
      <c r="DS242" s="71">
        <f t="shared" si="842"/>
        <v>2385.6750000000002</v>
      </c>
      <c r="DT242" s="106">
        <f t="shared" si="843"/>
        <v>1.0770793188578351</v>
      </c>
      <c r="DU242" s="92">
        <f t="shared" si="844"/>
        <v>4.0011614482537289E-3</v>
      </c>
      <c r="DV242" s="92" t="str">
        <f t="shared" si="845"/>
        <v/>
      </c>
      <c r="DW242" s="92">
        <f t="shared" si="846"/>
        <v>1</v>
      </c>
      <c r="DX242" s="92">
        <f t="shared" si="847"/>
        <v>0.20308534005009787</v>
      </c>
      <c r="DY242" s="92">
        <f t="shared" si="848"/>
        <v>5.0000625181476292E-2</v>
      </c>
      <c r="DZ242" s="92">
        <f t="shared" si="849"/>
        <v>0.11736323460560079</v>
      </c>
      <c r="EA242" s="92">
        <f t="shared" si="850"/>
        <v>0.11978060298058742</v>
      </c>
      <c r="EB242" s="92">
        <f t="shared" si="851"/>
        <v>0.111246181183149</v>
      </c>
      <c r="EC242" s="92">
        <f t="shared" si="852"/>
        <v>0.13337204827512431</v>
      </c>
      <c r="ED242" s="92" t="str">
        <f t="shared" si="853"/>
        <v/>
      </c>
      <c r="EE242" s="92">
        <f t="shared" si="854"/>
        <v>0.73484803227603568</v>
      </c>
      <c r="EF242" s="92">
        <f t="shared" si="855"/>
        <v>3.8900180746911255E-2</v>
      </c>
      <c r="EG242" s="92">
        <f t="shared" si="856"/>
        <v>0.77374821302294694</v>
      </c>
      <c r="EH242" s="92">
        <f t="shared" si="857"/>
        <v>0.26515196772396432</v>
      </c>
      <c r="EI242" s="92" t="str">
        <f t="shared" si="858"/>
        <v/>
      </c>
      <c r="EJ242" s="122">
        <f t="shared" si="859"/>
        <v>0.26515196772396432</v>
      </c>
    </row>
    <row r="243" spans="2:140" ht="12" hidden="1" customHeight="1" outlineLevel="1">
      <c r="B243" s="121">
        <v>45464</v>
      </c>
      <c r="C243" s="117">
        <v>24457</v>
      </c>
      <c r="D243" s="50" t="s">
        <v>1214</v>
      </c>
      <c r="E243" s="50" t="s">
        <v>1215</v>
      </c>
      <c r="F243" s="50" t="s">
        <v>1216</v>
      </c>
      <c r="G243" s="50" t="s">
        <v>291</v>
      </c>
      <c r="H243" s="50" t="s">
        <v>396</v>
      </c>
      <c r="I243" s="50" t="s">
        <v>396</v>
      </c>
      <c r="J243" s="52" t="s">
        <v>1217</v>
      </c>
      <c r="K243" s="50" t="s">
        <v>176</v>
      </c>
      <c r="L243" s="49">
        <v>6</v>
      </c>
      <c r="M243" s="50" t="s">
        <v>159</v>
      </c>
      <c r="N243" s="50" t="s">
        <v>160</v>
      </c>
      <c r="O243" s="50" t="s">
        <v>160</v>
      </c>
      <c r="P243" s="50" t="s">
        <v>923</v>
      </c>
      <c r="Q243" s="53">
        <v>0.04</v>
      </c>
      <c r="R243" s="49">
        <v>260</v>
      </c>
      <c r="S243" s="49">
        <v>0</v>
      </c>
      <c r="T243" s="54">
        <f t="shared" si="625"/>
        <v>260</v>
      </c>
      <c r="U243" s="55">
        <v>234070</v>
      </c>
      <c r="V243" s="49">
        <v>8.1199999999999992</v>
      </c>
      <c r="W243" s="56">
        <f t="shared" si="784"/>
        <v>32.019704433497537</v>
      </c>
      <c r="X243" s="49">
        <v>1966</v>
      </c>
      <c r="Y243" s="57" t="s">
        <v>162</v>
      </c>
      <c r="Z243" s="58">
        <v>44692789</v>
      </c>
      <c r="AA243" s="114">
        <f>(((27846480*5.58%)/(Table1[[#This Row],[Construction Loan Principal]]))+((16846399*7.82%)/(Table1[[#This Row],[Construction Loan Principal]])))</f>
        <v>6.424351780328591E-2</v>
      </c>
      <c r="AB243" s="59">
        <v>15</v>
      </c>
      <c r="AC243" s="60">
        <v>35</v>
      </c>
      <c r="AD243" s="61">
        <v>5.5800000000000002E-2</v>
      </c>
      <c r="AE243" s="62">
        <v>27846480</v>
      </c>
      <c r="AF243" s="63">
        <v>1.1599999999999999</v>
      </c>
      <c r="AG243" s="59"/>
      <c r="AH243" s="60"/>
      <c r="AI243" s="61"/>
      <c r="AJ243" s="64"/>
      <c r="AK243" s="65">
        <f t="shared" si="785"/>
        <v>27846480</v>
      </c>
      <c r="AL243" s="66">
        <v>0</v>
      </c>
      <c r="AM243" s="49" t="s">
        <v>163</v>
      </c>
      <c r="AN243" s="67">
        <v>0.87</v>
      </c>
      <c r="AO243" s="62">
        <v>17271144</v>
      </c>
      <c r="AP243" s="62">
        <v>1701647</v>
      </c>
      <c r="AQ243" s="68">
        <v>3336998</v>
      </c>
      <c r="AR243" s="69">
        <f t="shared" si="786"/>
        <v>107101.84615384616</v>
      </c>
      <c r="AS243" s="70" t="str">
        <f t="shared" si="787"/>
        <v/>
      </c>
      <c r="AT243" s="70">
        <f t="shared" si="788"/>
        <v>66427.476923076916</v>
      </c>
      <c r="AU243" s="70">
        <f t="shared" si="789"/>
        <v>6544.7961538461541</v>
      </c>
      <c r="AV243" s="71">
        <f t="shared" si="790"/>
        <v>12834.607692307693</v>
      </c>
      <c r="AW243" s="115">
        <f t="shared" si="791"/>
        <v>30230.76923076923</v>
      </c>
      <c r="AX243" s="116">
        <f t="shared" si="792"/>
        <v>33.579698380826251</v>
      </c>
      <c r="AY243" s="72">
        <f t="shared" si="793"/>
        <v>37546.61538461539</v>
      </c>
      <c r="AZ243" s="73">
        <f t="shared" si="794"/>
        <v>41.7059853889862</v>
      </c>
      <c r="BA243" s="66">
        <v>27900000</v>
      </c>
      <c r="BB243" s="62">
        <v>0</v>
      </c>
      <c r="BC243" s="62">
        <v>7860000</v>
      </c>
      <c r="BD243" s="62">
        <v>786000</v>
      </c>
      <c r="BE243" s="62">
        <v>1116120</v>
      </c>
      <c r="BF243" s="62">
        <v>1004293</v>
      </c>
      <c r="BG243" s="62">
        <v>5343594</v>
      </c>
      <c r="BH243" s="62">
        <v>5872455</v>
      </c>
      <c r="BI243" s="62">
        <v>818867</v>
      </c>
      <c r="BJ243" s="47">
        <f t="shared" si="795"/>
        <v>50701329</v>
      </c>
      <c r="BK243" s="69">
        <f t="shared" si="796"/>
        <v>107307.69230769231</v>
      </c>
      <c r="BL243" s="70" t="str">
        <f t="shared" si="797"/>
        <v/>
      </c>
      <c r="BM243" s="70">
        <f t="shared" si="798"/>
        <v>30230.76923076923</v>
      </c>
      <c r="BN243" s="70">
        <f t="shared" si="799"/>
        <v>3023.0769230769229</v>
      </c>
      <c r="BO243" s="70">
        <f t="shared" si="800"/>
        <v>4292.7692307692305</v>
      </c>
      <c r="BP243" s="70">
        <f t="shared" si="801"/>
        <v>3862.6653846153845</v>
      </c>
      <c r="BQ243" s="70">
        <f t="shared" si="802"/>
        <v>20552.284615384615</v>
      </c>
      <c r="BR243" s="70">
        <f t="shared" si="803"/>
        <v>22586.365384615383</v>
      </c>
      <c r="BS243" s="70">
        <f t="shared" si="804"/>
        <v>3149.4884615384617</v>
      </c>
      <c r="BT243" s="71">
        <f t="shared" si="805"/>
        <v>195005.11153846153</v>
      </c>
      <c r="BU243" s="65">
        <f t="shared" si="806"/>
        <v>119.19511257316188</v>
      </c>
      <c r="BV243" s="48" t="str">
        <f t="shared" si="807"/>
        <v/>
      </c>
      <c r="BW243" s="48">
        <f t="shared" si="808"/>
        <v>33.579698380826251</v>
      </c>
      <c r="BX243" s="48">
        <f t="shared" si="809"/>
        <v>3.3579698380826248</v>
      </c>
      <c r="BY243" s="48">
        <f t="shared" si="810"/>
        <v>4.768317170077327</v>
      </c>
      <c r="BZ243" s="48">
        <f t="shared" si="811"/>
        <v>4.2905669244243176</v>
      </c>
      <c r="CA243" s="48">
        <f t="shared" si="812"/>
        <v>22.829042594095782</v>
      </c>
      <c r="CB243" s="48">
        <f t="shared" si="813"/>
        <v>25.08845644465331</v>
      </c>
      <c r="CC243" s="48">
        <f t="shared" si="814"/>
        <v>3.4983850984748153</v>
      </c>
      <c r="CD243" s="47">
        <f t="shared" si="815"/>
        <v>216.60754902379631</v>
      </c>
      <c r="CE243" s="66">
        <v>3404892</v>
      </c>
      <c r="CF243" s="62">
        <v>93600</v>
      </c>
      <c r="CG243" s="74">
        <v>-262387</v>
      </c>
      <c r="CH243" s="75">
        <f t="shared" si="816"/>
        <v>3236105</v>
      </c>
      <c r="CI243" s="62">
        <f>81436+10400+9500</f>
        <v>101336</v>
      </c>
      <c r="CJ243" s="62">
        <v>97083</v>
      </c>
      <c r="CK243" s="62">
        <v>307563</v>
      </c>
      <c r="CL243" s="62">
        <v>171192</v>
      </c>
      <c r="CM243" s="62">
        <f>36711+69606</f>
        <v>106317</v>
      </c>
      <c r="CN243" s="62">
        <v>241976</v>
      </c>
      <c r="CO243" s="62">
        <v>0</v>
      </c>
      <c r="CP243" s="75">
        <f t="shared" si="626"/>
        <v>1025467</v>
      </c>
      <c r="CQ243" s="62">
        <v>78000</v>
      </c>
      <c r="CR243" s="75">
        <f t="shared" si="627"/>
        <v>1103467</v>
      </c>
      <c r="CS243" s="75">
        <f t="shared" si="817"/>
        <v>2210638</v>
      </c>
      <c r="CT243" s="62">
        <v>1839879</v>
      </c>
      <c r="CU243" s="47">
        <f t="shared" si="818"/>
        <v>370759</v>
      </c>
      <c r="CV243" s="76">
        <f t="shared" si="819"/>
        <v>0.68311689515636853</v>
      </c>
      <c r="CW243" s="75">
        <f t="shared" si="820"/>
        <v>4244.1038461538465</v>
      </c>
      <c r="CX243" s="77">
        <f t="shared" si="821"/>
        <v>0.34098615465196586</v>
      </c>
      <c r="CY243" s="75">
        <f t="shared" si="822"/>
        <v>1425.9961538461539</v>
      </c>
      <c r="CZ243" s="77">
        <f t="shared" si="823"/>
        <v>0.11456952107549044</v>
      </c>
      <c r="DA243" s="77">
        <f t="shared" si="824"/>
        <v>0.56854737408087808</v>
      </c>
      <c r="DB243" s="47">
        <f t="shared" si="825"/>
        <v>107101.84615384616</v>
      </c>
      <c r="DC243" s="69">
        <f t="shared" si="826"/>
        <v>13095.738461538462</v>
      </c>
      <c r="DD243" s="70">
        <f t="shared" si="827"/>
        <v>360</v>
      </c>
      <c r="DE243" s="70">
        <f t="shared" si="828"/>
        <v>-1009.1807692307692</v>
      </c>
      <c r="DF243" s="70">
        <f t="shared" si="829"/>
        <v>12446.557692307691</v>
      </c>
      <c r="DG243" s="70">
        <f t="shared" si="830"/>
        <v>389.75384615384615</v>
      </c>
      <c r="DH243" s="70">
        <f t="shared" si="831"/>
        <v>373.39615384615382</v>
      </c>
      <c r="DI243" s="70">
        <f t="shared" si="832"/>
        <v>1182.9346153846154</v>
      </c>
      <c r="DJ243" s="70">
        <f t="shared" si="833"/>
        <v>658.43076923076922</v>
      </c>
      <c r="DK243" s="70">
        <f t="shared" si="834"/>
        <v>408.91153846153844</v>
      </c>
      <c r="DL243" s="70">
        <f t="shared" si="835"/>
        <v>930.67692307692312</v>
      </c>
      <c r="DM243" s="70" t="str">
        <f t="shared" si="836"/>
        <v/>
      </c>
      <c r="DN243" s="70">
        <f t="shared" si="837"/>
        <v>3944.103846153846</v>
      </c>
      <c r="DO243" s="70">
        <f t="shared" si="838"/>
        <v>300</v>
      </c>
      <c r="DP243" s="70">
        <f t="shared" si="839"/>
        <v>4244.1038461538465</v>
      </c>
      <c r="DQ243" s="70">
        <f t="shared" si="840"/>
        <v>8502.4538461538468</v>
      </c>
      <c r="DR243" s="70">
        <f t="shared" si="841"/>
        <v>7076.457692307692</v>
      </c>
      <c r="DS243" s="71">
        <f t="shared" si="842"/>
        <v>1425.9961538461539</v>
      </c>
      <c r="DT243" s="106">
        <f t="shared" si="843"/>
        <v>1.0521574547179402</v>
      </c>
      <c r="DU243" s="92">
        <f t="shared" si="844"/>
        <v>2.8923659770001282E-2</v>
      </c>
      <c r="DV243" s="92" t="str">
        <f t="shared" si="845"/>
        <v/>
      </c>
      <c r="DW243" s="92">
        <f t="shared" si="846"/>
        <v>1</v>
      </c>
      <c r="DX243" s="92">
        <f t="shared" si="847"/>
        <v>3.1314187889453525E-2</v>
      </c>
      <c r="DY243" s="92">
        <f t="shared" si="848"/>
        <v>2.9999953647981137E-2</v>
      </c>
      <c r="DZ243" s="92">
        <f t="shared" si="849"/>
        <v>9.5041106515394283E-2</v>
      </c>
      <c r="EA243" s="92">
        <f t="shared" si="850"/>
        <v>5.2900632087030552E-2</v>
      </c>
      <c r="EB243" s="92">
        <f t="shared" si="851"/>
        <v>3.2853383929137031E-2</v>
      </c>
      <c r="EC243" s="92">
        <f t="shared" si="852"/>
        <v>7.4773840774634934E-2</v>
      </c>
      <c r="ED243" s="92" t="str">
        <f t="shared" si="853"/>
        <v/>
      </c>
      <c r="EE243" s="92">
        <f t="shared" si="854"/>
        <v>0.31688310484363147</v>
      </c>
      <c r="EF243" s="92">
        <f t="shared" si="855"/>
        <v>2.4103049808334401E-2</v>
      </c>
      <c r="EG243" s="92">
        <f t="shared" si="856"/>
        <v>0.34098615465196586</v>
      </c>
      <c r="EH243" s="92">
        <f t="shared" si="857"/>
        <v>0.68311689515636853</v>
      </c>
      <c r="EI243" s="92">
        <f t="shared" si="858"/>
        <v>0.56854737408087808</v>
      </c>
      <c r="EJ243" s="122">
        <f t="shared" si="859"/>
        <v>0.11456952107549044</v>
      </c>
    </row>
    <row r="244" spans="2:140" ht="12" hidden="1" customHeight="1" outlineLevel="1">
      <c r="B244" s="121">
        <v>45467</v>
      </c>
      <c r="C244" s="117">
        <v>24415</v>
      </c>
      <c r="D244" s="50" t="s">
        <v>1218</v>
      </c>
      <c r="E244" s="50" t="s">
        <v>1219</v>
      </c>
      <c r="F244" s="50" t="s">
        <v>1220</v>
      </c>
      <c r="G244" s="50" t="s">
        <v>162</v>
      </c>
      <c r="H244" s="50" t="s">
        <v>182</v>
      </c>
      <c r="I244" s="50" t="s">
        <v>182</v>
      </c>
      <c r="J244" s="52" t="s">
        <v>360</v>
      </c>
      <c r="K244" s="50" t="s">
        <v>294</v>
      </c>
      <c r="L244" s="49">
        <v>7</v>
      </c>
      <c r="M244" s="50" t="s">
        <v>159</v>
      </c>
      <c r="N244" s="50" t="s">
        <v>244</v>
      </c>
      <c r="O244" s="50" t="s">
        <v>160</v>
      </c>
      <c r="P244" s="50" t="s">
        <v>923</v>
      </c>
      <c r="Q244" s="53">
        <v>0.04</v>
      </c>
      <c r="R244" s="49">
        <v>240</v>
      </c>
      <c r="S244" s="49">
        <v>0</v>
      </c>
      <c r="T244" s="54">
        <f t="shared" si="625"/>
        <v>240</v>
      </c>
      <c r="U244" s="55">
        <v>203720</v>
      </c>
      <c r="V244" s="49">
        <v>10.17</v>
      </c>
      <c r="W244" s="56">
        <f t="shared" si="784"/>
        <v>23.598820058997049</v>
      </c>
      <c r="X244" s="49">
        <v>2005</v>
      </c>
      <c r="Y244" s="57" t="s">
        <v>162</v>
      </c>
      <c r="Z244" s="58">
        <v>28500000</v>
      </c>
      <c r="AA244" s="114">
        <f>(((15050000*5.75%)/(Table1[[#This Row],[Construction Loan Principal]]))+((13450000*5.52%)/(Table1[[#This Row],[Construction Loan Principal]])))</f>
        <v>5.641456140350877E-2</v>
      </c>
      <c r="AB244" s="59">
        <v>18</v>
      </c>
      <c r="AC244" s="60">
        <v>35</v>
      </c>
      <c r="AD244" s="61">
        <v>5.7500000000000002E-2</v>
      </c>
      <c r="AE244" s="62">
        <v>15050000</v>
      </c>
      <c r="AF244" s="63">
        <v>1.2</v>
      </c>
      <c r="AG244" s="59"/>
      <c r="AH244" s="60"/>
      <c r="AI244" s="61"/>
      <c r="AJ244" s="64"/>
      <c r="AK244" s="65">
        <f t="shared" si="785"/>
        <v>15050000</v>
      </c>
      <c r="AL244" s="66">
        <v>0</v>
      </c>
      <c r="AM244" s="49" t="s">
        <v>163</v>
      </c>
      <c r="AN244" s="67">
        <v>0.88</v>
      </c>
      <c r="AO244" s="62">
        <v>16990004</v>
      </c>
      <c r="AP244" s="62">
        <v>1972100</v>
      </c>
      <c r="AQ244" s="68">
        <v>3458621</v>
      </c>
      <c r="AR244" s="69">
        <f t="shared" si="786"/>
        <v>62708.333333333336</v>
      </c>
      <c r="AS244" s="70" t="str">
        <f t="shared" si="787"/>
        <v/>
      </c>
      <c r="AT244" s="70">
        <f t="shared" si="788"/>
        <v>70791.683333333334</v>
      </c>
      <c r="AU244" s="70">
        <f t="shared" si="789"/>
        <v>8217.0833333333339</v>
      </c>
      <c r="AV244" s="71">
        <f t="shared" si="790"/>
        <v>14410.920833333334</v>
      </c>
      <c r="AW244" s="115">
        <f t="shared" si="791"/>
        <v>29636.05</v>
      </c>
      <c r="AX244" s="116">
        <f t="shared" si="792"/>
        <v>34.913862163754175</v>
      </c>
      <c r="AY244" s="72">
        <f t="shared" si="793"/>
        <v>37163.604166666664</v>
      </c>
      <c r="AZ244" s="73">
        <f t="shared" si="794"/>
        <v>43.781980168859221</v>
      </c>
      <c r="BA244" s="66">
        <v>31835000</v>
      </c>
      <c r="BB244" s="62">
        <v>1042745</v>
      </c>
      <c r="BC244" s="62">
        <v>6069907</v>
      </c>
      <c r="BD244" s="62">
        <v>711265</v>
      </c>
      <c r="BE244" s="62">
        <v>1095348</v>
      </c>
      <c r="BF244" s="62">
        <v>2080674</v>
      </c>
      <c r="BG244" s="62">
        <v>6710456</v>
      </c>
      <c r="BH244" s="62">
        <v>6297787</v>
      </c>
      <c r="BI244" s="62">
        <v>1127544</v>
      </c>
      <c r="BJ244" s="47">
        <f t="shared" si="795"/>
        <v>56970726</v>
      </c>
      <c r="BK244" s="69">
        <f t="shared" si="796"/>
        <v>132645.83333333334</v>
      </c>
      <c r="BL244" s="70">
        <f t="shared" si="797"/>
        <v>4344.770833333333</v>
      </c>
      <c r="BM244" s="70">
        <f t="shared" si="798"/>
        <v>25291.279166666667</v>
      </c>
      <c r="BN244" s="70">
        <f t="shared" si="799"/>
        <v>2963.6041666666665</v>
      </c>
      <c r="BO244" s="70">
        <f t="shared" si="800"/>
        <v>4563.95</v>
      </c>
      <c r="BP244" s="70">
        <f t="shared" si="801"/>
        <v>8669.4750000000004</v>
      </c>
      <c r="BQ244" s="70">
        <f t="shared" si="802"/>
        <v>27960.233333333334</v>
      </c>
      <c r="BR244" s="70">
        <f t="shared" si="803"/>
        <v>26240.779166666667</v>
      </c>
      <c r="BS244" s="70">
        <f t="shared" si="804"/>
        <v>4698.1000000000004</v>
      </c>
      <c r="BT244" s="71">
        <f t="shared" si="805"/>
        <v>237378.02499999999</v>
      </c>
      <c r="BU244" s="65">
        <f t="shared" si="806"/>
        <v>156.26840761829962</v>
      </c>
      <c r="BV244" s="48">
        <f t="shared" si="807"/>
        <v>5.1185205183585314</v>
      </c>
      <c r="BW244" s="48">
        <f t="shared" si="808"/>
        <v>29.795341645395641</v>
      </c>
      <c r="BX244" s="48">
        <f t="shared" si="809"/>
        <v>3.4913852346357745</v>
      </c>
      <c r="BY244" s="48">
        <f t="shared" si="810"/>
        <v>5.3767327704692711</v>
      </c>
      <c r="BZ244" s="48">
        <f t="shared" si="811"/>
        <v>10.213400746122128</v>
      </c>
      <c r="CA244" s="48">
        <f t="shared" si="812"/>
        <v>32.939603377184369</v>
      </c>
      <c r="CB244" s="48">
        <f t="shared" si="813"/>
        <v>30.91393579422737</v>
      </c>
      <c r="CC244" s="48">
        <f t="shared" si="814"/>
        <v>5.5347732181425489</v>
      </c>
      <c r="CD244" s="47">
        <f t="shared" si="815"/>
        <v>279.65210092283525</v>
      </c>
      <c r="CE244" s="66">
        <v>2891280</v>
      </c>
      <c r="CF244" s="62">
        <v>86400</v>
      </c>
      <c r="CG244" s="74">
        <v>-223326</v>
      </c>
      <c r="CH244" s="75">
        <f t="shared" si="816"/>
        <v>2754354</v>
      </c>
      <c r="CI244" s="62">
        <f>144900+14700</f>
        <v>159600</v>
      </c>
      <c r="CJ244" s="62">
        <v>110174</v>
      </c>
      <c r="CK244" s="62">
        <v>423120</v>
      </c>
      <c r="CL244" s="62">
        <v>310140</v>
      </c>
      <c r="CM244" s="62">
        <f>51579+85016+189039</f>
        <v>325634</v>
      </c>
      <c r="CN244" s="62">
        <v>151680</v>
      </c>
      <c r="CO244" s="62">
        <v>0</v>
      </c>
      <c r="CP244" s="75">
        <f t="shared" si="626"/>
        <v>1480348</v>
      </c>
      <c r="CQ244" s="62">
        <v>72000</v>
      </c>
      <c r="CR244" s="75">
        <f t="shared" si="627"/>
        <v>1552348</v>
      </c>
      <c r="CS244" s="75">
        <f t="shared" si="817"/>
        <v>1274006</v>
      </c>
      <c r="CT244" s="62">
        <v>999622</v>
      </c>
      <c r="CU244" s="47">
        <f t="shared" si="818"/>
        <v>274384</v>
      </c>
      <c r="CV244" s="76">
        <f t="shared" si="819"/>
        <v>0.46254257804189297</v>
      </c>
      <c r="CW244" s="75">
        <f t="shared" si="820"/>
        <v>6468.1166666666668</v>
      </c>
      <c r="CX244" s="77">
        <f t="shared" si="821"/>
        <v>0.56359785270883844</v>
      </c>
      <c r="CY244" s="75">
        <f t="shared" si="822"/>
        <v>1143.2666666666667</v>
      </c>
      <c r="CZ244" s="77">
        <f t="shared" si="823"/>
        <v>9.9618277098731681E-2</v>
      </c>
      <c r="DA244" s="77">
        <f t="shared" si="824"/>
        <v>0.36292430094316125</v>
      </c>
      <c r="DB244" s="47">
        <f t="shared" si="825"/>
        <v>62708.333333333336</v>
      </c>
      <c r="DC244" s="69">
        <f t="shared" si="826"/>
        <v>12047</v>
      </c>
      <c r="DD244" s="70">
        <f t="shared" si="827"/>
        <v>360</v>
      </c>
      <c r="DE244" s="70">
        <f t="shared" si="828"/>
        <v>-930.52499999999998</v>
      </c>
      <c r="DF244" s="70">
        <f t="shared" si="829"/>
        <v>11476.475</v>
      </c>
      <c r="DG244" s="70">
        <f t="shared" si="830"/>
        <v>665</v>
      </c>
      <c r="DH244" s="70">
        <f t="shared" si="831"/>
        <v>459.05833333333334</v>
      </c>
      <c r="DI244" s="70">
        <f t="shared" si="832"/>
        <v>1763</v>
      </c>
      <c r="DJ244" s="70">
        <f t="shared" si="833"/>
        <v>1292.25</v>
      </c>
      <c r="DK244" s="70">
        <f t="shared" si="834"/>
        <v>1356.8083333333334</v>
      </c>
      <c r="DL244" s="70">
        <f t="shared" si="835"/>
        <v>632</v>
      </c>
      <c r="DM244" s="70" t="str">
        <f t="shared" si="836"/>
        <v/>
      </c>
      <c r="DN244" s="70">
        <f t="shared" si="837"/>
        <v>6168.1166666666668</v>
      </c>
      <c r="DO244" s="70">
        <f t="shared" si="838"/>
        <v>300</v>
      </c>
      <c r="DP244" s="70">
        <f t="shared" si="839"/>
        <v>6468.1166666666668</v>
      </c>
      <c r="DQ244" s="70">
        <f t="shared" si="840"/>
        <v>5308.3583333333336</v>
      </c>
      <c r="DR244" s="70">
        <f t="shared" si="841"/>
        <v>4165.0916666666662</v>
      </c>
      <c r="DS244" s="71">
        <f t="shared" si="842"/>
        <v>1143.2666666666667</v>
      </c>
      <c r="DT244" s="106">
        <f t="shared" si="843"/>
        <v>1.0497125641802034</v>
      </c>
      <c r="DU244" s="92">
        <f t="shared" si="844"/>
        <v>3.1368516900877663E-2</v>
      </c>
      <c r="DV244" s="92" t="str">
        <f t="shared" si="845"/>
        <v/>
      </c>
      <c r="DW244" s="92">
        <f t="shared" si="846"/>
        <v>1</v>
      </c>
      <c r="DX244" s="92">
        <f t="shared" si="847"/>
        <v>5.7944621497454572E-2</v>
      </c>
      <c r="DY244" s="92">
        <f t="shared" si="848"/>
        <v>3.9999941910153887E-2</v>
      </c>
      <c r="DZ244" s="92">
        <f t="shared" si="849"/>
        <v>0.15361859804513145</v>
      </c>
      <c r="EA244" s="92">
        <f t="shared" si="850"/>
        <v>0.11259990545877545</v>
      </c>
      <c r="EB244" s="92">
        <f t="shared" si="851"/>
        <v>0.11822518093171756</v>
      </c>
      <c r="EC244" s="92">
        <f t="shared" si="852"/>
        <v>5.5069174114874123E-2</v>
      </c>
      <c r="ED244" s="92" t="str">
        <f t="shared" si="853"/>
        <v/>
      </c>
      <c r="EE244" s="92">
        <f t="shared" si="854"/>
        <v>0.53745742195810708</v>
      </c>
      <c r="EF244" s="92">
        <f t="shared" si="855"/>
        <v>2.6140430750731386E-2</v>
      </c>
      <c r="EG244" s="92">
        <f t="shared" si="856"/>
        <v>0.56359785270883844</v>
      </c>
      <c r="EH244" s="92">
        <f t="shared" si="857"/>
        <v>0.46254257804189297</v>
      </c>
      <c r="EI244" s="92">
        <f t="shared" si="858"/>
        <v>0.36292430094316125</v>
      </c>
      <c r="EJ244" s="122">
        <f t="shared" si="859"/>
        <v>9.9618277098731681E-2</v>
      </c>
    </row>
    <row r="245" spans="2:140" ht="12" hidden="1" customHeight="1" outlineLevel="1">
      <c r="B245" s="121">
        <v>45482</v>
      </c>
      <c r="C245" s="117">
        <v>24450</v>
      </c>
      <c r="D245" s="50" t="s">
        <v>1221</v>
      </c>
      <c r="E245" s="50" t="s">
        <v>1222</v>
      </c>
      <c r="F245" s="50" t="s">
        <v>163</v>
      </c>
      <c r="G245" s="50" t="s">
        <v>291</v>
      </c>
      <c r="H245" s="50" t="s">
        <v>182</v>
      </c>
      <c r="I245" s="50" t="s">
        <v>182</v>
      </c>
      <c r="J245" s="52" t="s">
        <v>175</v>
      </c>
      <c r="K245" s="50" t="s">
        <v>176</v>
      </c>
      <c r="L245" s="49">
        <v>6</v>
      </c>
      <c r="M245" s="50" t="s">
        <v>159</v>
      </c>
      <c r="N245" s="50" t="s">
        <v>244</v>
      </c>
      <c r="O245" s="50" t="s">
        <v>160</v>
      </c>
      <c r="P245" s="50" t="s">
        <v>177</v>
      </c>
      <c r="Q245" s="53">
        <v>0.04</v>
      </c>
      <c r="R245" s="49">
        <v>98</v>
      </c>
      <c r="S245" s="49">
        <v>1</v>
      </c>
      <c r="T245" s="54">
        <f t="shared" si="625"/>
        <v>99</v>
      </c>
      <c r="U245" s="55">
        <v>65484</v>
      </c>
      <c r="V245" s="49">
        <v>2.2440000000000002</v>
      </c>
      <c r="W245" s="56">
        <f t="shared" si="784"/>
        <v>44.117647058823522</v>
      </c>
      <c r="X245" s="49" t="s">
        <v>163</v>
      </c>
      <c r="Y245" s="57" t="s">
        <v>162</v>
      </c>
      <c r="Z245" s="58">
        <v>17300000</v>
      </c>
      <c r="AA245" s="114">
        <f>(((11305560*0.0822)/(Table1[[#This Row],[Construction Loan Principal]]))+((5994440*0.0872)/(Table1[[#This Row],[Construction Loan Principal]])))</f>
        <v>8.3932497109826587E-2</v>
      </c>
      <c r="AB245" s="59">
        <v>15</v>
      </c>
      <c r="AC245" s="60">
        <v>40</v>
      </c>
      <c r="AD245" s="61">
        <v>6.9500000000000006E-2</v>
      </c>
      <c r="AE245" s="62">
        <v>5994440</v>
      </c>
      <c r="AF245" s="63">
        <v>1.17</v>
      </c>
      <c r="AG245" s="59"/>
      <c r="AH245" s="60"/>
      <c r="AI245" s="61"/>
      <c r="AJ245" s="64"/>
      <c r="AK245" s="65">
        <f t="shared" si="785"/>
        <v>5994440</v>
      </c>
      <c r="AL245" s="66">
        <v>6138000</v>
      </c>
      <c r="AM245" s="49" t="s">
        <v>1116</v>
      </c>
      <c r="AN245" s="67">
        <v>0.87</v>
      </c>
      <c r="AO245" s="62">
        <v>9002850</v>
      </c>
      <c r="AP245" s="62">
        <v>0</v>
      </c>
      <c r="AQ245" s="68">
        <v>1531702</v>
      </c>
      <c r="AR245" s="69">
        <f t="shared" si="786"/>
        <v>60549.898989898989</v>
      </c>
      <c r="AS245" s="70">
        <f t="shared" si="787"/>
        <v>62000</v>
      </c>
      <c r="AT245" s="70">
        <f t="shared" si="788"/>
        <v>90937.878787878784</v>
      </c>
      <c r="AU245" s="70" t="str">
        <f t="shared" si="789"/>
        <v/>
      </c>
      <c r="AV245" s="71">
        <f t="shared" si="790"/>
        <v>15471.737373737375</v>
      </c>
      <c r="AW245" s="115">
        <f t="shared" si="791"/>
        <v>118610.24242424243</v>
      </c>
      <c r="AX245" s="116">
        <f t="shared" si="792"/>
        <v>179.31729888216969</v>
      </c>
      <c r="AY245" s="72">
        <f t="shared" si="793"/>
        <v>141976.46464646465</v>
      </c>
      <c r="AZ245" s="73">
        <f t="shared" si="794"/>
        <v>214.64281351169751</v>
      </c>
      <c r="BA245" s="66">
        <v>1370000</v>
      </c>
      <c r="BB245" s="62">
        <v>1169920</v>
      </c>
      <c r="BC245" s="62">
        <v>10572494</v>
      </c>
      <c r="BD245" s="62">
        <v>669318</v>
      </c>
      <c r="BE245" s="62">
        <v>1643938</v>
      </c>
      <c r="BF245" s="62">
        <v>1592225</v>
      </c>
      <c r="BG245" s="62">
        <v>2752921</v>
      </c>
      <c r="BH245" s="62">
        <v>2580000</v>
      </c>
      <c r="BI245" s="62">
        <v>316176</v>
      </c>
      <c r="BJ245" s="47">
        <f t="shared" si="795"/>
        <v>22666992</v>
      </c>
      <c r="BK245" s="69">
        <f t="shared" si="796"/>
        <v>13838.383838383839</v>
      </c>
      <c r="BL245" s="70">
        <f t="shared" si="797"/>
        <v>11817.373737373737</v>
      </c>
      <c r="BM245" s="70">
        <f t="shared" si="798"/>
        <v>106792.86868686869</v>
      </c>
      <c r="BN245" s="70">
        <f t="shared" si="799"/>
        <v>6760.787878787879</v>
      </c>
      <c r="BO245" s="70">
        <f t="shared" si="800"/>
        <v>16605.434343434343</v>
      </c>
      <c r="BP245" s="70">
        <f t="shared" si="801"/>
        <v>16083.080808080807</v>
      </c>
      <c r="BQ245" s="70">
        <f t="shared" si="802"/>
        <v>27807.282828282827</v>
      </c>
      <c r="BR245" s="70">
        <f t="shared" si="803"/>
        <v>26060.60606060606</v>
      </c>
      <c r="BS245" s="70">
        <f t="shared" si="804"/>
        <v>3193.6969696969695</v>
      </c>
      <c r="BT245" s="71">
        <f t="shared" si="805"/>
        <v>228959.51515151514</v>
      </c>
      <c r="BU245" s="65">
        <f t="shared" si="806"/>
        <v>20.921141042086617</v>
      </c>
      <c r="BV245" s="48">
        <f t="shared" si="807"/>
        <v>17.865738195589763</v>
      </c>
      <c r="BW245" s="48">
        <f t="shared" si="808"/>
        <v>161.45156068657994</v>
      </c>
      <c r="BX245" s="48">
        <f t="shared" si="809"/>
        <v>10.221092175187833</v>
      </c>
      <c r="BY245" s="48">
        <f t="shared" si="810"/>
        <v>25.104422454339993</v>
      </c>
      <c r="BZ245" s="48">
        <f t="shared" si="811"/>
        <v>24.314718099077638</v>
      </c>
      <c r="CA245" s="48">
        <f t="shared" si="812"/>
        <v>42.039597458921264</v>
      </c>
      <c r="CB245" s="48">
        <f t="shared" si="813"/>
        <v>39.398937144951439</v>
      </c>
      <c r="CC245" s="48">
        <f t="shared" si="814"/>
        <v>4.8282939343961884</v>
      </c>
      <c r="CD245" s="47">
        <f t="shared" si="815"/>
        <v>346.14550119113068</v>
      </c>
      <c r="CE245" s="66">
        <v>1063440</v>
      </c>
      <c r="CF245" s="62">
        <v>35640</v>
      </c>
      <c r="CG245" s="74">
        <v>-82431</v>
      </c>
      <c r="CH245" s="75">
        <f t="shared" si="816"/>
        <v>1016649</v>
      </c>
      <c r="CI245" s="62">
        <f>46200+3920+2475+4024+3366</f>
        <v>59985</v>
      </c>
      <c r="CJ245" s="62">
        <v>55275</v>
      </c>
      <c r="CK245" s="62">
        <v>112980</v>
      </c>
      <c r="CL245" s="62">
        <v>71269</v>
      </c>
      <c r="CM245" s="62">
        <f>19800+68904</f>
        <v>88704</v>
      </c>
      <c r="CN245" s="62">
        <v>81636</v>
      </c>
      <c r="CO245" s="62">
        <v>0</v>
      </c>
      <c r="CP245" s="75">
        <f t="shared" si="626"/>
        <v>469849</v>
      </c>
      <c r="CQ245" s="62">
        <v>24750</v>
      </c>
      <c r="CR245" s="75">
        <f t="shared" si="627"/>
        <v>494599</v>
      </c>
      <c r="CS245" s="75">
        <f t="shared" si="817"/>
        <v>546800</v>
      </c>
      <c r="CT245" s="62">
        <v>446881</v>
      </c>
      <c r="CU245" s="47">
        <f t="shared" si="818"/>
        <v>99919</v>
      </c>
      <c r="CV245" s="76">
        <f t="shared" si="819"/>
        <v>0.53784541173994171</v>
      </c>
      <c r="CW245" s="75">
        <f t="shared" si="820"/>
        <v>4995.9494949494947</v>
      </c>
      <c r="CX245" s="77">
        <f t="shared" si="821"/>
        <v>0.48649927359393458</v>
      </c>
      <c r="CY245" s="75">
        <f t="shared" si="822"/>
        <v>1009.2828282828283</v>
      </c>
      <c r="CZ245" s="77">
        <f t="shared" si="823"/>
        <v>9.8282691469720615E-2</v>
      </c>
      <c r="DA245" s="77">
        <f t="shared" si="824"/>
        <v>0.43956272027022109</v>
      </c>
      <c r="DB245" s="47">
        <f t="shared" si="825"/>
        <v>60549.898989898989</v>
      </c>
      <c r="DC245" s="69">
        <f t="shared" si="826"/>
        <v>10741.818181818182</v>
      </c>
      <c r="DD245" s="70">
        <f t="shared" si="827"/>
        <v>360</v>
      </c>
      <c r="DE245" s="70">
        <f t="shared" si="828"/>
        <v>-832.63636363636363</v>
      </c>
      <c r="DF245" s="70">
        <f t="shared" si="829"/>
        <v>10269.181818181818</v>
      </c>
      <c r="DG245" s="70">
        <f t="shared" si="830"/>
        <v>605.90909090909088</v>
      </c>
      <c r="DH245" s="70">
        <f t="shared" si="831"/>
        <v>558.33333333333337</v>
      </c>
      <c r="DI245" s="70">
        <f t="shared" si="832"/>
        <v>1141.2121212121212</v>
      </c>
      <c r="DJ245" s="70">
        <f t="shared" si="833"/>
        <v>719.88888888888891</v>
      </c>
      <c r="DK245" s="70">
        <f t="shared" si="834"/>
        <v>896</v>
      </c>
      <c r="DL245" s="70">
        <f t="shared" si="835"/>
        <v>824.60606060606062</v>
      </c>
      <c r="DM245" s="70" t="str">
        <f t="shared" si="836"/>
        <v/>
      </c>
      <c r="DN245" s="70">
        <f t="shared" si="837"/>
        <v>4745.9494949494947</v>
      </c>
      <c r="DO245" s="70">
        <f t="shared" si="838"/>
        <v>250</v>
      </c>
      <c r="DP245" s="70">
        <f t="shared" si="839"/>
        <v>4995.9494949494947</v>
      </c>
      <c r="DQ245" s="70">
        <f t="shared" si="840"/>
        <v>5523.2323232323233</v>
      </c>
      <c r="DR245" s="70">
        <f t="shared" si="841"/>
        <v>4513.9494949494947</v>
      </c>
      <c r="DS245" s="71">
        <f t="shared" si="842"/>
        <v>1009.2828282828283</v>
      </c>
      <c r="DT245" s="106">
        <f t="shared" si="843"/>
        <v>1.0460247342002993</v>
      </c>
      <c r="DU245" s="92">
        <f t="shared" si="844"/>
        <v>3.5056346880781866E-2</v>
      </c>
      <c r="DV245" s="92" t="str">
        <f t="shared" si="845"/>
        <v/>
      </c>
      <c r="DW245" s="92">
        <f t="shared" si="846"/>
        <v>1</v>
      </c>
      <c r="DX245" s="92">
        <f t="shared" si="847"/>
        <v>5.9002664636467451E-2</v>
      </c>
      <c r="DY245" s="92">
        <f t="shared" si="848"/>
        <v>5.4369797245657055E-2</v>
      </c>
      <c r="DZ245" s="92">
        <f t="shared" si="849"/>
        <v>0.11112979996045833</v>
      </c>
      <c r="EA245" s="92">
        <f t="shared" si="850"/>
        <v>7.010187390141534E-2</v>
      </c>
      <c r="EB245" s="92">
        <f t="shared" si="851"/>
        <v>8.7251352236612637E-2</v>
      </c>
      <c r="EC245" s="92">
        <f t="shared" si="852"/>
        <v>8.0299100279447477E-2</v>
      </c>
      <c r="ED245" s="92" t="str">
        <f t="shared" si="853"/>
        <v/>
      </c>
      <c r="EE245" s="92">
        <f t="shared" si="854"/>
        <v>0.46215458826005829</v>
      </c>
      <c r="EF245" s="92">
        <f t="shared" si="855"/>
        <v>2.4344685333876293E-2</v>
      </c>
      <c r="EG245" s="92">
        <f t="shared" si="856"/>
        <v>0.48649927359393458</v>
      </c>
      <c r="EH245" s="92">
        <f t="shared" si="857"/>
        <v>0.53784541173994171</v>
      </c>
      <c r="EI245" s="92">
        <f t="shared" si="858"/>
        <v>0.43956272027022109</v>
      </c>
      <c r="EJ245" s="122">
        <f t="shared" si="859"/>
        <v>9.8282691469720615E-2</v>
      </c>
    </row>
    <row r="246" spans="2:140" ht="12" hidden="1" customHeight="1" outlineLevel="1">
      <c r="B246" s="121">
        <v>45483</v>
      </c>
      <c r="C246" s="117">
        <v>24452</v>
      </c>
      <c r="D246" s="50" t="s">
        <v>1223</v>
      </c>
      <c r="E246" s="50" t="s">
        <v>1224</v>
      </c>
      <c r="F246" s="50" t="s">
        <v>1225</v>
      </c>
      <c r="G246" s="50" t="s">
        <v>1226</v>
      </c>
      <c r="H246" s="50" t="s">
        <v>1227</v>
      </c>
      <c r="I246" s="50" t="s">
        <v>573</v>
      </c>
      <c r="J246" s="52" t="s">
        <v>1228</v>
      </c>
      <c r="K246" s="50" t="s">
        <v>529</v>
      </c>
      <c r="L246" s="49">
        <v>7</v>
      </c>
      <c r="M246" s="50" t="s">
        <v>283</v>
      </c>
      <c r="N246" s="50" t="s">
        <v>160</v>
      </c>
      <c r="O246" s="50" t="s">
        <v>160</v>
      </c>
      <c r="P246" s="50" t="s">
        <v>177</v>
      </c>
      <c r="Q246" s="53">
        <v>0.04</v>
      </c>
      <c r="R246" s="49">
        <v>324</v>
      </c>
      <c r="S246" s="49">
        <v>0</v>
      </c>
      <c r="T246" s="54">
        <f t="shared" si="625"/>
        <v>324</v>
      </c>
      <c r="U246" s="55">
        <v>382278</v>
      </c>
      <c r="V246" s="49">
        <v>14.69</v>
      </c>
      <c r="W246" s="56">
        <f t="shared" si="784"/>
        <v>22.055820285908784</v>
      </c>
      <c r="X246" s="49" t="s">
        <v>163</v>
      </c>
      <c r="Y246" s="57" t="s">
        <v>162</v>
      </c>
      <c r="Z246" s="58">
        <v>93713168</v>
      </c>
      <c r="AA246" s="114">
        <f>(((32044168*0.0832)/(Table1[[#This Row],[Construction Loan Principal]]))+((61669000*0.0782)/(Table1[[#This Row],[Construction Loan Principal]])))</f>
        <v>7.9909693988789277E-2</v>
      </c>
      <c r="AB246" s="59">
        <v>15</v>
      </c>
      <c r="AC246" s="60">
        <v>40</v>
      </c>
      <c r="AD246" s="61">
        <v>5.9799999999999999E-2</v>
      </c>
      <c r="AE246" s="62">
        <v>60902500</v>
      </c>
      <c r="AF246" s="63">
        <v>1.1499999999999999</v>
      </c>
      <c r="AG246" s="59"/>
      <c r="AH246" s="60"/>
      <c r="AI246" s="61"/>
      <c r="AJ246" s="64"/>
      <c r="AK246" s="65">
        <f t="shared" si="785"/>
        <v>60902500</v>
      </c>
      <c r="AL246" s="66">
        <v>0</v>
      </c>
      <c r="AM246" s="49" t="s">
        <v>163</v>
      </c>
      <c r="AN246" s="67">
        <v>0.96</v>
      </c>
      <c r="AO246" s="62">
        <v>42331395</v>
      </c>
      <c r="AP246" s="62">
        <v>1599049</v>
      </c>
      <c r="AQ246" s="68">
        <v>13094075</v>
      </c>
      <c r="AR246" s="69">
        <f t="shared" si="786"/>
        <v>187970.67901234567</v>
      </c>
      <c r="AS246" s="70" t="str">
        <f t="shared" si="787"/>
        <v/>
      </c>
      <c r="AT246" s="70">
        <f t="shared" si="788"/>
        <v>130652.45370370371</v>
      </c>
      <c r="AU246" s="70">
        <f t="shared" si="789"/>
        <v>4935.3364197530864</v>
      </c>
      <c r="AV246" s="71">
        <f t="shared" si="790"/>
        <v>40413.811728395063</v>
      </c>
      <c r="AW246" s="115">
        <f t="shared" si="791"/>
        <v>194012.92283950618</v>
      </c>
      <c r="AX246" s="116">
        <f t="shared" si="792"/>
        <v>164.43579541590151</v>
      </c>
      <c r="AY246" s="72">
        <f t="shared" si="793"/>
        <v>231475.0740740741</v>
      </c>
      <c r="AZ246" s="73">
        <f t="shared" si="794"/>
        <v>196.18686924175603</v>
      </c>
      <c r="BA246" s="66">
        <v>5120000</v>
      </c>
      <c r="BB246" s="62">
        <v>7267740</v>
      </c>
      <c r="BC246" s="62">
        <v>55592447</v>
      </c>
      <c r="BD246" s="62">
        <v>3583000</v>
      </c>
      <c r="BE246" s="62">
        <v>8554737</v>
      </c>
      <c r="BF246" s="62">
        <v>5441420</v>
      </c>
      <c r="BG246" s="62">
        <v>23401084</v>
      </c>
      <c r="BH246" s="62">
        <v>14624949</v>
      </c>
      <c r="BI246" s="62">
        <v>2199376</v>
      </c>
      <c r="BJ246" s="47">
        <f t="shared" si="795"/>
        <v>125784753</v>
      </c>
      <c r="BK246" s="69">
        <f t="shared" si="796"/>
        <v>15802.469135802468</v>
      </c>
      <c r="BL246" s="70">
        <f t="shared" si="797"/>
        <v>22431.296296296296</v>
      </c>
      <c r="BM246" s="70">
        <f t="shared" si="798"/>
        <v>171581.62654320989</v>
      </c>
      <c r="BN246" s="70">
        <f t="shared" si="799"/>
        <v>11058.641975308641</v>
      </c>
      <c r="BO246" s="70">
        <f t="shared" si="800"/>
        <v>26403.509259259259</v>
      </c>
      <c r="BP246" s="70">
        <f t="shared" si="801"/>
        <v>16794.506172839505</v>
      </c>
      <c r="BQ246" s="70">
        <f t="shared" si="802"/>
        <v>72225.567901234564</v>
      </c>
      <c r="BR246" s="70">
        <f t="shared" si="803"/>
        <v>45138.731481481482</v>
      </c>
      <c r="BS246" s="70">
        <f t="shared" si="804"/>
        <v>6788.1975308641977</v>
      </c>
      <c r="BT246" s="71">
        <f t="shared" si="805"/>
        <v>388224.54629629629</v>
      </c>
      <c r="BU246" s="65">
        <f t="shared" si="806"/>
        <v>13.393394336059098</v>
      </c>
      <c r="BV246" s="48">
        <f t="shared" si="807"/>
        <v>19.011661670302765</v>
      </c>
      <c r="BW246" s="48">
        <f t="shared" si="808"/>
        <v>145.42413374559877</v>
      </c>
      <c r="BX246" s="48">
        <f t="shared" si="809"/>
        <v>9.3727601379101078</v>
      </c>
      <c r="BY246" s="48">
        <f t="shared" si="810"/>
        <v>22.378313687944374</v>
      </c>
      <c r="BZ246" s="48">
        <f t="shared" si="811"/>
        <v>14.234196056273184</v>
      </c>
      <c r="CA246" s="48">
        <f t="shared" si="812"/>
        <v>61.214833184227189</v>
      </c>
      <c r="CB246" s="48">
        <f t="shared" si="813"/>
        <v>38.257365058936166</v>
      </c>
      <c r="CC246" s="48">
        <f t="shared" si="814"/>
        <v>5.7533418088406867</v>
      </c>
      <c r="CD246" s="47">
        <f t="shared" si="815"/>
        <v>329.0399996860923</v>
      </c>
      <c r="CE246" s="66">
        <v>6611256</v>
      </c>
      <c r="CF246" s="62">
        <f>17496+80484+18660</f>
        <v>116640</v>
      </c>
      <c r="CG246" s="74">
        <v>-504592</v>
      </c>
      <c r="CH246" s="75">
        <f t="shared" si="816"/>
        <v>6223304</v>
      </c>
      <c r="CI246" s="62">
        <f>108280+40500+12960+3500+92355</f>
        <v>257595</v>
      </c>
      <c r="CJ246" s="62">
        <v>156821</v>
      </c>
      <c r="CK246" s="62">
        <v>435456</v>
      </c>
      <c r="CL246" s="62">
        <v>230040</v>
      </c>
      <c r="CM246" s="62">
        <f>124225+196535</f>
        <v>320760</v>
      </c>
      <c r="CN246" s="62">
        <v>129600</v>
      </c>
      <c r="CO246" s="62">
        <v>0</v>
      </c>
      <c r="CP246" s="75">
        <f t="shared" si="626"/>
        <v>1530272</v>
      </c>
      <c r="CQ246" s="62">
        <v>81000</v>
      </c>
      <c r="CR246" s="75">
        <f t="shared" si="627"/>
        <v>1611272</v>
      </c>
      <c r="CS246" s="75">
        <f t="shared" si="817"/>
        <v>4693032</v>
      </c>
      <c r="CT246" s="62">
        <f>4053359-43944</f>
        <v>4009415</v>
      </c>
      <c r="CU246" s="47">
        <f t="shared" si="818"/>
        <v>683617</v>
      </c>
      <c r="CV246" s="76">
        <f t="shared" si="819"/>
        <v>0.75410617896859933</v>
      </c>
      <c r="CW246" s="75">
        <f t="shared" si="820"/>
        <v>4973.0617283950614</v>
      </c>
      <c r="CX246" s="77">
        <f t="shared" si="821"/>
        <v>0.25890941532022216</v>
      </c>
      <c r="CY246" s="75">
        <f t="shared" si="822"/>
        <v>2109.929012345679</v>
      </c>
      <c r="CZ246" s="77">
        <f t="shared" si="823"/>
        <v>0.10984792001162083</v>
      </c>
      <c r="DA246" s="77">
        <f t="shared" si="824"/>
        <v>0.64425825895697852</v>
      </c>
      <c r="DB246" s="47">
        <f t="shared" si="825"/>
        <v>187970.67901234567</v>
      </c>
      <c r="DC246" s="69">
        <f t="shared" si="826"/>
        <v>20405.111111111109</v>
      </c>
      <c r="DD246" s="70">
        <f t="shared" si="827"/>
        <v>360</v>
      </c>
      <c r="DE246" s="70">
        <f t="shared" si="828"/>
        <v>-1557.3827160493827</v>
      </c>
      <c r="DF246" s="70">
        <f t="shared" si="829"/>
        <v>19207.728395061727</v>
      </c>
      <c r="DG246" s="70">
        <f t="shared" si="830"/>
        <v>795.0462962962963</v>
      </c>
      <c r="DH246" s="70">
        <f t="shared" si="831"/>
        <v>484.01543209876542</v>
      </c>
      <c r="DI246" s="70">
        <f t="shared" si="832"/>
        <v>1344</v>
      </c>
      <c r="DJ246" s="70">
        <f t="shared" si="833"/>
        <v>710</v>
      </c>
      <c r="DK246" s="70">
        <f t="shared" si="834"/>
        <v>990</v>
      </c>
      <c r="DL246" s="70">
        <f t="shared" si="835"/>
        <v>400</v>
      </c>
      <c r="DM246" s="70" t="str">
        <f t="shared" si="836"/>
        <v/>
      </c>
      <c r="DN246" s="70">
        <f t="shared" si="837"/>
        <v>4723.0617283950614</v>
      </c>
      <c r="DO246" s="70">
        <f t="shared" si="838"/>
        <v>250</v>
      </c>
      <c r="DP246" s="70">
        <f t="shared" si="839"/>
        <v>4973.0617283950614</v>
      </c>
      <c r="DQ246" s="70">
        <f t="shared" si="840"/>
        <v>14484.666666666666</v>
      </c>
      <c r="DR246" s="70">
        <f t="shared" si="841"/>
        <v>12374.737654320988</v>
      </c>
      <c r="DS246" s="71">
        <f t="shared" si="842"/>
        <v>2109.929012345679</v>
      </c>
      <c r="DT246" s="106">
        <f t="shared" si="843"/>
        <v>1.0623385905621836</v>
      </c>
      <c r="DU246" s="92">
        <f t="shared" si="844"/>
        <v>1.8742455775902962E-2</v>
      </c>
      <c r="DV246" s="92" t="str">
        <f t="shared" si="845"/>
        <v/>
      </c>
      <c r="DW246" s="92">
        <f t="shared" si="846"/>
        <v>1</v>
      </c>
      <c r="DX246" s="92">
        <f t="shared" si="847"/>
        <v>4.1392000133691043E-2</v>
      </c>
      <c r="DY246" s="92">
        <f t="shared" si="848"/>
        <v>2.5198993974904649E-2</v>
      </c>
      <c r="DZ246" s="92">
        <f t="shared" si="849"/>
        <v>6.9971834896704388E-2</v>
      </c>
      <c r="EA246" s="92">
        <f t="shared" si="850"/>
        <v>3.6964287780253062E-2</v>
      </c>
      <c r="EB246" s="92">
        <f t="shared" si="851"/>
        <v>5.1541753383733145E-2</v>
      </c>
      <c r="EC246" s="92">
        <f t="shared" si="852"/>
        <v>2.0824950862114402E-2</v>
      </c>
      <c r="ED246" s="92" t="str">
        <f t="shared" si="853"/>
        <v/>
      </c>
      <c r="EE246" s="92">
        <f t="shared" si="854"/>
        <v>0.24589382103140067</v>
      </c>
      <c r="EF246" s="92">
        <f t="shared" si="855"/>
        <v>1.30155942888215E-2</v>
      </c>
      <c r="EG246" s="92">
        <f t="shared" si="856"/>
        <v>0.25890941532022216</v>
      </c>
      <c r="EH246" s="92">
        <f t="shared" si="857"/>
        <v>0.75410617896859933</v>
      </c>
      <c r="EI246" s="92">
        <f t="shared" si="858"/>
        <v>0.64425825895697852</v>
      </c>
      <c r="EJ246" s="122">
        <f t="shared" si="859"/>
        <v>0.10984792001162083</v>
      </c>
    </row>
    <row r="247" spans="2:140" ht="12" hidden="1" customHeight="1" outlineLevel="1">
      <c r="B247" s="121">
        <v>45485</v>
      </c>
      <c r="C247" s="117">
        <v>24409</v>
      </c>
      <c r="D247" s="50" t="s">
        <v>1229</v>
      </c>
      <c r="E247" s="50" t="s">
        <v>1230</v>
      </c>
      <c r="F247" s="50" t="s">
        <v>1231</v>
      </c>
      <c r="G247" s="50" t="s">
        <v>162</v>
      </c>
      <c r="H247" s="50" t="s">
        <v>1232</v>
      </c>
      <c r="I247" s="50" t="s">
        <v>499</v>
      </c>
      <c r="J247" s="52" t="s">
        <v>191</v>
      </c>
      <c r="K247" s="50" t="s">
        <v>192</v>
      </c>
      <c r="L247" s="49">
        <v>3</v>
      </c>
      <c r="M247" s="50" t="s">
        <v>159</v>
      </c>
      <c r="N247" s="50" t="s">
        <v>160</v>
      </c>
      <c r="O247" s="50" t="s">
        <v>160</v>
      </c>
      <c r="P247" s="50" t="s">
        <v>923</v>
      </c>
      <c r="Q247" s="53">
        <v>0.04</v>
      </c>
      <c r="R247" s="49">
        <v>280</v>
      </c>
      <c r="S247" s="49">
        <v>0</v>
      </c>
      <c r="T247" s="54">
        <f t="shared" si="625"/>
        <v>280</v>
      </c>
      <c r="U247" s="55">
        <v>331664</v>
      </c>
      <c r="V247" s="49">
        <v>24.928999999999998</v>
      </c>
      <c r="W247" s="56">
        <f t="shared" si="784"/>
        <v>11.231898592001285</v>
      </c>
      <c r="X247" s="49">
        <v>2001</v>
      </c>
      <c r="Y247" s="57" t="s">
        <v>162</v>
      </c>
      <c r="Z247" s="58">
        <v>47340000</v>
      </c>
      <c r="AA247" s="114">
        <f>(((30310000*0.0588)/(Table1[[#This Row],[Construction Loan Principal]]))+((17030000*0.0835)/(Table1[[#This Row],[Construction Loan Principal]])))</f>
        <v>6.7685530207013095E-2</v>
      </c>
      <c r="AB247" s="59">
        <v>18</v>
      </c>
      <c r="AC247" s="60">
        <v>40</v>
      </c>
      <c r="AD247" s="61">
        <v>5.8799999999999998E-2</v>
      </c>
      <c r="AE247" s="62">
        <v>30310000</v>
      </c>
      <c r="AF247" s="63">
        <v>1.1499999999999999</v>
      </c>
      <c r="AG247" s="59"/>
      <c r="AH247" s="60"/>
      <c r="AI247" s="61"/>
      <c r="AJ247" s="64"/>
      <c r="AK247" s="65">
        <f t="shared" si="785"/>
        <v>30310000</v>
      </c>
      <c r="AL247" s="66">
        <v>0</v>
      </c>
      <c r="AM247" s="49" t="s">
        <v>163</v>
      </c>
      <c r="AN247" s="67">
        <v>0.9</v>
      </c>
      <c r="AO247" s="62">
        <v>22976559</v>
      </c>
      <c r="AP247" s="62">
        <v>2697000</v>
      </c>
      <c r="AQ247" s="68">
        <v>5116940</v>
      </c>
      <c r="AR247" s="69">
        <f t="shared" si="786"/>
        <v>108250</v>
      </c>
      <c r="AS247" s="70" t="str">
        <f t="shared" si="787"/>
        <v/>
      </c>
      <c r="AT247" s="70">
        <f t="shared" si="788"/>
        <v>82059.139285714293</v>
      </c>
      <c r="AU247" s="70">
        <f t="shared" si="789"/>
        <v>9632.1428571428569</v>
      </c>
      <c r="AV247" s="71">
        <f t="shared" si="790"/>
        <v>18274.785714285714</v>
      </c>
      <c r="AW247" s="115">
        <f t="shared" si="791"/>
        <v>30064.435714285715</v>
      </c>
      <c r="AX247" s="116">
        <f t="shared" si="792"/>
        <v>25.381235226011867</v>
      </c>
      <c r="AY247" s="72">
        <f t="shared" si="793"/>
        <v>37387.299999999996</v>
      </c>
      <c r="AZ247" s="73">
        <f t="shared" si="794"/>
        <v>31.563401514786047</v>
      </c>
      <c r="BA247" s="66">
        <v>39680000</v>
      </c>
      <c r="BB247" s="62">
        <v>1150277</v>
      </c>
      <c r="BC247" s="62">
        <v>7267765</v>
      </c>
      <c r="BD247" s="62">
        <v>841804</v>
      </c>
      <c r="BE247" s="62">
        <v>1208598</v>
      </c>
      <c r="BF247" s="62">
        <v>1835613</v>
      </c>
      <c r="BG247" s="62">
        <v>8566463</v>
      </c>
      <c r="BH247" s="62">
        <v>7651902</v>
      </c>
      <c r="BI247" s="62">
        <v>875753</v>
      </c>
      <c r="BJ247" s="47">
        <f t="shared" si="795"/>
        <v>69078175</v>
      </c>
      <c r="BK247" s="69">
        <f t="shared" si="796"/>
        <v>141714.28571428571</v>
      </c>
      <c r="BL247" s="70">
        <f t="shared" si="797"/>
        <v>4108.1321428571428</v>
      </c>
      <c r="BM247" s="70">
        <f t="shared" si="798"/>
        <v>25956.303571428572</v>
      </c>
      <c r="BN247" s="70">
        <f t="shared" si="799"/>
        <v>3006.4428571428571</v>
      </c>
      <c r="BO247" s="70">
        <f t="shared" si="800"/>
        <v>4316.4214285714288</v>
      </c>
      <c r="BP247" s="70">
        <f t="shared" si="801"/>
        <v>6555.7607142857141</v>
      </c>
      <c r="BQ247" s="70">
        <f t="shared" si="802"/>
        <v>30594.510714285716</v>
      </c>
      <c r="BR247" s="70">
        <f t="shared" si="803"/>
        <v>27328.221428571429</v>
      </c>
      <c r="BS247" s="70">
        <f t="shared" si="804"/>
        <v>3127.6892857142857</v>
      </c>
      <c r="BT247" s="71">
        <f t="shared" si="805"/>
        <v>246707.76785714287</v>
      </c>
      <c r="BU247" s="65">
        <f t="shared" si="806"/>
        <v>119.63915287761108</v>
      </c>
      <c r="BV247" s="48">
        <f t="shared" si="807"/>
        <v>3.4681997443195525</v>
      </c>
      <c r="BW247" s="48">
        <f t="shared" si="808"/>
        <v>21.913035481692315</v>
      </c>
      <c r="BX247" s="48">
        <f t="shared" si="809"/>
        <v>2.5381229195812631</v>
      </c>
      <c r="BY247" s="48">
        <f t="shared" si="810"/>
        <v>3.6440433691929179</v>
      </c>
      <c r="BZ247" s="48">
        <f t="shared" si="811"/>
        <v>5.5345560567321144</v>
      </c>
      <c r="CA247" s="48">
        <f t="shared" si="812"/>
        <v>25.82873932654735</v>
      </c>
      <c r="CB247" s="48">
        <f t="shared" si="813"/>
        <v>23.071246803994406</v>
      </c>
      <c r="CC247" s="48">
        <f t="shared" si="814"/>
        <v>2.6404825365430074</v>
      </c>
      <c r="CD247" s="47">
        <f t="shared" si="815"/>
        <v>208.27757911621401</v>
      </c>
      <c r="CE247" s="66">
        <v>4365672</v>
      </c>
      <c r="CF247" s="62">
        <v>100800</v>
      </c>
      <c r="CG247" s="74">
        <v>-344985</v>
      </c>
      <c r="CH247" s="75">
        <f t="shared" si="816"/>
        <v>4121487</v>
      </c>
      <c r="CI247" s="62">
        <f>91170+11200+6000</f>
        <v>108370</v>
      </c>
      <c r="CJ247" s="62">
        <v>165259</v>
      </c>
      <c r="CK247" s="62">
        <v>363940</v>
      </c>
      <c r="CL247" s="62">
        <v>270240</v>
      </c>
      <c r="CM247" s="62">
        <f>34390+188020</f>
        <v>222410</v>
      </c>
      <c r="CN247" s="62">
        <v>274300</v>
      </c>
      <c r="CO247" s="62">
        <v>340970</v>
      </c>
      <c r="CP247" s="75">
        <f t="shared" si="626"/>
        <v>1745489</v>
      </c>
      <c r="CQ247" s="62">
        <v>84000</v>
      </c>
      <c r="CR247" s="75">
        <f t="shared" si="627"/>
        <v>1829489</v>
      </c>
      <c r="CS247" s="75">
        <f t="shared" si="817"/>
        <v>2375998</v>
      </c>
      <c r="CT247" s="62">
        <v>2001206</v>
      </c>
      <c r="CU247" s="47">
        <f t="shared" si="818"/>
        <v>374792</v>
      </c>
      <c r="CV247" s="76">
        <f t="shared" si="819"/>
        <v>0.57649047540365894</v>
      </c>
      <c r="CW247" s="75">
        <f t="shared" si="820"/>
        <v>6533.8892857142855</v>
      </c>
      <c r="CX247" s="77">
        <f t="shared" si="821"/>
        <v>0.44389051815521924</v>
      </c>
      <c r="CY247" s="75">
        <f t="shared" si="822"/>
        <v>1338.5428571428572</v>
      </c>
      <c r="CZ247" s="77">
        <f t="shared" si="823"/>
        <v>9.0936111165703062E-2</v>
      </c>
      <c r="DA247" s="77">
        <f t="shared" si="824"/>
        <v>0.48555436423795584</v>
      </c>
      <c r="DB247" s="47">
        <f t="shared" si="825"/>
        <v>108250</v>
      </c>
      <c r="DC247" s="69">
        <f t="shared" si="826"/>
        <v>15591.685714285713</v>
      </c>
      <c r="DD247" s="70">
        <f t="shared" si="827"/>
        <v>360</v>
      </c>
      <c r="DE247" s="70">
        <f t="shared" si="828"/>
        <v>-1232.0892857142858</v>
      </c>
      <c r="DF247" s="70">
        <f t="shared" si="829"/>
        <v>14719.596428571429</v>
      </c>
      <c r="DG247" s="70">
        <f t="shared" si="830"/>
        <v>387.03571428571428</v>
      </c>
      <c r="DH247" s="70">
        <f t="shared" si="831"/>
        <v>590.21071428571429</v>
      </c>
      <c r="DI247" s="70">
        <f t="shared" si="832"/>
        <v>1299.7857142857142</v>
      </c>
      <c r="DJ247" s="70">
        <f t="shared" si="833"/>
        <v>965.14285714285711</v>
      </c>
      <c r="DK247" s="70">
        <f t="shared" si="834"/>
        <v>794.32142857142856</v>
      </c>
      <c r="DL247" s="70">
        <f t="shared" si="835"/>
        <v>979.64285714285711</v>
      </c>
      <c r="DM247" s="70">
        <f t="shared" si="836"/>
        <v>1217.75</v>
      </c>
      <c r="DN247" s="70">
        <f t="shared" si="837"/>
        <v>6233.8892857142855</v>
      </c>
      <c r="DO247" s="70">
        <f t="shared" si="838"/>
        <v>300</v>
      </c>
      <c r="DP247" s="70">
        <f t="shared" si="839"/>
        <v>6533.8892857142855</v>
      </c>
      <c r="DQ247" s="70">
        <f t="shared" si="840"/>
        <v>8485.7071428571435</v>
      </c>
      <c r="DR247" s="70">
        <f t="shared" si="841"/>
        <v>7147.1642857142861</v>
      </c>
      <c r="DS247" s="71">
        <f t="shared" si="842"/>
        <v>1338.5428571428572</v>
      </c>
      <c r="DT247" s="106">
        <f t="shared" si="843"/>
        <v>1.0592468203830316</v>
      </c>
      <c r="DU247" s="92">
        <f t="shared" si="844"/>
        <v>2.4457192270653773E-2</v>
      </c>
      <c r="DV247" s="92" t="str">
        <f t="shared" si="845"/>
        <v/>
      </c>
      <c r="DW247" s="92">
        <f t="shared" si="846"/>
        <v>1</v>
      </c>
      <c r="DX247" s="92">
        <f t="shared" si="847"/>
        <v>2.6293907999709813E-2</v>
      </c>
      <c r="DY247" s="92">
        <f t="shared" si="848"/>
        <v>4.0096935887460036E-2</v>
      </c>
      <c r="DZ247" s="92">
        <f t="shared" si="849"/>
        <v>8.8303080902596559E-2</v>
      </c>
      <c r="EA247" s="92">
        <f t="shared" si="850"/>
        <v>6.556856784941939E-2</v>
      </c>
      <c r="EB247" s="92">
        <f t="shared" si="851"/>
        <v>5.3963533064643902E-2</v>
      </c>
      <c r="EC247" s="92">
        <f t="shared" si="852"/>
        <v>6.655364920476517E-2</v>
      </c>
      <c r="ED247" s="92">
        <f t="shared" si="853"/>
        <v>8.2729849687746201E-2</v>
      </c>
      <c r="EE247" s="92">
        <f t="shared" si="854"/>
        <v>0.42350952459634106</v>
      </c>
      <c r="EF247" s="92">
        <f t="shared" si="855"/>
        <v>2.0380993558878142E-2</v>
      </c>
      <c r="EG247" s="92">
        <f t="shared" si="856"/>
        <v>0.44389051815521924</v>
      </c>
      <c r="EH247" s="92">
        <f t="shared" si="857"/>
        <v>0.57649047540365894</v>
      </c>
      <c r="EI247" s="92">
        <f t="shared" si="858"/>
        <v>0.48555436423795584</v>
      </c>
      <c r="EJ247" s="122">
        <f t="shared" si="859"/>
        <v>9.0936111165703062E-2</v>
      </c>
    </row>
    <row r="248" spans="2:140" ht="12" hidden="1" customHeight="1" outlineLevel="1">
      <c r="B248" s="121">
        <v>45485</v>
      </c>
      <c r="C248" s="117">
        <v>24462</v>
      </c>
      <c r="D248" s="50" t="s">
        <v>1233</v>
      </c>
      <c r="E248" s="50" t="s">
        <v>451</v>
      </c>
      <c r="F248" s="50" t="s">
        <v>1234</v>
      </c>
      <c r="G248" s="50" t="s">
        <v>162</v>
      </c>
      <c r="H248" s="50" t="s">
        <v>1235</v>
      </c>
      <c r="I248" s="50" t="s">
        <v>875</v>
      </c>
      <c r="J248" s="52" t="s">
        <v>1236</v>
      </c>
      <c r="K248" s="50" t="s">
        <v>323</v>
      </c>
      <c r="L248" s="49">
        <v>2</v>
      </c>
      <c r="M248" s="50" t="s">
        <v>159</v>
      </c>
      <c r="N248" s="50" t="s">
        <v>160</v>
      </c>
      <c r="O248" s="50" t="s">
        <v>160</v>
      </c>
      <c r="P248" s="50" t="s">
        <v>923</v>
      </c>
      <c r="Q248" s="53">
        <v>0.04</v>
      </c>
      <c r="R248" s="49">
        <v>132</v>
      </c>
      <c r="S248" s="49">
        <v>0</v>
      </c>
      <c r="T248" s="54">
        <f t="shared" si="625"/>
        <v>132</v>
      </c>
      <c r="U248" s="55">
        <v>111014</v>
      </c>
      <c r="V248" s="49">
        <v>7.83</v>
      </c>
      <c r="W248" s="56">
        <f t="shared" si="784"/>
        <v>16.85823754789272</v>
      </c>
      <c r="X248" s="49">
        <v>1971</v>
      </c>
      <c r="Y248" s="57" t="s">
        <v>162</v>
      </c>
      <c r="Z248" s="58">
        <v>17705443</v>
      </c>
      <c r="AA248" s="114">
        <f>(((13420800*0.063)/(Table1[[#This Row],[Construction Loan Principal]]))+((4284643*0.0733)/(Table1[[#This Row],[Construction Loan Principal]])))</f>
        <v>6.5492556831252408E-2</v>
      </c>
      <c r="AB248" s="59">
        <v>17</v>
      </c>
      <c r="AC248" s="60">
        <v>40</v>
      </c>
      <c r="AD248" s="61">
        <v>6.3E-2</v>
      </c>
      <c r="AE248" s="62">
        <v>13420800</v>
      </c>
      <c r="AF248" s="63">
        <v>1.1499999999999999</v>
      </c>
      <c r="AG248" s="59"/>
      <c r="AH248" s="60"/>
      <c r="AI248" s="61"/>
      <c r="AJ248" s="64"/>
      <c r="AK248" s="65">
        <f t="shared" si="785"/>
        <v>13420800</v>
      </c>
      <c r="AL248" s="66">
        <v>0</v>
      </c>
      <c r="AM248" s="49" t="s">
        <v>163</v>
      </c>
      <c r="AN248" s="67">
        <v>0.87</v>
      </c>
      <c r="AO248" s="62">
        <v>7842650</v>
      </c>
      <c r="AP248" s="62">
        <v>0</v>
      </c>
      <c r="AQ248" s="68">
        <v>1688934</v>
      </c>
      <c r="AR248" s="69">
        <f t="shared" si="786"/>
        <v>101672.72727272728</v>
      </c>
      <c r="AS248" s="70" t="str">
        <f t="shared" si="787"/>
        <v/>
      </c>
      <c r="AT248" s="70">
        <f t="shared" si="788"/>
        <v>59414.015151515152</v>
      </c>
      <c r="AU248" s="70" t="str">
        <f t="shared" si="789"/>
        <v/>
      </c>
      <c r="AV248" s="71">
        <f t="shared" si="790"/>
        <v>12794.954545454546</v>
      </c>
      <c r="AW248" s="115">
        <f t="shared" si="791"/>
        <v>42267.871212121216</v>
      </c>
      <c r="AX248" s="116">
        <f t="shared" si="792"/>
        <v>50.258156628893651</v>
      </c>
      <c r="AY248" s="72">
        <f t="shared" si="793"/>
        <v>52163.621212121208</v>
      </c>
      <c r="AZ248" s="73">
        <f t="shared" si="794"/>
        <v>62.024591492964852</v>
      </c>
      <c r="BA248" s="66">
        <v>10400000</v>
      </c>
      <c r="BB248" s="62">
        <v>488197</v>
      </c>
      <c r="BC248" s="62">
        <v>5091162</v>
      </c>
      <c r="BD248" s="62">
        <v>557936</v>
      </c>
      <c r="BE248" s="62">
        <v>748303</v>
      </c>
      <c r="BF248" s="62">
        <v>887736</v>
      </c>
      <c r="BG248" s="62">
        <v>1626880</v>
      </c>
      <c r="BH248" s="62">
        <v>2636324</v>
      </c>
      <c r="BI248" s="62">
        <v>515847</v>
      </c>
      <c r="BJ248" s="47">
        <f t="shared" si="795"/>
        <v>22952385</v>
      </c>
      <c r="BK248" s="69">
        <f t="shared" si="796"/>
        <v>78787.878787878784</v>
      </c>
      <c r="BL248" s="70">
        <f t="shared" si="797"/>
        <v>3698.462121212121</v>
      </c>
      <c r="BM248" s="70">
        <f t="shared" si="798"/>
        <v>38569.409090909088</v>
      </c>
      <c r="BN248" s="70">
        <f t="shared" si="799"/>
        <v>4226.787878787879</v>
      </c>
      <c r="BO248" s="70">
        <f t="shared" si="800"/>
        <v>5668.962121212121</v>
      </c>
      <c r="BP248" s="70">
        <f t="shared" si="801"/>
        <v>6725.272727272727</v>
      </c>
      <c r="BQ248" s="70">
        <f t="shared" si="802"/>
        <v>12324.848484848484</v>
      </c>
      <c r="BR248" s="70">
        <f t="shared" si="803"/>
        <v>19972.151515151516</v>
      </c>
      <c r="BS248" s="70">
        <f t="shared" si="804"/>
        <v>3907.931818181818</v>
      </c>
      <c r="BT248" s="71">
        <f t="shared" si="805"/>
        <v>173881.70454545456</v>
      </c>
      <c r="BU248" s="65">
        <f t="shared" si="806"/>
        <v>93.681877961338216</v>
      </c>
      <c r="BV248" s="48">
        <f t="shared" si="807"/>
        <v>4.397616516835714</v>
      </c>
      <c r="BW248" s="48">
        <f t="shared" si="808"/>
        <v>45.86054011205794</v>
      </c>
      <c r="BX248" s="48">
        <f t="shared" si="809"/>
        <v>5.0258165636766536</v>
      </c>
      <c r="BY248" s="48">
        <f t="shared" si="810"/>
        <v>6.7406183003945452</v>
      </c>
      <c r="BZ248" s="48">
        <f t="shared" si="811"/>
        <v>7.9966130397967827</v>
      </c>
      <c r="CA248" s="48">
        <f t="shared" si="812"/>
        <v>14.654728232475183</v>
      </c>
      <c r="CB248" s="48">
        <f t="shared" si="813"/>
        <v>23.747671464860289</v>
      </c>
      <c r="CC248" s="48">
        <f t="shared" si="814"/>
        <v>4.6466842019925414</v>
      </c>
      <c r="CD248" s="47">
        <f t="shared" si="815"/>
        <v>206.75216639342784</v>
      </c>
      <c r="CE248" s="66">
        <v>1754640</v>
      </c>
      <c r="CF248" s="62">
        <v>47520</v>
      </c>
      <c r="CG248" s="74">
        <v>-135162</v>
      </c>
      <c r="CH248" s="75">
        <f t="shared" si="816"/>
        <v>1666998</v>
      </c>
      <c r="CI248" s="62">
        <f>22500+15000+5280+5000</f>
        <v>47780</v>
      </c>
      <c r="CJ248" s="62">
        <v>83350</v>
      </c>
      <c r="CK248" s="62">
        <v>54000</v>
      </c>
      <c r="CL248" s="62">
        <v>108418</v>
      </c>
      <c r="CM248" s="62">
        <f>86420+74190</f>
        <v>160610</v>
      </c>
      <c r="CN248" s="62">
        <v>102200</v>
      </c>
      <c r="CO248" s="62">
        <v>0</v>
      </c>
      <c r="CP248" s="75">
        <f t="shared" si="626"/>
        <v>556358</v>
      </c>
      <c r="CQ248" s="62">
        <v>39600</v>
      </c>
      <c r="CR248" s="75">
        <f t="shared" si="627"/>
        <v>595958</v>
      </c>
      <c r="CS248" s="75">
        <f t="shared" si="817"/>
        <v>1110640</v>
      </c>
      <c r="CT248" s="62">
        <v>933446</v>
      </c>
      <c r="CU248" s="47">
        <f t="shared" si="818"/>
        <v>177194</v>
      </c>
      <c r="CV248" s="76">
        <f t="shared" si="819"/>
        <v>0.66625154919202068</v>
      </c>
      <c r="CW248" s="75">
        <f t="shared" si="820"/>
        <v>4514.833333333333</v>
      </c>
      <c r="CX248" s="77">
        <f t="shared" si="821"/>
        <v>0.35750372825882215</v>
      </c>
      <c r="CY248" s="75">
        <f t="shared" si="822"/>
        <v>1342.378787878788</v>
      </c>
      <c r="CZ248" s="77">
        <f t="shared" si="823"/>
        <v>0.10629526850062207</v>
      </c>
      <c r="DA248" s="77">
        <f t="shared" si="824"/>
        <v>0.55995628069139858</v>
      </c>
      <c r="DB248" s="47">
        <f t="shared" si="825"/>
        <v>101672.72727272728</v>
      </c>
      <c r="DC248" s="69">
        <f t="shared" si="826"/>
        <v>13292.727272727272</v>
      </c>
      <c r="DD248" s="70">
        <f t="shared" si="827"/>
        <v>360</v>
      </c>
      <c r="DE248" s="70">
        <f t="shared" si="828"/>
        <v>-1023.9545454545455</v>
      </c>
      <c r="DF248" s="70">
        <f t="shared" si="829"/>
        <v>12628.772727272728</v>
      </c>
      <c r="DG248" s="70">
        <f t="shared" si="830"/>
        <v>361.969696969697</v>
      </c>
      <c r="DH248" s="70">
        <f t="shared" si="831"/>
        <v>631.43939393939399</v>
      </c>
      <c r="DI248" s="70">
        <f t="shared" si="832"/>
        <v>409.09090909090907</v>
      </c>
      <c r="DJ248" s="70">
        <f t="shared" si="833"/>
        <v>821.34848484848487</v>
      </c>
      <c r="DK248" s="70">
        <f t="shared" si="834"/>
        <v>1216.7424242424242</v>
      </c>
      <c r="DL248" s="70">
        <f t="shared" si="835"/>
        <v>774.24242424242425</v>
      </c>
      <c r="DM248" s="70" t="str">
        <f t="shared" si="836"/>
        <v/>
      </c>
      <c r="DN248" s="70">
        <f t="shared" si="837"/>
        <v>4214.833333333333</v>
      </c>
      <c r="DO248" s="70">
        <f t="shared" si="838"/>
        <v>300</v>
      </c>
      <c r="DP248" s="70">
        <f t="shared" si="839"/>
        <v>4514.833333333333</v>
      </c>
      <c r="DQ248" s="70">
        <f t="shared" si="840"/>
        <v>8413.939393939394</v>
      </c>
      <c r="DR248" s="70">
        <f t="shared" si="841"/>
        <v>7071.560606060606</v>
      </c>
      <c r="DS248" s="71">
        <f t="shared" si="842"/>
        <v>1342.378787878788</v>
      </c>
      <c r="DT248" s="106">
        <f t="shared" si="843"/>
        <v>1.0525747481400698</v>
      </c>
      <c r="DU248" s="92">
        <f t="shared" si="844"/>
        <v>2.8506332941011327E-2</v>
      </c>
      <c r="DV248" s="92" t="str">
        <f t="shared" si="845"/>
        <v/>
      </c>
      <c r="DW248" s="92">
        <f t="shared" si="846"/>
        <v>1</v>
      </c>
      <c r="DX248" s="92">
        <f t="shared" si="847"/>
        <v>2.8662301934375446E-2</v>
      </c>
      <c r="DY248" s="92">
        <f t="shared" si="848"/>
        <v>5.0000059988074372E-2</v>
      </c>
      <c r="DZ248" s="92">
        <f t="shared" si="849"/>
        <v>3.2393560160240142E-2</v>
      </c>
      <c r="EA248" s="92">
        <f t="shared" si="850"/>
        <v>6.503787047135029E-2</v>
      </c>
      <c r="EB248" s="92">
        <f t="shared" si="851"/>
        <v>9.63468462469661E-2</v>
      </c>
      <c r="EC248" s="92">
        <f t="shared" si="852"/>
        <v>6.1307812006973016E-2</v>
      </c>
      <c r="ED248" s="92" t="str">
        <f t="shared" si="853"/>
        <v/>
      </c>
      <c r="EE248" s="92">
        <f t="shared" si="854"/>
        <v>0.33374845080797938</v>
      </c>
      <c r="EF248" s="92">
        <f t="shared" si="855"/>
        <v>2.3755277450842771E-2</v>
      </c>
      <c r="EG248" s="92">
        <f t="shared" si="856"/>
        <v>0.35750372825882215</v>
      </c>
      <c r="EH248" s="92">
        <f t="shared" si="857"/>
        <v>0.66625154919202068</v>
      </c>
      <c r="EI248" s="92">
        <f t="shared" si="858"/>
        <v>0.55995628069139858</v>
      </c>
      <c r="EJ248" s="122">
        <f t="shared" si="859"/>
        <v>0.10629526850062207</v>
      </c>
    </row>
    <row r="249" spans="2:140" ht="12" hidden="1" customHeight="1" outlineLevel="1">
      <c r="B249" s="121">
        <v>45489</v>
      </c>
      <c r="C249" s="117">
        <v>24444</v>
      </c>
      <c r="D249" s="50" t="s">
        <v>277</v>
      </c>
      <c r="E249" s="50" t="s">
        <v>278</v>
      </c>
      <c r="F249" s="50" t="s">
        <v>279</v>
      </c>
      <c r="G249" s="50" t="s">
        <v>154</v>
      </c>
      <c r="H249" s="50" t="s">
        <v>1237</v>
      </c>
      <c r="I249" s="50" t="s">
        <v>396</v>
      </c>
      <c r="J249" s="52" t="s">
        <v>183</v>
      </c>
      <c r="K249" s="50" t="s">
        <v>184</v>
      </c>
      <c r="L249" s="49">
        <v>9</v>
      </c>
      <c r="M249" s="50" t="s">
        <v>159</v>
      </c>
      <c r="N249" s="50" t="s">
        <v>244</v>
      </c>
      <c r="O249" s="50" t="s">
        <v>160</v>
      </c>
      <c r="P249" s="50" t="s">
        <v>177</v>
      </c>
      <c r="Q249" s="53">
        <v>0.04</v>
      </c>
      <c r="R249" s="49">
        <v>180</v>
      </c>
      <c r="S249" s="49">
        <v>0</v>
      </c>
      <c r="T249" s="54">
        <f t="shared" si="625"/>
        <v>180</v>
      </c>
      <c r="U249" s="55">
        <v>144607</v>
      </c>
      <c r="V249" s="49">
        <v>7.93</v>
      </c>
      <c r="W249" s="56">
        <f t="shared" si="784"/>
        <v>22.698612862547289</v>
      </c>
      <c r="X249" s="49" t="s">
        <v>163</v>
      </c>
      <c r="Y249" s="57" t="s">
        <v>162</v>
      </c>
      <c r="Z249" s="58">
        <f>15000000+3680800</f>
        <v>18680800</v>
      </c>
      <c r="AA249" s="114">
        <f>(((15000000*0.0625)/(Table1[[#This Row],[Construction Loan Principal]]))+((3680800*0.02)/(Table1[[#This Row],[Construction Loan Principal]])))</f>
        <v>5.4125947496895206E-2</v>
      </c>
      <c r="AB249" s="59">
        <v>18</v>
      </c>
      <c r="AC249" s="60">
        <v>40</v>
      </c>
      <c r="AD249" s="61">
        <v>6.25E-2</v>
      </c>
      <c r="AE249" s="62">
        <v>15000000</v>
      </c>
      <c r="AF249" s="63">
        <v>1.36</v>
      </c>
      <c r="AG249" s="59">
        <v>18</v>
      </c>
      <c r="AH249" s="60">
        <v>40</v>
      </c>
      <c r="AI249" s="61">
        <v>0.02</v>
      </c>
      <c r="AJ249" s="64">
        <v>3680800</v>
      </c>
      <c r="AK249" s="65">
        <f t="shared" si="785"/>
        <v>18680800</v>
      </c>
      <c r="AL249" s="66">
        <f>2100000+4000000+250000+3588000</f>
        <v>9938000</v>
      </c>
      <c r="AM249" s="49" t="s">
        <v>857</v>
      </c>
      <c r="AN249" s="67">
        <v>0.82</v>
      </c>
      <c r="AO249" s="62">
        <f>19453458+371176+936782</f>
        <v>20761416</v>
      </c>
      <c r="AP249" s="62">
        <v>0</v>
      </c>
      <c r="AQ249" s="68">
        <v>3535388</v>
      </c>
      <c r="AR249" s="69">
        <f t="shared" si="786"/>
        <v>103782.22222222222</v>
      </c>
      <c r="AS249" s="70">
        <f t="shared" si="787"/>
        <v>55211.111111111109</v>
      </c>
      <c r="AT249" s="70">
        <f t="shared" si="788"/>
        <v>115341.2</v>
      </c>
      <c r="AU249" s="70" t="str">
        <f t="shared" si="789"/>
        <v/>
      </c>
      <c r="AV249" s="71">
        <f t="shared" si="790"/>
        <v>19641.044444444444</v>
      </c>
      <c r="AW249" s="115">
        <f t="shared" si="791"/>
        <v>140438.88888888888</v>
      </c>
      <c r="AX249" s="116">
        <f t="shared" si="792"/>
        <v>174.81173110568645</v>
      </c>
      <c r="AY249" s="72">
        <f t="shared" si="793"/>
        <v>166341.97222222222</v>
      </c>
      <c r="AZ249" s="73">
        <f t="shared" si="794"/>
        <v>207.05467231876744</v>
      </c>
      <c r="BA249" s="66">
        <v>2002235</v>
      </c>
      <c r="BB249" s="62">
        <v>4574543</v>
      </c>
      <c r="BC249" s="62">
        <v>20704457</v>
      </c>
      <c r="BD249" s="62">
        <v>1162555</v>
      </c>
      <c r="BE249" s="62">
        <v>3500000</v>
      </c>
      <c r="BF249" s="62">
        <v>2517350</v>
      </c>
      <c r="BG249" s="62">
        <v>11420326</v>
      </c>
      <c r="BH249" s="62">
        <v>5620000</v>
      </c>
      <c r="BI249" s="62">
        <v>1037129</v>
      </c>
      <c r="BJ249" s="47">
        <f t="shared" si="795"/>
        <v>52538595</v>
      </c>
      <c r="BK249" s="69">
        <f t="shared" si="796"/>
        <v>11123.527777777777</v>
      </c>
      <c r="BL249" s="70">
        <f t="shared" si="797"/>
        <v>25414.12777777778</v>
      </c>
      <c r="BM249" s="70">
        <f t="shared" si="798"/>
        <v>115024.76111111112</v>
      </c>
      <c r="BN249" s="70">
        <f t="shared" si="799"/>
        <v>6458.6388888888887</v>
      </c>
      <c r="BO249" s="70">
        <f t="shared" si="800"/>
        <v>19444.444444444445</v>
      </c>
      <c r="BP249" s="70">
        <f t="shared" si="801"/>
        <v>13985.277777777777</v>
      </c>
      <c r="BQ249" s="70">
        <f t="shared" si="802"/>
        <v>63446.255555555559</v>
      </c>
      <c r="BR249" s="70">
        <f t="shared" si="803"/>
        <v>31222.222222222223</v>
      </c>
      <c r="BS249" s="70">
        <f t="shared" si="804"/>
        <v>5761.8277777777776</v>
      </c>
      <c r="BT249" s="71">
        <f t="shared" si="805"/>
        <v>291881.08333333331</v>
      </c>
      <c r="BU249" s="65">
        <f t="shared" si="806"/>
        <v>13.84604479727814</v>
      </c>
      <c r="BV249" s="48">
        <f t="shared" si="807"/>
        <v>31.634312308532781</v>
      </c>
      <c r="BW249" s="48">
        <f t="shared" si="808"/>
        <v>143.17741879715368</v>
      </c>
      <c r="BX249" s="48">
        <f t="shared" si="809"/>
        <v>8.0394102636801819</v>
      </c>
      <c r="BY249" s="48">
        <f t="shared" si="810"/>
        <v>24.20353094940079</v>
      </c>
      <c r="BZ249" s="48">
        <f t="shared" si="811"/>
        <v>17.408216752992594</v>
      </c>
      <c r="CA249" s="48">
        <f t="shared" si="812"/>
        <v>78.974918226641861</v>
      </c>
      <c r="CB249" s="48">
        <f t="shared" si="813"/>
        <v>38.863955410180694</v>
      </c>
      <c r="CC249" s="48">
        <f t="shared" si="814"/>
        <v>7.1720525285774546</v>
      </c>
      <c r="CD249" s="47">
        <f t="shared" si="815"/>
        <v>363.31986003443819</v>
      </c>
      <c r="CE249" s="66">
        <v>2306772</v>
      </c>
      <c r="CF249" s="62">
        <f>25200+39600</f>
        <v>64800</v>
      </c>
      <c r="CG249" s="74">
        <v>-177868</v>
      </c>
      <c r="CH249" s="75">
        <f t="shared" si="816"/>
        <v>2193704</v>
      </c>
      <c r="CI249" s="62">
        <f>50000+7200+10800</f>
        <v>68000</v>
      </c>
      <c r="CJ249" s="62">
        <v>88058</v>
      </c>
      <c r="CK249" s="62">
        <v>249600</v>
      </c>
      <c r="CL249" s="62">
        <v>131600</v>
      </c>
      <c r="CM249" s="62">
        <f>123500+62000</f>
        <v>185500</v>
      </c>
      <c r="CN249" s="62">
        <v>130200</v>
      </c>
      <c r="CO249" s="62">
        <v>0</v>
      </c>
      <c r="CP249" s="75">
        <f t="shared" si="626"/>
        <v>852958</v>
      </c>
      <c r="CQ249" s="62">
        <v>45000</v>
      </c>
      <c r="CR249" s="75">
        <f t="shared" si="627"/>
        <v>897958</v>
      </c>
      <c r="CS249" s="75">
        <f t="shared" si="817"/>
        <v>1340746</v>
      </c>
      <c r="CT249" s="62">
        <v>1071257</v>
      </c>
      <c r="CU249" s="47">
        <f t="shared" si="818"/>
        <v>269489</v>
      </c>
      <c r="CV249" s="76">
        <f t="shared" si="819"/>
        <v>0.61117908341325899</v>
      </c>
      <c r="CW249" s="75">
        <f t="shared" si="820"/>
        <v>4988.6555555555551</v>
      </c>
      <c r="CX249" s="77">
        <f t="shared" si="821"/>
        <v>0.40933416723495969</v>
      </c>
      <c r="CY249" s="75">
        <f t="shared" si="822"/>
        <v>1497.161111111111</v>
      </c>
      <c r="CZ249" s="77">
        <f t="shared" si="823"/>
        <v>0.12284656453195143</v>
      </c>
      <c r="DA249" s="77">
        <f t="shared" si="824"/>
        <v>0.48833251888130758</v>
      </c>
      <c r="DB249" s="47">
        <f t="shared" si="825"/>
        <v>103782.22222222222</v>
      </c>
      <c r="DC249" s="69">
        <f t="shared" si="826"/>
        <v>12815.4</v>
      </c>
      <c r="DD249" s="70">
        <f t="shared" si="827"/>
        <v>360</v>
      </c>
      <c r="DE249" s="70">
        <f t="shared" si="828"/>
        <v>-988.15555555555557</v>
      </c>
      <c r="DF249" s="70">
        <f t="shared" si="829"/>
        <v>12187.244444444445</v>
      </c>
      <c r="DG249" s="70">
        <f t="shared" si="830"/>
        <v>377.77777777777777</v>
      </c>
      <c r="DH249" s="70">
        <f t="shared" si="831"/>
        <v>489.21111111111111</v>
      </c>
      <c r="DI249" s="70">
        <f t="shared" si="832"/>
        <v>1386.6666666666667</v>
      </c>
      <c r="DJ249" s="70">
        <f t="shared" si="833"/>
        <v>731.11111111111109</v>
      </c>
      <c r="DK249" s="70">
        <f t="shared" si="834"/>
        <v>1030.5555555555557</v>
      </c>
      <c r="DL249" s="70">
        <f t="shared" si="835"/>
        <v>723.33333333333337</v>
      </c>
      <c r="DM249" s="70" t="str">
        <f t="shared" si="836"/>
        <v/>
      </c>
      <c r="DN249" s="70">
        <f t="shared" si="837"/>
        <v>4738.6555555555551</v>
      </c>
      <c r="DO249" s="70">
        <f t="shared" si="838"/>
        <v>250</v>
      </c>
      <c r="DP249" s="70">
        <f t="shared" si="839"/>
        <v>4988.6555555555551</v>
      </c>
      <c r="DQ249" s="70">
        <f t="shared" si="840"/>
        <v>7448.5888888888885</v>
      </c>
      <c r="DR249" s="70">
        <f t="shared" si="841"/>
        <v>5951.4277777777779</v>
      </c>
      <c r="DS249" s="71">
        <f t="shared" si="842"/>
        <v>1497.161111111111</v>
      </c>
      <c r="DT249" s="106">
        <f t="shared" si="843"/>
        <v>1.0515420494287289</v>
      </c>
      <c r="DU249" s="92">
        <f t="shared" si="844"/>
        <v>2.9539080933434957E-2</v>
      </c>
      <c r="DV249" s="92" t="str">
        <f t="shared" si="845"/>
        <v/>
      </c>
      <c r="DW249" s="92">
        <f t="shared" si="846"/>
        <v>1</v>
      </c>
      <c r="DX249" s="92">
        <f t="shared" si="847"/>
        <v>3.0997800979530511E-2</v>
      </c>
      <c r="DY249" s="92">
        <f t="shared" si="848"/>
        <v>4.0141240568463202E-2</v>
      </c>
      <c r="DZ249" s="92">
        <f t="shared" si="849"/>
        <v>0.11378016359545318</v>
      </c>
      <c r="EA249" s="92">
        <f t="shared" si="850"/>
        <v>5.9989861895679633E-2</v>
      </c>
      <c r="EB249" s="92">
        <f t="shared" si="851"/>
        <v>8.4560177672101611E-2</v>
      </c>
      <c r="EC249" s="92">
        <f t="shared" si="852"/>
        <v>5.9351671875512831E-2</v>
      </c>
      <c r="ED249" s="92" t="str">
        <f t="shared" si="853"/>
        <v/>
      </c>
      <c r="EE249" s="92">
        <f t="shared" si="854"/>
        <v>0.38882091658674095</v>
      </c>
      <c r="EF249" s="92">
        <f t="shared" si="855"/>
        <v>2.0513250648218722E-2</v>
      </c>
      <c r="EG249" s="92">
        <f t="shared" si="856"/>
        <v>0.40933416723495969</v>
      </c>
      <c r="EH249" s="92">
        <f t="shared" si="857"/>
        <v>0.61117908341325899</v>
      </c>
      <c r="EI249" s="92">
        <f t="shared" si="858"/>
        <v>0.48833251888130758</v>
      </c>
      <c r="EJ249" s="122">
        <f t="shared" si="859"/>
        <v>0.12284656453195143</v>
      </c>
    </row>
    <row r="250" spans="2:140" ht="12" hidden="1" customHeight="1" outlineLevel="1">
      <c r="B250" s="121">
        <v>45492</v>
      </c>
      <c r="C250" s="117">
        <v>24417</v>
      </c>
      <c r="D250" s="50" t="s">
        <v>1238</v>
      </c>
      <c r="E250" s="50" t="s">
        <v>1219</v>
      </c>
      <c r="F250" s="50" t="s">
        <v>1239</v>
      </c>
      <c r="G250" s="50" t="s">
        <v>162</v>
      </c>
      <c r="H250" s="50" t="s">
        <v>317</v>
      </c>
      <c r="I250" s="50" t="s">
        <v>317</v>
      </c>
      <c r="J250" s="52" t="s">
        <v>360</v>
      </c>
      <c r="K250" s="50" t="s">
        <v>294</v>
      </c>
      <c r="L250" s="49">
        <v>7</v>
      </c>
      <c r="M250" s="50" t="s">
        <v>159</v>
      </c>
      <c r="N250" s="50" t="s">
        <v>244</v>
      </c>
      <c r="O250" s="50" t="s">
        <v>160</v>
      </c>
      <c r="P250" s="50" t="s">
        <v>923</v>
      </c>
      <c r="Q250" s="53">
        <v>0.04</v>
      </c>
      <c r="R250" s="49">
        <v>174</v>
      </c>
      <c r="S250" s="49">
        <v>0</v>
      </c>
      <c r="T250" s="54">
        <f t="shared" si="625"/>
        <v>174</v>
      </c>
      <c r="U250" s="55">
        <v>129900</v>
      </c>
      <c r="V250" s="49">
        <v>7.22</v>
      </c>
      <c r="W250" s="56">
        <f t="shared" si="784"/>
        <v>24.099722991689752</v>
      </c>
      <c r="X250" s="49">
        <v>2000</v>
      </c>
      <c r="Y250" s="57" t="s">
        <v>249</v>
      </c>
      <c r="Z250" s="58">
        <v>30515650</v>
      </c>
      <c r="AA250" s="114">
        <f>(((21147450*0.0585)/(Table1[[#This Row],[Construction Loan Principal]]))+((3652550*0.0832)/(Table1[[#This Row],[Construction Loan Principal]]))+((5715650*0.0832)/(Table1[[#This Row],[Construction Loan Principal]])))</f>
        <v>6.6082815375061651E-2</v>
      </c>
      <c r="AB250" s="59">
        <v>18</v>
      </c>
      <c r="AC250" s="60">
        <v>40</v>
      </c>
      <c r="AD250" s="61">
        <v>5.8500000000000003E-2</v>
      </c>
      <c r="AE250" s="62">
        <v>21147450</v>
      </c>
      <c r="AF250" s="63">
        <v>1.1499999999999999</v>
      </c>
      <c r="AG250" s="59"/>
      <c r="AH250" s="60"/>
      <c r="AI250" s="61"/>
      <c r="AJ250" s="64"/>
      <c r="AK250" s="65">
        <f t="shared" si="785"/>
        <v>21147450</v>
      </c>
      <c r="AL250" s="66">
        <v>0</v>
      </c>
      <c r="AM250" s="49" t="s">
        <v>163</v>
      </c>
      <c r="AN250" s="67">
        <v>0.89</v>
      </c>
      <c r="AO250" s="62">
        <v>13867419</v>
      </c>
      <c r="AP250" s="62">
        <v>2210677</v>
      </c>
      <c r="AQ250" s="68">
        <v>3430896</v>
      </c>
      <c r="AR250" s="69">
        <f t="shared" si="786"/>
        <v>121537.06896551725</v>
      </c>
      <c r="AS250" s="70" t="str">
        <f t="shared" si="787"/>
        <v/>
      </c>
      <c r="AT250" s="70">
        <f t="shared" si="788"/>
        <v>79697.81034482758</v>
      </c>
      <c r="AU250" s="70">
        <f t="shared" si="789"/>
        <v>12705.040229885057</v>
      </c>
      <c r="AV250" s="71">
        <f t="shared" si="790"/>
        <v>19717.793103448275</v>
      </c>
      <c r="AW250" s="115">
        <f t="shared" si="791"/>
        <v>30719.752873563219</v>
      </c>
      <c r="AX250" s="116">
        <f t="shared" si="792"/>
        <v>41.148860662047731</v>
      </c>
      <c r="AY250" s="72">
        <f t="shared" si="793"/>
        <v>38522.568965517246</v>
      </c>
      <c r="AZ250" s="73">
        <f t="shared" si="794"/>
        <v>51.600669745958427</v>
      </c>
      <c r="BA250" s="66">
        <v>26445000</v>
      </c>
      <c r="BB250" s="62">
        <v>685857</v>
      </c>
      <c r="BC250" s="62">
        <v>4659380</v>
      </c>
      <c r="BD250" s="62">
        <v>534524</v>
      </c>
      <c r="BE250" s="62">
        <v>823166</v>
      </c>
      <c r="BF250" s="62">
        <v>1536874</v>
      </c>
      <c r="BG250" s="62">
        <v>5472869</v>
      </c>
      <c r="BH250" s="62">
        <v>5082214</v>
      </c>
      <c r="BI250" s="62">
        <v>615116</v>
      </c>
      <c r="BJ250" s="47">
        <f t="shared" si="795"/>
        <v>45855000</v>
      </c>
      <c r="BK250" s="69">
        <f t="shared" si="796"/>
        <v>151982.75862068965</v>
      </c>
      <c r="BL250" s="70">
        <f t="shared" si="797"/>
        <v>3941.7068965517242</v>
      </c>
      <c r="BM250" s="70">
        <f t="shared" si="798"/>
        <v>26778.045977011494</v>
      </c>
      <c r="BN250" s="70">
        <f t="shared" si="799"/>
        <v>3071.977011494253</v>
      </c>
      <c r="BO250" s="70">
        <f t="shared" si="800"/>
        <v>4730.8390804597702</v>
      </c>
      <c r="BP250" s="70">
        <f t="shared" si="801"/>
        <v>8832.6091954022995</v>
      </c>
      <c r="BQ250" s="70">
        <f t="shared" si="802"/>
        <v>31453.27011494253</v>
      </c>
      <c r="BR250" s="70">
        <f t="shared" si="803"/>
        <v>29208.126436781607</v>
      </c>
      <c r="BS250" s="70">
        <f t="shared" si="804"/>
        <v>3535.1494252873563</v>
      </c>
      <c r="BT250" s="71">
        <f t="shared" si="805"/>
        <v>263534.4827586207</v>
      </c>
      <c r="BU250" s="65">
        <f t="shared" si="806"/>
        <v>203.57967667436489</v>
      </c>
      <c r="BV250" s="48">
        <f t="shared" si="807"/>
        <v>5.2798845265588916</v>
      </c>
      <c r="BW250" s="48">
        <f t="shared" si="808"/>
        <v>35.868976135488836</v>
      </c>
      <c r="BX250" s="48">
        <f t="shared" si="809"/>
        <v>4.114888375673595</v>
      </c>
      <c r="BY250" s="48">
        <f t="shared" si="810"/>
        <v>6.3369207082371055</v>
      </c>
      <c r="BZ250" s="48">
        <f t="shared" si="811"/>
        <v>11.831208622016936</v>
      </c>
      <c r="CA250" s="48">
        <f t="shared" si="812"/>
        <v>42.131401077752116</v>
      </c>
      <c r="CB250" s="48">
        <f t="shared" si="813"/>
        <v>39.124049268668209</v>
      </c>
      <c r="CC250" s="48">
        <f t="shared" si="814"/>
        <v>4.735304080061586</v>
      </c>
      <c r="CD250" s="47">
        <f t="shared" si="815"/>
        <v>353.00230946882215</v>
      </c>
      <c r="CE250" s="66">
        <v>2855952</v>
      </c>
      <c r="CF250" s="62">
        <v>41760</v>
      </c>
      <c r="CG250" s="74">
        <v>-217328</v>
      </c>
      <c r="CH250" s="75">
        <f t="shared" si="816"/>
        <v>2680384</v>
      </c>
      <c r="CI250" s="62">
        <f>121900+6960+5000</f>
        <v>133860</v>
      </c>
      <c r="CJ250" s="62">
        <v>87875</v>
      </c>
      <c r="CK250" s="62">
        <v>306503</v>
      </c>
      <c r="CL250" s="62">
        <f>8235+149591</f>
        <v>157826</v>
      </c>
      <c r="CM250" s="62">
        <f>25086+183484</f>
        <v>208570</v>
      </c>
      <c r="CN250" s="62">
        <v>133671</v>
      </c>
      <c r="CO250" s="62">
        <v>0</v>
      </c>
      <c r="CP250" s="75">
        <f t="shared" si="626"/>
        <v>1028305</v>
      </c>
      <c r="CQ250" s="62">
        <v>52200</v>
      </c>
      <c r="CR250" s="75">
        <f t="shared" si="627"/>
        <v>1080505</v>
      </c>
      <c r="CS250" s="75">
        <f t="shared" si="817"/>
        <v>1652079</v>
      </c>
      <c r="CT250" s="62">
        <v>1390978</v>
      </c>
      <c r="CU250" s="47">
        <f t="shared" si="818"/>
        <v>261101</v>
      </c>
      <c r="CV250" s="76">
        <f t="shared" si="819"/>
        <v>0.61635907392373634</v>
      </c>
      <c r="CW250" s="75">
        <f t="shared" si="820"/>
        <v>6209.7988505747126</v>
      </c>
      <c r="CX250" s="77">
        <f t="shared" si="821"/>
        <v>0.40311574759437452</v>
      </c>
      <c r="CY250" s="75">
        <f t="shared" si="822"/>
        <v>1500.5804597701149</v>
      </c>
      <c r="CZ250" s="77">
        <f t="shared" si="823"/>
        <v>9.7411788758625634E-2</v>
      </c>
      <c r="DA250" s="77">
        <f t="shared" si="824"/>
        <v>0.51894728516511068</v>
      </c>
      <c r="DB250" s="47">
        <f t="shared" si="825"/>
        <v>121537.06896551725</v>
      </c>
      <c r="DC250" s="69">
        <f t="shared" si="826"/>
        <v>16413.517241379312</v>
      </c>
      <c r="DD250" s="70">
        <f t="shared" si="827"/>
        <v>240</v>
      </c>
      <c r="DE250" s="70">
        <f t="shared" si="828"/>
        <v>-1249.0114942528735</v>
      </c>
      <c r="DF250" s="70">
        <f t="shared" si="829"/>
        <v>15404.505747126437</v>
      </c>
      <c r="DG250" s="70">
        <f t="shared" si="830"/>
        <v>769.31034482758616</v>
      </c>
      <c r="DH250" s="70">
        <f t="shared" si="831"/>
        <v>505.0287356321839</v>
      </c>
      <c r="DI250" s="70">
        <f t="shared" si="832"/>
        <v>1761.5114942528735</v>
      </c>
      <c r="DJ250" s="70">
        <f t="shared" si="833"/>
        <v>907.0459770114943</v>
      </c>
      <c r="DK250" s="70">
        <f t="shared" si="834"/>
        <v>1198.6781609195402</v>
      </c>
      <c r="DL250" s="70">
        <f t="shared" si="835"/>
        <v>768.22413793103453</v>
      </c>
      <c r="DM250" s="70" t="str">
        <f t="shared" si="836"/>
        <v/>
      </c>
      <c r="DN250" s="70">
        <f t="shared" si="837"/>
        <v>5909.7988505747126</v>
      </c>
      <c r="DO250" s="70">
        <f t="shared" si="838"/>
        <v>300</v>
      </c>
      <c r="DP250" s="70">
        <f t="shared" si="839"/>
        <v>6209.7988505747126</v>
      </c>
      <c r="DQ250" s="70">
        <f t="shared" si="840"/>
        <v>9494.7068965517246</v>
      </c>
      <c r="DR250" s="70">
        <f t="shared" si="841"/>
        <v>7994.1264367816093</v>
      </c>
      <c r="DS250" s="71">
        <f t="shared" si="842"/>
        <v>1500.5804597701149</v>
      </c>
      <c r="DT250" s="106">
        <f t="shared" si="843"/>
        <v>1.0655010625343235</v>
      </c>
      <c r="DU250" s="92">
        <f t="shared" si="844"/>
        <v>1.5579857214488671E-2</v>
      </c>
      <c r="DV250" s="92" t="str">
        <f t="shared" si="845"/>
        <v/>
      </c>
      <c r="DW250" s="92">
        <f t="shared" si="846"/>
        <v>1</v>
      </c>
      <c r="DX250" s="92">
        <f t="shared" si="847"/>
        <v>4.9940605525178483E-2</v>
      </c>
      <c r="DY250" s="92">
        <f t="shared" si="848"/>
        <v>3.2784481626513214E-2</v>
      </c>
      <c r="DZ250" s="92">
        <f t="shared" si="849"/>
        <v>0.11435040650891813</v>
      </c>
      <c r="EA250" s="92">
        <f t="shared" si="850"/>
        <v>5.8881861703397723E-2</v>
      </c>
      <c r="EB250" s="92">
        <f t="shared" si="851"/>
        <v>7.7813477471884621E-2</v>
      </c>
      <c r="EC250" s="92">
        <f t="shared" si="852"/>
        <v>4.9870093240371526E-2</v>
      </c>
      <c r="ED250" s="92" t="str">
        <f t="shared" si="853"/>
        <v/>
      </c>
      <c r="EE250" s="92">
        <f t="shared" si="854"/>
        <v>0.38364092607626371</v>
      </c>
      <c r="EF250" s="92">
        <f t="shared" si="855"/>
        <v>1.9474821518110839E-2</v>
      </c>
      <c r="EG250" s="92">
        <f t="shared" si="856"/>
        <v>0.40311574759437452</v>
      </c>
      <c r="EH250" s="92">
        <f t="shared" si="857"/>
        <v>0.61635907392373634</v>
      </c>
      <c r="EI250" s="92">
        <f t="shared" si="858"/>
        <v>0.51894728516511068</v>
      </c>
      <c r="EJ250" s="122">
        <f t="shared" si="859"/>
        <v>9.7411788758625634E-2</v>
      </c>
    </row>
    <row r="251" spans="2:140" ht="12" hidden="1" customHeight="1" outlineLevel="1">
      <c r="B251" s="121">
        <v>45513</v>
      </c>
      <c r="C251" s="117">
        <v>24405</v>
      </c>
      <c r="D251" s="50" t="s">
        <v>1240</v>
      </c>
      <c r="E251" s="50" t="s">
        <v>1241</v>
      </c>
      <c r="F251" s="50" t="s">
        <v>1242</v>
      </c>
      <c r="G251" s="50" t="s">
        <v>154</v>
      </c>
      <c r="H251" s="50" t="s">
        <v>1243</v>
      </c>
      <c r="I251" s="50" t="s">
        <v>1244</v>
      </c>
      <c r="J251" s="52" t="s">
        <v>168</v>
      </c>
      <c r="K251" s="50" t="s">
        <v>169</v>
      </c>
      <c r="L251" s="49">
        <v>7</v>
      </c>
      <c r="M251" s="50" t="s">
        <v>159</v>
      </c>
      <c r="N251" s="50" t="s">
        <v>160</v>
      </c>
      <c r="O251" s="50" t="s">
        <v>160</v>
      </c>
      <c r="P251" s="50" t="s">
        <v>177</v>
      </c>
      <c r="Q251" s="53">
        <v>0.04</v>
      </c>
      <c r="R251" s="49">
        <v>304</v>
      </c>
      <c r="S251" s="49">
        <v>0</v>
      </c>
      <c r="T251" s="54">
        <f t="shared" si="625"/>
        <v>304</v>
      </c>
      <c r="U251" s="55">
        <v>304048</v>
      </c>
      <c r="V251" s="49">
        <v>12.625999999999999</v>
      </c>
      <c r="W251" s="56">
        <f t="shared" si="784"/>
        <v>24.077300807856805</v>
      </c>
      <c r="X251" s="49" t="s">
        <v>163</v>
      </c>
      <c r="Y251" s="57" t="s">
        <v>162</v>
      </c>
      <c r="Z251" s="58">
        <v>43926924</v>
      </c>
      <c r="AA251" s="114">
        <v>5.7500000000000002E-2</v>
      </c>
      <c r="AB251" s="59">
        <v>40</v>
      </c>
      <c r="AC251" s="60">
        <v>40</v>
      </c>
      <c r="AD251" s="61">
        <v>5.7500000000000002E-2</v>
      </c>
      <c r="AE251" s="62">
        <v>43926924</v>
      </c>
      <c r="AF251" s="63">
        <v>1.17</v>
      </c>
      <c r="AG251" s="59"/>
      <c r="AH251" s="60"/>
      <c r="AI251" s="61"/>
      <c r="AJ251" s="64"/>
      <c r="AK251" s="65">
        <f t="shared" si="785"/>
        <v>43926924</v>
      </c>
      <c r="AL251" s="66">
        <v>0</v>
      </c>
      <c r="AM251" s="49" t="s">
        <v>163</v>
      </c>
      <c r="AN251" s="67">
        <v>0.83</v>
      </c>
      <c r="AO251" s="62">
        <v>27796708</v>
      </c>
      <c r="AP251" s="62">
        <v>0</v>
      </c>
      <c r="AQ251" s="68">
        <v>4487438</v>
      </c>
      <c r="AR251" s="69">
        <f t="shared" si="786"/>
        <v>144496.46052631579</v>
      </c>
      <c r="AS251" s="70" t="str">
        <f t="shared" si="787"/>
        <v/>
      </c>
      <c r="AT251" s="70">
        <f t="shared" si="788"/>
        <v>91436.539473684214</v>
      </c>
      <c r="AU251" s="70" t="str">
        <f t="shared" si="789"/>
        <v/>
      </c>
      <c r="AV251" s="71">
        <f t="shared" si="790"/>
        <v>14761.309210526315</v>
      </c>
      <c r="AW251" s="115">
        <f t="shared" si="791"/>
        <v>123315.81907894737</v>
      </c>
      <c r="AX251" s="116">
        <f t="shared" si="792"/>
        <v>123.29635123401569</v>
      </c>
      <c r="AY251" s="72">
        <f t="shared" si="793"/>
        <v>146205.03289473685</v>
      </c>
      <c r="AZ251" s="73">
        <f t="shared" si="794"/>
        <v>146.18195153396832</v>
      </c>
      <c r="BA251" s="66">
        <v>8500000</v>
      </c>
      <c r="BB251" s="62">
        <v>6790996</v>
      </c>
      <c r="BC251" s="62">
        <v>30697013</v>
      </c>
      <c r="BD251" s="62">
        <v>1500000</v>
      </c>
      <c r="BE251" s="62">
        <v>5458321</v>
      </c>
      <c r="BF251" s="62">
        <v>5283657</v>
      </c>
      <c r="BG251" s="62">
        <v>6504013</v>
      </c>
      <c r="BH251" s="62">
        <v>8402185</v>
      </c>
      <c r="BI251" s="62">
        <v>3074885</v>
      </c>
      <c r="BJ251" s="47">
        <f t="shared" si="795"/>
        <v>76211070</v>
      </c>
      <c r="BK251" s="69">
        <f t="shared" si="796"/>
        <v>27960.526315789473</v>
      </c>
      <c r="BL251" s="70">
        <f t="shared" si="797"/>
        <v>22338.802631578947</v>
      </c>
      <c r="BM251" s="70">
        <f t="shared" si="798"/>
        <v>100977.01644736843</v>
      </c>
      <c r="BN251" s="70">
        <f t="shared" si="799"/>
        <v>4934.2105263157891</v>
      </c>
      <c r="BO251" s="70">
        <f t="shared" si="800"/>
        <v>17955.003289473683</v>
      </c>
      <c r="BP251" s="70">
        <f t="shared" si="801"/>
        <v>17380.450657894737</v>
      </c>
      <c r="BQ251" s="70">
        <f t="shared" si="802"/>
        <v>21394.779605263157</v>
      </c>
      <c r="BR251" s="70">
        <f t="shared" si="803"/>
        <v>27638.76644736842</v>
      </c>
      <c r="BS251" s="70">
        <f t="shared" si="804"/>
        <v>10114.753289473685</v>
      </c>
      <c r="BT251" s="71">
        <f t="shared" si="805"/>
        <v>250694.30921052632</v>
      </c>
      <c r="BU251" s="65">
        <f t="shared" si="806"/>
        <v>27.956112192811663</v>
      </c>
      <c r="BV251" s="48">
        <f t="shared" si="807"/>
        <v>22.335276009051203</v>
      </c>
      <c r="BW251" s="48">
        <f t="shared" si="808"/>
        <v>100.96107522496447</v>
      </c>
      <c r="BX251" s="48">
        <f t="shared" si="809"/>
        <v>4.9334315634373516</v>
      </c>
      <c r="BY251" s="48">
        <f t="shared" si="810"/>
        <v>17.952168736515286</v>
      </c>
      <c r="BZ251" s="48">
        <f t="shared" si="811"/>
        <v>17.377706809451141</v>
      </c>
      <c r="CA251" s="48">
        <f t="shared" si="812"/>
        <v>21.39140201547124</v>
      </c>
      <c r="CB251" s="48">
        <f t="shared" si="813"/>
        <v>27.634403120559913</v>
      </c>
      <c r="CC251" s="48">
        <f t="shared" si="814"/>
        <v>10.113156475293374</v>
      </c>
      <c r="CD251" s="47">
        <f t="shared" si="815"/>
        <v>250.65473214755565</v>
      </c>
      <c r="CE251" s="66">
        <v>5217768</v>
      </c>
      <c r="CF251" s="62">
        <v>109440</v>
      </c>
      <c r="CG251" s="74">
        <v>-399541</v>
      </c>
      <c r="CH251" s="75">
        <f t="shared" si="816"/>
        <v>4927667</v>
      </c>
      <c r="CI251" s="62">
        <f>210000+36000+12160</f>
        <v>258160</v>
      </c>
      <c r="CJ251" s="62">
        <v>197107</v>
      </c>
      <c r="CK251" s="62">
        <v>300000</v>
      </c>
      <c r="CL251" s="62">
        <f>240000+7500</f>
        <v>247500</v>
      </c>
      <c r="CM251" s="62">
        <f>100000+148000</f>
        <v>248000</v>
      </c>
      <c r="CN251" s="62">
        <v>200000</v>
      </c>
      <c r="CO251" s="62">
        <v>0</v>
      </c>
      <c r="CP251" s="75">
        <f t="shared" si="626"/>
        <v>1450767</v>
      </c>
      <c r="CQ251" s="62">
        <v>76000</v>
      </c>
      <c r="CR251" s="75">
        <f t="shared" si="627"/>
        <v>1526767</v>
      </c>
      <c r="CS251" s="75">
        <f t="shared" si="817"/>
        <v>3476900</v>
      </c>
      <c r="CT251" s="62">
        <v>2918791</v>
      </c>
      <c r="CU251" s="47">
        <f t="shared" si="818"/>
        <v>558109</v>
      </c>
      <c r="CV251" s="76">
        <f t="shared" si="819"/>
        <v>0.70558745142478174</v>
      </c>
      <c r="CW251" s="75">
        <f t="shared" si="820"/>
        <v>5022.2598684210525</v>
      </c>
      <c r="CX251" s="77">
        <f t="shared" si="821"/>
        <v>0.3098356686845925</v>
      </c>
      <c r="CY251" s="75">
        <f t="shared" si="822"/>
        <v>1835.8848684210527</v>
      </c>
      <c r="CZ251" s="77">
        <f t="shared" si="823"/>
        <v>0.11326029133056272</v>
      </c>
      <c r="DA251" s="77">
        <f t="shared" si="824"/>
        <v>0.59232716009421904</v>
      </c>
      <c r="DB251" s="47">
        <f t="shared" si="825"/>
        <v>144496.46052631579</v>
      </c>
      <c r="DC251" s="69">
        <f t="shared" si="826"/>
        <v>17163.71052631579</v>
      </c>
      <c r="DD251" s="70">
        <f t="shared" si="827"/>
        <v>360</v>
      </c>
      <c r="DE251" s="70">
        <f t="shared" si="828"/>
        <v>-1314.2796052631579</v>
      </c>
      <c r="DF251" s="70">
        <f t="shared" si="829"/>
        <v>16209.430921052632</v>
      </c>
      <c r="DG251" s="70">
        <f t="shared" si="830"/>
        <v>849.21052631578948</v>
      </c>
      <c r="DH251" s="70">
        <f t="shared" si="831"/>
        <v>648.37828947368416</v>
      </c>
      <c r="DI251" s="70">
        <f t="shared" si="832"/>
        <v>986.84210526315792</v>
      </c>
      <c r="DJ251" s="70">
        <f t="shared" si="833"/>
        <v>814.14473684210532</v>
      </c>
      <c r="DK251" s="70">
        <f t="shared" si="834"/>
        <v>815.78947368421052</v>
      </c>
      <c r="DL251" s="70">
        <f t="shared" si="835"/>
        <v>657.89473684210532</v>
      </c>
      <c r="DM251" s="70" t="str">
        <f t="shared" si="836"/>
        <v/>
      </c>
      <c r="DN251" s="70">
        <f t="shared" si="837"/>
        <v>4772.2598684210525</v>
      </c>
      <c r="DO251" s="70">
        <f t="shared" si="838"/>
        <v>250</v>
      </c>
      <c r="DP251" s="70">
        <f t="shared" si="839"/>
        <v>5022.2598684210525</v>
      </c>
      <c r="DQ251" s="70">
        <f t="shared" si="840"/>
        <v>11437.171052631578</v>
      </c>
      <c r="DR251" s="70">
        <f t="shared" si="841"/>
        <v>9601.2861842105267</v>
      </c>
      <c r="DS251" s="71">
        <f t="shared" si="842"/>
        <v>1835.8848684210527</v>
      </c>
      <c r="DT251" s="106">
        <f t="shared" si="843"/>
        <v>1.0588718758795999</v>
      </c>
      <c r="DU251" s="92">
        <f t="shared" si="844"/>
        <v>2.2209292957498954E-2</v>
      </c>
      <c r="DV251" s="92" t="str">
        <f t="shared" si="845"/>
        <v/>
      </c>
      <c r="DW251" s="92">
        <f t="shared" si="846"/>
        <v>1</v>
      </c>
      <c r="DX251" s="92">
        <f t="shared" si="847"/>
        <v>5.2389903782053451E-2</v>
      </c>
      <c r="DY251" s="92">
        <f t="shared" si="848"/>
        <v>4.0000064939453094E-2</v>
      </c>
      <c r="DZ251" s="92">
        <f t="shared" si="849"/>
        <v>6.0880737273845818E-2</v>
      </c>
      <c r="EA251" s="92">
        <f t="shared" si="850"/>
        <v>5.0226608250922802E-2</v>
      </c>
      <c r="EB251" s="92">
        <f t="shared" si="851"/>
        <v>5.0328076146379207E-2</v>
      </c>
      <c r="EC251" s="92">
        <f t="shared" si="852"/>
        <v>4.0587158182563879E-2</v>
      </c>
      <c r="ED251" s="92" t="str">
        <f t="shared" si="853"/>
        <v/>
      </c>
      <c r="EE251" s="92">
        <f t="shared" si="854"/>
        <v>0.29441254857521826</v>
      </c>
      <c r="EF251" s="92">
        <f t="shared" si="855"/>
        <v>1.5423120109374274E-2</v>
      </c>
      <c r="EG251" s="92">
        <f t="shared" si="856"/>
        <v>0.3098356686845925</v>
      </c>
      <c r="EH251" s="92">
        <f t="shared" si="857"/>
        <v>0.70558745142478174</v>
      </c>
      <c r="EI251" s="92">
        <f t="shared" si="858"/>
        <v>0.59232716009421904</v>
      </c>
      <c r="EJ251" s="122">
        <f t="shared" si="859"/>
        <v>0.11326029133056272</v>
      </c>
    </row>
    <row r="252" spans="2:140" ht="12" hidden="1" customHeight="1" outlineLevel="1">
      <c r="B252" s="121">
        <v>45525</v>
      </c>
      <c r="C252" s="117">
        <v>23702</v>
      </c>
      <c r="D252" s="50" t="s">
        <v>1245</v>
      </c>
      <c r="E252" s="50" t="s">
        <v>1246</v>
      </c>
      <c r="F252" s="50" t="s">
        <v>1247</v>
      </c>
      <c r="G252" s="50" t="s">
        <v>291</v>
      </c>
      <c r="H252" s="50" t="s">
        <v>1248</v>
      </c>
      <c r="I252" s="50" t="s">
        <v>1249</v>
      </c>
      <c r="J252" s="52" t="s">
        <v>360</v>
      </c>
      <c r="K252" s="50" t="s">
        <v>294</v>
      </c>
      <c r="L252" s="49">
        <v>7</v>
      </c>
      <c r="M252" s="50" t="s">
        <v>159</v>
      </c>
      <c r="N252" s="50" t="s">
        <v>361</v>
      </c>
      <c r="O252" s="50" t="s">
        <v>318</v>
      </c>
      <c r="P252" s="50" t="s">
        <v>177</v>
      </c>
      <c r="Q252" s="53"/>
      <c r="R252" s="49">
        <v>60</v>
      </c>
      <c r="S252" s="49">
        <v>0</v>
      </c>
      <c r="T252" s="54">
        <f t="shared" si="625"/>
        <v>60</v>
      </c>
      <c r="U252" s="55">
        <v>21780</v>
      </c>
      <c r="V252" s="49">
        <v>0.55000000000000004</v>
      </c>
      <c r="W252" s="56">
        <f t="shared" si="784"/>
        <v>109.09090909090908</v>
      </c>
      <c r="X252" s="49" t="s">
        <v>163</v>
      </c>
      <c r="Y252" s="57" t="s">
        <v>162</v>
      </c>
      <c r="Z252" s="58">
        <v>3809725</v>
      </c>
      <c r="AA252" s="114">
        <v>0</v>
      </c>
      <c r="AB252" s="59">
        <v>30</v>
      </c>
      <c r="AC252" s="60">
        <v>40</v>
      </c>
      <c r="AD252" s="61">
        <v>0</v>
      </c>
      <c r="AE252" s="62">
        <v>3809725</v>
      </c>
      <c r="AF252" s="63">
        <v>3.56</v>
      </c>
      <c r="AG252" s="59"/>
      <c r="AH252" s="60"/>
      <c r="AI252" s="61"/>
      <c r="AJ252" s="64"/>
      <c r="AK252" s="65">
        <f t="shared" si="785"/>
        <v>3809725</v>
      </c>
      <c r="AL252" s="66">
        <f>4374947+3400000</f>
        <v>7774947</v>
      </c>
      <c r="AM252" s="49" t="s">
        <v>1100</v>
      </c>
      <c r="AN252" s="67"/>
      <c r="AO252" s="62">
        <v>608436</v>
      </c>
      <c r="AP252" s="62">
        <v>0</v>
      </c>
      <c r="AQ252" s="68">
        <v>0</v>
      </c>
      <c r="AR252" s="69">
        <f t="shared" si="786"/>
        <v>63495.416666666664</v>
      </c>
      <c r="AS252" s="70">
        <f t="shared" si="787"/>
        <v>129582.45</v>
      </c>
      <c r="AT252" s="70">
        <f t="shared" si="788"/>
        <v>10140.6</v>
      </c>
      <c r="AU252" s="70" t="str">
        <f t="shared" si="789"/>
        <v/>
      </c>
      <c r="AV252" s="71" t="str">
        <f t="shared" si="790"/>
        <v/>
      </c>
      <c r="AW252" s="115">
        <f t="shared" si="791"/>
        <v>130994.3</v>
      </c>
      <c r="AX252" s="116">
        <f t="shared" si="792"/>
        <v>360.86584022038568</v>
      </c>
      <c r="AY252" s="72">
        <f t="shared" si="793"/>
        <v>159786.85</v>
      </c>
      <c r="AZ252" s="73">
        <f t="shared" si="794"/>
        <v>440.18415977961433</v>
      </c>
      <c r="BA252" s="66">
        <v>0</v>
      </c>
      <c r="BB252" s="62">
        <v>962066</v>
      </c>
      <c r="BC252" s="62">
        <v>6897592</v>
      </c>
      <c r="BD252" s="62">
        <v>550176</v>
      </c>
      <c r="BE252" s="62">
        <v>1177377</v>
      </c>
      <c r="BF252" s="62">
        <v>1351344</v>
      </c>
      <c r="BG252" s="62">
        <v>221862</v>
      </c>
      <c r="BH252" s="62">
        <v>834000</v>
      </c>
      <c r="BI252" s="62">
        <v>198691</v>
      </c>
      <c r="BJ252" s="47">
        <f t="shared" si="795"/>
        <v>12193108</v>
      </c>
      <c r="BK252" s="69" t="str">
        <f t="shared" si="796"/>
        <v/>
      </c>
      <c r="BL252" s="70">
        <f t="shared" si="797"/>
        <v>16034.433333333332</v>
      </c>
      <c r="BM252" s="70">
        <f t="shared" si="798"/>
        <v>114959.86666666667</v>
      </c>
      <c r="BN252" s="70">
        <f t="shared" si="799"/>
        <v>9169.6</v>
      </c>
      <c r="BO252" s="70">
        <f t="shared" si="800"/>
        <v>19622.95</v>
      </c>
      <c r="BP252" s="70">
        <f t="shared" si="801"/>
        <v>22522.400000000001</v>
      </c>
      <c r="BQ252" s="70">
        <f t="shared" si="802"/>
        <v>3697.7</v>
      </c>
      <c r="BR252" s="70">
        <f t="shared" si="803"/>
        <v>13900</v>
      </c>
      <c r="BS252" s="70">
        <f t="shared" si="804"/>
        <v>3311.5166666666669</v>
      </c>
      <c r="BT252" s="71">
        <f t="shared" si="805"/>
        <v>203218.46666666667</v>
      </c>
      <c r="BU252" s="65" t="str">
        <f t="shared" si="806"/>
        <v/>
      </c>
      <c r="BV252" s="48">
        <f t="shared" si="807"/>
        <v>44.171992653810833</v>
      </c>
      <c r="BW252" s="48">
        <f t="shared" si="808"/>
        <v>316.69384756657485</v>
      </c>
      <c r="BX252" s="48">
        <f t="shared" si="809"/>
        <v>25.260606060606062</v>
      </c>
      <c r="BY252" s="48">
        <f t="shared" si="810"/>
        <v>54.05771349862259</v>
      </c>
      <c r="BZ252" s="48">
        <f t="shared" si="811"/>
        <v>62.045179063360884</v>
      </c>
      <c r="CA252" s="48">
        <f t="shared" si="812"/>
        <v>10.186501377410469</v>
      </c>
      <c r="CB252" s="48">
        <f t="shared" si="813"/>
        <v>38.292011019283748</v>
      </c>
      <c r="CC252" s="48">
        <f t="shared" si="814"/>
        <v>9.1226354453627181</v>
      </c>
      <c r="CD252" s="47">
        <f t="shared" si="815"/>
        <v>559.83048668503216</v>
      </c>
      <c r="CE252" s="66">
        <v>1093680</v>
      </c>
      <c r="CF252" s="62">
        <v>9540</v>
      </c>
      <c r="CG252" s="74">
        <v>-82742</v>
      </c>
      <c r="CH252" s="75">
        <f t="shared" si="816"/>
        <v>1020478</v>
      </c>
      <c r="CI252" s="62">
        <f>40260+0+782</f>
        <v>41042</v>
      </c>
      <c r="CJ252" s="62">
        <v>61229</v>
      </c>
      <c r="CK252" s="62">
        <v>178176</v>
      </c>
      <c r="CL252" s="62">
        <f>76500+157680</f>
        <v>234180</v>
      </c>
      <c r="CM252" s="62">
        <f>16260+48540</f>
        <v>64800</v>
      </c>
      <c r="CN252" s="62">
        <v>87100</v>
      </c>
      <c r="CO252" s="62">
        <v>0</v>
      </c>
      <c r="CP252" s="75">
        <f t="shared" si="626"/>
        <v>666527</v>
      </c>
      <c r="CQ252" s="62">
        <v>15000</v>
      </c>
      <c r="CR252" s="75">
        <f t="shared" si="627"/>
        <v>681527</v>
      </c>
      <c r="CS252" s="75">
        <f t="shared" si="817"/>
        <v>353951</v>
      </c>
      <c r="CT252" s="62">
        <v>180243</v>
      </c>
      <c r="CU252" s="47">
        <f t="shared" si="818"/>
        <v>173708</v>
      </c>
      <c r="CV252" s="76">
        <f t="shared" si="819"/>
        <v>0.3468482417063376</v>
      </c>
      <c r="CW252" s="75">
        <f t="shared" si="820"/>
        <v>11358.783333333333</v>
      </c>
      <c r="CX252" s="77">
        <f t="shared" si="821"/>
        <v>0.66785075229451296</v>
      </c>
      <c r="CY252" s="75">
        <f t="shared" si="822"/>
        <v>2895.1333333333332</v>
      </c>
      <c r="CZ252" s="77">
        <f t="shared" si="823"/>
        <v>0.17022218999331687</v>
      </c>
      <c r="DA252" s="77">
        <f t="shared" si="824"/>
        <v>0.17662605171302076</v>
      </c>
      <c r="DB252" s="47">
        <f t="shared" si="825"/>
        <v>63495.416666666664</v>
      </c>
      <c r="DC252" s="69">
        <f t="shared" si="826"/>
        <v>18228</v>
      </c>
      <c r="DD252" s="70">
        <f t="shared" si="827"/>
        <v>159</v>
      </c>
      <c r="DE252" s="70">
        <f t="shared" si="828"/>
        <v>-1379.0333333333333</v>
      </c>
      <c r="DF252" s="70">
        <f t="shared" si="829"/>
        <v>17007.966666666667</v>
      </c>
      <c r="DG252" s="70">
        <f t="shared" si="830"/>
        <v>684.0333333333333</v>
      </c>
      <c r="DH252" s="70">
        <f t="shared" si="831"/>
        <v>1020.4833333333333</v>
      </c>
      <c r="DI252" s="70">
        <f t="shared" si="832"/>
        <v>2969.6</v>
      </c>
      <c r="DJ252" s="70">
        <f t="shared" si="833"/>
        <v>3903</v>
      </c>
      <c r="DK252" s="70">
        <f t="shared" si="834"/>
        <v>1080</v>
      </c>
      <c r="DL252" s="70">
        <f t="shared" si="835"/>
        <v>1451.6666666666667</v>
      </c>
      <c r="DM252" s="70" t="str">
        <f t="shared" si="836"/>
        <v/>
      </c>
      <c r="DN252" s="70">
        <f t="shared" si="837"/>
        <v>11108.783333333333</v>
      </c>
      <c r="DO252" s="70">
        <f t="shared" si="838"/>
        <v>250</v>
      </c>
      <c r="DP252" s="70">
        <f t="shared" si="839"/>
        <v>11358.783333333333</v>
      </c>
      <c r="DQ252" s="70">
        <f t="shared" si="840"/>
        <v>5899.1833333333334</v>
      </c>
      <c r="DR252" s="70">
        <f t="shared" si="841"/>
        <v>3004.05</v>
      </c>
      <c r="DS252" s="71">
        <f t="shared" si="842"/>
        <v>2895.1333333333332</v>
      </c>
      <c r="DT252" s="106">
        <f t="shared" si="843"/>
        <v>1.0717330505900176</v>
      </c>
      <c r="DU252" s="92">
        <f t="shared" si="844"/>
        <v>9.3485601845409699E-3</v>
      </c>
      <c r="DV252" s="92" t="str">
        <f t="shared" si="845"/>
        <v/>
      </c>
      <c r="DW252" s="92">
        <f t="shared" si="846"/>
        <v>1</v>
      </c>
      <c r="DX252" s="92">
        <f t="shared" si="847"/>
        <v>4.0218407452193974E-2</v>
      </c>
      <c r="DY252" s="92">
        <f t="shared" si="848"/>
        <v>6.0000313578538682E-2</v>
      </c>
      <c r="DZ252" s="92">
        <f t="shared" si="849"/>
        <v>0.17460053033970355</v>
      </c>
      <c r="EA252" s="92">
        <f t="shared" si="850"/>
        <v>0.2294806943412793</v>
      </c>
      <c r="EB252" s="92">
        <f t="shared" si="851"/>
        <v>6.3499654083674514E-2</v>
      </c>
      <c r="EC252" s="92">
        <f t="shared" si="852"/>
        <v>8.5352158498272379E-2</v>
      </c>
      <c r="ED252" s="92" t="str">
        <f t="shared" si="853"/>
        <v/>
      </c>
      <c r="EE252" s="92">
        <f t="shared" si="854"/>
        <v>0.65315175829366234</v>
      </c>
      <c r="EF252" s="92">
        <f t="shared" si="855"/>
        <v>1.4698994000850582E-2</v>
      </c>
      <c r="EG252" s="92">
        <f t="shared" si="856"/>
        <v>0.66785075229451296</v>
      </c>
      <c r="EH252" s="92">
        <f t="shared" si="857"/>
        <v>0.3468482417063376</v>
      </c>
      <c r="EI252" s="92">
        <f t="shared" si="858"/>
        <v>0.17662605171302076</v>
      </c>
      <c r="EJ252" s="122">
        <f t="shared" si="859"/>
        <v>0.17022218999331687</v>
      </c>
    </row>
    <row r="253" spans="2:140" ht="12" hidden="1" customHeight="1" outlineLevel="1">
      <c r="B253" s="121">
        <v>45527</v>
      </c>
      <c r="C253" s="117">
        <v>24454</v>
      </c>
      <c r="D253" s="50" t="s">
        <v>1250</v>
      </c>
      <c r="E253" s="50" t="s">
        <v>357</v>
      </c>
      <c r="F253" s="50" t="s">
        <v>358</v>
      </c>
      <c r="G253" s="50" t="s">
        <v>162</v>
      </c>
      <c r="H253" s="50" t="s">
        <v>573</v>
      </c>
      <c r="I253" s="50" t="s">
        <v>573</v>
      </c>
      <c r="J253" s="52" t="s">
        <v>360</v>
      </c>
      <c r="K253" s="50" t="s">
        <v>294</v>
      </c>
      <c r="L253" s="49">
        <v>7</v>
      </c>
      <c r="M253" s="50" t="s">
        <v>159</v>
      </c>
      <c r="N253" s="50" t="s">
        <v>361</v>
      </c>
      <c r="O253" s="50" t="s">
        <v>318</v>
      </c>
      <c r="P253" s="50" t="s">
        <v>177</v>
      </c>
      <c r="Q253" s="53">
        <v>0.04</v>
      </c>
      <c r="R253" s="49">
        <v>104</v>
      </c>
      <c r="S253" s="49">
        <v>0</v>
      </c>
      <c r="T253" s="54">
        <f t="shared" si="625"/>
        <v>104</v>
      </c>
      <c r="U253" s="55">
        <v>47552</v>
      </c>
      <c r="V253" s="49">
        <v>2.5579999999999998</v>
      </c>
      <c r="W253" s="56">
        <f t="shared" si="784"/>
        <v>40.656763096168888</v>
      </c>
      <c r="X253" s="49" t="s">
        <v>163</v>
      </c>
      <c r="Y253" s="57" t="s">
        <v>162</v>
      </c>
      <c r="Z253" s="58">
        <v>16000000</v>
      </c>
      <c r="AA253" s="114">
        <v>7.0000000000000007E-2</v>
      </c>
      <c r="AB253" s="59"/>
      <c r="AC253" s="60"/>
      <c r="AD253" s="61"/>
      <c r="AE253" s="62"/>
      <c r="AF253" s="63"/>
      <c r="AG253" s="59"/>
      <c r="AH253" s="60"/>
      <c r="AI253" s="61"/>
      <c r="AJ253" s="64"/>
      <c r="AK253" s="65" t="str">
        <f t="shared" si="785"/>
        <v/>
      </c>
      <c r="AL253" s="66">
        <v>15600000</v>
      </c>
      <c r="AM253" s="49" t="s">
        <v>1251</v>
      </c>
      <c r="AN253" s="67">
        <v>0.88</v>
      </c>
      <c r="AO253" s="62">
        <v>15911027</v>
      </c>
      <c r="AP253" s="62">
        <v>0</v>
      </c>
      <c r="AQ253" s="68">
        <v>1254660</v>
      </c>
      <c r="AR253" s="69" t="str">
        <f t="shared" si="786"/>
        <v/>
      </c>
      <c r="AS253" s="70">
        <f t="shared" si="787"/>
        <v>150000</v>
      </c>
      <c r="AT253" s="70">
        <f t="shared" si="788"/>
        <v>152990.64423076922</v>
      </c>
      <c r="AU253" s="70" t="str">
        <f t="shared" si="789"/>
        <v/>
      </c>
      <c r="AV253" s="71">
        <f t="shared" si="790"/>
        <v>12064.038461538461</v>
      </c>
      <c r="AW253" s="115">
        <f t="shared" si="791"/>
        <v>188725.90384615384</v>
      </c>
      <c r="AX253" s="116">
        <f t="shared" si="792"/>
        <v>412.75853802153432</v>
      </c>
      <c r="AY253" s="72">
        <f t="shared" si="793"/>
        <v>226754.93269230769</v>
      </c>
      <c r="AZ253" s="73">
        <f t="shared" si="794"/>
        <v>495.93104390982495</v>
      </c>
      <c r="BA253" s="66">
        <v>5000</v>
      </c>
      <c r="BB253" s="62">
        <v>2345336</v>
      </c>
      <c r="BC253" s="62">
        <v>17282158</v>
      </c>
      <c r="BD253" s="62">
        <v>1069777</v>
      </c>
      <c r="BE253" s="62">
        <v>2885242</v>
      </c>
      <c r="BF253" s="62">
        <v>1768044</v>
      </c>
      <c r="BG253" s="62">
        <v>2788152</v>
      </c>
      <c r="BH253" s="62">
        <v>4051209</v>
      </c>
      <c r="BI253" s="62">
        <v>570769</v>
      </c>
      <c r="BJ253" s="47">
        <f t="shared" si="795"/>
        <v>32765687</v>
      </c>
      <c r="BK253" s="69">
        <f t="shared" si="796"/>
        <v>48.07692307692308</v>
      </c>
      <c r="BL253" s="70">
        <f t="shared" si="797"/>
        <v>22551.307692307691</v>
      </c>
      <c r="BM253" s="70">
        <f t="shared" si="798"/>
        <v>166174.59615384616</v>
      </c>
      <c r="BN253" s="70">
        <f t="shared" si="799"/>
        <v>10286.317307692309</v>
      </c>
      <c r="BO253" s="70">
        <f t="shared" si="800"/>
        <v>27742.711538461539</v>
      </c>
      <c r="BP253" s="70">
        <f t="shared" si="801"/>
        <v>17000.423076923078</v>
      </c>
      <c r="BQ253" s="70">
        <f t="shared" si="802"/>
        <v>26809.153846153848</v>
      </c>
      <c r="BR253" s="70">
        <f t="shared" si="803"/>
        <v>38953.932692307695</v>
      </c>
      <c r="BS253" s="70">
        <f t="shared" si="804"/>
        <v>5488.1634615384619</v>
      </c>
      <c r="BT253" s="71">
        <f t="shared" si="805"/>
        <v>315054.68269230769</v>
      </c>
      <c r="BU253" s="65">
        <f t="shared" si="806"/>
        <v>0.10514804845222073</v>
      </c>
      <c r="BV253" s="48">
        <f t="shared" si="807"/>
        <v>49.321500672947508</v>
      </c>
      <c r="BW253" s="48">
        <f t="shared" si="808"/>
        <v>363.43703734858678</v>
      </c>
      <c r="BX253" s="48">
        <f t="shared" si="809"/>
        <v>22.496992765814266</v>
      </c>
      <c r="BY253" s="48">
        <f t="shared" si="810"/>
        <v>60.675513122476445</v>
      </c>
      <c r="BZ253" s="48">
        <f t="shared" si="811"/>
        <v>37.181275235531629</v>
      </c>
      <c r="CA253" s="48">
        <f t="shared" si="812"/>
        <v>58.633748317631223</v>
      </c>
      <c r="CB253" s="48">
        <f t="shared" si="813"/>
        <v>85.19534404441454</v>
      </c>
      <c r="CC253" s="48">
        <f t="shared" si="814"/>
        <v>12.003049293405114</v>
      </c>
      <c r="CD253" s="47">
        <f t="shared" si="815"/>
        <v>689.04960884925981</v>
      </c>
      <c r="CE253" s="66">
        <v>1215600</v>
      </c>
      <c r="CF253" s="62">
        <v>16516</v>
      </c>
      <c r="CG253" s="74">
        <v>-92409</v>
      </c>
      <c r="CH253" s="75">
        <f t="shared" si="816"/>
        <v>1139707</v>
      </c>
      <c r="CI253" s="62">
        <f>56204+4160+4500</f>
        <v>64864</v>
      </c>
      <c r="CJ253" s="62">
        <v>56985</v>
      </c>
      <c r="CK253" s="62">
        <v>451560</v>
      </c>
      <c r="CL253" s="62">
        <f>9131+89098</f>
        <v>98229</v>
      </c>
      <c r="CM253" s="62">
        <f>10146+58342+40991</f>
        <v>109479</v>
      </c>
      <c r="CN253" s="62">
        <v>67125</v>
      </c>
      <c r="CO253" s="62">
        <v>25000</v>
      </c>
      <c r="CP253" s="75">
        <f t="shared" si="626"/>
        <v>873242</v>
      </c>
      <c r="CQ253" s="62">
        <v>26000</v>
      </c>
      <c r="CR253" s="75">
        <f t="shared" si="627"/>
        <v>899242</v>
      </c>
      <c r="CS253" s="75">
        <f t="shared" si="817"/>
        <v>266465</v>
      </c>
      <c r="CT253" s="62">
        <v>0</v>
      </c>
      <c r="CU253" s="47">
        <f t="shared" si="818"/>
        <v>266465</v>
      </c>
      <c r="CV253" s="76">
        <f t="shared" si="819"/>
        <v>0.2338013191109645</v>
      </c>
      <c r="CW253" s="75">
        <f t="shared" si="820"/>
        <v>8646.5576923076915</v>
      </c>
      <c r="CX253" s="77">
        <f t="shared" si="821"/>
        <v>0.78901156174350073</v>
      </c>
      <c r="CY253" s="75">
        <f t="shared" si="822"/>
        <v>2562.1634615384614</v>
      </c>
      <c r="CZ253" s="77">
        <f t="shared" si="823"/>
        <v>0.2338013191109645</v>
      </c>
      <c r="DA253" s="77" t="str">
        <f t="shared" si="824"/>
        <v/>
      </c>
      <c r="DB253" s="47" t="str">
        <f t="shared" si="825"/>
        <v/>
      </c>
      <c r="DC253" s="69">
        <f t="shared" si="826"/>
        <v>11688.461538461539</v>
      </c>
      <c r="DD253" s="70">
        <f t="shared" si="827"/>
        <v>158.80769230769232</v>
      </c>
      <c r="DE253" s="70">
        <f t="shared" si="828"/>
        <v>-888.54807692307691</v>
      </c>
      <c r="DF253" s="70">
        <f t="shared" si="829"/>
        <v>10958.721153846154</v>
      </c>
      <c r="DG253" s="70">
        <f t="shared" si="830"/>
        <v>623.69230769230774</v>
      </c>
      <c r="DH253" s="70">
        <f t="shared" si="831"/>
        <v>547.93269230769226</v>
      </c>
      <c r="DI253" s="70">
        <f t="shared" si="832"/>
        <v>4341.9230769230771</v>
      </c>
      <c r="DJ253" s="70">
        <f t="shared" si="833"/>
        <v>944.50961538461536</v>
      </c>
      <c r="DK253" s="70">
        <f t="shared" si="834"/>
        <v>1052.6826923076924</v>
      </c>
      <c r="DL253" s="70">
        <f t="shared" si="835"/>
        <v>645.43269230769226</v>
      </c>
      <c r="DM253" s="70">
        <f t="shared" si="836"/>
        <v>240.38461538461539</v>
      </c>
      <c r="DN253" s="70">
        <f t="shared" si="837"/>
        <v>8396.5576923076915</v>
      </c>
      <c r="DO253" s="70">
        <f t="shared" si="838"/>
        <v>250</v>
      </c>
      <c r="DP253" s="70">
        <f t="shared" si="839"/>
        <v>8646.5576923076915</v>
      </c>
      <c r="DQ253" s="70">
        <f t="shared" si="840"/>
        <v>2562.1634615384614</v>
      </c>
      <c r="DR253" s="70" t="str">
        <f t="shared" si="841"/>
        <v/>
      </c>
      <c r="DS253" s="71">
        <f t="shared" si="842"/>
        <v>2562.1634615384614</v>
      </c>
      <c r="DT253" s="106">
        <f t="shared" si="843"/>
        <v>1.0665899217956896</v>
      </c>
      <c r="DU253" s="92">
        <f t="shared" si="844"/>
        <v>1.4491443853551835E-2</v>
      </c>
      <c r="DV253" s="92" t="str">
        <f t="shared" si="845"/>
        <v/>
      </c>
      <c r="DW253" s="92">
        <f t="shared" si="846"/>
        <v>1</v>
      </c>
      <c r="DX253" s="92">
        <f t="shared" si="847"/>
        <v>5.6912873220924323E-2</v>
      </c>
      <c r="DY253" s="92">
        <f t="shared" si="848"/>
        <v>4.999969290352696E-2</v>
      </c>
      <c r="DZ253" s="92">
        <f t="shared" si="849"/>
        <v>0.39620709533239684</v>
      </c>
      <c r="EA253" s="92">
        <f t="shared" si="850"/>
        <v>8.618794128666403E-2</v>
      </c>
      <c r="EB253" s="92">
        <f t="shared" si="851"/>
        <v>9.6058899348692245E-2</v>
      </c>
      <c r="EC253" s="92">
        <f t="shared" si="852"/>
        <v>5.8896716436768401E-2</v>
      </c>
      <c r="ED253" s="92">
        <f t="shared" si="853"/>
        <v>2.1935462360062719E-2</v>
      </c>
      <c r="EE253" s="92">
        <f t="shared" si="854"/>
        <v>0.76619868088903553</v>
      </c>
      <c r="EF253" s="92">
        <f t="shared" si="855"/>
        <v>2.2812880854465225E-2</v>
      </c>
      <c r="EG253" s="92">
        <f t="shared" si="856"/>
        <v>0.78901156174350073</v>
      </c>
      <c r="EH253" s="92">
        <f t="shared" si="857"/>
        <v>0.2338013191109645</v>
      </c>
      <c r="EI253" s="92" t="str">
        <f t="shared" si="858"/>
        <v/>
      </c>
      <c r="EJ253" s="122">
        <f t="shared" si="859"/>
        <v>0.2338013191109645</v>
      </c>
    </row>
    <row r="254" spans="2:140" ht="12" hidden="1" customHeight="1" outlineLevel="1">
      <c r="B254" s="121">
        <v>45534</v>
      </c>
      <c r="C254" s="117" t="s">
        <v>1252</v>
      </c>
      <c r="D254" s="50" t="s">
        <v>1253</v>
      </c>
      <c r="E254" s="50" t="s">
        <v>1254</v>
      </c>
      <c r="F254" s="50" t="s">
        <v>959</v>
      </c>
      <c r="G254" s="50" t="s">
        <v>162</v>
      </c>
      <c r="H254" s="50" t="s">
        <v>155</v>
      </c>
      <c r="I254" s="50" t="s">
        <v>419</v>
      </c>
      <c r="J254" s="52" t="s">
        <v>594</v>
      </c>
      <c r="K254" s="50" t="s">
        <v>595</v>
      </c>
      <c r="L254" s="49">
        <v>2</v>
      </c>
      <c r="M254" s="50" t="s">
        <v>159</v>
      </c>
      <c r="N254" s="50" t="s">
        <v>244</v>
      </c>
      <c r="O254" s="50" t="s">
        <v>160</v>
      </c>
      <c r="P254" s="50" t="s">
        <v>177</v>
      </c>
      <c r="Q254" s="53">
        <v>0.09</v>
      </c>
      <c r="R254" s="49">
        <v>40</v>
      </c>
      <c r="S254" s="49">
        <v>8</v>
      </c>
      <c r="T254" s="54">
        <f t="shared" si="625"/>
        <v>48</v>
      </c>
      <c r="U254" s="55">
        <v>40498</v>
      </c>
      <c r="V254" s="49">
        <v>2.67</v>
      </c>
      <c r="W254" s="56">
        <f t="shared" si="784"/>
        <v>17.977528089887642</v>
      </c>
      <c r="X254" s="49" t="s">
        <v>163</v>
      </c>
      <c r="Y254" s="57" t="s">
        <v>162</v>
      </c>
      <c r="Z254" s="58">
        <f>1135000+1115000</f>
        <v>2250000</v>
      </c>
      <c r="AA254" s="114">
        <f>(((1135000*0.0525)/(Table1[[#This Row],[Construction Loan Principal]]))+((1115000*0)/(Table1[[#This Row],[Construction Loan Principal]])))</f>
        <v>2.6483333333333334E-2</v>
      </c>
      <c r="AB254" s="59">
        <v>18</v>
      </c>
      <c r="AC254" s="60">
        <v>35</v>
      </c>
      <c r="AD254" s="61">
        <v>5.2499999999999998E-2</v>
      </c>
      <c r="AE254" s="62">
        <v>1135000</v>
      </c>
      <c r="AF254" s="63">
        <v>1.94</v>
      </c>
      <c r="AG254" s="59">
        <v>18</v>
      </c>
      <c r="AH254" s="60">
        <v>30</v>
      </c>
      <c r="AI254" s="61">
        <v>0</v>
      </c>
      <c r="AJ254" s="64">
        <v>1115000</v>
      </c>
      <c r="AK254" s="65">
        <f t="shared" si="785"/>
        <v>2250000</v>
      </c>
      <c r="AL254" s="66">
        <v>56250</v>
      </c>
      <c r="AM254" s="49" t="s">
        <v>1255</v>
      </c>
      <c r="AN254" s="67">
        <v>0.85</v>
      </c>
      <c r="AO254" s="62">
        <v>5358546</v>
      </c>
      <c r="AP254" s="62">
        <v>0</v>
      </c>
      <c r="AQ254" s="68">
        <v>259074</v>
      </c>
      <c r="AR254" s="69">
        <f t="shared" si="786"/>
        <v>46875</v>
      </c>
      <c r="AS254" s="70">
        <f t="shared" si="787"/>
        <v>1171.875</v>
      </c>
      <c r="AT254" s="70">
        <f t="shared" si="788"/>
        <v>111636.375</v>
      </c>
      <c r="AU254" s="70" t="str">
        <f t="shared" si="789"/>
        <v/>
      </c>
      <c r="AV254" s="71">
        <f t="shared" si="790"/>
        <v>5397.375</v>
      </c>
      <c r="AW254" s="115">
        <f t="shared" si="791"/>
        <v>81713.791666666672</v>
      </c>
      <c r="AX254" s="116">
        <f t="shared" si="792"/>
        <v>96.85075806212653</v>
      </c>
      <c r="AY254" s="72">
        <f t="shared" si="793"/>
        <v>97811.374999999985</v>
      </c>
      <c r="AZ254" s="73">
        <f t="shared" si="794"/>
        <v>115.93031754654551</v>
      </c>
      <c r="BA254" s="66">
        <v>445445</v>
      </c>
      <c r="BB254" s="62">
        <v>566992</v>
      </c>
      <c r="BC254" s="62">
        <v>3355270</v>
      </c>
      <c r="BD254" s="62">
        <v>196113</v>
      </c>
      <c r="BE254" s="62">
        <v>576571</v>
      </c>
      <c r="BF254" s="62">
        <v>660923</v>
      </c>
      <c r="BG254" s="62">
        <v>528400</v>
      </c>
      <c r="BH254" s="62">
        <v>136153</v>
      </c>
      <c r="BI254" s="62">
        <v>198947</v>
      </c>
      <c r="BJ254" s="47">
        <f t="shared" si="795"/>
        <v>6664814</v>
      </c>
      <c r="BK254" s="69">
        <f t="shared" si="796"/>
        <v>9280.1041666666661</v>
      </c>
      <c r="BL254" s="70">
        <f t="shared" si="797"/>
        <v>11812.333333333334</v>
      </c>
      <c r="BM254" s="70">
        <f t="shared" si="798"/>
        <v>69901.458333333328</v>
      </c>
      <c r="BN254" s="70">
        <f t="shared" si="799"/>
        <v>4085.6875</v>
      </c>
      <c r="BO254" s="70">
        <f t="shared" si="800"/>
        <v>12011.895833333334</v>
      </c>
      <c r="BP254" s="70">
        <f t="shared" si="801"/>
        <v>13769.229166666666</v>
      </c>
      <c r="BQ254" s="70">
        <f t="shared" si="802"/>
        <v>11008.333333333334</v>
      </c>
      <c r="BR254" s="70">
        <f t="shared" si="803"/>
        <v>2836.5208333333335</v>
      </c>
      <c r="BS254" s="70">
        <f t="shared" si="804"/>
        <v>4144.729166666667</v>
      </c>
      <c r="BT254" s="71">
        <f t="shared" si="805"/>
        <v>138850.29166666666</v>
      </c>
      <c r="BU254" s="65">
        <f t="shared" si="806"/>
        <v>10.999185144945429</v>
      </c>
      <c r="BV254" s="48">
        <f t="shared" si="807"/>
        <v>14.000493851548224</v>
      </c>
      <c r="BW254" s="48">
        <f t="shared" si="808"/>
        <v>82.850264210578302</v>
      </c>
      <c r="BX254" s="48">
        <f t="shared" si="809"/>
        <v>4.8425354338485853</v>
      </c>
      <c r="BY254" s="48">
        <f t="shared" si="810"/>
        <v>14.237024050570399</v>
      </c>
      <c r="BZ254" s="48">
        <f t="shared" si="811"/>
        <v>16.319892340362486</v>
      </c>
      <c r="CA254" s="48">
        <f t="shared" si="812"/>
        <v>13.047557904094029</v>
      </c>
      <c r="CB254" s="48">
        <f t="shared" si="813"/>
        <v>3.3619684922712234</v>
      </c>
      <c r="CC254" s="48">
        <f t="shared" si="814"/>
        <v>4.9125141982320111</v>
      </c>
      <c r="CD254" s="47">
        <f t="shared" si="815"/>
        <v>164.57143562645069</v>
      </c>
      <c r="CE254" s="66">
        <v>381708</v>
      </c>
      <c r="CF254" s="62">
        <v>5760</v>
      </c>
      <c r="CG254" s="74">
        <v>-29060</v>
      </c>
      <c r="CH254" s="75">
        <f t="shared" si="816"/>
        <v>358408</v>
      </c>
      <c r="CI254" s="62">
        <f>21200+1600+272</f>
        <v>23072</v>
      </c>
      <c r="CJ254" s="62">
        <v>17920</v>
      </c>
      <c r="CK254" s="62">
        <v>68990</v>
      </c>
      <c r="CL254" s="62">
        <v>24300</v>
      </c>
      <c r="CM254" s="62">
        <f>11000+24500</f>
        <v>35500</v>
      </c>
      <c r="CN254" s="62">
        <v>13920</v>
      </c>
      <c r="CO254" s="62">
        <v>34100</v>
      </c>
      <c r="CP254" s="75">
        <f t="shared" si="626"/>
        <v>217802</v>
      </c>
      <c r="CQ254" s="62">
        <v>12000</v>
      </c>
      <c r="CR254" s="75">
        <f t="shared" si="627"/>
        <v>229802</v>
      </c>
      <c r="CS254" s="75">
        <f t="shared" si="817"/>
        <v>140606</v>
      </c>
      <c r="CT254" s="62">
        <v>108092</v>
      </c>
      <c r="CU254" s="47">
        <f t="shared" si="818"/>
        <v>32514</v>
      </c>
      <c r="CV254" s="76">
        <f t="shared" si="819"/>
        <v>0.39230709135956787</v>
      </c>
      <c r="CW254" s="75">
        <f t="shared" si="820"/>
        <v>4787.541666666667</v>
      </c>
      <c r="CX254" s="77">
        <f t="shared" si="821"/>
        <v>0.64117430414499677</v>
      </c>
      <c r="CY254" s="75">
        <f t="shared" si="822"/>
        <v>677.375</v>
      </c>
      <c r="CZ254" s="77">
        <f t="shared" si="823"/>
        <v>9.0717841119617865E-2</v>
      </c>
      <c r="DA254" s="77">
        <f t="shared" si="824"/>
        <v>0.30158925023994998</v>
      </c>
      <c r="DB254" s="47">
        <f t="shared" si="825"/>
        <v>46875</v>
      </c>
      <c r="DC254" s="69">
        <f t="shared" si="826"/>
        <v>7952.25</v>
      </c>
      <c r="DD254" s="70">
        <f t="shared" si="827"/>
        <v>120</v>
      </c>
      <c r="DE254" s="70">
        <f t="shared" si="828"/>
        <v>-605.41666666666663</v>
      </c>
      <c r="DF254" s="70">
        <f t="shared" si="829"/>
        <v>7466.833333333333</v>
      </c>
      <c r="DG254" s="70">
        <f t="shared" si="830"/>
        <v>480.66666666666669</v>
      </c>
      <c r="DH254" s="70">
        <f t="shared" si="831"/>
        <v>373.33333333333331</v>
      </c>
      <c r="DI254" s="70">
        <f t="shared" si="832"/>
        <v>1437.2916666666667</v>
      </c>
      <c r="DJ254" s="70">
        <f t="shared" si="833"/>
        <v>506.25</v>
      </c>
      <c r="DK254" s="70">
        <f t="shared" si="834"/>
        <v>739.58333333333337</v>
      </c>
      <c r="DL254" s="70">
        <f t="shared" si="835"/>
        <v>290</v>
      </c>
      <c r="DM254" s="70">
        <f t="shared" si="836"/>
        <v>710.41666666666663</v>
      </c>
      <c r="DN254" s="70">
        <f t="shared" si="837"/>
        <v>4537.541666666667</v>
      </c>
      <c r="DO254" s="70">
        <f t="shared" si="838"/>
        <v>250</v>
      </c>
      <c r="DP254" s="70">
        <f t="shared" si="839"/>
        <v>4787.541666666667</v>
      </c>
      <c r="DQ254" s="70">
        <f t="shared" si="840"/>
        <v>2929.2916666666665</v>
      </c>
      <c r="DR254" s="70">
        <f t="shared" si="841"/>
        <v>2251.9166666666665</v>
      </c>
      <c r="DS254" s="71">
        <f t="shared" si="842"/>
        <v>677.375</v>
      </c>
      <c r="DT254" s="106">
        <f t="shared" si="843"/>
        <v>1.0650097096046964</v>
      </c>
      <c r="DU254" s="92">
        <f t="shared" si="844"/>
        <v>1.6071069842191022E-2</v>
      </c>
      <c r="DV254" s="92" t="str">
        <f t="shared" si="845"/>
        <v/>
      </c>
      <c r="DW254" s="92">
        <f t="shared" si="846"/>
        <v>1</v>
      </c>
      <c r="DX254" s="92">
        <f t="shared" si="847"/>
        <v>6.4373563090109595E-2</v>
      </c>
      <c r="DY254" s="92">
        <f t="shared" si="848"/>
        <v>4.9998883953483182E-2</v>
      </c>
      <c r="DZ254" s="92">
        <f t="shared" si="849"/>
        <v>0.19249012298832616</v>
      </c>
      <c r="EA254" s="92">
        <f t="shared" si="850"/>
        <v>6.7799825896743382E-2</v>
      </c>
      <c r="EB254" s="92">
        <f t="shared" si="851"/>
        <v>9.9049128367670367E-2</v>
      </c>
      <c r="EC254" s="92">
        <f t="shared" si="852"/>
        <v>3.8838418785294974E-2</v>
      </c>
      <c r="ED254" s="92">
        <f t="shared" si="853"/>
        <v>9.5142965558804485E-2</v>
      </c>
      <c r="EE254" s="92">
        <f t="shared" si="854"/>
        <v>0.60769290864043213</v>
      </c>
      <c r="EF254" s="92">
        <f t="shared" si="855"/>
        <v>3.348139550456463E-2</v>
      </c>
      <c r="EG254" s="92">
        <f t="shared" si="856"/>
        <v>0.64117430414499677</v>
      </c>
      <c r="EH254" s="92">
        <f t="shared" si="857"/>
        <v>0.39230709135956787</v>
      </c>
      <c r="EI254" s="92">
        <f t="shared" si="858"/>
        <v>0.30158925023994998</v>
      </c>
      <c r="EJ254" s="122">
        <f t="shared" si="859"/>
        <v>9.0717841119617865E-2</v>
      </c>
    </row>
    <row r="255" spans="2:140" ht="12" hidden="1" customHeight="1" outlineLevel="1">
      <c r="B255" s="121">
        <v>45544</v>
      </c>
      <c r="C255" s="117">
        <v>24473</v>
      </c>
      <c r="D255" s="50" t="s">
        <v>1256</v>
      </c>
      <c r="E255" s="50" t="s">
        <v>1156</v>
      </c>
      <c r="F255" s="50" t="s">
        <v>1257</v>
      </c>
      <c r="G255" s="50" t="s">
        <v>162</v>
      </c>
      <c r="H255" s="50" t="s">
        <v>1157</v>
      </c>
      <c r="I255" s="50" t="s">
        <v>259</v>
      </c>
      <c r="J255" s="52" t="s">
        <v>183</v>
      </c>
      <c r="K255" s="50" t="s">
        <v>184</v>
      </c>
      <c r="L255" s="49">
        <v>9</v>
      </c>
      <c r="M255" s="50" t="s">
        <v>159</v>
      </c>
      <c r="N255" s="50" t="s">
        <v>160</v>
      </c>
      <c r="O255" s="50" t="s">
        <v>160</v>
      </c>
      <c r="P255" s="50" t="s">
        <v>177</v>
      </c>
      <c r="Q255" s="53">
        <v>0.04</v>
      </c>
      <c r="R255" s="49">
        <v>260</v>
      </c>
      <c r="S255" s="49">
        <v>0</v>
      </c>
      <c r="T255" s="54">
        <f t="shared" si="625"/>
        <v>260</v>
      </c>
      <c r="U255" s="55">
        <v>264408</v>
      </c>
      <c r="V255" s="49">
        <v>13.37</v>
      </c>
      <c r="W255" s="56">
        <f t="shared" si="784"/>
        <v>19.446522064323112</v>
      </c>
      <c r="X255" s="49" t="s">
        <v>163</v>
      </c>
      <c r="Y255" s="57" t="s">
        <v>162</v>
      </c>
      <c r="Z255" s="58">
        <v>53600000</v>
      </c>
      <c r="AA255" s="114">
        <v>6.5000000000000002E-2</v>
      </c>
      <c r="AB255" s="59">
        <v>15</v>
      </c>
      <c r="AC255" s="60">
        <v>40</v>
      </c>
      <c r="AD255" s="61">
        <v>5.6500000000000002E-2</v>
      </c>
      <c r="AE255" s="62">
        <v>29800000</v>
      </c>
      <c r="AF255" s="63">
        <v>1.1599999999999999</v>
      </c>
      <c r="AG255" s="59"/>
      <c r="AH255" s="60"/>
      <c r="AI255" s="61"/>
      <c r="AJ255" s="64"/>
      <c r="AK255" s="65">
        <f t="shared" si="785"/>
        <v>29800000</v>
      </c>
      <c r="AL255" s="66">
        <v>0</v>
      </c>
      <c r="AM255" s="49" t="s">
        <v>163</v>
      </c>
      <c r="AN255" s="67">
        <v>0.89</v>
      </c>
      <c r="AO255" s="62">
        <v>28242437</v>
      </c>
      <c r="AP255" s="62">
        <v>1300000</v>
      </c>
      <c r="AQ255" s="68">
        <v>7678194</v>
      </c>
      <c r="AR255" s="69">
        <f t="shared" si="786"/>
        <v>114615.38461538461</v>
      </c>
      <c r="AS255" s="70" t="str">
        <f t="shared" si="787"/>
        <v/>
      </c>
      <c r="AT255" s="70">
        <f t="shared" si="788"/>
        <v>108624.7576923077</v>
      </c>
      <c r="AU255" s="70">
        <f t="shared" si="789"/>
        <v>5000</v>
      </c>
      <c r="AV255" s="71">
        <f t="shared" si="790"/>
        <v>29531.515384615384</v>
      </c>
      <c r="AW255" s="115">
        <f t="shared" si="791"/>
        <v>136598.51153846155</v>
      </c>
      <c r="AX255" s="116">
        <f t="shared" si="792"/>
        <v>134.32124973525762</v>
      </c>
      <c r="AY255" s="72">
        <f t="shared" si="793"/>
        <v>163526.60769230768</v>
      </c>
      <c r="AZ255" s="73">
        <f t="shared" si="794"/>
        <v>160.80042207497505</v>
      </c>
      <c r="BA255" s="66">
        <v>3352005</v>
      </c>
      <c r="BB255" s="62">
        <v>7213534</v>
      </c>
      <c r="BC255" s="62">
        <v>28302079</v>
      </c>
      <c r="BD255" s="62">
        <v>1800781</v>
      </c>
      <c r="BE255" s="62">
        <v>5200524</v>
      </c>
      <c r="BF255" s="62">
        <v>4898735</v>
      </c>
      <c r="BG255" s="62">
        <v>13212982</v>
      </c>
      <c r="BH255" s="62">
        <v>8045000</v>
      </c>
      <c r="BI255" s="62">
        <v>948991</v>
      </c>
      <c r="BJ255" s="47">
        <f t="shared" si="795"/>
        <v>72974631</v>
      </c>
      <c r="BK255" s="69">
        <f t="shared" si="796"/>
        <v>12892.326923076924</v>
      </c>
      <c r="BL255" s="70">
        <f t="shared" si="797"/>
        <v>27744.361538461537</v>
      </c>
      <c r="BM255" s="70">
        <f t="shared" si="798"/>
        <v>108854.15</v>
      </c>
      <c r="BN255" s="70">
        <f t="shared" si="799"/>
        <v>6926.080769230769</v>
      </c>
      <c r="BO255" s="70">
        <f t="shared" si="800"/>
        <v>20002.015384615384</v>
      </c>
      <c r="BP255" s="70">
        <f t="shared" si="801"/>
        <v>18841.288461538461</v>
      </c>
      <c r="BQ255" s="70">
        <f t="shared" si="802"/>
        <v>50819.161538461536</v>
      </c>
      <c r="BR255" s="70">
        <f t="shared" si="803"/>
        <v>30942.307692307691</v>
      </c>
      <c r="BS255" s="70">
        <f t="shared" si="804"/>
        <v>3649.9653846153847</v>
      </c>
      <c r="BT255" s="71">
        <f t="shared" si="805"/>
        <v>280671.65769230766</v>
      </c>
      <c r="BU255" s="65">
        <f t="shared" si="806"/>
        <v>12.677396296632477</v>
      </c>
      <c r="BV255" s="48">
        <f t="shared" si="807"/>
        <v>27.281829596683913</v>
      </c>
      <c r="BW255" s="48">
        <f t="shared" si="808"/>
        <v>107.03942013857372</v>
      </c>
      <c r="BX255" s="48">
        <f t="shared" si="809"/>
        <v>6.8106146561374841</v>
      </c>
      <c r="BY255" s="48">
        <f t="shared" si="810"/>
        <v>19.668557683579923</v>
      </c>
      <c r="BZ255" s="48">
        <f t="shared" si="811"/>
        <v>18.527181477111132</v>
      </c>
      <c r="CA255" s="48">
        <f t="shared" si="812"/>
        <v>49.971944873074946</v>
      </c>
      <c r="CB255" s="48">
        <f t="shared" si="813"/>
        <v>30.42646213427733</v>
      </c>
      <c r="CC255" s="48">
        <f t="shared" si="814"/>
        <v>3.5891160630540679</v>
      </c>
      <c r="CD255" s="47">
        <f t="shared" si="815"/>
        <v>275.99252291912501</v>
      </c>
      <c r="CE255" s="66">
        <v>3382584</v>
      </c>
      <c r="CF255" s="62">
        <f>18979+54600+20030</f>
        <v>93609</v>
      </c>
      <c r="CG255" s="74">
        <v>-260715</v>
      </c>
      <c r="CH255" s="75">
        <f t="shared" si="816"/>
        <v>3215478</v>
      </c>
      <c r="CI255" s="62">
        <f>79700+10400+5000+13000</f>
        <v>108100</v>
      </c>
      <c r="CJ255" s="62">
        <v>112542</v>
      </c>
      <c r="CK255" s="62">
        <v>340106</v>
      </c>
      <c r="CL255" s="62">
        <f>3600+202000</f>
        <v>205600</v>
      </c>
      <c r="CM255" s="62">
        <f>2500+32500+43160</f>
        <v>78160</v>
      </c>
      <c r="CN255" s="62">
        <v>121940</v>
      </c>
      <c r="CO255" s="62">
        <v>0</v>
      </c>
      <c r="CP255" s="75">
        <f t="shared" si="626"/>
        <v>966448</v>
      </c>
      <c r="CQ255" s="62">
        <v>65000</v>
      </c>
      <c r="CR255" s="75">
        <f t="shared" si="627"/>
        <v>1031448</v>
      </c>
      <c r="CS255" s="75">
        <f t="shared" si="817"/>
        <v>2249030</v>
      </c>
      <c r="CT255" s="62">
        <v>1881030</v>
      </c>
      <c r="CU255" s="47">
        <f t="shared" si="818"/>
        <v>368000</v>
      </c>
      <c r="CV255" s="76">
        <f t="shared" si="819"/>
        <v>0.69943877706518287</v>
      </c>
      <c r="CW255" s="75">
        <f t="shared" si="820"/>
        <v>3967.1076923076921</v>
      </c>
      <c r="CX255" s="77">
        <f t="shared" si="821"/>
        <v>0.32077594684211802</v>
      </c>
      <c r="CY255" s="75">
        <f t="shared" si="822"/>
        <v>1415.3846153846155</v>
      </c>
      <c r="CZ255" s="77">
        <f t="shared" si="823"/>
        <v>0.11444643689056495</v>
      </c>
      <c r="DA255" s="77">
        <f t="shared" si="824"/>
        <v>0.58499234017461788</v>
      </c>
      <c r="DB255" s="47">
        <f t="shared" si="825"/>
        <v>114615.38461538461</v>
      </c>
      <c r="DC255" s="69">
        <f t="shared" si="826"/>
        <v>13009.938461538462</v>
      </c>
      <c r="DD255" s="70">
        <f t="shared" si="827"/>
        <v>360.03461538461539</v>
      </c>
      <c r="DE255" s="70">
        <f t="shared" si="828"/>
        <v>-1002.75</v>
      </c>
      <c r="DF255" s="70">
        <f t="shared" si="829"/>
        <v>12367.223076923077</v>
      </c>
      <c r="DG255" s="70">
        <f t="shared" si="830"/>
        <v>415.76923076923077</v>
      </c>
      <c r="DH255" s="70">
        <f t="shared" si="831"/>
        <v>432.85384615384618</v>
      </c>
      <c r="DI255" s="70">
        <f t="shared" si="832"/>
        <v>1308.0999999999999</v>
      </c>
      <c r="DJ255" s="70">
        <f t="shared" si="833"/>
        <v>790.76923076923072</v>
      </c>
      <c r="DK255" s="70">
        <f t="shared" si="834"/>
        <v>300.61538461538464</v>
      </c>
      <c r="DL255" s="70">
        <f t="shared" si="835"/>
        <v>469</v>
      </c>
      <c r="DM255" s="70" t="str">
        <f t="shared" si="836"/>
        <v/>
      </c>
      <c r="DN255" s="70">
        <f t="shared" si="837"/>
        <v>3717.1076923076921</v>
      </c>
      <c r="DO255" s="70">
        <f t="shared" si="838"/>
        <v>250</v>
      </c>
      <c r="DP255" s="70">
        <f t="shared" si="839"/>
        <v>3967.1076923076921</v>
      </c>
      <c r="DQ255" s="70">
        <f t="shared" si="840"/>
        <v>8650.1153846153848</v>
      </c>
      <c r="DR255" s="70">
        <f t="shared" si="841"/>
        <v>7234.7307692307695</v>
      </c>
      <c r="DS255" s="71">
        <f t="shared" si="842"/>
        <v>1415.3846153846155</v>
      </c>
      <c r="DT255" s="106">
        <f t="shared" si="843"/>
        <v>1.0519692562038987</v>
      </c>
      <c r="DU255" s="92">
        <f t="shared" si="844"/>
        <v>2.9112001388285038E-2</v>
      </c>
      <c r="DV255" s="92" t="str">
        <f t="shared" si="845"/>
        <v/>
      </c>
      <c r="DW255" s="92">
        <f t="shared" si="846"/>
        <v>1</v>
      </c>
      <c r="DX255" s="92">
        <f t="shared" si="847"/>
        <v>3.3618640836603451E-2</v>
      </c>
      <c r="DY255" s="92">
        <f t="shared" si="848"/>
        <v>3.5000083968853152E-2</v>
      </c>
      <c r="DZ255" s="92">
        <f t="shared" si="849"/>
        <v>0.1057715213725611</v>
      </c>
      <c r="EA255" s="92">
        <f t="shared" si="850"/>
        <v>6.3940726697554767E-2</v>
      </c>
      <c r="EB255" s="92">
        <f t="shared" si="851"/>
        <v>2.4307428009148251E-2</v>
      </c>
      <c r="EC255" s="92">
        <f t="shared" si="852"/>
        <v>3.7922822050096443E-2</v>
      </c>
      <c r="ED255" s="92" t="str">
        <f t="shared" si="853"/>
        <v/>
      </c>
      <c r="EE255" s="92">
        <f t="shared" si="854"/>
        <v>0.30056122293481713</v>
      </c>
      <c r="EF255" s="92">
        <f t="shared" si="855"/>
        <v>2.0214723907300874E-2</v>
      </c>
      <c r="EG255" s="92">
        <f t="shared" si="856"/>
        <v>0.32077594684211802</v>
      </c>
      <c r="EH255" s="92">
        <f t="shared" si="857"/>
        <v>0.69943877706518287</v>
      </c>
      <c r="EI255" s="92">
        <f t="shared" si="858"/>
        <v>0.58499234017461788</v>
      </c>
      <c r="EJ255" s="122">
        <f t="shared" si="859"/>
        <v>0.11444643689056495</v>
      </c>
    </row>
    <row r="256" spans="2:140" ht="12" hidden="1" customHeight="1" outlineLevel="1">
      <c r="B256" s="121">
        <v>45560</v>
      </c>
      <c r="C256" s="117">
        <v>24470</v>
      </c>
      <c r="D256" s="50" t="s">
        <v>1258</v>
      </c>
      <c r="E256" s="50" t="s">
        <v>1259</v>
      </c>
      <c r="F256" s="50" t="s">
        <v>195</v>
      </c>
      <c r="G256" s="50" t="s">
        <v>154</v>
      </c>
      <c r="H256" s="50" t="s">
        <v>968</v>
      </c>
      <c r="I256" s="50" t="s">
        <v>156</v>
      </c>
      <c r="J256" s="52" t="s">
        <v>293</v>
      </c>
      <c r="K256" s="50" t="s">
        <v>294</v>
      </c>
      <c r="L256" s="49">
        <v>7</v>
      </c>
      <c r="M256" s="50" t="s">
        <v>159</v>
      </c>
      <c r="N256" s="50" t="s">
        <v>160</v>
      </c>
      <c r="O256" s="50" t="s">
        <v>160</v>
      </c>
      <c r="P256" s="50" t="s">
        <v>177</v>
      </c>
      <c r="Q256" s="53">
        <v>0.04</v>
      </c>
      <c r="R256" s="49">
        <v>324</v>
      </c>
      <c r="S256" s="49">
        <v>0</v>
      </c>
      <c r="T256" s="54">
        <f t="shared" si="625"/>
        <v>324</v>
      </c>
      <c r="U256" s="55">
        <v>371388</v>
      </c>
      <c r="V256" s="49">
        <v>15.42</v>
      </c>
      <c r="W256" s="56">
        <f t="shared" si="784"/>
        <v>21.011673151750973</v>
      </c>
      <c r="X256" s="49" t="s">
        <v>163</v>
      </c>
      <c r="Y256" s="57" t="s">
        <v>162</v>
      </c>
      <c r="Z256" s="58">
        <v>95130288</v>
      </c>
      <c r="AA256" s="114">
        <f>(((63650000*0.0782)/(Table1[[#This Row],[Construction Loan Principal]]))+((31480288*0.0832)/(Table1[[#This Row],[Construction Loan Principal]])))</f>
        <v>7.9854588073989652E-2</v>
      </c>
      <c r="AB256" s="59">
        <v>15</v>
      </c>
      <c r="AC256" s="60">
        <v>40</v>
      </c>
      <c r="AD256" s="61">
        <v>6.4100000000000004E-2</v>
      </c>
      <c r="AE256" s="62">
        <v>63550000</v>
      </c>
      <c r="AF256" s="63">
        <v>1.1499999999999999</v>
      </c>
      <c r="AG256" s="59"/>
      <c r="AH256" s="60"/>
      <c r="AI256" s="61"/>
      <c r="AJ256" s="64"/>
      <c r="AK256" s="65">
        <f t="shared" si="785"/>
        <v>63550000</v>
      </c>
      <c r="AL256" s="66">
        <v>0</v>
      </c>
      <c r="AM256" s="49" t="s">
        <v>163</v>
      </c>
      <c r="AN256" s="67">
        <v>0.9</v>
      </c>
      <c r="AO256" s="62">
        <v>40962109</v>
      </c>
      <c r="AP256" s="62">
        <v>975279</v>
      </c>
      <c r="AQ256" s="68">
        <v>14365972</v>
      </c>
      <c r="AR256" s="69">
        <f t="shared" si="786"/>
        <v>196141.97530864197</v>
      </c>
      <c r="AS256" s="70" t="str">
        <f t="shared" si="787"/>
        <v/>
      </c>
      <c r="AT256" s="70">
        <f t="shared" si="788"/>
        <v>126426.26234567902</v>
      </c>
      <c r="AU256" s="70">
        <f t="shared" si="789"/>
        <v>3010.1203703703704</v>
      </c>
      <c r="AV256" s="71">
        <f t="shared" si="790"/>
        <v>44339.419753086418</v>
      </c>
      <c r="AW256" s="115">
        <f t="shared" si="791"/>
        <v>199391.87654320989</v>
      </c>
      <c r="AX256" s="116">
        <f t="shared" si="792"/>
        <v>173.95006839208591</v>
      </c>
      <c r="AY256" s="72">
        <f t="shared" si="793"/>
        <v>238582.09876543214</v>
      </c>
      <c r="AZ256" s="73">
        <f t="shared" si="794"/>
        <v>208.13973526339032</v>
      </c>
      <c r="BA256" s="66">
        <v>4500000</v>
      </c>
      <c r="BB256" s="62">
        <v>7008000</v>
      </c>
      <c r="BC256" s="62">
        <v>57594968</v>
      </c>
      <c r="BD256" s="62">
        <v>3745000</v>
      </c>
      <c r="BE256" s="62">
        <v>8952632</v>
      </c>
      <c r="BF256" s="62">
        <v>5964720</v>
      </c>
      <c r="BG256" s="62">
        <v>23559037</v>
      </c>
      <c r="BH256" s="62">
        <v>15094770</v>
      </c>
      <c r="BI256" s="62">
        <v>2122659</v>
      </c>
      <c r="BJ256" s="47">
        <f t="shared" si="795"/>
        <v>128541786</v>
      </c>
      <c r="BK256" s="69">
        <f t="shared" si="796"/>
        <v>13888.888888888889</v>
      </c>
      <c r="BL256" s="70">
        <f t="shared" si="797"/>
        <v>21629.629629629631</v>
      </c>
      <c r="BM256" s="70">
        <f t="shared" si="798"/>
        <v>177762.24691358025</v>
      </c>
      <c r="BN256" s="70">
        <f t="shared" si="799"/>
        <v>11558.641975308641</v>
      </c>
      <c r="BO256" s="70">
        <f t="shared" si="800"/>
        <v>27631.580246913582</v>
      </c>
      <c r="BP256" s="70">
        <f t="shared" si="801"/>
        <v>18409.629629629631</v>
      </c>
      <c r="BQ256" s="70">
        <f t="shared" si="802"/>
        <v>72713.07716049382</v>
      </c>
      <c r="BR256" s="70">
        <f t="shared" si="803"/>
        <v>46588.796296296299</v>
      </c>
      <c r="BS256" s="70">
        <f t="shared" si="804"/>
        <v>6551.416666666667</v>
      </c>
      <c r="BT256" s="71">
        <f t="shared" si="805"/>
        <v>396733.90740740742</v>
      </c>
      <c r="BU256" s="65">
        <f t="shared" si="806"/>
        <v>12.116708132734498</v>
      </c>
      <c r="BV256" s="48">
        <f t="shared" si="807"/>
        <v>18.869753465378526</v>
      </c>
      <c r="BW256" s="48">
        <f t="shared" si="808"/>
        <v>155.08031492670739</v>
      </c>
      <c r="BX256" s="48">
        <f t="shared" si="809"/>
        <v>10.083793768242376</v>
      </c>
      <c r="BY256" s="48">
        <f t="shared" si="810"/>
        <v>24.105873103062027</v>
      </c>
      <c r="BZ256" s="48">
        <f t="shared" si="811"/>
        <v>16.060615851885359</v>
      </c>
      <c r="CA256" s="48">
        <f t="shared" si="812"/>
        <v>63.435105603842878</v>
      </c>
      <c r="CB256" s="48">
        <f t="shared" si="813"/>
        <v>40.644204982390384</v>
      </c>
      <c r="CC256" s="48">
        <f t="shared" si="814"/>
        <v>5.7154754596271289</v>
      </c>
      <c r="CD256" s="47">
        <f t="shared" si="815"/>
        <v>346.11184529387054</v>
      </c>
      <c r="CE256" s="66">
        <v>7130880</v>
      </c>
      <c r="CF256" s="62">
        <f>17496+80484+18660</f>
        <v>116640</v>
      </c>
      <c r="CG256" s="74">
        <v>-543564</v>
      </c>
      <c r="CH256" s="75">
        <f t="shared" si="816"/>
        <v>6703956</v>
      </c>
      <c r="CI256" s="62">
        <f>108280+40500+12960+3500+95325</f>
        <v>260565</v>
      </c>
      <c r="CJ256" s="62">
        <v>167599</v>
      </c>
      <c r="CK256" s="62">
        <v>435456</v>
      </c>
      <c r="CL256" s="62">
        <f>230040</f>
        <v>230040</v>
      </c>
      <c r="CM256" s="62">
        <f>124225+196535</f>
        <v>320760</v>
      </c>
      <c r="CN256" s="62">
        <v>129600</v>
      </c>
      <c r="CO256" s="62">
        <v>0</v>
      </c>
      <c r="CP256" s="75">
        <f t="shared" si="626"/>
        <v>1544020</v>
      </c>
      <c r="CQ256" s="62">
        <v>81000</v>
      </c>
      <c r="CR256" s="75">
        <f t="shared" si="627"/>
        <v>1625020</v>
      </c>
      <c r="CS256" s="75">
        <f t="shared" si="817"/>
        <v>5159936</v>
      </c>
      <c r="CT256" s="62">
        <v>4415889</v>
      </c>
      <c r="CU256" s="47">
        <f t="shared" si="818"/>
        <v>744047</v>
      </c>
      <c r="CV256" s="76">
        <f t="shared" si="819"/>
        <v>0.7696852425642412</v>
      </c>
      <c r="CW256" s="75">
        <f t="shared" si="820"/>
        <v>5015.4938271604942</v>
      </c>
      <c r="CX256" s="77">
        <f t="shared" si="821"/>
        <v>0.24239717563778759</v>
      </c>
      <c r="CY256" s="75">
        <f t="shared" si="822"/>
        <v>2296.4413580246915</v>
      </c>
      <c r="CZ256" s="77">
        <f t="shared" si="823"/>
        <v>0.11098625945635682</v>
      </c>
      <c r="DA256" s="77">
        <f t="shared" si="824"/>
        <v>0.65869898310788433</v>
      </c>
      <c r="DB256" s="47">
        <f t="shared" si="825"/>
        <v>196141.97530864197</v>
      </c>
      <c r="DC256" s="69">
        <f t="shared" si="826"/>
        <v>22008.888888888891</v>
      </c>
      <c r="DD256" s="70">
        <f t="shared" si="827"/>
        <v>360</v>
      </c>
      <c r="DE256" s="70">
        <f t="shared" si="828"/>
        <v>-1677.6666666666667</v>
      </c>
      <c r="DF256" s="70">
        <f t="shared" si="829"/>
        <v>20691.222222222223</v>
      </c>
      <c r="DG256" s="70">
        <f t="shared" si="830"/>
        <v>804.21296296296293</v>
      </c>
      <c r="DH256" s="70">
        <f t="shared" si="831"/>
        <v>517.28086419753083</v>
      </c>
      <c r="DI256" s="70">
        <f t="shared" si="832"/>
        <v>1344</v>
      </c>
      <c r="DJ256" s="70">
        <f t="shared" si="833"/>
        <v>710</v>
      </c>
      <c r="DK256" s="70">
        <f t="shared" si="834"/>
        <v>990</v>
      </c>
      <c r="DL256" s="70">
        <f t="shared" si="835"/>
        <v>400</v>
      </c>
      <c r="DM256" s="70" t="str">
        <f t="shared" si="836"/>
        <v/>
      </c>
      <c r="DN256" s="70">
        <f t="shared" si="837"/>
        <v>4765.4938271604942</v>
      </c>
      <c r="DO256" s="70">
        <f t="shared" si="838"/>
        <v>250</v>
      </c>
      <c r="DP256" s="70">
        <f t="shared" si="839"/>
        <v>5015.4938271604942</v>
      </c>
      <c r="DQ256" s="70">
        <f t="shared" si="840"/>
        <v>15925.728395061727</v>
      </c>
      <c r="DR256" s="70">
        <f t="shared" si="841"/>
        <v>13629.287037037036</v>
      </c>
      <c r="DS256" s="71">
        <f t="shared" si="842"/>
        <v>2296.4413580246915</v>
      </c>
      <c r="DT256" s="106">
        <f t="shared" si="843"/>
        <v>1.0636823988701596</v>
      </c>
      <c r="DU256" s="92">
        <f t="shared" si="844"/>
        <v>1.7398682210921432E-2</v>
      </c>
      <c r="DV256" s="92" t="str">
        <f t="shared" si="845"/>
        <v/>
      </c>
      <c r="DW256" s="92">
        <f t="shared" si="846"/>
        <v>1</v>
      </c>
      <c r="DX256" s="92">
        <f t="shared" si="847"/>
        <v>3.8867349368044778E-2</v>
      </c>
      <c r="DY256" s="92">
        <f t="shared" si="848"/>
        <v>2.5000014916565682E-2</v>
      </c>
      <c r="DZ256" s="92">
        <f t="shared" si="849"/>
        <v>6.4955080254106679E-2</v>
      </c>
      <c r="EA256" s="92">
        <f t="shared" si="850"/>
        <v>3.4314067693761711E-2</v>
      </c>
      <c r="EB256" s="92">
        <f t="shared" si="851"/>
        <v>4.7846376080033941E-2</v>
      </c>
      <c r="EC256" s="92">
        <f t="shared" si="852"/>
        <v>1.9331869123246036E-2</v>
      </c>
      <c r="ED256" s="92" t="str">
        <f t="shared" si="853"/>
        <v/>
      </c>
      <c r="EE256" s="92">
        <f t="shared" si="854"/>
        <v>0.23031475743575883</v>
      </c>
      <c r="EF256" s="92">
        <f t="shared" si="855"/>
        <v>1.2082418202028771E-2</v>
      </c>
      <c r="EG256" s="92">
        <f t="shared" si="856"/>
        <v>0.24239717563778759</v>
      </c>
      <c r="EH256" s="92">
        <f t="shared" si="857"/>
        <v>0.7696852425642412</v>
      </c>
      <c r="EI256" s="92">
        <f t="shared" si="858"/>
        <v>0.65869898310788433</v>
      </c>
      <c r="EJ256" s="122">
        <f t="shared" si="859"/>
        <v>0.11098625945635682</v>
      </c>
    </row>
    <row r="257" spans="2:140" ht="12" hidden="1" customHeight="1" outlineLevel="1">
      <c r="B257" s="121">
        <v>45561</v>
      </c>
      <c r="C257" s="117">
        <v>24437</v>
      </c>
      <c r="D257" s="50" t="s">
        <v>1260</v>
      </c>
      <c r="E257" s="50" t="s">
        <v>1219</v>
      </c>
      <c r="F257" s="50" t="s">
        <v>1261</v>
      </c>
      <c r="G257" s="50" t="s">
        <v>162</v>
      </c>
      <c r="H257" s="50" t="s">
        <v>1262</v>
      </c>
      <c r="I257" s="50" t="s">
        <v>943</v>
      </c>
      <c r="J257" s="52" t="s">
        <v>191</v>
      </c>
      <c r="K257" s="50" t="s">
        <v>192</v>
      </c>
      <c r="L257" s="49">
        <v>3</v>
      </c>
      <c r="M257" s="50" t="s">
        <v>159</v>
      </c>
      <c r="N257" s="50" t="s">
        <v>160</v>
      </c>
      <c r="O257" s="50" t="s">
        <v>160</v>
      </c>
      <c r="P257" s="50" t="s">
        <v>923</v>
      </c>
      <c r="Q257" s="53">
        <v>0.04</v>
      </c>
      <c r="R257" s="49">
        <v>280</v>
      </c>
      <c r="S257" s="49">
        <v>0</v>
      </c>
      <c r="T257" s="54">
        <f t="shared" si="625"/>
        <v>280</v>
      </c>
      <c r="U257" s="55">
        <v>324940</v>
      </c>
      <c r="V257" s="49">
        <v>29.88</v>
      </c>
      <c r="W257" s="56">
        <f t="shared" si="784"/>
        <v>9.3708165997322634</v>
      </c>
      <c r="X257" s="49">
        <v>2002</v>
      </c>
      <c r="Y257" s="57" t="s">
        <v>162</v>
      </c>
      <c r="Z257" s="58">
        <v>52265691</v>
      </c>
      <c r="AA257" s="114">
        <v>0.06</v>
      </c>
      <c r="AB257" s="59">
        <v>15</v>
      </c>
      <c r="AC257" s="60">
        <v>40</v>
      </c>
      <c r="AD257" s="61">
        <v>5.6300000000000003E-2</v>
      </c>
      <c r="AE257" s="62">
        <v>31607000</v>
      </c>
      <c r="AF257" s="63">
        <v>1.18</v>
      </c>
      <c r="AG257" s="59"/>
      <c r="AH257" s="60"/>
      <c r="AI257" s="61"/>
      <c r="AJ257" s="64"/>
      <c r="AK257" s="65">
        <f t="shared" si="785"/>
        <v>31607000</v>
      </c>
      <c r="AL257" s="66">
        <v>0</v>
      </c>
      <c r="AM257" s="49" t="s">
        <v>163</v>
      </c>
      <c r="AN257" s="67">
        <v>0.95</v>
      </c>
      <c r="AO257" s="62">
        <v>25677738</v>
      </c>
      <c r="AP257" s="62">
        <v>3782289</v>
      </c>
      <c r="AQ257" s="68">
        <v>5137769</v>
      </c>
      <c r="AR257" s="69">
        <f t="shared" si="786"/>
        <v>112882.14285714286</v>
      </c>
      <c r="AS257" s="70" t="str">
        <f t="shared" si="787"/>
        <v/>
      </c>
      <c r="AT257" s="70">
        <f t="shared" si="788"/>
        <v>91706.207142857136</v>
      </c>
      <c r="AU257" s="70">
        <f t="shared" si="789"/>
        <v>13508.174999999999</v>
      </c>
      <c r="AV257" s="71">
        <f t="shared" si="790"/>
        <v>18349.174999999999</v>
      </c>
      <c r="AW257" s="115">
        <f t="shared" si="791"/>
        <v>56992.275000000001</v>
      </c>
      <c r="AX257" s="116">
        <f t="shared" si="792"/>
        <v>49.110103403705303</v>
      </c>
      <c r="AY257" s="72">
        <f t="shared" si="793"/>
        <v>71468.314285714296</v>
      </c>
      <c r="AZ257" s="73">
        <f t="shared" si="794"/>
        <v>61.584070905397923</v>
      </c>
      <c r="BA257" s="66">
        <v>26368000</v>
      </c>
      <c r="BB257" s="62">
        <v>2072518</v>
      </c>
      <c r="BC257" s="62">
        <v>13885319</v>
      </c>
      <c r="BD257" s="62">
        <v>1595784</v>
      </c>
      <c r="BE257" s="62">
        <v>2457507</v>
      </c>
      <c r="BF257" s="62">
        <v>2479424</v>
      </c>
      <c r="BG257" s="62">
        <v>11299255</v>
      </c>
      <c r="BH257" s="62">
        <v>7595262</v>
      </c>
      <c r="BI257" s="62">
        <v>1872708</v>
      </c>
      <c r="BJ257" s="47">
        <f t="shared" si="795"/>
        <v>69625777</v>
      </c>
      <c r="BK257" s="69">
        <f t="shared" si="796"/>
        <v>94171.428571428565</v>
      </c>
      <c r="BL257" s="70">
        <f t="shared" si="797"/>
        <v>7401.85</v>
      </c>
      <c r="BM257" s="70">
        <f t="shared" si="798"/>
        <v>49590.425000000003</v>
      </c>
      <c r="BN257" s="70">
        <f t="shared" si="799"/>
        <v>5699.2285714285717</v>
      </c>
      <c r="BO257" s="70">
        <f t="shared" si="800"/>
        <v>8776.8107142857134</v>
      </c>
      <c r="BP257" s="70">
        <f t="shared" si="801"/>
        <v>8855.0857142857149</v>
      </c>
      <c r="BQ257" s="70">
        <f t="shared" si="802"/>
        <v>40354.482142857145</v>
      </c>
      <c r="BR257" s="70">
        <f t="shared" si="803"/>
        <v>27125.935714285715</v>
      </c>
      <c r="BS257" s="70">
        <f t="shared" si="804"/>
        <v>6688.2428571428572</v>
      </c>
      <c r="BT257" s="71">
        <f t="shared" si="805"/>
        <v>248663.48928571428</v>
      </c>
      <c r="BU257" s="65">
        <f t="shared" si="806"/>
        <v>81.147288730227118</v>
      </c>
      <c r="BV257" s="48">
        <f t="shared" si="807"/>
        <v>6.3781559672554931</v>
      </c>
      <c r="BW257" s="48">
        <f t="shared" si="808"/>
        <v>42.731947436449808</v>
      </c>
      <c r="BX257" s="48">
        <f t="shared" si="809"/>
        <v>4.9110112636178984</v>
      </c>
      <c r="BY257" s="48">
        <f t="shared" si="810"/>
        <v>7.5629562380747215</v>
      </c>
      <c r="BZ257" s="48">
        <f t="shared" si="811"/>
        <v>7.6304056133440019</v>
      </c>
      <c r="CA257" s="48">
        <f t="shared" si="812"/>
        <v>34.773358158429247</v>
      </c>
      <c r="CB257" s="48">
        <f t="shared" si="813"/>
        <v>23.374352188096264</v>
      </c>
      <c r="CC257" s="48">
        <f t="shared" si="814"/>
        <v>5.7632424447590322</v>
      </c>
      <c r="CD257" s="47">
        <f t="shared" si="815"/>
        <v>214.27271804025358</v>
      </c>
      <c r="CE257" s="66">
        <v>4369680</v>
      </c>
      <c r="CF257" s="62">
        <v>67200</v>
      </c>
      <c r="CG257" s="74">
        <v>-332766</v>
      </c>
      <c r="CH257" s="75">
        <f t="shared" si="816"/>
        <v>4104114</v>
      </c>
      <c r="CI257" s="62">
        <f>136633+11200+30000</f>
        <v>177833</v>
      </c>
      <c r="CJ257" s="62">
        <v>164165</v>
      </c>
      <c r="CK257" s="62">
        <v>394367</v>
      </c>
      <c r="CL257" s="62">
        <f>193410</f>
        <v>193410</v>
      </c>
      <c r="CM257" s="62">
        <f>1078+63737+195580</f>
        <v>260395</v>
      </c>
      <c r="CN257" s="62">
        <v>203545</v>
      </c>
      <c r="CO257" s="62">
        <v>236718</v>
      </c>
      <c r="CP257" s="75">
        <f t="shared" si="626"/>
        <v>1630433</v>
      </c>
      <c r="CQ257" s="62">
        <v>84000</v>
      </c>
      <c r="CR257" s="75">
        <f t="shared" si="627"/>
        <v>1714433</v>
      </c>
      <c r="CS257" s="75">
        <f t="shared" si="817"/>
        <v>2473681</v>
      </c>
      <c r="CT257" s="62">
        <v>2029402</v>
      </c>
      <c r="CU257" s="47">
        <f t="shared" si="818"/>
        <v>444279</v>
      </c>
      <c r="CV257" s="76">
        <f t="shared" si="819"/>
        <v>0.60273203911977102</v>
      </c>
      <c r="CW257" s="75">
        <f t="shared" si="820"/>
        <v>6122.9750000000004</v>
      </c>
      <c r="CX257" s="77">
        <f t="shared" si="821"/>
        <v>0.41773522860232443</v>
      </c>
      <c r="CY257" s="75">
        <f t="shared" si="822"/>
        <v>1586.7107142857142</v>
      </c>
      <c r="CZ257" s="77">
        <f t="shared" si="823"/>
        <v>0.10825210995600999</v>
      </c>
      <c r="DA257" s="77">
        <f t="shared" si="824"/>
        <v>0.49447992916376104</v>
      </c>
      <c r="DB257" s="47">
        <f t="shared" si="825"/>
        <v>112882.14285714286</v>
      </c>
      <c r="DC257" s="69">
        <f t="shared" si="826"/>
        <v>15606</v>
      </c>
      <c r="DD257" s="70">
        <f t="shared" si="827"/>
        <v>240</v>
      </c>
      <c r="DE257" s="70">
        <f t="shared" si="828"/>
        <v>-1188.45</v>
      </c>
      <c r="DF257" s="70">
        <f t="shared" si="829"/>
        <v>14657.55</v>
      </c>
      <c r="DG257" s="70">
        <f t="shared" si="830"/>
        <v>635.11785714285713</v>
      </c>
      <c r="DH257" s="70">
        <f t="shared" si="831"/>
        <v>586.30357142857144</v>
      </c>
      <c r="DI257" s="70">
        <f t="shared" si="832"/>
        <v>1408.4535714285714</v>
      </c>
      <c r="DJ257" s="70">
        <f t="shared" si="833"/>
        <v>690.75</v>
      </c>
      <c r="DK257" s="70">
        <f t="shared" si="834"/>
        <v>929.98214285714289</v>
      </c>
      <c r="DL257" s="70">
        <f t="shared" si="835"/>
        <v>726.94642857142856</v>
      </c>
      <c r="DM257" s="70">
        <f t="shared" si="836"/>
        <v>845.42142857142858</v>
      </c>
      <c r="DN257" s="70">
        <f t="shared" si="837"/>
        <v>5822.9750000000004</v>
      </c>
      <c r="DO257" s="70">
        <f t="shared" si="838"/>
        <v>300</v>
      </c>
      <c r="DP257" s="70">
        <f t="shared" si="839"/>
        <v>6122.9750000000004</v>
      </c>
      <c r="DQ257" s="70">
        <f t="shared" si="840"/>
        <v>8834.5750000000007</v>
      </c>
      <c r="DR257" s="70">
        <f t="shared" si="841"/>
        <v>7247.8642857142859</v>
      </c>
      <c r="DS257" s="71">
        <f t="shared" si="842"/>
        <v>1586.7107142857142</v>
      </c>
      <c r="DT257" s="106">
        <f t="shared" si="843"/>
        <v>1.0647072669034048</v>
      </c>
      <c r="DU257" s="92">
        <f t="shared" si="844"/>
        <v>1.637381417767635E-2</v>
      </c>
      <c r="DV257" s="92" t="str">
        <f t="shared" si="845"/>
        <v/>
      </c>
      <c r="DW257" s="92">
        <f t="shared" si="846"/>
        <v>1</v>
      </c>
      <c r="DX257" s="92">
        <f t="shared" si="847"/>
        <v>4.3330424057421407E-2</v>
      </c>
      <c r="DY257" s="92">
        <f t="shared" si="848"/>
        <v>4.0000107209497593E-2</v>
      </c>
      <c r="DZ257" s="92">
        <f t="shared" si="849"/>
        <v>9.6090654401900136E-2</v>
      </c>
      <c r="EA257" s="92">
        <f t="shared" si="850"/>
        <v>4.7125883930124748E-2</v>
      </c>
      <c r="EB257" s="92">
        <f t="shared" si="851"/>
        <v>6.3447311648750504E-2</v>
      </c>
      <c r="EC257" s="92">
        <f t="shared" si="852"/>
        <v>4.9595357243975194E-2</v>
      </c>
      <c r="ED257" s="92">
        <f t="shared" si="853"/>
        <v>5.767822238855938E-2</v>
      </c>
      <c r="EE257" s="92">
        <f t="shared" si="854"/>
        <v>0.39726796088022898</v>
      </c>
      <c r="EF257" s="92">
        <f t="shared" si="855"/>
        <v>2.046726772209544E-2</v>
      </c>
      <c r="EG257" s="92">
        <f t="shared" si="856"/>
        <v>0.41773522860232443</v>
      </c>
      <c r="EH257" s="92">
        <f t="shared" si="857"/>
        <v>0.60273203911977102</v>
      </c>
      <c r="EI257" s="92">
        <f t="shared" si="858"/>
        <v>0.49447992916376104</v>
      </c>
      <c r="EJ257" s="122">
        <f t="shared" si="859"/>
        <v>0.10825210995600999</v>
      </c>
    </row>
    <row r="258" spans="2:140" ht="12" hidden="1" customHeight="1" outlineLevel="1">
      <c r="B258" s="121">
        <v>45567</v>
      </c>
      <c r="C258" s="117">
        <v>24476</v>
      </c>
      <c r="D258" s="50" t="s">
        <v>1263</v>
      </c>
      <c r="E258" s="50" t="s">
        <v>171</v>
      </c>
      <c r="F258" s="50" t="s">
        <v>163</v>
      </c>
      <c r="G258" s="50" t="s">
        <v>291</v>
      </c>
      <c r="H258" s="50" t="s">
        <v>259</v>
      </c>
      <c r="I258" s="50" t="s">
        <v>259</v>
      </c>
      <c r="J258" s="52" t="s">
        <v>405</v>
      </c>
      <c r="K258" s="50" t="s">
        <v>184</v>
      </c>
      <c r="L258" s="49">
        <v>9</v>
      </c>
      <c r="M258" s="50" t="s">
        <v>159</v>
      </c>
      <c r="N258" s="50" t="s">
        <v>160</v>
      </c>
      <c r="O258" s="50" t="s">
        <v>160</v>
      </c>
      <c r="P258" s="50" t="s">
        <v>177</v>
      </c>
      <c r="Q258" s="53">
        <v>0.04</v>
      </c>
      <c r="R258" s="49">
        <v>336</v>
      </c>
      <c r="S258" s="49">
        <v>0</v>
      </c>
      <c r="T258" s="54">
        <f t="shared" ref="T258:T322" si="860">IFERROR(IF(SUM(R258:S258)&gt;0,SUM(R258:S258),""),"")</f>
        <v>336</v>
      </c>
      <c r="U258" s="55">
        <v>338364</v>
      </c>
      <c r="V258" s="49">
        <v>17.8</v>
      </c>
      <c r="W258" s="56">
        <f t="shared" si="784"/>
        <v>18.876404494382022</v>
      </c>
      <c r="X258" s="49" t="s">
        <v>163</v>
      </c>
      <c r="Y258" s="57" t="s">
        <v>162</v>
      </c>
      <c r="Z258" s="58">
        <v>61925000</v>
      </c>
      <c r="AA258" s="114">
        <f>(((40000000*0.0585)/(Table1[[#This Row],[Construction Loan Principal]]))+((21925000*0.067)/(Table1[[#This Row],[Construction Loan Principal]])))</f>
        <v>6.1509487283003636E-2</v>
      </c>
      <c r="AB258" s="59">
        <v>17</v>
      </c>
      <c r="AC258" s="60">
        <v>40</v>
      </c>
      <c r="AD258" s="61">
        <v>5.8500000000000003E-2</v>
      </c>
      <c r="AE258" s="62">
        <v>40000000</v>
      </c>
      <c r="AF258" s="63">
        <v>1.22</v>
      </c>
      <c r="AG258" s="59">
        <v>17</v>
      </c>
      <c r="AH258" s="60">
        <v>40</v>
      </c>
      <c r="AI258" s="61">
        <v>6.7000000000000004E-2</v>
      </c>
      <c r="AJ258" s="64">
        <v>2125000</v>
      </c>
      <c r="AK258" s="65">
        <f t="shared" si="785"/>
        <v>42125000</v>
      </c>
      <c r="AL258" s="66">
        <v>603525</v>
      </c>
      <c r="AM258" s="49" t="s">
        <v>1264</v>
      </c>
      <c r="AN258" s="67">
        <v>0.86</v>
      </c>
      <c r="AO258" s="62">
        <v>31135098</v>
      </c>
      <c r="AP258" s="62">
        <v>4725000</v>
      </c>
      <c r="AQ258" s="68">
        <v>6837526</v>
      </c>
      <c r="AR258" s="69">
        <f t="shared" si="786"/>
        <v>125372.02380952382</v>
      </c>
      <c r="AS258" s="70">
        <f t="shared" si="787"/>
        <v>1796.2053571428571</v>
      </c>
      <c r="AT258" s="70">
        <f t="shared" si="788"/>
        <v>92663.982142857145</v>
      </c>
      <c r="AU258" s="70">
        <f t="shared" si="789"/>
        <v>14062.5</v>
      </c>
      <c r="AV258" s="71">
        <f t="shared" si="790"/>
        <v>20349.779761904763</v>
      </c>
      <c r="AW258" s="115">
        <f t="shared" si="791"/>
        <v>118960.31845238095</v>
      </c>
      <c r="AX258" s="116">
        <f t="shared" si="792"/>
        <v>118.12919518624913</v>
      </c>
      <c r="AY258" s="72">
        <f t="shared" si="793"/>
        <v>142141.93154761905</v>
      </c>
      <c r="AZ258" s="73">
        <f t="shared" si="794"/>
        <v>141.14884857727182</v>
      </c>
      <c r="BA258" s="66">
        <v>3179170</v>
      </c>
      <c r="BB258" s="62">
        <v>8489749</v>
      </c>
      <c r="BC258" s="62">
        <v>31480918</v>
      </c>
      <c r="BD258" s="62">
        <v>2248534</v>
      </c>
      <c r="BE258" s="62">
        <v>5540488</v>
      </c>
      <c r="BF258" s="62">
        <v>6974200</v>
      </c>
      <c r="BG258" s="62">
        <v>16310068</v>
      </c>
      <c r="BH258" s="62">
        <v>9082000</v>
      </c>
      <c r="BI258" s="62">
        <v>2188180</v>
      </c>
      <c r="BJ258" s="47">
        <f t="shared" si="795"/>
        <v>85493307</v>
      </c>
      <c r="BK258" s="69">
        <f t="shared" si="796"/>
        <v>9461.8154761904771</v>
      </c>
      <c r="BL258" s="70">
        <f t="shared" si="797"/>
        <v>25267.110119047618</v>
      </c>
      <c r="BM258" s="70">
        <f t="shared" si="798"/>
        <v>93693.208333333328</v>
      </c>
      <c r="BN258" s="70">
        <f t="shared" si="799"/>
        <v>6692.0654761904761</v>
      </c>
      <c r="BO258" s="70">
        <f t="shared" si="800"/>
        <v>16489.547619047618</v>
      </c>
      <c r="BP258" s="70">
        <f t="shared" si="801"/>
        <v>20756.547619047618</v>
      </c>
      <c r="BQ258" s="70">
        <f t="shared" si="802"/>
        <v>48541.869047619046</v>
      </c>
      <c r="BR258" s="70">
        <f t="shared" si="803"/>
        <v>27029.761904761905</v>
      </c>
      <c r="BS258" s="70">
        <f t="shared" si="804"/>
        <v>6512.4404761904761</v>
      </c>
      <c r="BT258" s="71">
        <f t="shared" si="805"/>
        <v>254444.36607142858</v>
      </c>
      <c r="BU258" s="65">
        <f t="shared" si="806"/>
        <v>9.3957099455024764</v>
      </c>
      <c r="BV258" s="48">
        <f t="shared" si="807"/>
        <v>25.090579967135984</v>
      </c>
      <c r="BW258" s="48">
        <f t="shared" si="808"/>
        <v>93.03861521911314</v>
      </c>
      <c r="BX258" s="48">
        <f t="shared" si="809"/>
        <v>6.6453109668877302</v>
      </c>
      <c r="BY258" s="48">
        <f t="shared" si="810"/>
        <v>16.374342424134955</v>
      </c>
      <c r="BZ258" s="48">
        <f t="shared" si="811"/>
        <v>20.61153077750588</v>
      </c>
      <c r="CA258" s="48">
        <f t="shared" si="812"/>
        <v>48.202728422645436</v>
      </c>
      <c r="CB258" s="48">
        <f t="shared" si="813"/>
        <v>26.84091688241066</v>
      </c>
      <c r="CC258" s="48">
        <f t="shared" si="814"/>
        <v>6.4669409275218408</v>
      </c>
      <c r="CD258" s="47">
        <f t="shared" si="815"/>
        <v>252.66667553285811</v>
      </c>
      <c r="CE258" s="66">
        <v>5281920</v>
      </c>
      <c r="CF258" s="62">
        <v>80640</v>
      </c>
      <c r="CG258" s="74">
        <v>-402192</v>
      </c>
      <c r="CH258" s="75">
        <f t="shared" si="816"/>
        <v>4960368</v>
      </c>
      <c r="CI258" s="62">
        <f>134400+33600+13440+7500+28700</f>
        <v>217640</v>
      </c>
      <c r="CJ258" s="62">
        <v>198415</v>
      </c>
      <c r="CK258" s="62">
        <v>522816</v>
      </c>
      <c r="CL258" s="62">
        <v>315060</v>
      </c>
      <c r="CM258" s="62">
        <f>47712+86688</f>
        <v>134400</v>
      </c>
      <c r="CN258" s="62">
        <v>315840</v>
      </c>
      <c r="CO258" s="62">
        <v>0</v>
      </c>
      <c r="CP258" s="75">
        <f t="shared" ref="CP258:CP322" si="861">IFERROR(IF(SUM(CI258:CO258)&gt;0,SUM(CI258:CO258),""),"")</f>
        <v>1704171</v>
      </c>
      <c r="CQ258" s="62">
        <v>84000</v>
      </c>
      <c r="CR258" s="75">
        <f t="shared" ref="CR258:CR322" si="862">IFERROR(IF(SUM(CP258:CQ258)&gt;0,SUM(CP258:CQ258),""),"")</f>
        <v>1788171</v>
      </c>
      <c r="CS258" s="75">
        <f t="shared" si="817"/>
        <v>3256197</v>
      </c>
      <c r="CT258" s="62">
        <f>2591009+152939</f>
        <v>2743948</v>
      </c>
      <c r="CU258" s="47">
        <f t="shared" si="818"/>
        <v>512249</v>
      </c>
      <c r="CV258" s="76">
        <f t="shared" si="819"/>
        <v>0.65644262683736365</v>
      </c>
      <c r="CW258" s="75">
        <f t="shared" si="820"/>
        <v>5321.9375</v>
      </c>
      <c r="CX258" s="77">
        <f t="shared" si="821"/>
        <v>0.36049160062317959</v>
      </c>
      <c r="CY258" s="75">
        <f t="shared" si="822"/>
        <v>1524.5505952380952</v>
      </c>
      <c r="CZ258" s="77">
        <f t="shared" si="823"/>
        <v>0.10326834621947403</v>
      </c>
      <c r="DA258" s="77">
        <f t="shared" si="824"/>
        <v>0.55317428061788965</v>
      </c>
      <c r="DB258" s="47">
        <f t="shared" si="825"/>
        <v>125372.02380952382</v>
      </c>
      <c r="DC258" s="69">
        <f t="shared" si="826"/>
        <v>15720</v>
      </c>
      <c r="DD258" s="70">
        <f t="shared" si="827"/>
        <v>240</v>
      </c>
      <c r="DE258" s="70">
        <f t="shared" si="828"/>
        <v>-1197</v>
      </c>
      <c r="DF258" s="70">
        <f t="shared" si="829"/>
        <v>14763</v>
      </c>
      <c r="DG258" s="70">
        <f t="shared" si="830"/>
        <v>647.73809523809518</v>
      </c>
      <c r="DH258" s="70">
        <f t="shared" si="831"/>
        <v>590.52083333333337</v>
      </c>
      <c r="DI258" s="70">
        <f t="shared" si="832"/>
        <v>1556</v>
      </c>
      <c r="DJ258" s="70">
        <f t="shared" si="833"/>
        <v>937.67857142857144</v>
      </c>
      <c r="DK258" s="70">
        <f t="shared" si="834"/>
        <v>400</v>
      </c>
      <c r="DL258" s="70">
        <f t="shared" si="835"/>
        <v>940</v>
      </c>
      <c r="DM258" s="70" t="str">
        <f t="shared" si="836"/>
        <v/>
      </c>
      <c r="DN258" s="70">
        <f t="shared" si="837"/>
        <v>5071.9375</v>
      </c>
      <c r="DO258" s="70">
        <f t="shared" si="838"/>
        <v>250</v>
      </c>
      <c r="DP258" s="70">
        <f t="shared" si="839"/>
        <v>5321.9375</v>
      </c>
      <c r="DQ258" s="70">
        <f t="shared" si="840"/>
        <v>9691.0625</v>
      </c>
      <c r="DR258" s="70">
        <f t="shared" si="841"/>
        <v>8166.5119047619046</v>
      </c>
      <c r="DS258" s="71">
        <f t="shared" si="842"/>
        <v>1524.5505952380952</v>
      </c>
      <c r="DT258" s="106">
        <f t="shared" si="843"/>
        <v>1.0648242227189595</v>
      </c>
      <c r="DU258" s="92">
        <f t="shared" si="844"/>
        <v>1.6256858362121519E-2</v>
      </c>
      <c r="DV258" s="92" t="str">
        <f t="shared" si="845"/>
        <v/>
      </c>
      <c r="DW258" s="92">
        <f t="shared" si="846"/>
        <v>1</v>
      </c>
      <c r="DX258" s="92">
        <f t="shared" si="847"/>
        <v>4.3875776958483728E-2</v>
      </c>
      <c r="DY258" s="92">
        <f t="shared" si="848"/>
        <v>4.0000056447424867E-2</v>
      </c>
      <c r="DZ258" s="92">
        <f t="shared" si="849"/>
        <v>0.10539863171442118</v>
      </c>
      <c r="EA258" s="92">
        <f t="shared" si="850"/>
        <v>6.3515448853794718E-2</v>
      </c>
      <c r="EB258" s="92">
        <f t="shared" si="851"/>
        <v>2.7094763936869201E-2</v>
      </c>
      <c r="EC258" s="92">
        <f t="shared" si="852"/>
        <v>6.3672695251642625E-2</v>
      </c>
      <c r="ED258" s="92" t="str">
        <f t="shared" si="853"/>
        <v/>
      </c>
      <c r="EE258" s="92">
        <f t="shared" si="854"/>
        <v>0.34355737316263635</v>
      </c>
      <c r="EF258" s="92">
        <f t="shared" si="855"/>
        <v>1.6934227460543249E-2</v>
      </c>
      <c r="EG258" s="92">
        <f t="shared" si="856"/>
        <v>0.36049160062317959</v>
      </c>
      <c r="EH258" s="92">
        <f t="shared" si="857"/>
        <v>0.65644262683736365</v>
      </c>
      <c r="EI258" s="92">
        <f t="shared" si="858"/>
        <v>0.55317428061788965</v>
      </c>
      <c r="EJ258" s="122">
        <f t="shared" si="859"/>
        <v>0.10326834621947403</v>
      </c>
    </row>
    <row r="259" spans="2:140" ht="12" hidden="1" customHeight="1" outlineLevel="1">
      <c r="B259" s="121">
        <v>45574</v>
      </c>
      <c r="C259" s="117">
        <v>24483</v>
      </c>
      <c r="D259" s="50" t="s">
        <v>1265</v>
      </c>
      <c r="E259" s="50" t="s">
        <v>1266</v>
      </c>
      <c r="F259" s="50" t="s">
        <v>1267</v>
      </c>
      <c r="G259" s="50" t="s">
        <v>1268</v>
      </c>
      <c r="H259" s="50" t="s">
        <v>651</v>
      </c>
      <c r="I259" s="50" t="s">
        <v>652</v>
      </c>
      <c r="J259" s="52" t="s">
        <v>1269</v>
      </c>
      <c r="K259" s="50" t="s">
        <v>294</v>
      </c>
      <c r="L259" s="49">
        <v>7</v>
      </c>
      <c r="M259" s="50" t="s">
        <v>159</v>
      </c>
      <c r="N259" s="50" t="s">
        <v>160</v>
      </c>
      <c r="O259" s="50" t="s">
        <v>160</v>
      </c>
      <c r="P259" s="50" t="s">
        <v>177</v>
      </c>
      <c r="Q259" s="53">
        <v>0.04</v>
      </c>
      <c r="R259" s="49">
        <v>387</v>
      </c>
      <c r="S259" s="49">
        <v>3</v>
      </c>
      <c r="T259" s="54">
        <f t="shared" si="860"/>
        <v>390</v>
      </c>
      <c r="U259" s="55">
        <v>382374</v>
      </c>
      <c r="V259" s="49">
        <v>19.03</v>
      </c>
      <c r="W259" s="56">
        <f t="shared" si="784"/>
        <v>20.493956910141879</v>
      </c>
      <c r="X259" s="49" t="s">
        <v>163</v>
      </c>
      <c r="Y259" s="57" t="s">
        <v>162</v>
      </c>
      <c r="Z259" s="58">
        <v>78688606</v>
      </c>
      <c r="AA259" s="114">
        <f>(((50000000*0.0611)/(Table1[[#This Row],[Construction Loan Principal]]))+((28688606*0.0805)/(Table1[[#This Row],[Construction Loan Principal]])))</f>
        <v>6.8172929420048448E-2</v>
      </c>
      <c r="AB259" s="59">
        <v>19</v>
      </c>
      <c r="AC259" s="60">
        <v>40</v>
      </c>
      <c r="AD259" s="61">
        <v>6.1100000000000002E-2</v>
      </c>
      <c r="AE259" s="62">
        <v>50000000</v>
      </c>
      <c r="AF259" s="63">
        <v>1.47</v>
      </c>
      <c r="AG259" s="59">
        <v>19</v>
      </c>
      <c r="AH259" s="60">
        <v>40</v>
      </c>
      <c r="AI259" s="61">
        <v>6.9099999999999995E-2</v>
      </c>
      <c r="AJ259" s="64">
        <v>12337145</v>
      </c>
      <c r="AK259" s="65">
        <f t="shared" si="785"/>
        <v>62337145</v>
      </c>
      <c r="AL259" s="66">
        <v>0</v>
      </c>
      <c r="AM259" s="49" t="s">
        <v>163</v>
      </c>
      <c r="AN259" s="67">
        <v>0.85</v>
      </c>
      <c r="AO259" s="62">
        <v>30747001</v>
      </c>
      <c r="AP259" s="62">
        <v>0</v>
      </c>
      <c r="AQ259" s="68">
        <v>8684214</v>
      </c>
      <c r="AR259" s="69">
        <f t="shared" si="786"/>
        <v>159838.83333333334</v>
      </c>
      <c r="AS259" s="70" t="str">
        <f t="shared" si="787"/>
        <v/>
      </c>
      <c r="AT259" s="70">
        <f t="shared" si="788"/>
        <v>78838.464102564103</v>
      </c>
      <c r="AU259" s="70" t="str">
        <f t="shared" si="789"/>
        <v/>
      </c>
      <c r="AV259" s="71">
        <f t="shared" si="790"/>
        <v>22267.215384615385</v>
      </c>
      <c r="AW259" s="115">
        <f t="shared" si="791"/>
        <v>140858.34871794871</v>
      </c>
      <c r="AX259" s="116">
        <f t="shared" si="792"/>
        <v>143.66760292279287</v>
      </c>
      <c r="AY259" s="72">
        <f t="shared" si="793"/>
        <v>169703.06923076924</v>
      </c>
      <c r="AZ259" s="73">
        <f t="shared" si="794"/>
        <v>173.08759748309248</v>
      </c>
      <c r="BA259" s="66">
        <v>3553073</v>
      </c>
      <c r="BB259" s="62">
        <v>9609101</v>
      </c>
      <c r="BC259" s="62">
        <v>45325655</v>
      </c>
      <c r="BD259" s="62">
        <v>3555028</v>
      </c>
      <c r="BE259" s="62">
        <v>7694413</v>
      </c>
      <c r="BF259" s="62">
        <v>5081524</v>
      </c>
      <c r="BG259" s="62">
        <v>15093914</v>
      </c>
      <c r="BH259" s="62">
        <v>11798986</v>
      </c>
      <c r="BI259" s="62">
        <v>3271606</v>
      </c>
      <c r="BJ259" s="47">
        <f t="shared" si="795"/>
        <v>104983300</v>
      </c>
      <c r="BK259" s="69">
        <f t="shared" si="796"/>
        <v>9110.4435897435906</v>
      </c>
      <c r="BL259" s="70">
        <f t="shared" si="797"/>
        <v>24638.720512820513</v>
      </c>
      <c r="BM259" s="70">
        <f t="shared" si="798"/>
        <v>116219.6282051282</v>
      </c>
      <c r="BN259" s="70">
        <f t="shared" si="799"/>
        <v>9115.4564102564109</v>
      </c>
      <c r="BO259" s="70">
        <f t="shared" si="800"/>
        <v>19729.264102564102</v>
      </c>
      <c r="BP259" s="70">
        <f t="shared" si="801"/>
        <v>13029.548717948717</v>
      </c>
      <c r="BQ259" s="70">
        <f t="shared" si="802"/>
        <v>38702.343589743592</v>
      </c>
      <c r="BR259" s="70">
        <f t="shared" si="803"/>
        <v>30253.810256410256</v>
      </c>
      <c r="BS259" s="70">
        <f t="shared" si="804"/>
        <v>8388.7333333333336</v>
      </c>
      <c r="BT259" s="71">
        <f t="shared" si="805"/>
        <v>269187.94871794869</v>
      </c>
      <c r="BU259" s="65">
        <f t="shared" si="806"/>
        <v>9.2921406790210632</v>
      </c>
      <c r="BV259" s="48">
        <f t="shared" si="807"/>
        <v>25.130110833895611</v>
      </c>
      <c r="BW259" s="48">
        <f t="shared" si="808"/>
        <v>118.53749208889725</v>
      </c>
      <c r="BX259" s="48">
        <f t="shared" si="809"/>
        <v>9.2972534743471051</v>
      </c>
      <c r="BY259" s="48">
        <f t="shared" si="810"/>
        <v>20.122741085952498</v>
      </c>
      <c r="BZ259" s="48">
        <f t="shared" si="811"/>
        <v>13.289407752619164</v>
      </c>
      <c r="CA259" s="48">
        <f t="shared" si="812"/>
        <v>39.474216343161409</v>
      </c>
      <c r="CB259" s="48">
        <f t="shared" si="813"/>
        <v>30.857186942626853</v>
      </c>
      <c r="CC259" s="48">
        <f t="shared" si="814"/>
        <v>8.5560367598215361</v>
      </c>
      <c r="CD259" s="47">
        <f t="shared" si="815"/>
        <v>274.55658596034249</v>
      </c>
      <c r="CE259" s="66">
        <v>7685952</v>
      </c>
      <c r="CF259" s="62">
        <v>140400</v>
      </c>
      <c r="CG259" s="74">
        <v>-586976</v>
      </c>
      <c r="CH259" s="75">
        <f t="shared" si="816"/>
        <v>7239376</v>
      </c>
      <c r="CI259" s="62">
        <f>156871+46800+15480+5500</f>
        <v>224651</v>
      </c>
      <c r="CJ259" s="62">
        <v>251198</v>
      </c>
      <c r="CK259" s="62">
        <v>694590</v>
      </c>
      <c r="CL259" s="62">
        <v>75000</v>
      </c>
      <c r="CM259" s="62">
        <f>65520+408720+1655</f>
        <v>475895</v>
      </c>
      <c r="CN259" s="62">
        <v>448500</v>
      </c>
      <c r="CO259" s="62">
        <v>0</v>
      </c>
      <c r="CP259" s="75">
        <f t="shared" si="861"/>
        <v>2169834</v>
      </c>
      <c r="CQ259" s="62">
        <v>97500</v>
      </c>
      <c r="CR259" s="75">
        <f t="shared" si="862"/>
        <v>2267334</v>
      </c>
      <c r="CS259" s="75">
        <f t="shared" si="817"/>
        <v>5069542</v>
      </c>
      <c r="CT259" s="62">
        <f>3347406+910341</f>
        <v>4257747</v>
      </c>
      <c r="CU259" s="47">
        <f t="shared" si="818"/>
        <v>811795</v>
      </c>
      <c r="CV259" s="76">
        <f t="shared" si="819"/>
        <v>0.70027333847558138</v>
      </c>
      <c r="CW259" s="75">
        <f t="shared" si="820"/>
        <v>5813.6769230769232</v>
      </c>
      <c r="CX259" s="77">
        <f t="shared" si="821"/>
        <v>0.31319467313204896</v>
      </c>
      <c r="CY259" s="75">
        <f t="shared" si="822"/>
        <v>2081.5256410256411</v>
      </c>
      <c r="CZ259" s="77">
        <f t="shared" si="823"/>
        <v>0.1121360459796535</v>
      </c>
      <c r="DA259" s="77">
        <f t="shared" si="824"/>
        <v>0.58813729249592783</v>
      </c>
      <c r="DB259" s="47">
        <f t="shared" si="825"/>
        <v>159838.83333333334</v>
      </c>
      <c r="DC259" s="69">
        <f t="shared" si="826"/>
        <v>19707.56923076923</v>
      </c>
      <c r="DD259" s="70">
        <f t="shared" si="827"/>
        <v>360</v>
      </c>
      <c r="DE259" s="70">
        <f t="shared" si="828"/>
        <v>-1505.0666666666666</v>
      </c>
      <c r="DF259" s="70">
        <f t="shared" si="829"/>
        <v>18562.502564102564</v>
      </c>
      <c r="DG259" s="70">
        <f t="shared" si="830"/>
        <v>576.02820512820517</v>
      </c>
      <c r="DH259" s="70">
        <f t="shared" si="831"/>
        <v>644.09743589743584</v>
      </c>
      <c r="DI259" s="70">
        <f t="shared" si="832"/>
        <v>1781</v>
      </c>
      <c r="DJ259" s="70">
        <f t="shared" si="833"/>
        <v>192.30769230769232</v>
      </c>
      <c r="DK259" s="70">
        <f t="shared" si="834"/>
        <v>1220.2435897435898</v>
      </c>
      <c r="DL259" s="70">
        <f t="shared" si="835"/>
        <v>1150</v>
      </c>
      <c r="DM259" s="70" t="str">
        <f t="shared" si="836"/>
        <v/>
      </c>
      <c r="DN259" s="70">
        <f t="shared" si="837"/>
        <v>5563.6769230769232</v>
      </c>
      <c r="DO259" s="70">
        <f t="shared" si="838"/>
        <v>250</v>
      </c>
      <c r="DP259" s="70">
        <f t="shared" si="839"/>
        <v>5813.6769230769232</v>
      </c>
      <c r="DQ259" s="70">
        <f t="shared" si="840"/>
        <v>12998.825641025642</v>
      </c>
      <c r="DR259" s="70">
        <f t="shared" si="841"/>
        <v>10917.3</v>
      </c>
      <c r="DS259" s="71">
        <f t="shared" si="842"/>
        <v>2081.5256410256411</v>
      </c>
      <c r="DT259" s="106">
        <f t="shared" si="843"/>
        <v>1.0616870846327087</v>
      </c>
      <c r="DU259" s="92">
        <f t="shared" si="844"/>
        <v>1.939393671498759E-2</v>
      </c>
      <c r="DV259" s="92" t="str">
        <f t="shared" si="845"/>
        <v/>
      </c>
      <c r="DW259" s="92">
        <f t="shared" si="846"/>
        <v>1</v>
      </c>
      <c r="DX259" s="92">
        <f t="shared" si="847"/>
        <v>3.1031818211956389E-2</v>
      </c>
      <c r="DY259" s="92">
        <f t="shared" si="848"/>
        <v>3.4698846972446247E-2</v>
      </c>
      <c r="DZ259" s="92">
        <f t="shared" si="849"/>
        <v>9.5946114692758044E-2</v>
      </c>
      <c r="EA259" s="92">
        <f t="shared" si="850"/>
        <v>1.0360008928946363E-2</v>
      </c>
      <c r="EB259" s="92">
        <f t="shared" si="851"/>
        <v>6.5737019323212381E-2</v>
      </c>
      <c r="EC259" s="92">
        <f t="shared" si="852"/>
        <v>6.1952853395099247E-2</v>
      </c>
      <c r="ED259" s="92" t="str">
        <f t="shared" si="853"/>
        <v/>
      </c>
      <c r="EE259" s="92">
        <f t="shared" si="854"/>
        <v>0.29972666152441868</v>
      </c>
      <c r="EF259" s="92">
        <f t="shared" si="855"/>
        <v>1.3468011607630271E-2</v>
      </c>
      <c r="EG259" s="92">
        <f t="shared" si="856"/>
        <v>0.31319467313204896</v>
      </c>
      <c r="EH259" s="92">
        <f t="shared" si="857"/>
        <v>0.70027333847558138</v>
      </c>
      <c r="EI259" s="92">
        <f t="shared" si="858"/>
        <v>0.58813729249592783</v>
      </c>
      <c r="EJ259" s="122">
        <f t="shared" si="859"/>
        <v>0.1121360459796535</v>
      </c>
    </row>
    <row r="260" spans="2:140" ht="12" hidden="1" customHeight="1" outlineLevel="1">
      <c r="B260" s="121">
        <v>45941</v>
      </c>
      <c r="C260" s="117">
        <v>24479</v>
      </c>
      <c r="D260" s="50" t="s">
        <v>1270</v>
      </c>
      <c r="E260" s="50" t="s">
        <v>1271</v>
      </c>
      <c r="F260" s="50" t="s">
        <v>1272</v>
      </c>
      <c r="G260" s="50" t="s">
        <v>291</v>
      </c>
      <c r="H260" s="50" t="s">
        <v>852</v>
      </c>
      <c r="I260" s="50" t="s">
        <v>852</v>
      </c>
      <c r="J260" s="52" t="s">
        <v>609</v>
      </c>
      <c r="K260" s="50" t="s">
        <v>610</v>
      </c>
      <c r="L260" s="49">
        <v>8</v>
      </c>
      <c r="M260" s="50" t="s">
        <v>159</v>
      </c>
      <c r="N260" s="50" t="s">
        <v>244</v>
      </c>
      <c r="O260" s="50" t="s">
        <v>160</v>
      </c>
      <c r="P260" s="50" t="s">
        <v>177</v>
      </c>
      <c r="Q260" s="53">
        <v>0.04</v>
      </c>
      <c r="R260" s="49">
        <v>186</v>
      </c>
      <c r="S260" s="49">
        <v>0</v>
      </c>
      <c r="T260" s="54">
        <f t="shared" si="860"/>
        <v>186</v>
      </c>
      <c r="U260" s="55">
        <v>146071</v>
      </c>
      <c r="V260" s="49">
        <v>18.78</v>
      </c>
      <c r="W260" s="56">
        <f t="shared" si="784"/>
        <v>9.9041533546325873</v>
      </c>
      <c r="X260" s="49" t="s">
        <v>163</v>
      </c>
      <c r="Y260" s="57" t="s">
        <v>162</v>
      </c>
      <c r="Z260" s="58">
        <v>17400000</v>
      </c>
      <c r="AA260" s="114">
        <v>6.6500000000000004E-2</v>
      </c>
      <c r="AB260" s="59">
        <v>17</v>
      </c>
      <c r="AC260" s="60">
        <v>40</v>
      </c>
      <c r="AD260" s="61">
        <v>6.5000000000000002E-2</v>
      </c>
      <c r="AE260" s="62">
        <v>13500000</v>
      </c>
      <c r="AF260" s="63">
        <v>1.1499999999999999</v>
      </c>
      <c r="AG260" s="59"/>
      <c r="AH260" s="60"/>
      <c r="AI260" s="61"/>
      <c r="AJ260" s="64"/>
      <c r="AK260" s="65">
        <f t="shared" si="785"/>
        <v>13500000</v>
      </c>
      <c r="AL260" s="66">
        <v>0</v>
      </c>
      <c r="AM260" s="49" t="s">
        <v>163</v>
      </c>
      <c r="AN260" s="67">
        <v>0.87</v>
      </c>
      <c r="AO260" s="62">
        <v>7675662</v>
      </c>
      <c r="AP260" s="62">
        <v>742400</v>
      </c>
      <c r="AQ260" s="68">
        <v>2200891</v>
      </c>
      <c r="AR260" s="69">
        <f t="shared" si="786"/>
        <v>72580.645161290318</v>
      </c>
      <c r="AS260" s="70" t="str">
        <f t="shared" si="787"/>
        <v/>
      </c>
      <c r="AT260" s="70">
        <f t="shared" si="788"/>
        <v>41267</v>
      </c>
      <c r="AU260" s="70">
        <f t="shared" si="789"/>
        <v>3991.3978494623657</v>
      </c>
      <c r="AV260" s="71">
        <f t="shared" si="790"/>
        <v>11832.747311827958</v>
      </c>
      <c r="AW260" s="115">
        <f t="shared" si="791"/>
        <v>76598.752688172041</v>
      </c>
      <c r="AX260" s="116">
        <f t="shared" si="792"/>
        <v>97.5372798159799</v>
      </c>
      <c r="AY260" s="72">
        <f t="shared" si="793"/>
        <v>88679.580645161273</v>
      </c>
      <c r="AZ260" s="73">
        <f t="shared" si="794"/>
        <v>112.92044279836519</v>
      </c>
      <c r="BA260" s="66">
        <v>1900000</v>
      </c>
      <c r="BB260" s="62">
        <v>2829260</v>
      </c>
      <c r="BC260" s="62">
        <v>11418108</v>
      </c>
      <c r="BD260" s="62">
        <v>558042</v>
      </c>
      <c r="BE260" s="62">
        <v>1688992</v>
      </c>
      <c r="BF260" s="62">
        <v>780225</v>
      </c>
      <c r="BG260" s="62">
        <v>2895388</v>
      </c>
      <c r="BH260" s="62">
        <v>2704000</v>
      </c>
      <c r="BI260" s="62">
        <v>557438</v>
      </c>
      <c r="BJ260" s="47">
        <f t="shared" si="795"/>
        <v>25331453</v>
      </c>
      <c r="BK260" s="69">
        <f t="shared" si="796"/>
        <v>10215.053763440861</v>
      </c>
      <c r="BL260" s="70">
        <f t="shared" si="797"/>
        <v>15211.075268817205</v>
      </c>
      <c r="BM260" s="70">
        <f t="shared" si="798"/>
        <v>61387.677419354841</v>
      </c>
      <c r="BN260" s="70">
        <f t="shared" si="799"/>
        <v>3000.2258064516127</v>
      </c>
      <c r="BO260" s="70">
        <f t="shared" si="800"/>
        <v>9080.6021505376339</v>
      </c>
      <c r="BP260" s="70">
        <f t="shared" si="801"/>
        <v>4194.7580645161288</v>
      </c>
      <c r="BQ260" s="70">
        <f t="shared" si="802"/>
        <v>15566.602150537634</v>
      </c>
      <c r="BR260" s="70">
        <f t="shared" si="803"/>
        <v>14537.634408602151</v>
      </c>
      <c r="BS260" s="70">
        <f t="shared" si="804"/>
        <v>2996.9784946236559</v>
      </c>
      <c r="BT260" s="71">
        <f t="shared" si="805"/>
        <v>136190.60752688171</v>
      </c>
      <c r="BU260" s="65">
        <f t="shared" si="806"/>
        <v>13.007373126767121</v>
      </c>
      <c r="BV260" s="48">
        <f t="shared" si="807"/>
        <v>19.369073943493234</v>
      </c>
      <c r="BW260" s="48">
        <f t="shared" si="808"/>
        <v>78.168205872486666</v>
      </c>
      <c r="BX260" s="48">
        <f t="shared" si="809"/>
        <v>3.8203476391617777</v>
      </c>
      <c r="BY260" s="48">
        <f t="shared" si="810"/>
        <v>11.562815343223502</v>
      </c>
      <c r="BZ260" s="48">
        <f t="shared" si="811"/>
        <v>5.3414093146483559</v>
      </c>
      <c r="CA260" s="48">
        <f t="shared" si="812"/>
        <v>19.821785296191578</v>
      </c>
      <c r="CB260" s="48">
        <f t="shared" si="813"/>
        <v>18.511545755146471</v>
      </c>
      <c r="CC260" s="48">
        <f t="shared" si="814"/>
        <v>3.8162126637046367</v>
      </c>
      <c r="CD260" s="47">
        <f t="shared" si="815"/>
        <v>173.41876895482335</v>
      </c>
      <c r="CE260" s="66">
        <v>1915056</v>
      </c>
      <c r="CF260" s="62">
        <v>66960</v>
      </c>
      <c r="CG260" s="74">
        <v>-148651</v>
      </c>
      <c r="CH260" s="75">
        <f t="shared" si="816"/>
        <v>1833365</v>
      </c>
      <c r="CI260" s="62">
        <f>59300+7440+5000</f>
        <v>71740</v>
      </c>
      <c r="CJ260" s="62">
        <v>73335</v>
      </c>
      <c r="CK260" s="62">
        <v>167500</v>
      </c>
      <c r="CL260" s="62">
        <v>141552</v>
      </c>
      <c r="CM260" s="62">
        <f>38088+40548</f>
        <v>78636</v>
      </c>
      <c r="CN260" s="62">
        <v>144610</v>
      </c>
      <c r="CO260" s="62">
        <v>0</v>
      </c>
      <c r="CP260" s="75">
        <f t="shared" si="861"/>
        <v>677373</v>
      </c>
      <c r="CQ260" s="62">
        <v>46500</v>
      </c>
      <c r="CR260" s="75">
        <f t="shared" si="862"/>
        <v>723873</v>
      </c>
      <c r="CS260" s="75">
        <f t="shared" si="817"/>
        <v>1155992</v>
      </c>
      <c r="CT260" s="62">
        <v>962240</v>
      </c>
      <c r="CU260" s="47">
        <f t="shared" si="818"/>
        <v>193752</v>
      </c>
      <c r="CV260" s="76">
        <f t="shared" si="819"/>
        <v>0.63053019993291026</v>
      </c>
      <c r="CW260" s="75">
        <f t="shared" si="820"/>
        <v>3891.7903225806454</v>
      </c>
      <c r="CX260" s="77">
        <f t="shared" si="821"/>
        <v>0.39483299833911961</v>
      </c>
      <c r="CY260" s="75">
        <f t="shared" si="822"/>
        <v>1041.6774193548388</v>
      </c>
      <c r="CZ260" s="77">
        <f t="shared" si="823"/>
        <v>0.10568108369037262</v>
      </c>
      <c r="DA260" s="77">
        <f t="shared" si="824"/>
        <v>0.52484911624253761</v>
      </c>
      <c r="DB260" s="47">
        <f t="shared" si="825"/>
        <v>72580.645161290318</v>
      </c>
      <c r="DC260" s="69">
        <f t="shared" si="826"/>
        <v>10296</v>
      </c>
      <c r="DD260" s="70">
        <f t="shared" si="827"/>
        <v>360</v>
      </c>
      <c r="DE260" s="70">
        <f t="shared" si="828"/>
        <v>-799.19892473118284</v>
      </c>
      <c r="DF260" s="70">
        <f t="shared" si="829"/>
        <v>9856.8010752688169</v>
      </c>
      <c r="DG260" s="70">
        <f t="shared" si="830"/>
        <v>385.69892473118279</v>
      </c>
      <c r="DH260" s="70">
        <f t="shared" si="831"/>
        <v>394.27419354838707</v>
      </c>
      <c r="DI260" s="70">
        <f t="shared" si="832"/>
        <v>900.53763440860212</v>
      </c>
      <c r="DJ260" s="70">
        <f t="shared" si="833"/>
        <v>761.0322580645161</v>
      </c>
      <c r="DK260" s="70">
        <f t="shared" si="834"/>
        <v>422.77419354838707</v>
      </c>
      <c r="DL260" s="70">
        <f t="shared" si="835"/>
        <v>777.47311827956992</v>
      </c>
      <c r="DM260" s="70" t="str">
        <f t="shared" si="836"/>
        <v/>
      </c>
      <c r="DN260" s="70">
        <f t="shared" si="837"/>
        <v>3641.7903225806454</v>
      </c>
      <c r="DO260" s="70">
        <f t="shared" si="838"/>
        <v>250</v>
      </c>
      <c r="DP260" s="70">
        <f t="shared" si="839"/>
        <v>3891.7903225806454</v>
      </c>
      <c r="DQ260" s="70">
        <f t="shared" si="840"/>
        <v>6215.010752688172</v>
      </c>
      <c r="DR260" s="70">
        <f t="shared" si="841"/>
        <v>5173.333333333333</v>
      </c>
      <c r="DS260" s="71">
        <f t="shared" si="842"/>
        <v>1041.6774193548388</v>
      </c>
      <c r="DT260" s="106">
        <f t="shared" si="843"/>
        <v>1.0445579576352773</v>
      </c>
      <c r="DU260" s="92">
        <f t="shared" si="844"/>
        <v>3.6523005511722981E-2</v>
      </c>
      <c r="DV260" s="92" t="str">
        <f t="shared" si="845"/>
        <v/>
      </c>
      <c r="DW260" s="92">
        <f t="shared" si="846"/>
        <v>1</v>
      </c>
      <c r="DX260" s="92">
        <f t="shared" si="847"/>
        <v>3.9130233205062821E-2</v>
      </c>
      <c r="DY260" s="92">
        <f t="shared" si="848"/>
        <v>4.0000218178049649E-2</v>
      </c>
      <c r="DZ260" s="92">
        <f t="shared" si="849"/>
        <v>9.1362058291720422E-2</v>
      </c>
      <c r="EA260" s="92">
        <f t="shared" si="850"/>
        <v>7.7208848210803635E-2</v>
      </c>
      <c r="EB260" s="92">
        <f t="shared" si="851"/>
        <v>4.2891622781061053E-2</v>
      </c>
      <c r="EC260" s="92">
        <f t="shared" si="852"/>
        <v>7.8876819400392179E-2</v>
      </c>
      <c r="ED260" s="92" t="str">
        <f t="shared" si="853"/>
        <v/>
      </c>
      <c r="EE260" s="92">
        <f t="shared" si="854"/>
        <v>0.36946980006708974</v>
      </c>
      <c r="EF260" s="92">
        <f t="shared" si="855"/>
        <v>2.5363198272029847E-2</v>
      </c>
      <c r="EG260" s="92">
        <f t="shared" si="856"/>
        <v>0.39483299833911961</v>
      </c>
      <c r="EH260" s="92">
        <f t="shared" si="857"/>
        <v>0.63053019993291026</v>
      </c>
      <c r="EI260" s="92">
        <f t="shared" si="858"/>
        <v>0.52484911624253761</v>
      </c>
      <c r="EJ260" s="122">
        <f t="shared" si="859"/>
        <v>0.10568108369037262</v>
      </c>
    </row>
    <row r="261" spans="2:140" ht="12" hidden="1" customHeight="1" outlineLevel="1">
      <c r="B261" s="121">
        <v>45580</v>
      </c>
      <c r="C261" s="117">
        <v>24451</v>
      </c>
      <c r="D261" s="50" t="s">
        <v>1273</v>
      </c>
      <c r="E261" s="50" t="s">
        <v>1274</v>
      </c>
      <c r="F261" s="50" t="s">
        <v>195</v>
      </c>
      <c r="G261" s="50" t="s">
        <v>162</v>
      </c>
      <c r="H261" s="50" t="s">
        <v>1275</v>
      </c>
      <c r="I261" s="50" t="s">
        <v>156</v>
      </c>
      <c r="J261" s="52" t="s">
        <v>360</v>
      </c>
      <c r="K261" s="50" t="s">
        <v>294</v>
      </c>
      <c r="L261" s="49">
        <v>7</v>
      </c>
      <c r="M261" s="50" t="s">
        <v>159</v>
      </c>
      <c r="N261" s="50" t="s">
        <v>160</v>
      </c>
      <c r="O261" s="50" t="s">
        <v>160</v>
      </c>
      <c r="P261" s="50" t="s">
        <v>177</v>
      </c>
      <c r="Q261" s="53">
        <v>0.04</v>
      </c>
      <c r="R261" s="49">
        <v>276</v>
      </c>
      <c r="S261" s="49">
        <v>0</v>
      </c>
      <c r="T261" s="54">
        <f t="shared" si="860"/>
        <v>276</v>
      </c>
      <c r="U261" s="55">
        <v>300216</v>
      </c>
      <c r="V261" s="49">
        <v>23.08</v>
      </c>
      <c r="W261" s="56">
        <f t="shared" si="784"/>
        <v>11.95840554592721</v>
      </c>
      <c r="X261" s="49" t="s">
        <v>163</v>
      </c>
      <c r="Y261" s="57" t="s">
        <v>162</v>
      </c>
      <c r="Z261" s="58">
        <v>91325893</v>
      </c>
      <c r="AA261" s="114">
        <v>7.5600000000000001E-2</v>
      </c>
      <c r="AB261" s="59">
        <v>15</v>
      </c>
      <c r="AC261" s="60">
        <v>40</v>
      </c>
      <c r="AD261" s="61">
        <v>6.3600000000000004E-2</v>
      </c>
      <c r="AE261" s="62">
        <v>48310000</v>
      </c>
      <c r="AF261" s="63">
        <v>1.17</v>
      </c>
      <c r="AG261" s="59"/>
      <c r="AH261" s="60"/>
      <c r="AI261" s="61"/>
      <c r="AJ261" s="64"/>
      <c r="AK261" s="65">
        <f t="shared" si="785"/>
        <v>48310000</v>
      </c>
      <c r="AL261" s="66">
        <v>0</v>
      </c>
      <c r="AM261" s="49" t="s">
        <v>163</v>
      </c>
      <c r="AN261" s="67">
        <v>0.93</v>
      </c>
      <c r="AO261" s="62">
        <v>52542573</v>
      </c>
      <c r="AP261" s="62">
        <v>9340754</v>
      </c>
      <c r="AQ261" s="68">
        <v>8422691</v>
      </c>
      <c r="AR261" s="69">
        <f t="shared" si="786"/>
        <v>175036.23188405798</v>
      </c>
      <c r="AS261" s="70" t="str">
        <f t="shared" si="787"/>
        <v/>
      </c>
      <c r="AT261" s="70">
        <f t="shared" si="788"/>
        <v>190371.64130434784</v>
      </c>
      <c r="AU261" s="70">
        <f t="shared" si="789"/>
        <v>33843.311594202896</v>
      </c>
      <c r="AV261" s="71">
        <f t="shared" si="790"/>
        <v>30516.996376811596</v>
      </c>
      <c r="AW261" s="115">
        <f t="shared" si="791"/>
        <v>226449.27536231885</v>
      </c>
      <c r="AX261" s="116">
        <f t="shared" si="792"/>
        <v>208.18344125562928</v>
      </c>
      <c r="AY261" s="72">
        <f t="shared" si="793"/>
        <v>276222.82608695654</v>
      </c>
      <c r="AZ261" s="73">
        <f t="shared" si="794"/>
        <v>253.9421616436166</v>
      </c>
      <c r="BA261" s="66">
        <v>1957183</v>
      </c>
      <c r="BB261" s="62">
        <v>9500000</v>
      </c>
      <c r="BC261" s="62">
        <v>53000000</v>
      </c>
      <c r="BD261" s="62">
        <v>4375000</v>
      </c>
      <c r="BE261" s="62">
        <v>9362500</v>
      </c>
      <c r="BF261" s="62">
        <v>3935917</v>
      </c>
      <c r="BG261" s="62">
        <v>20360418</v>
      </c>
      <c r="BH261" s="62">
        <v>14625000</v>
      </c>
      <c r="BI261" s="62">
        <v>1500000</v>
      </c>
      <c r="BJ261" s="47">
        <f t="shared" si="795"/>
        <v>118616018</v>
      </c>
      <c r="BK261" s="69">
        <f t="shared" si="796"/>
        <v>7091.242753623188</v>
      </c>
      <c r="BL261" s="70">
        <f t="shared" si="797"/>
        <v>34420.289855072464</v>
      </c>
      <c r="BM261" s="70">
        <f t="shared" si="798"/>
        <v>192028.98550724637</v>
      </c>
      <c r="BN261" s="70">
        <f t="shared" si="799"/>
        <v>15851.449275362318</v>
      </c>
      <c r="BO261" s="70">
        <f t="shared" si="800"/>
        <v>33922.10144927536</v>
      </c>
      <c r="BP261" s="70">
        <f t="shared" si="801"/>
        <v>14260.56884057971</v>
      </c>
      <c r="BQ261" s="70">
        <f t="shared" si="802"/>
        <v>73769.630434782608</v>
      </c>
      <c r="BR261" s="70">
        <f t="shared" si="803"/>
        <v>52989.130434782608</v>
      </c>
      <c r="BS261" s="70">
        <f t="shared" si="804"/>
        <v>5434.782608695652</v>
      </c>
      <c r="BT261" s="71">
        <f t="shared" si="805"/>
        <v>429768.18115942029</v>
      </c>
      <c r="BU261" s="65">
        <f t="shared" si="806"/>
        <v>6.5192494737122608</v>
      </c>
      <c r="BV261" s="48">
        <f t="shared" si="807"/>
        <v>31.643883070855651</v>
      </c>
      <c r="BW261" s="48">
        <f t="shared" si="808"/>
        <v>176.53955818477363</v>
      </c>
      <c r="BX261" s="48">
        <f t="shared" si="809"/>
        <v>14.572840887894049</v>
      </c>
      <c r="BY261" s="48">
        <f t="shared" si="810"/>
        <v>31.185879500093264</v>
      </c>
      <c r="BZ261" s="48">
        <f t="shared" si="811"/>
        <v>13.110283928904522</v>
      </c>
      <c r="CA261" s="48">
        <f t="shared" si="812"/>
        <v>67.819230154288917</v>
      </c>
      <c r="CB261" s="48">
        <f t="shared" si="813"/>
        <v>48.714925253817249</v>
      </c>
      <c r="CC261" s="48">
        <f t="shared" si="814"/>
        <v>4.9964025901351024</v>
      </c>
      <c r="CD261" s="47">
        <f t="shared" si="815"/>
        <v>395.10225304447465</v>
      </c>
      <c r="CE261" s="66">
        <v>6144192</v>
      </c>
      <c r="CF261" s="62">
        <f>14904+68558+15900</f>
        <v>99362</v>
      </c>
      <c r="CG261" s="74">
        <v>-468267</v>
      </c>
      <c r="CH261" s="75">
        <f t="shared" si="816"/>
        <v>5775287</v>
      </c>
      <c r="CI261" s="62">
        <f>140760+34500+11040+3500+19446</f>
        <v>209246</v>
      </c>
      <c r="CJ261" s="62">
        <v>144382</v>
      </c>
      <c r="CK261" s="62">
        <v>370944</v>
      </c>
      <c r="CL261" s="62">
        <v>195960</v>
      </c>
      <c r="CM261" s="62">
        <f>105821+167419</f>
        <v>273240</v>
      </c>
      <c r="CN261" s="62">
        <v>110400</v>
      </c>
      <c r="CO261" s="62">
        <v>430000</v>
      </c>
      <c r="CP261" s="75">
        <f t="shared" si="861"/>
        <v>1734172</v>
      </c>
      <c r="CQ261" s="62">
        <v>69000</v>
      </c>
      <c r="CR261" s="75">
        <f t="shared" si="862"/>
        <v>1803172</v>
      </c>
      <c r="CS261" s="75">
        <f t="shared" si="817"/>
        <v>4041115</v>
      </c>
      <c r="CT261" s="62">
        <v>3408824</v>
      </c>
      <c r="CU261" s="47">
        <f t="shared" si="818"/>
        <v>632291</v>
      </c>
      <c r="CV261" s="76">
        <f t="shared" si="819"/>
        <v>0.69972539892822638</v>
      </c>
      <c r="CW261" s="75">
        <f t="shared" si="820"/>
        <v>6533.231884057971</v>
      </c>
      <c r="CX261" s="77">
        <f t="shared" si="821"/>
        <v>0.31222205926735763</v>
      </c>
      <c r="CY261" s="75">
        <f t="shared" si="822"/>
        <v>2290.909420289855</v>
      </c>
      <c r="CZ261" s="77">
        <f t="shared" si="823"/>
        <v>0.1094821781151309</v>
      </c>
      <c r="DA261" s="77">
        <f t="shared" si="824"/>
        <v>0.59024322081309555</v>
      </c>
      <c r="DB261" s="47">
        <f t="shared" si="825"/>
        <v>175036.23188405798</v>
      </c>
      <c r="DC261" s="69">
        <f t="shared" si="826"/>
        <v>22261.565217391304</v>
      </c>
      <c r="DD261" s="70">
        <f t="shared" si="827"/>
        <v>360.00724637681162</v>
      </c>
      <c r="DE261" s="70">
        <f t="shared" si="828"/>
        <v>-1696.6195652173913</v>
      </c>
      <c r="DF261" s="70">
        <f t="shared" si="829"/>
        <v>20924.952898550724</v>
      </c>
      <c r="DG261" s="70">
        <f t="shared" si="830"/>
        <v>758.13768115942025</v>
      </c>
      <c r="DH261" s="70">
        <f t="shared" si="831"/>
        <v>523.12318840579712</v>
      </c>
      <c r="DI261" s="70">
        <f t="shared" si="832"/>
        <v>1344</v>
      </c>
      <c r="DJ261" s="70">
        <f t="shared" si="833"/>
        <v>710</v>
      </c>
      <c r="DK261" s="70">
        <f t="shared" si="834"/>
        <v>990</v>
      </c>
      <c r="DL261" s="70">
        <f t="shared" si="835"/>
        <v>400</v>
      </c>
      <c r="DM261" s="70">
        <f t="shared" si="836"/>
        <v>1557.9710144927535</v>
      </c>
      <c r="DN261" s="70">
        <f t="shared" si="837"/>
        <v>6283.231884057971</v>
      </c>
      <c r="DO261" s="70">
        <f t="shared" si="838"/>
        <v>250</v>
      </c>
      <c r="DP261" s="70">
        <f t="shared" si="839"/>
        <v>6533.231884057971</v>
      </c>
      <c r="DQ261" s="70">
        <f t="shared" si="840"/>
        <v>14641.721014492754</v>
      </c>
      <c r="DR261" s="70">
        <f t="shared" si="841"/>
        <v>12350.811594202898</v>
      </c>
      <c r="DS261" s="71">
        <f t="shared" si="842"/>
        <v>2290.909420289855</v>
      </c>
      <c r="DT261" s="106">
        <f t="shared" si="843"/>
        <v>1.063876479212202</v>
      </c>
      <c r="DU261" s="92">
        <f t="shared" si="844"/>
        <v>1.7204686104777132E-2</v>
      </c>
      <c r="DV261" s="92" t="str">
        <f t="shared" si="845"/>
        <v/>
      </c>
      <c r="DW261" s="92">
        <f t="shared" si="846"/>
        <v>1</v>
      </c>
      <c r="DX261" s="92">
        <f t="shared" si="847"/>
        <v>3.6231273008596805E-2</v>
      </c>
      <c r="DY261" s="92">
        <f t="shared" si="848"/>
        <v>2.499996969847559E-2</v>
      </c>
      <c r="DZ261" s="92">
        <f t="shared" si="849"/>
        <v>6.4229535259459833E-2</v>
      </c>
      <c r="EA261" s="92">
        <f t="shared" si="850"/>
        <v>3.3930781275458691E-2</v>
      </c>
      <c r="EB261" s="92">
        <f t="shared" si="851"/>
        <v>4.7311934454512823E-2</v>
      </c>
      <c r="EC261" s="92">
        <f t="shared" si="852"/>
        <v>1.9115933112934472E-2</v>
      </c>
      <c r="ED261" s="92">
        <f t="shared" si="853"/>
        <v>7.4455174262335361E-2</v>
      </c>
      <c r="EE261" s="92">
        <f t="shared" si="854"/>
        <v>0.30027460107177356</v>
      </c>
      <c r="EF261" s="92">
        <f t="shared" si="855"/>
        <v>1.1947458195584047E-2</v>
      </c>
      <c r="EG261" s="92">
        <f t="shared" si="856"/>
        <v>0.31222205926735763</v>
      </c>
      <c r="EH261" s="92">
        <f t="shared" si="857"/>
        <v>0.69972539892822638</v>
      </c>
      <c r="EI261" s="92">
        <f t="shared" si="858"/>
        <v>0.59024322081309555</v>
      </c>
      <c r="EJ261" s="122">
        <f t="shared" si="859"/>
        <v>0.1094821781151309</v>
      </c>
    </row>
    <row r="262" spans="2:140" ht="12" hidden="1" customHeight="1" outlineLevel="1">
      <c r="B262" s="121">
        <v>45581</v>
      </c>
      <c r="C262" s="117">
        <v>24044</v>
      </c>
      <c r="D262" s="50" t="s">
        <v>1276</v>
      </c>
      <c r="E262" s="50" t="s">
        <v>1277</v>
      </c>
      <c r="F262" s="50" t="s">
        <v>642</v>
      </c>
      <c r="G262" s="50" t="s">
        <v>154</v>
      </c>
      <c r="H262" s="50" t="s">
        <v>433</v>
      </c>
      <c r="I262" s="50" t="s">
        <v>321</v>
      </c>
      <c r="J262" s="52" t="s">
        <v>631</v>
      </c>
      <c r="K262" s="50" t="s">
        <v>632</v>
      </c>
      <c r="L262" s="49">
        <v>11</v>
      </c>
      <c r="M262" s="50" t="s">
        <v>283</v>
      </c>
      <c r="N262" s="50" t="s">
        <v>244</v>
      </c>
      <c r="O262" s="50" t="s">
        <v>283</v>
      </c>
      <c r="P262" s="50" t="s">
        <v>177</v>
      </c>
      <c r="Q262" s="53">
        <v>0.09</v>
      </c>
      <c r="R262" s="49">
        <v>66</v>
      </c>
      <c r="S262" s="49">
        <v>0</v>
      </c>
      <c r="T262" s="54">
        <f t="shared" si="860"/>
        <v>66</v>
      </c>
      <c r="U262" s="55">
        <v>52146</v>
      </c>
      <c r="V262" s="49">
        <v>5.09</v>
      </c>
      <c r="W262" s="56">
        <f t="shared" si="784"/>
        <v>12.966601178781925</v>
      </c>
      <c r="X262" s="49" t="s">
        <v>163</v>
      </c>
      <c r="Y262" s="57" t="s">
        <v>162</v>
      </c>
      <c r="Z262" s="58">
        <v>3150000</v>
      </c>
      <c r="AA262" s="114">
        <v>6.2E-2</v>
      </c>
      <c r="AB262" s="59">
        <v>17</v>
      </c>
      <c r="AC262" s="60">
        <v>40</v>
      </c>
      <c r="AD262" s="61">
        <v>6.2E-2</v>
      </c>
      <c r="AE262" s="62">
        <v>3150000</v>
      </c>
      <c r="AF262" s="63">
        <v>1.22</v>
      </c>
      <c r="AG262" s="59"/>
      <c r="AH262" s="60"/>
      <c r="AI262" s="61"/>
      <c r="AJ262" s="64"/>
      <c r="AK262" s="65">
        <f t="shared" si="785"/>
        <v>3150000</v>
      </c>
      <c r="AL262" s="66">
        <v>250</v>
      </c>
      <c r="AM262" s="49" t="s">
        <v>1278</v>
      </c>
      <c r="AN262" s="67">
        <v>0.86</v>
      </c>
      <c r="AO262" s="62">
        <v>14135782</v>
      </c>
      <c r="AP262" s="62">
        <v>0</v>
      </c>
      <c r="AQ262" s="68">
        <v>669864</v>
      </c>
      <c r="AR262" s="69">
        <f t="shared" si="786"/>
        <v>47727.272727272728</v>
      </c>
      <c r="AS262" s="70">
        <f t="shared" si="787"/>
        <v>3.7878787878787881</v>
      </c>
      <c r="AT262" s="70">
        <f t="shared" si="788"/>
        <v>214178.51515151514</v>
      </c>
      <c r="AU262" s="70" t="str">
        <f t="shared" si="789"/>
        <v/>
      </c>
      <c r="AV262" s="71">
        <f t="shared" si="790"/>
        <v>10149.454545454546</v>
      </c>
      <c r="AW262" s="115">
        <f t="shared" si="791"/>
        <v>146779.39393939395</v>
      </c>
      <c r="AX262" s="116">
        <f t="shared" si="792"/>
        <v>185.77532313120852</v>
      </c>
      <c r="AY262" s="72">
        <f t="shared" si="793"/>
        <v>176079.22727272729</v>
      </c>
      <c r="AZ262" s="73">
        <f t="shared" si="794"/>
        <v>222.85945230698422</v>
      </c>
      <c r="BA262" s="66">
        <v>900000</v>
      </c>
      <c r="BB262" s="62">
        <v>1101000</v>
      </c>
      <c r="BC262" s="62">
        <v>8586440</v>
      </c>
      <c r="BD262" s="62">
        <v>521400</v>
      </c>
      <c r="BE262" s="62">
        <v>1412389</v>
      </c>
      <c r="BF262" s="62">
        <v>1155541</v>
      </c>
      <c r="BG262" s="62">
        <v>2253707</v>
      </c>
      <c r="BH262" s="62">
        <v>2059344</v>
      </c>
      <c r="BI262" s="62">
        <v>306500</v>
      </c>
      <c r="BJ262" s="47">
        <f t="shared" si="795"/>
        <v>18296321</v>
      </c>
      <c r="BK262" s="69">
        <f t="shared" si="796"/>
        <v>13636.363636363636</v>
      </c>
      <c r="BL262" s="70">
        <f t="shared" si="797"/>
        <v>16681.81818181818</v>
      </c>
      <c r="BM262" s="70">
        <f t="shared" si="798"/>
        <v>130097.57575757576</v>
      </c>
      <c r="BN262" s="70">
        <f t="shared" si="799"/>
        <v>7900</v>
      </c>
      <c r="BO262" s="70">
        <f t="shared" si="800"/>
        <v>21399.833333333332</v>
      </c>
      <c r="BP262" s="70">
        <f t="shared" si="801"/>
        <v>17508.196969696968</v>
      </c>
      <c r="BQ262" s="70">
        <f t="shared" si="802"/>
        <v>34147.07575757576</v>
      </c>
      <c r="BR262" s="70">
        <f t="shared" si="803"/>
        <v>31202.18181818182</v>
      </c>
      <c r="BS262" s="70">
        <f t="shared" si="804"/>
        <v>4643.939393939394</v>
      </c>
      <c r="BT262" s="71">
        <f t="shared" si="805"/>
        <v>277216.98484848486</v>
      </c>
      <c r="BU262" s="65">
        <f t="shared" si="806"/>
        <v>17.259233690024164</v>
      </c>
      <c r="BV262" s="48">
        <f t="shared" si="807"/>
        <v>21.113795880796225</v>
      </c>
      <c r="BW262" s="48">
        <f t="shared" si="808"/>
        <v>164.66152725041229</v>
      </c>
      <c r="BX262" s="48">
        <f t="shared" si="809"/>
        <v>9.9988493844206658</v>
      </c>
      <c r="BY262" s="48">
        <f t="shared" si="810"/>
        <v>27.085279791355042</v>
      </c>
      <c r="BZ262" s="48">
        <f t="shared" si="811"/>
        <v>22.159724619338011</v>
      </c>
      <c r="CA262" s="48">
        <f t="shared" si="812"/>
        <v>43.219173090936984</v>
      </c>
      <c r="CB262" s="48">
        <f t="shared" si="813"/>
        <v>39.491888160165686</v>
      </c>
      <c r="CC262" s="48">
        <f t="shared" si="814"/>
        <v>5.8777279177693398</v>
      </c>
      <c r="CD262" s="47">
        <f t="shared" si="815"/>
        <v>350.86719978521842</v>
      </c>
      <c r="CE262" s="66">
        <v>676944</v>
      </c>
      <c r="CF262" s="62">
        <v>23760</v>
      </c>
      <c r="CG262" s="74">
        <v>-52553</v>
      </c>
      <c r="CH262" s="75">
        <f t="shared" si="816"/>
        <v>648151</v>
      </c>
      <c r="CI262" s="62">
        <f>20344+3960+2640</f>
        <v>26944</v>
      </c>
      <c r="CJ262" s="62">
        <v>32408</v>
      </c>
      <c r="CK262" s="62">
        <v>83972</v>
      </c>
      <c r="CL262" s="62">
        <v>37500</v>
      </c>
      <c r="CM262" s="62">
        <f>23760+40280</f>
        <v>64040</v>
      </c>
      <c r="CN262" s="62">
        <v>50000</v>
      </c>
      <c r="CO262" s="62">
        <v>70337</v>
      </c>
      <c r="CP262" s="75">
        <f t="shared" si="861"/>
        <v>365201</v>
      </c>
      <c r="CQ262" s="62">
        <v>16500</v>
      </c>
      <c r="CR262" s="75">
        <f t="shared" si="862"/>
        <v>381701</v>
      </c>
      <c r="CS262" s="75">
        <f t="shared" si="817"/>
        <v>282950</v>
      </c>
      <c r="CT262" s="62">
        <v>213275</v>
      </c>
      <c r="CU262" s="47">
        <f t="shared" si="818"/>
        <v>69675</v>
      </c>
      <c r="CV262" s="76">
        <f t="shared" si="819"/>
        <v>0.43654950775359447</v>
      </c>
      <c r="CW262" s="75">
        <f t="shared" si="820"/>
        <v>5783.348484848485</v>
      </c>
      <c r="CX262" s="77">
        <f t="shared" si="821"/>
        <v>0.58890752309261263</v>
      </c>
      <c r="CY262" s="75">
        <f t="shared" si="822"/>
        <v>1055.6818181818182</v>
      </c>
      <c r="CZ262" s="77">
        <f t="shared" si="823"/>
        <v>0.10749809843693831</v>
      </c>
      <c r="DA262" s="77">
        <f t="shared" si="824"/>
        <v>0.32905140931665616</v>
      </c>
      <c r="DB262" s="47">
        <f t="shared" si="825"/>
        <v>47727.272727272728</v>
      </c>
      <c r="DC262" s="69">
        <f t="shared" si="826"/>
        <v>10256.727272727272</v>
      </c>
      <c r="DD262" s="70">
        <f t="shared" si="827"/>
        <v>360</v>
      </c>
      <c r="DE262" s="70">
        <f t="shared" si="828"/>
        <v>-796.25757575757575</v>
      </c>
      <c r="DF262" s="70">
        <f t="shared" si="829"/>
        <v>9820.4696969696961</v>
      </c>
      <c r="DG262" s="70">
        <f t="shared" si="830"/>
        <v>408.24242424242425</v>
      </c>
      <c r="DH262" s="70">
        <f t="shared" si="831"/>
        <v>491.030303030303</v>
      </c>
      <c r="DI262" s="70">
        <f t="shared" si="832"/>
        <v>1272.3030303030303</v>
      </c>
      <c r="DJ262" s="70">
        <f t="shared" si="833"/>
        <v>568.18181818181813</v>
      </c>
      <c r="DK262" s="70">
        <f t="shared" si="834"/>
        <v>970.30303030303025</v>
      </c>
      <c r="DL262" s="70">
        <f t="shared" si="835"/>
        <v>757.57575757575762</v>
      </c>
      <c r="DM262" s="70">
        <f t="shared" si="836"/>
        <v>1065.7121212121212</v>
      </c>
      <c r="DN262" s="70">
        <f t="shared" si="837"/>
        <v>5533.348484848485</v>
      </c>
      <c r="DO262" s="70">
        <f t="shared" si="838"/>
        <v>250</v>
      </c>
      <c r="DP262" s="70">
        <f t="shared" si="839"/>
        <v>5783.348484848485</v>
      </c>
      <c r="DQ262" s="70">
        <f t="shared" si="840"/>
        <v>4287.121212121212</v>
      </c>
      <c r="DR262" s="70">
        <f t="shared" si="841"/>
        <v>3231.439393939394</v>
      </c>
      <c r="DS262" s="71">
        <f t="shared" si="842"/>
        <v>1055.6818181818182</v>
      </c>
      <c r="DT262" s="106">
        <f t="shared" si="843"/>
        <v>1.0444232902518087</v>
      </c>
      <c r="DU262" s="92">
        <f t="shared" si="844"/>
        <v>3.6658124418538274E-2</v>
      </c>
      <c r="DV262" s="92" t="str">
        <f t="shared" si="845"/>
        <v/>
      </c>
      <c r="DW262" s="92">
        <f t="shared" si="846"/>
        <v>1</v>
      </c>
      <c r="DX262" s="92">
        <f t="shared" si="847"/>
        <v>4.1570559946679089E-2</v>
      </c>
      <c r="DY262" s="92">
        <f t="shared" si="848"/>
        <v>5.0000694282659443E-2</v>
      </c>
      <c r="DZ262" s="92">
        <f t="shared" si="849"/>
        <v>0.1295562299525882</v>
      </c>
      <c r="EA262" s="92">
        <f t="shared" si="850"/>
        <v>5.7856888286834392E-2</v>
      </c>
      <c r="EB262" s="92">
        <f t="shared" si="851"/>
        <v>9.8804136690369984E-2</v>
      </c>
      <c r="EC262" s="92">
        <f t="shared" si="852"/>
        <v>7.7142517715779194E-2</v>
      </c>
      <c r="ED262" s="92">
        <f t="shared" si="853"/>
        <v>0.10851946537149522</v>
      </c>
      <c r="EE262" s="92">
        <f t="shared" si="854"/>
        <v>0.56345049224640553</v>
      </c>
      <c r="EF262" s="92">
        <f t="shared" si="855"/>
        <v>2.5457030846207134E-2</v>
      </c>
      <c r="EG262" s="92">
        <f t="shared" si="856"/>
        <v>0.58890752309261263</v>
      </c>
      <c r="EH262" s="92">
        <f t="shared" si="857"/>
        <v>0.43654950775359447</v>
      </c>
      <c r="EI262" s="92">
        <f t="shared" si="858"/>
        <v>0.32905140931665616</v>
      </c>
      <c r="EJ262" s="122">
        <f t="shared" si="859"/>
        <v>0.10749809843693831</v>
      </c>
    </row>
    <row r="263" spans="2:140" ht="12" hidden="1" customHeight="1" outlineLevel="1">
      <c r="B263" s="121">
        <v>45581</v>
      </c>
      <c r="C263" s="117">
        <v>24045</v>
      </c>
      <c r="D263" s="50" t="s">
        <v>1279</v>
      </c>
      <c r="E263" s="50" t="s">
        <v>1277</v>
      </c>
      <c r="F263" s="50" t="s">
        <v>642</v>
      </c>
      <c r="G263" s="50" t="s">
        <v>154</v>
      </c>
      <c r="H263" s="50" t="s">
        <v>433</v>
      </c>
      <c r="I263" s="50" t="s">
        <v>321</v>
      </c>
      <c r="J263" s="52" t="s">
        <v>409</v>
      </c>
      <c r="K263" s="50" t="s">
        <v>410</v>
      </c>
      <c r="L263" s="49">
        <v>8</v>
      </c>
      <c r="M263" s="50" t="s">
        <v>159</v>
      </c>
      <c r="N263" s="50" t="s">
        <v>244</v>
      </c>
      <c r="O263" s="50" t="s">
        <v>160</v>
      </c>
      <c r="P263" s="50" t="s">
        <v>177</v>
      </c>
      <c r="Q263" s="53">
        <v>0.09</v>
      </c>
      <c r="R263" s="49">
        <v>102</v>
      </c>
      <c r="S263" s="49">
        <v>0</v>
      </c>
      <c r="T263" s="54">
        <f t="shared" si="860"/>
        <v>102</v>
      </c>
      <c r="U263" s="55">
        <v>76920</v>
      </c>
      <c r="V263" s="49">
        <v>6.6669999999999998</v>
      </c>
      <c r="W263" s="56">
        <f t="shared" si="784"/>
        <v>15.299235038248089</v>
      </c>
      <c r="X263" s="49" t="s">
        <v>163</v>
      </c>
      <c r="Y263" s="57" t="s">
        <v>162</v>
      </c>
      <c r="Z263" s="58">
        <v>4000000</v>
      </c>
      <c r="AA263" s="114">
        <v>6.2E-2</v>
      </c>
      <c r="AB263" s="59">
        <v>17</v>
      </c>
      <c r="AC263" s="60">
        <v>40</v>
      </c>
      <c r="AD263" s="61">
        <v>6.2E-2</v>
      </c>
      <c r="AE263" s="62">
        <v>4000000</v>
      </c>
      <c r="AF263" s="63">
        <v>1.21</v>
      </c>
      <c r="AG263" s="59"/>
      <c r="AH263" s="60"/>
      <c r="AI263" s="61"/>
      <c r="AJ263" s="64"/>
      <c r="AK263" s="65">
        <f t="shared" si="785"/>
        <v>4000000</v>
      </c>
      <c r="AL263" s="66">
        <v>500</v>
      </c>
      <c r="AM263" s="49" t="s">
        <v>1280</v>
      </c>
      <c r="AN263" s="67">
        <v>0.87</v>
      </c>
      <c r="AO263" s="62">
        <v>17398260</v>
      </c>
      <c r="AP263" s="62">
        <v>0</v>
      </c>
      <c r="AQ263" s="68">
        <v>760668</v>
      </c>
      <c r="AR263" s="69">
        <f t="shared" si="786"/>
        <v>39215.686274509804</v>
      </c>
      <c r="AS263" s="70">
        <f t="shared" si="787"/>
        <v>4.9019607843137258</v>
      </c>
      <c r="AT263" s="70">
        <f t="shared" si="788"/>
        <v>170571.17647058822</v>
      </c>
      <c r="AU263" s="70" t="str">
        <f t="shared" si="789"/>
        <v/>
      </c>
      <c r="AV263" s="71">
        <f t="shared" si="790"/>
        <v>7457.5294117647063</v>
      </c>
      <c r="AW263" s="115">
        <f t="shared" si="791"/>
        <v>123723.40196078431</v>
      </c>
      <c r="AX263" s="116">
        <f t="shared" si="792"/>
        <v>164.06379355174207</v>
      </c>
      <c r="AY263" s="72">
        <f t="shared" si="793"/>
        <v>147815.39215686274</v>
      </c>
      <c r="AZ263" s="73">
        <f t="shared" si="794"/>
        <v>196.01105044201768</v>
      </c>
      <c r="BA263" s="66">
        <v>1670000</v>
      </c>
      <c r="BB263" s="62">
        <v>1896785</v>
      </c>
      <c r="BC263" s="62">
        <v>10723002</v>
      </c>
      <c r="BD263" s="62">
        <v>676770</v>
      </c>
      <c r="BE263" s="62">
        <v>1780613</v>
      </c>
      <c r="BF263" s="62">
        <v>977712</v>
      </c>
      <c r="BG263" s="62">
        <v>1847822</v>
      </c>
      <c r="BH263" s="62">
        <v>2557099</v>
      </c>
      <c r="BI263" s="62">
        <v>440600</v>
      </c>
      <c r="BJ263" s="47">
        <f t="shared" si="795"/>
        <v>22570403</v>
      </c>
      <c r="BK263" s="69">
        <f t="shared" si="796"/>
        <v>16372.549019607843</v>
      </c>
      <c r="BL263" s="70">
        <f t="shared" si="797"/>
        <v>18595.931372549021</v>
      </c>
      <c r="BM263" s="70">
        <f t="shared" si="798"/>
        <v>105127.4705882353</v>
      </c>
      <c r="BN263" s="70">
        <f t="shared" si="799"/>
        <v>6635</v>
      </c>
      <c r="BO263" s="70">
        <f t="shared" si="800"/>
        <v>17456.99019607843</v>
      </c>
      <c r="BP263" s="70">
        <f t="shared" si="801"/>
        <v>9585.4117647058829</v>
      </c>
      <c r="BQ263" s="70">
        <f t="shared" si="802"/>
        <v>18115.901960784315</v>
      </c>
      <c r="BR263" s="70">
        <f t="shared" si="803"/>
        <v>25069.598039215685</v>
      </c>
      <c r="BS263" s="70">
        <f t="shared" si="804"/>
        <v>4319.6078431372553</v>
      </c>
      <c r="BT263" s="71">
        <f t="shared" si="805"/>
        <v>221278.46078431373</v>
      </c>
      <c r="BU263" s="65">
        <f t="shared" si="806"/>
        <v>21.710868434737389</v>
      </c>
      <c r="BV263" s="48">
        <f t="shared" si="807"/>
        <v>24.659191367654707</v>
      </c>
      <c r="BW263" s="48">
        <f t="shared" si="808"/>
        <v>139.40460218408737</v>
      </c>
      <c r="BX263" s="48">
        <f t="shared" si="809"/>
        <v>8.7983619344773789</v>
      </c>
      <c r="BY263" s="48">
        <f t="shared" si="810"/>
        <v>23.14889495579823</v>
      </c>
      <c r="BZ263" s="48">
        <f t="shared" si="811"/>
        <v>12.710764430577223</v>
      </c>
      <c r="CA263" s="48">
        <f t="shared" si="812"/>
        <v>24.022646905876236</v>
      </c>
      <c r="CB263" s="48">
        <f t="shared" si="813"/>
        <v>33.243616744669787</v>
      </c>
      <c r="CC263" s="48">
        <f t="shared" si="814"/>
        <v>5.7280291211648464</v>
      </c>
      <c r="CD263" s="47">
        <f t="shared" si="815"/>
        <v>293.42697607904319</v>
      </c>
      <c r="CE263" s="66">
        <v>938532</v>
      </c>
      <c r="CF263" s="62">
        <v>36720</v>
      </c>
      <c r="CG263" s="74">
        <v>-73144</v>
      </c>
      <c r="CH263" s="75">
        <f t="shared" si="816"/>
        <v>902108</v>
      </c>
      <c r="CI263" s="62">
        <f>22804+6120+4080</f>
        <v>33004</v>
      </c>
      <c r="CJ263" s="62">
        <v>45105</v>
      </c>
      <c r="CK263" s="62">
        <v>157112</v>
      </c>
      <c r="CL263" s="62">
        <v>54500</v>
      </c>
      <c r="CM263" s="62">
        <f>10800+63680</f>
        <v>74480</v>
      </c>
      <c r="CN263" s="62">
        <v>90000</v>
      </c>
      <c r="CO263" s="62">
        <v>84037</v>
      </c>
      <c r="CP263" s="75">
        <f t="shared" si="861"/>
        <v>538238</v>
      </c>
      <c r="CQ263" s="62">
        <v>30600</v>
      </c>
      <c r="CR263" s="75">
        <f t="shared" si="862"/>
        <v>568838</v>
      </c>
      <c r="CS263" s="75">
        <f t="shared" si="817"/>
        <v>363870</v>
      </c>
      <c r="CT263" s="62">
        <v>270825</v>
      </c>
      <c r="CU263" s="47">
        <f t="shared" si="818"/>
        <v>93045</v>
      </c>
      <c r="CV263" s="76">
        <f t="shared" si="819"/>
        <v>0.4033552523644619</v>
      </c>
      <c r="CW263" s="75">
        <f t="shared" si="820"/>
        <v>5576.8431372549021</v>
      </c>
      <c r="CX263" s="77">
        <f t="shared" si="821"/>
        <v>0.63056529816829032</v>
      </c>
      <c r="CY263" s="75">
        <f t="shared" si="822"/>
        <v>912.20588235294122</v>
      </c>
      <c r="CZ263" s="77">
        <f t="shared" si="823"/>
        <v>0.10314175242875576</v>
      </c>
      <c r="DA263" s="77">
        <f t="shared" si="824"/>
        <v>0.30021349993570612</v>
      </c>
      <c r="DB263" s="47">
        <f t="shared" si="825"/>
        <v>39215.686274509804</v>
      </c>
      <c r="DC263" s="69">
        <f t="shared" si="826"/>
        <v>9201.2941176470595</v>
      </c>
      <c r="DD263" s="70">
        <f t="shared" si="827"/>
        <v>360</v>
      </c>
      <c r="DE263" s="70">
        <f t="shared" si="828"/>
        <v>-717.0980392156863</v>
      </c>
      <c r="DF263" s="70">
        <f t="shared" si="829"/>
        <v>8844.1960784313724</v>
      </c>
      <c r="DG263" s="70">
        <f t="shared" si="830"/>
        <v>323.56862745098039</v>
      </c>
      <c r="DH263" s="70">
        <f t="shared" si="831"/>
        <v>442.20588235294116</v>
      </c>
      <c r="DI263" s="70">
        <f t="shared" si="832"/>
        <v>1540.313725490196</v>
      </c>
      <c r="DJ263" s="70">
        <f t="shared" si="833"/>
        <v>534.31372549019613</v>
      </c>
      <c r="DK263" s="70">
        <f t="shared" si="834"/>
        <v>730.1960784313726</v>
      </c>
      <c r="DL263" s="70">
        <f t="shared" si="835"/>
        <v>882.35294117647061</v>
      </c>
      <c r="DM263" s="70">
        <f t="shared" si="836"/>
        <v>823.89215686274508</v>
      </c>
      <c r="DN263" s="70">
        <f t="shared" si="837"/>
        <v>5276.8431372549021</v>
      </c>
      <c r="DO263" s="70">
        <f t="shared" si="838"/>
        <v>300</v>
      </c>
      <c r="DP263" s="70">
        <f t="shared" si="839"/>
        <v>5576.8431372549021</v>
      </c>
      <c r="DQ263" s="70">
        <f t="shared" si="840"/>
        <v>3567.3529411764707</v>
      </c>
      <c r="DR263" s="70">
        <f t="shared" si="841"/>
        <v>2655.1470588235293</v>
      </c>
      <c r="DS263" s="71">
        <f t="shared" si="842"/>
        <v>912.20588235294122</v>
      </c>
      <c r="DT263" s="106">
        <f t="shared" si="843"/>
        <v>1.040376540281208</v>
      </c>
      <c r="DU263" s="92">
        <f t="shared" si="844"/>
        <v>4.0704660639302614E-2</v>
      </c>
      <c r="DV263" s="92" t="str">
        <f t="shared" si="845"/>
        <v/>
      </c>
      <c r="DW263" s="92">
        <f t="shared" si="846"/>
        <v>1</v>
      </c>
      <c r="DX263" s="92">
        <f t="shared" si="847"/>
        <v>3.6585419927547477E-2</v>
      </c>
      <c r="DY263" s="92">
        <f t="shared" si="848"/>
        <v>4.9999556594110685E-2</v>
      </c>
      <c r="DZ263" s="92">
        <f t="shared" si="849"/>
        <v>0.17416096520593988</v>
      </c>
      <c r="EA263" s="92">
        <f t="shared" si="850"/>
        <v>6.0414052419444232E-2</v>
      </c>
      <c r="EB263" s="92">
        <f t="shared" si="851"/>
        <v>8.2562176590829484E-2</v>
      </c>
      <c r="EC263" s="92">
        <f t="shared" si="852"/>
        <v>9.9766325096329933E-2</v>
      </c>
      <c r="ED263" s="92">
        <f t="shared" si="853"/>
        <v>9.3156251801336423E-2</v>
      </c>
      <c r="EE263" s="92">
        <f t="shared" si="854"/>
        <v>0.5966447476355381</v>
      </c>
      <c r="EF263" s="92">
        <f t="shared" si="855"/>
        <v>3.3920550532752176E-2</v>
      </c>
      <c r="EG263" s="92">
        <f t="shared" si="856"/>
        <v>0.63056529816829032</v>
      </c>
      <c r="EH263" s="92">
        <f t="shared" si="857"/>
        <v>0.4033552523644619</v>
      </c>
      <c r="EI263" s="92">
        <f t="shared" si="858"/>
        <v>0.30021349993570612</v>
      </c>
      <c r="EJ263" s="122">
        <f t="shared" si="859"/>
        <v>0.10314175242875576</v>
      </c>
    </row>
    <row r="264" spans="2:140" ht="12" hidden="1" customHeight="1" outlineLevel="1">
      <c r="B264" s="121">
        <v>45582</v>
      </c>
      <c r="C264" s="117">
        <v>24438</v>
      </c>
      <c r="D264" s="50" t="s">
        <v>1281</v>
      </c>
      <c r="E264" s="50" t="s">
        <v>1230</v>
      </c>
      <c r="F264" s="50" t="s">
        <v>1147</v>
      </c>
      <c r="G264" s="50" t="s">
        <v>162</v>
      </c>
      <c r="H264" s="50" t="s">
        <v>1282</v>
      </c>
      <c r="I264" s="50" t="s">
        <v>943</v>
      </c>
      <c r="J264" s="52" t="s">
        <v>230</v>
      </c>
      <c r="K264" s="50" t="s">
        <v>230</v>
      </c>
      <c r="L264" s="49">
        <v>3</v>
      </c>
      <c r="M264" s="50" t="s">
        <v>159</v>
      </c>
      <c r="N264" s="50" t="s">
        <v>244</v>
      </c>
      <c r="O264" s="50" t="s">
        <v>160</v>
      </c>
      <c r="P264" s="50" t="s">
        <v>923</v>
      </c>
      <c r="Q264" s="53">
        <v>0.04</v>
      </c>
      <c r="R264" s="49">
        <v>220</v>
      </c>
      <c r="S264" s="49">
        <v>0</v>
      </c>
      <c r="T264" s="54">
        <f t="shared" si="860"/>
        <v>220</v>
      </c>
      <c r="U264" s="55">
        <v>159200</v>
      </c>
      <c r="V264" s="49">
        <v>4.8680000000000003</v>
      </c>
      <c r="W264" s="56">
        <f t="shared" si="784"/>
        <v>45.193097781429742</v>
      </c>
      <c r="X264" s="49">
        <v>1996</v>
      </c>
      <c r="Y264" s="57" t="s">
        <v>162</v>
      </c>
      <c r="Z264" s="58">
        <v>43870849</v>
      </c>
      <c r="AA264" s="114">
        <v>0.06</v>
      </c>
      <c r="AB264" s="59">
        <v>15</v>
      </c>
      <c r="AC264" s="60">
        <v>40</v>
      </c>
      <c r="AD264" s="61">
        <v>5.6000000000000001E-2</v>
      </c>
      <c r="AE264" s="62">
        <v>25700000</v>
      </c>
      <c r="AF264" s="63">
        <v>1.1499999999999999</v>
      </c>
      <c r="AG264" s="59"/>
      <c r="AH264" s="60"/>
      <c r="AI264" s="61"/>
      <c r="AJ264" s="64"/>
      <c r="AK264" s="65">
        <f t="shared" si="785"/>
        <v>25700000</v>
      </c>
      <c r="AL264" s="66">
        <v>4451770</v>
      </c>
      <c r="AM264" s="49" t="s">
        <v>1283</v>
      </c>
      <c r="AN264" s="67">
        <v>0.95</v>
      </c>
      <c r="AO264" s="62">
        <v>22243533</v>
      </c>
      <c r="AP264" s="62">
        <v>3832037</v>
      </c>
      <c r="AQ264" s="68">
        <v>5393963</v>
      </c>
      <c r="AR264" s="69">
        <f t="shared" si="786"/>
        <v>116818.18181818182</v>
      </c>
      <c r="AS264" s="70">
        <f t="shared" si="787"/>
        <v>20235.31818181818</v>
      </c>
      <c r="AT264" s="70">
        <f t="shared" si="788"/>
        <v>101106.96818181819</v>
      </c>
      <c r="AU264" s="70">
        <f t="shared" si="789"/>
        <v>17418.349999999999</v>
      </c>
      <c r="AV264" s="71">
        <f t="shared" si="790"/>
        <v>24518.013636363637</v>
      </c>
      <c r="AW264" s="115">
        <f t="shared" si="791"/>
        <v>59962.931818181816</v>
      </c>
      <c r="AX264" s="116">
        <f t="shared" si="792"/>
        <v>82.863347989949744</v>
      </c>
      <c r="AY264" s="72">
        <f t="shared" si="793"/>
        <v>75193.518181818188</v>
      </c>
      <c r="AZ264" s="73">
        <f t="shared" si="794"/>
        <v>103.91064070351759</v>
      </c>
      <c r="BA264" s="66">
        <v>25145000</v>
      </c>
      <c r="BB264" s="62">
        <v>1630742</v>
      </c>
      <c r="BC264" s="62">
        <v>11561103</v>
      </c>
      <c r="BD264" s="62">
        <v>1319185</v>
      </c>
      <c r="BE264" s="62">
        <v>2031544</v>
      </c>
      <c r="BF264" s="62">
        <v>2504782</v>
      </c>
      <c r="BG264" s="62">
        <v>9759572</v>
      </c>
      <c r="BH264" s="62">
        <v>6627431</v>
      </c>
      <c r="BI264" s="62">
        <v>1041944</v>
      </c>
      <c r="BJ264" s="47">
        <f t="shared" si="795"/>
        <v>61621303</v>
      </c>
      <c r="BK264" s="69">
        <f t="shared" si="796"/>
        <v>114295.45454545454</v>
      </c>
      <c r="BL264" s="70">
        <f t="shared" si="797"/>
        <v>7412.4636363636364</v>
      </c>
      <c r="BM264" s="70">
        <f t="shared" si="798"/>
        <v>52550.468181818185</v>
      </c>
      <c r="BN264" s="70">
        <f t="shared" si="799"/>
        <v>5996.295454545455</v>
      </c>
      <c r="BO264" s="70">
        <f t="shared" si="800"/>
        <v>9234.2909090909088</v>
      </c>
      <c r="BP264" s="70">
        <f t="shared" si="801"/>
        <v>11385.372727272726</v>
      </c>
      <c r="BQ264" s="70">
        <f t="shared" si="802"/>
        <v>44361.69090909091</v>
      </c>
      <c r="BR264" s="70">
        <f t="shared" si="803"/>
        <v>30124.686363636363</v>
      </c>
      <c r="BS264" s="70">
        <f t="shared" si="804"/>
        <v>4736.1090909090908</v>
      </c>
      <c r="BT264" s="71">
        <f t="shared" si="805"/>
        <v>280096.83181818185</v>
      </c>
      <c r="BU264" s="65">
        <f t="shared" si="806"/>
        <v>157.94597989949747</v>
      </c>
      <c r="BV264" s="48">
        <f t="shared" si="807"/>
        <v>10.243354271356784</v>
      </c>
      <c r="BW264" s="48">
        <f t="shared" si="808"/>
        <v>72.619993718592966</v>
      </c>
      <c r="BX264" s="48">
        <f t="shared" si="809"/>
        <v>8.2863379396984929</v>
      </c>
      <c r="BY264" s="48">
        <f t="shared" si="810"/>
        <v>12.760954773869347</v>
      </c>
      <c r="BZ264" s="48">
        <f t="shared" si="811"/>
        <v>15.73355527638191</v>
      </c>
      <c r="CA264" s="48">
        <f t="shared" si="812"/>
        <v>61.303844221105528</v>
      </c>
      <c r="CB264" s="48">
        <f t="shared" si="813"/>
        <v>41.629591708542712</v>
      </c>
      <c r="CC264" s="48">
        <f t="shared" si="814"/>
        <v>6.5448743718592963</v>
      </c>
      <c r="CD264" s="47">
        <f t="shared" si="815"/>
        <v>387.06848618090453</v>
      </c>
      <c r="CE264" s="66">
        <v>3217908</v>
      </c>
      <c r="CF264" s="62">
        <v>52800</v>
      </c>
      <c r="CG264" s="74">
        <v>-245303</v>
      </c>
      <c r="CH264" s="75">
        <f t="shared" si="816"/>
        <v>3025405</v>
      </c>
      <c r="CI264" s="62">
        <f>90080+8800+5000</f>
        <v>103880</v>
      </c>
      <c r="CJ264" s="62">
        <v>121016</v>
      </c>
      <c r="CK264" s="62">
        <v>323758</v>
      </c>
      <c r="CL264" s="62">
        <f>200386+22753</f>
        <v>223139</v>
      </c>
      <c r="CM264" s="62">
        <f>37857+130105</f>
        <v>167962</v>
      </c>
      <c r="CN264" s="62">
        <v>136377</v>
      </c>
      <c r="CO264" s="62">
        <v>0</v>
      </c>
      <c r="CP264" s="75">
        <f t="shared" si="861"/>
        <v>1076132</v>
      </c>
      <c r="CQ264" s="62">
        <v>66000</v>
      </c>
      <c r="CR264" s="75">
        <f t="shared" si="862"/>
        <v>1142132</v>
      </c>
      <c r="CS264" s="75">
        <f t="shared" si="817"/>
        <v>1949273</v>
      </c>
      <c r="CT264" s="62">
        <v>1637373</v>
      </c>
      <c r="CU264" s="47">
        <f t="shared" si="818"/>
        <v>311900</v>
      </c>
      <c r="CV264" s="76">
        <f t="shared" si="819"/>
        <v>0.64430150674041986</v>
      </c>
      <c r="CW264" s="75">
        <f t="shared" si="820"/>
        <v>5191.5090909090914</v>
      </c>
      <c r="CX264" s="77">
        <f t="shared" si="821"/>
        <v>0.37751375435685469</v>
      </c>
      <c r="CY264" s="75">
        <f t="shared" si="822"/>
        <v>1417.7272727272727</v>
      </c>
      <c r="CZ264" s="77">
        <f t="shared" si="823"/>
        <v>0.10309363539757486</v>
      </c>
      <c r="DA264" s="77">
        <f t="shared" si="824"/>
        <v>0.54120787134284498</v>
      </c>
      <c r="DB264" s="47">
        <f t="shared" si="825"/>
        <v>116818.18181818182</v>
      </c>
      <c r="DC264" s="69">
        <f t="shared" si="826"/>
        <v>14626.854545454546</v>
      </c>
      <c r="DD264" s="70">
        <f t="shared" si="827"/>
        <v>240</v>
      </c>
      <c r="DE264" s="70">
        <f t="shared" si="828"/>
        <v>-1115.0136363636364</v>
      </c>
      <c r="DF264" s="70">
        <f t="shared" si="829"/>
        <v>13751.84090909091</v>
      </c>
      <c r="DG264" s="70">
        <f t="shared" si="830"/>
        <v>472.18181818181819</v>
      </c>
      <c r="DH264" s="70">
        <f t="shared" si="831"/>
        <v>550.07272727272732</v>
      </c>
      <c r="DI264" s="70">
        <f t="shared" si="832"/>
        <v>1471.6272727272728</v>
      </c>
      <c r="DJ264" s="70">
        <f t="shared" si="833"/>
        <v>1014.2681818181818</v>
      </c>
      <c r="DK264" s="70">
        <f t="shared" si="834"/>
        <v>763.4636363636364</v>
      </c>
      <c r="DL264" s="70">
        <f t="shared" si="835"/>
        <v>619.89545454545453</v>
      </c>
      <c r="DM264" s="70" t="str">
        <f t="shared" si="836"/>
        <v/>
      </c>
      <c r="DN264" s="70">
        <f t="shared" si="837"/>
        <v>4891.5090909090914</v>
      </c>
      <c r="DO264" s="70">
        <f t="shared" si="838"/>
        <v>300</v>
      </c>
      <c r="DP264" s="70">
        <f t="shared" si="839"/>
        <v>5191.5090909090914</v>
      </c>
      <c r="DQ264" s="70">
        <f t="shared" si="840"/>
        <v>8860.3318181818177</v>
      </c>
      <c r="DR264" s="70">
        <f t="shared" si="841"/>
        <v>7442.6045454545456</v>
      </c>
      <c r="DS264" s="71">
        <f t="shared" si="842"/>
        <v>1417.7272727272727</v>
      </c>
      <c r="DT264" s="106">
        <f t="shared" si="843"/>
        <v>1.0636288364698281</v>
      </c>
      <c r="DU264" s="92">
        <f t="shared" si="844"/>
        <v>1.7452208877819664E-2</v>
      </c>
      <c r="DV264" s="92" t="str">
        <f t="shared" si="845"/>
        <v/>
      </c>
      <c r="DW264" s="92">
        <f t="shared" si="846"/>
        <v>1</v>
      </c>
      <c r="DX264" s="92">
        <f t="shared" si="847"/>
        <v>3.4335898830073992E-2</v>
      </c>
      <c r="DY264" s="92">
        <f t="shared" si="848"/>
        <v>3.9999933893148189E-2</v>
      </c>
      <c r="DZ264" s="92">
        <f t="shared" si="849"/>
        <v>0.1070131106413852</v>
      </c>
      <c r="EA264" s="92">
        <f t="shared" si="850"/>
        <v>7.3755084030072013E-2</v>
      </c>
      <c r="EB264" s="92">
        <f t="shared" si="851"/>
        <v>5.5517195218491411E-2</v>
      </c>
      <c r="EC264" s="92">
        <f t="shared" si="852"/>
        <v>4.5077270646409325E-2</v>
      </c>
      <c r="ED264" s="92" t="str">
        <f t="shared" si="853"/>
        <v/>
      </c>
      <c r="EE264" s="92">
        <f t="shared" si="854"/>
        <v>0.35569849325958014</v>
      </c>
      <c r="EF264" s="92">
        <f t="shared" si="855"/>
        <v>2.181526109727458E-2</v>
      </c>
      <c r="EG264" s="92">
        <f t="shared" si="856"/>
        <v>0.37751375435685469</v>
      </c>
      <c r="EH264" s="92">
        <f t="shared" si="857"/>
        <v>0.64430150674041986</v>
      </c>
      <c r="EI264" s="92">
        <f t="shared" si="858"/>
        <v>0.54120787134284498</v>
      </c>
      <c r="EJ264" s="122">
        <f t="shared" si="859"/>
        <v>0.10309363539757486</v>
      </c>
    </row>
    <row r="265" spans="2:140" ht="12" hidden="1" customHeight="1" outlineLevel="1">
      <c r="B265" s="121">
        <v>45586</v>
      </c>
      <c r="C265" s="117">
        <v>23015</v>
      </c>
      <c r="D265" s="50" t="s">
        <v>1284</v>
      </c>
      <c r="E265" s="50" t="s">
        <v>1132</v>
      </c>
      <c r="F265" s="50" t="s">
        <v>546</v>
      </c>
      <c r="G265" s="50" t="s">
        <v>291</v>
      </c>
      <c r="H265" s="50" t="s">
        <v>1134</v>
      </c>
      <c r="I265" s="50" t="s">
        <v>499</v>
      </c>
      <c r="J265" s="52" t="s">
        <v>541</v>
      </c>
      <c r="K265" s="50" t="s">
        <v>542</v>
      </c>
      <c r="L265" s="49">
        <v>11</v>
      </c>
      <c r="M265" s="50" t="s">
        <v>159</v>
      </c>
      <c r="N265" s="50" t="s">
        <v>244</v>
      </c>
      <c r="O265" s="50" t="s">
        <v>160</v>
      </c>
      <c r="P265" s="50" t="s">
        <v>177</v>
      </c>
      <c r="Q265" s="53">
        <v>0.09</v>
      </c>
      <c r="R265" s="49">
        <v>84</v>
      </c>
      <c r="S265" s="49">
        <v>0</v>
      </c>
      <c r="T265" s="54">
        <f t="shared" si="860"/>
        <v>84</v>
      </c>
      <c r="U265" s="55">
        <v>70719</v>
      </c>
      <c r="V265" s="49">
        <v>5.5</v>
      </c>
      <c r="W265" s="56">
        <f t="shared" si="784"/>
        <v>15.272727272727273</v>
      </c>
      <c r="X265" s="49" t="s">
        <v>163</v>
      </c>
      <c r="Y265" s="57" t="s">
        <v>162</v>
      </c>
      <c r="Z265" s="58">
        <v>3650000</v>
      </c>
      <c r="AA265" s="114">
        <v>0.05</v>
      </c>
      <c r="AB265" s="59">
        <v>40</v>
      </c>
      <c r="AC265" s="60">
        <v>40</v>
      </c>
      <c r="AD265" s="61">
        <v>0.05</v>
      </c>
      <c r="AE265" s="62">
        <v>3650000</v>
      </c>
      <c r="AF265" s="63">
        <v>1.1499999999999999</v>
      </c>
      <c r="AG265" s="59"/>
      <c r="AH265" s="60"/>
      <c r="AI265" s="61"/>
      <c r="AJ265" s="64"/>
      <c r="AK265" s="65">
        <f t="shared" si="785"/>
        <v>3650000</v>
      </c>
      <c r="AL265" s="66">
        <v>500</v>
      </c>
      <c r="AM265" s="49" t="s">
        <v>1038</v>
      </c>
      <c r="AN265" s="67">
        <v>0.9</v>
      </c>
      <c r="AO265" s="62">
        <v>17998200</v>
      </c>
      <c r="AP265" s="62">
        <v>0</v>
      </c>
      <c r="AQ265" s="68">
        <v>598237</v>
      </c>
      <c r="AR265" s="69">
        <f t="shared" si="786"/>
        <v>43452.380952380954</v>
      </c>
      <c r="AS265" s="70">
        <f t="shared" si="787"/>
        <v>5.9523809523809526</v>
      </c>
      <c r="AT265" s="70">
        <f t="shared" si="788"/>
        <v>214264.28571428571</v>
      </c>
      <c r="AU265" s="70" t="str">
        <f t="shared" si="789"/>
        <v/>
      </c>
      <c r="AV265" s="71">
        <f t="shared" si="790"/>
        <v>7121.8690476190477</v>
      </c>
      <c r="AW265" s="115">
        <f t="shared" si="791"/>
        <v>129242.97619047618</v>
      </c>
      <c r="AX265" s="116">
        <f t="shared" si="792"/>
        <v>153.51475558195111</v>
      </c>
      <c r="AY265" s="72">
        <f t="shared" si="793"/>
        <v>157650.58333333331</v>
      </c>
      <c r="AZ265" s="73">
        <f t="shared" si="794"/>
        <v>187.25730001838261</v>
      </c>
      <c r="BA265" s="66">
        <v>2325000</v>
      </c>
      <c r="BB265" s="62">
        <v>2682708</v>
      </c>
      <c r="BC265" s="62">
        <v>8173702</v>
      </c>
      <c r="BD265" s="62">
        <v>759949</v>
      </c>
      <c r="BE265" s="62">
        <v>1626290</v>
      </c>
      <c r="BF265" s="62">
        <v>1811516</v>
      </c>
      <c r="BG265" s="62">
        <v>1936481</v>
      </c>
      <c r="BH265" s="62">
        <v>2470000</v>
      </c>
      <c r="BI265" s="62">
        <v>461291</v>
      </c>
      <c r="BJ265" s="47">
        <f t="shared" si="795"/>
        <v>22246937</v>
      </c>
      <c r="BK265" s="69">
        <f t="shared" si="796"/>
        <v>27678.571428571428</v>
      </c>
      <c r="BL265" s="70">
        <f t="shared" si="797"/>
        <v>31937</v>
      </c>
      <c r="BM265" s="70">
        <f t="shared" si="798"/>
        <v>97305.976190476184</v>
      </c>
      <c r="BN265" s="70">
        <f t="shared" si="799"/>
        <v>9047.0119047619046</v>
      </c>
      <c r="BO265" s="70">
        <f t="shared" si="800"/>
        <v>19360.595238095237</v>
      </c>
      <c r="BP265" s="70">
        <f t="shared" si="801"/>
        <v>21565.666666666668</v>
      </c>
      <c r="BQ265" s="70">
        <f t="shared" si="802"/>
        <v>23053.345238095237</v>
      </c>
      <c r="BR265" s="70">
        <f t="shared" si="803"/>
        <v>29404.761904761905</v>
      </c>
      <c r="BS265" s="70">
        <f t="shared" si="804"/>
        <v>5491.5595238095239</v>
      </c>
      <c r="BT265" s="71">
        <f t="shared" si="805"/>
        <v>264844.48809523811</v>
      </c>
      <c r="BU265" s="65">
        <f t="shared" si="806"/>
        <v>32.876596105714164</v>
      </c>
      <c r="BV265" s="48">
        <f t="shared" si="807"/>
        <v>37.934755864760533</v>
      </c>
      <c r="BW265" s="48">
        <f t="shared" si="808"/>
        <v>115.57999971719057</v>
      </c>
      <c r="BX265" s="48">
        <f t="shared" si="809"/>
        <v>10.74603713287801</v>
      </c>
      <c r="BY265" s="48">
        <f t="shared" si="810"/>
        <v>22.9965073035535</v>
      </c>
      <c r="BZ265" s="48">
        <f t="shared" si="811"/>
        <v>25.615690267113507</v>
      </c>
      <c r="CA265" s="48">
        <f t="shared" si="812"/>
        <v>27.382754281027729</v>
      </c>
      <c r="CB265" s="48">
        <f t="shared" si="813"/>
        <v>34.926964464995265</v>
      </c>
      <c r="CC265" s="48">
        <f t="shared" si="814"/>
        <v>6.5228722125595668</v>
      </c>
      <c r="CD265" s="47">
        <f t="shared" si="815"/>
        <v>314.58217734979286</v>
      </c>
      <c r="CE265" s="66">
        <v>699468</v>
      </c>
      <c r="CF265" s="62">
        <v>30240</v>
      </c>
      <c r="CG265" s="74">
        <v>-54728</v>
      </c>
      <c r="CH265" s="75">
        <f t="shared" si="816"/>
        <v>674980</v>
      </c>
      <c r="CI265" s="62">
        <f>29400+11723+3360</f>
        <v>44483</v>
      </c>
      <c r="CJ265" s="62">
        <v>33749</v>
      </c>
      <c r="CK265" s="62">
        <v>91095</v>
      </c>
      <c r="CL265" s="62">
        <f>52200</f>
        <v>52200</v>
      </c>
      <c r="CM265" s="62">
        <f>13900+39300</f>
        <v>53200</v>
      </c>
      <c r="CN265" s="62">
        <v>46200</v>
      </c>
      <c r="CO265" s="62">
        <v>67200</v>
      </c>
      <c r="CP265" s="75">
        <f t="shared" si="861"/>
        <v>388127</v>
      </c>
      <c r="CQ265" s="62">
        <v>21000</v>
      </c>
      <c r="CR265" s="75">
        <f t="shared" si="862"/>
        <v>409127</v>
      </c>
      <c r="CS265" s="75">
        <f t="shared" si="817"/>
        <v>286853</v>
      </c>
      <c r="CT265" s="62">
        <v>221454</v>
      </c>
      <c r="CU265" s="47">
        <f t="shared" si="818"/>
        <v>65399</v>
      </c>
      <c r="CV265" s="76">
        <f t="shared" si="819"/>
        <v>0.42497999940738984</v>
      </c>
      <c r="CW265" s="75">
        <f t="shared" si="820"/>
        <v>4870.5595238095239</v>
      </c>
      <c r="CX265" s="77">
        <f t="shared" si="821"/>
        <v>0.60613203354173462</v>
      </c>
      <c r="CY265" s="75">
        <f t="shared" si="822"/>
        <v>778.55952380952385</v>
      </c>
      <c r="CZ265" s="77">
        <f t="shared" si="823"/>
        <v>9.6890278230466087E-2</v>
      </c>
      <c r="DA265" s="77">
        <f t="shared" si="824"/>
        <v>0.32808972117692375</v>
      </c>
      <c r="DB265" s="47">
        <f t="shared" si="825"/>
        <v>43452.380952380954</v>
      </c>
      <c r="DC265" s="69">
        <f t="shared" si="826"/>
        <v>8327</v>
      </c>
      <c r="DD265" s="70">
        <f t="shared" si="827"/>
        <v>360</v>
      </c>
      <c r="DE265" s="70">
        <f t="shared" si="828"/>
        <v>-651.52380952380952</v>
      </c>
      <c r="DF265" s="70">
        <f t="shared" si="829"/>
        <v>8035.4761904761908</v>
      </c>
      <c r="DG265" s="70">
        <f t="shared" si="830"/>
        <v>529.55952380952385</v>
      </c>
      <c r="DH265" s="70">
        <f t="shared" si="831"/>
        <v>401.77380952380952</v>
      </c>
      <c r="DI265" s="70">
        <f t="shared" si="832"/>
        <v>1084.4642857142858</v>
      </c>
      <c r="DJ265" s="70">
        <f t="shared" si="833"/>
        <v>621.42857142857144</v>
      </c>
      <c r="DK265" s="70">
        <f t="shared" si="834"/>
        <v>633.33333333333337</v>
      </c>
      <c r="DL265" s="70">
        <f t="shared" si="835"/>
        <v>550</v>
      </c>
      <c r="DM265" s="70">
        <f t="shared" si="836"/>
        <v>800</v>
      </c>
      <c r="DN265" s="70">
        <f t="shared" si="837"/>
        <v>4620.5595238095239</v>
      </c>
      <c r="DO265" s="70">
        <f t="shared" si="838"/>
        <v>250</v>
      </c>
      <c r="DP265" s="70">
        <f t="shared" si="839"/>
        <v>4870.5595238095239</v>
      </c>
      <c r="DQ265" s="70">
        <f t="shared" si="840"/>
        <v>3414.9166666666665</v>
      </c>
      <c r="DR265" s="70">
        <f t="shared" si="841"/>
        <v>2636.3571428571427</v>
      </c>
      <c r="DS265" s="71">
        <f t="shared" si="842"/>
        <v>778.55952380952385</v>
      </c>
      <c r="DT265" s="106">
        <f t="shared" si="843"/>
        <v>1.0362795934694362</v>
      </c>
      <c r="DU265" s="92">
        <f t="shared" si="844"/>
        <v>4.4801327446739161E-2</v>
      </c>
      <c r="DV265" s="92" t="str">
        <f t="shared" si="845"/>
        <v/>
      </c>
      <c r="DW265" s="92">
        <f t="shared" si="846"/>
        <v>1</v>
      </c>
      <c r="DX265" s="92">
        <f t="shared" si="847"/>
        <v>6.5902693413138161E-2</v>
      </c>
      <c r="DY265" s="92">
        <f t="shared" si="848"/>
        <v>0.05</v>
      </c>
      <c r="DZ265" s="92">
        <f t="shared" si="849"/>
        <v>0.13495955435716614</v>
      </c>
      <c r="EA265" s="92">
        <f t="shared" si="850"/>
        <v>7.7335624759252125E-2</v>
      </c>
      <c r="EB265" s="92">
        <f t="shared" si="851"/>
        <v>7.8817150137781858E-2</v>
      </c>
      <c r="EC265" s="92">
        <f t="shared" si="852"/>
        <v>6.8446472488073715E-2</v>
      </c>
      <c r="ED265" s="92">
        <f t="shared" si="853"/>
        <v>9.9558505437198144E-2</v>
      </c>
      <c r="EE265" s="92">
        <f t="shared" si="854"/>
        <v>0.57502000059261016</v>
      </c>
      <c r="EF265" s="92">
        <f t="shared" si="855"/>
        <v>3.1112032949124419E-2</v>
      </c>
      <c r="EG265" s="92">
        <f t="shared" si="856"/>
        <v>0.60613203354173462</v>
      </c>
      <c r="EH265" s="92">
        <f t="shared" si="857"/>
        <v>0.42497999940738984</v>
      </c>
      <c r="EI265" s="92">
        <f t="shared" si="858"/>
        <v>0.32808972117692375</v>
      </c>
      <c r="EJ265" s="122">
        <f t="shared" si="859"/>
        <v>9.6890278230466087E-2</v>
      </c>
    </row>
    <row r="266" spans="2:140" ht="12" hidden="1" customHeight="1" outlineLevel="1">
      <c r="B266" s="121">
        <v>45587</v>
      </c>
      <c r="C266" s="117">
        <v>24196</v>
      </c>
      <c r="D266" s="50" t="s">
        <v>1285</v>
      </c>
      <c r="E266" s="50" t="s">
        <v>1286</v>
      </c>
      <c r="F266" s="50" t="s">
        <v>1287</v>
      </c>
      <c r="G266" s="50" t="s">
        <v>291</v>
      </c>
      <c r="H266" s="50" t="s">
        <v>731</v>
      </c>
      <c r="I266" s="50" t="s">
        <v>215</v>
      </c>
      <c r="J266" s="52" t="s">
        <v>541</v>
      </c>
      <c r="K266" s="50" t="s">
        <v>542</v>
      </c>
      <c r="L266" s="49">
        <v>11</v>
      </c>
      <c r="M266" s="50" t="s">
        <v>159</v>
      </c>
      <c r="N266" s="50" t="s">
        <v>361</v>
      </c>
      <c r="O266" s="50" t="s">
        <v>318</v>
      </c>
      <c r="P266" s="50" t="s">
        <v>177</v>
      </c>
      <c r="Q266" s="53">
        <v>0.09</v>
      </c>
      <c r="R266" s="49">
        <v>50</v>
      </c>
      <c r="S266" s="49">
        <v>0</v>
      </c>
      <c r="T266" s="54">
        <f t="shared" si="860"/>
        <v>50</v>
      </c>
      <c r="U266" s="55">
        <v>47885</v>
      </c>
      <c r="V266" s="49">
        <v>2.13</v>
      </c>
      <c r="W266" s="56">
        <f t="shared" si="784"/>
        <v>23.474178403755868</v>
      </c>
      <c r="X266" s="49" t="s">
        <v>163</v>
      </c>
      <c r="Y266" s="57" t="s">
        <v>162</v>
      </c>
      <c r="Z266" s="58">
        <v>3200000</v>
      </c>
      <c r="AA266" s="114">
        <v>7.0000000000000007E-2</v>
      </c>
      <c r="AB266" s="59">
        <v>15</v>
      </c>
      <c r="AC266" s="60">
        <v>35</v>
      </c>
      <c r="AD266" s="61">
        <v>7.0000000000000007E-2</v>
      </c>
      <c r="AE266" s="62">
        <v>3200000</v>
      </c>
      <c r="AF266" s="63">
        <v>1.24</v>
      </c>
      <c r="AG266" s="59"/>
      <c r="AH266" s="60"/>
      <c r="AI266" s="61"/>
      <c r="AJ266" s="64"/>
      <c r="AK266" s="65">
        <f t="shared" si="785"/>
        <v>3200000</v>
      </c>
      <c r="AL266" s="66">
        <v>426000</v>
      </c>
      <c r="AM266" s="49" t="s">
        <v>1288</v>
      </c>
      <c r="AN266" s="67">
        <v>0.86</v>
      </c>
      <c r="AO266" s="62">
        <v>14179000</v>
      </c>
      <c r="AP266" s="62">
        <v>0</v>
      </c>
      <c r="AQ266" s="68">
        <v>593862</v>
      </c>
      <c r="AR266" s="69">
        <f t="shared" si="786"/>
        <v>64000</v>
      </c>
      <c r="AS266" s="70">
        <f t="shared" si="787"/>
        <v>8520</v>
      </c>
      <c r="AT266" s="70">
        <f t="shared" si="788"/>
        <v>283580</v>
      </c>
      <c r="AU266" s="70" t="str">
        <f t="shared" si="789"/>
        <v/>
      </c>
      <c r="AV266" s="71">
        <f t="shared" si="790"/>
        <v>11877.24</v>
      </c>
      <c r="AW266" s="115">
        <f t="shared" si="791"/>
        <v>192138.2</v>
      </c>
      <c r="AX266" s="116">
        <f t="shared" si="792"/>
        <v>200.62462148898402</v>
      </c>
      <c r="AY266" s="72">
        <f t="shared" si="793"/>
        <v>227932.52</v>
      </c>
      <c r="AZ266" s="73">
        <f t="shared" si="794"/>
        <v>237.99991646653439</v>
      </c>
      <c r="BA266" s="66">
        <v>420000</v>
      </c>
      <c r="BB266" s="62">
        <v>782605</v>
      </c>
      <c r="BC266" s="62">
        <v>8824305</v>
      </c>
      <c r="BD266" s="62">
        <v>577865</v>
      </c>
      <c r="BE266" s="62">
        <v>1211851</v>
      </c>
      <c r="BF266" s="62">
        <v>1622436</v>
      </c>
      <c r="BG266" s="62">
        <v>1617378</v>
      </c>
      <c r="BH266" s="62">
        <v>1933222</v>
      </c>
      <c r="BI266" s="62">
        <v>331800</v>
      </c>
      <c r="BJ266" s="47">
        <f t="shared" si="795"/>
        <v>17321462</v>
      </c>
      <c r="BK266" s="69">
        <f t="shared" si="796"/>
        <v>8400</v>
      </c>
      <c r="BL266" s="70">
        <f t="shared" si="797"/>
        <v>15652.1</v>
      </c>
      <c r="BM266" s="70">
        <f t="shared" si="798"/>
        <v>176486.1</v>
      </c>
      <c r="BN266" s="70">
        <f t="shared" si="799"/>
        <v>11557.3</v>
      </c>
      <c r="BO266" s="70">
        <f t="shared" si="800"/>
        <v>24237.02</v>
      </c>
      <c r="BP266" s="70">
        <f t="shared" si="801"/>
        <v>32448.720000000001</v>
      </c>
      <c r="BQ266" s="70">
        <f t="shared" si="802"/>
        <v>32347.56</v>
      </c>
      <c r="BR266" s="70">
        <f t="shared" si="803"/>
        <v>38664.44</v>
      </c>
      <c r="BS266" s="70">
        <f t="shared" si="804"/>
        <v>6636</v>
      </c>
      <c r="BT266" s="71">
        <f t="shared" si="805"/>
        <v>346429.24</v>
      </c>
      <c r="BU266" s="65">
        <f t="shared" si="806"/>
        <v>8.7710138874386558</v>
      </c>
      <c r="BV266" s="48">
        <f t="shared" si="807"/>
        <v>16.343426960426022</v>
      </c>
      <c r="BW266" s="48">
        <f t="shared" si="808"/>
        <v>184.28119452855799</v>
      </c>
      <c r="BX266" s="48">
        <f t="shared" si="809"/>
        <v>12.067766523963662</v>
      </c>
      <c r="BY266" s="48">
        <f t="shared" si="810"/>
        <v>25.30752845358672</v>
      </c>
      <c r="BZ266" s="48">
        <f t="shared" si="811"/>
        <v>33.881925446381956</v>
      </c>
      <c r="CA266" s="48">
        <f t="shared" si="812"/>
        <v>33.776297379137517</v>
      </c>
      <c r="CB266" s="48">
        <f t="shared" si="813"/>
        <v>40.372183355956977</v>
      </c>
      <c r="CC266" s="48">
        <f t="shared" si="814"/>
        <v>6.9291009710765374</v>
      </c>
      <c r="CD266" s="47">
        <f t="shared" si="815"/>
        <v>361.73043750652607</v>
      </c>
      <c r="CE266" s="66">
        <v>670200</v>
      </c>
      <c r="CF266" s="62">
        <v>3000</v>
      </c>
      <c r="CG266" s="74">
        <v>-50490</v>
      </c>
      <c r="CH266" s="75">
        <f t="shared" si="816"/>
        <v>622710</v>
      </c>
      <c r="CI266" s="62">
        <f>27720+2000</f>
        <v>29720</v>
      </c>
      <c r="CJ266" s="62">
        <v>31136</v>
      </c>
      <c r="CK266" s="62">
        <v>98124</v>
      </c>
      <c r="CL266" s="62">
        <v>57390</v>
      </c>
      <c r="CM266" s="62">
        <f>20400+31980</f>
        <v>52380</v>
      </c>
      <c r="CN266" s="62">
        <v>52673</v>
      </c>
      <c r="CO266" s="62">
        <v>0</v>
      </c>
      <c r="CP266" s="75">
        <f t="shared" si="861"/>
        <v>321423</v>
      </c>
      <c r="CQ266" s="62">
        <v>12500</v>
      </c>
      <c r="CR266" s="75">
        <f t="shared" si="862"/>
        <v>333923</v>
      </c>
      <c r="CS266" s="75">
        <f t="shared" si="817"/>
        <v>301287</v>
      </c>
      <c r="CT266" s="62">
        <v>245321</v>
      </c>
      <c r="CU266" s="47">
        <f t="shared" si="818"/>
        <v>55966</v>
      </c>
      <c r="CV266" s="76">
        <f t="shared" si="819"/>
        <v>0.48383196030254855</v>
      </c>
      <c r="CW266" s="75">
        <f t="shared" si="820"/>
        <v>6678.46</v>
      </c>
      <c r="CX266" s="77">
        <f t="shared" si="821"/>
        <v>0.53624158918276565</v>
      </c>
      <c r="CY266" s="75">
        <f t="shared" si="822"/>
        <v>1119.32</v>
      </c>
      <c r="CZ266" s="77">
        <f t="shared" si="823"/>
        <v>8.9874901639607527E-2</v>
      </c>
      <c r="DA266" s="77">
        <f t="shared" si="824"/>
        <v>0.39395705866294101</v>
      </c>
      <c r="DB266" s="47">
        <f t="shared" si="825"/>
        <v>64000</v>
      </c>
      <c r="DC266" s="69">
        <f t="shared" si="826"/>
        <v>13404</v>
      </c>
      <c r="DD266" s="70">
        <f t="shared" si="827"/>
        <v>60</v>
      </c>
      <c r="DE266" s="70">
        <f t="shared" si="828"/>
        <v>-1009.8</v>
      </c>
      <c r="DF266" s="70">
        <f t="shared" si="829"/>
        <v>12454.2</v>
      </c>
      <c r="DG266" s="70">
        <f t="shared" si="830"/>
        <v>594.4</v>
      </c>
      <c r="DH266" s="70">
        <f t="shared" si="831"/>
        <v>622.72</v>
      </c>
      <c r="DI266" s="70">
        <f t="shared" si="832"/>
        <v>1962.48</v>
      </c>
      <c r="DJ266" s="70">
        <f t="shared" si="833"/>
        <v>1147.8</v>
      </c>
      <c r="DK266" s="70">
        <f t="shared" si="834"/>
        <v>1047.5999999999999</v>
      </c>
      <c r="DL266" s="70">
        <f t="shared" si="835"/>
        <v>1053.46</v>
      </c>
      <c r="DM266" s="70" t="str">
        <f t="shared" si="836"/>
        <v/>
      </c>
      <c r="DN266" s="70">
        <f t="shared" si="837"/>
        <v>6428.46</v>
      </c>
      <c r="DO266" s="70">
        <f t="shared" si="838"/>
        <v>250</v>
      </c>
      <c r="DP266" s="70">
        <f t="shared" si="839"/>
        <v>6678.46</v>
      </c>
      <c r="DQ266" s="70">
        <f t="shared" si="840"/>
        <v>6025.74</v>
      </c>
      <c r="DR266" s="70">
        <f t="shared" si="841"/>
        <v>4906.42</v>
      </c>
      <c r="DS266" s="71">
        <f t="shared" si="842"/>
        <v>1119.32</v>
      </c>
      <c r="DT266" s="106">
        <f t="shared" si="843"/>
        <v>1.0762634292046056</v>
      </c>
      <c r="DU266" s="92">
        <f t="shared" si="844"/>
        <v>4.8176518764754062E-3</v>
      </c>
      <c r="DV266" s="92" t="str">
        <f t="shared" si="845"/>
        <v/>
      </c>
      <c r="DW266" s="92">
        <f t="shared" si="846"/>
        <v>1</v>
      </c>
      <c r="DX266" s="92">
        <f t="shared" si="847"/>
        <v>4.772687125628302E-2</v>
      </c>
      <c r="DY266" s="92">
        <f t="shared" si="848"/>
        <v>5.0000802941979415E-2</v>
      </c>
      <c r="DZ266" s="92">
        <f t="shared" si="849"/>
        <v>0.15757575757575756</v>
      </c>
      <c r="EA266" s="92">
        <f t="shared" si="850"/>
        <v>9.2161680396974519E-2</v>
      </c>
      <c r="EB266" s="92">
        <f t="shared" si="851"/>
        <v>8.4116201763260581E-2</v>
      </c>
      <c r="EC266" s="92">
        <f t="shared" si="852"/>
        <v>8.4586725763196355E-2</v>
      </c>
      <c r="ED266" s="92" t="str">
        <f t="shared" si="853"/>
        <v/>
      </c>
      <c r="EE266" s="92">
        <f t="shared" si="854"/>
        <v>0.51616803969745151</v>
      </c>
      <c r="EF266" s="92">
        <f t="shared" si="855"/>
        <v>2.0073549485314191E-2</v>
      </c>
      <c r="EG266" s="92">
        <f t="shared" si="856"/>
        <v>0.53624158918276565</v>
      </c>
      <c r="EH266" s="92">
        <f t="shared" si="857"/>
        <v>0.48383196030254855</v>
      </c>
      <c r="EI266" s="92">
        <f t="shared" si="858"/>
        <v>0.39395705866294101</v>
      </c>
      <c r="EJ266" s="122">
        <f t="shared" si="859"/>
        <v>8.9874901639607527E-2</v>
      </c>
    </row>
    <row r="267" spans="2:140" ht="12" hidden="1" customHeight="1" outlineLevel="1">
      <c r="B267" s="121">
        <v>45587</v>
      </c>
      <c r="C267" s="117">
        <v>24197</v>
      </c>
      <c r="D267" s="50" t="s">
        <v>1289</v>
      </c>
      <c r="E267" s="50" t="s">
        <v>1286</v>
      </c>
      <c r="F267" s="50" t="s">
        <v>1287</v>
      </c>
      <c r="G267" s="50" t="s">
        <v>291</v>
      </c>
      <c r="H267" s="50" t="s">
        <v>731</v>
      </c>
      <c r="I267" s="50" t="s">
        <v>215</v>
      </c>
      <c r="J267" s="52" t="s">
        <v>541</v>
      </c>
      <c r="K267" s="50" t="s">
        <v>542</v>
      </c>
      <c r="L267" s="49">
        <v>11</v>
      </c>
      <c r="M267" s="50" t="s">
        <v>159</v>
      </c>
      <c r="N267" s="50" t="s">
        <v>160</v>
      </c>
      <c r="O267" s="50" t="s">
        <v>1290</v>
      </c>
      <c r="P267" s="50" t="s">
        <v>177</v>
      </c>
      <c r="Q267" s="53">
        <v>0.09</v>
      </c>
      <c r="R267" s="49">
        <v>80</v>
      </c>
      <c r="S267" s="49">
        <v>0</v>
      </c>
      <c r="T267" s="54">
        <f t="shared" si="860"/>
        <v>80</v>
      </c>
      <c r="U267" s="55">
        <v>79410</v>
      </c>
      <c r="V267" s="49">
        <v>6.83</v>
      </c>
      <c r="W267" s="56">
        <f t="shared" si="784"/>
        <v>11.71303074670571</v>
      </c>
      <c r="X267" s="49" t="s">
        <v>163</v>
      </c>
      <c r="Y267" s="57" t="s">
        <v>162</v>
      </c>
      <c r="Z267" s="58">
        <v>7400000</v>
      </c>
      <c r="AA267" s="114">
        <v>7.0000000000000007E-2</v>
      </c>
      <c r="AB267" s="59">
        <v>15</v>
      </c>
      <c r="AC267" s="60">
        <v>35</v>
      </c>
      <c r="AD267" s="61">
        <v>7.0000000000000007E-2</v>
      </c>
      <c r="AE267" s="62">
        <v>7400000</v>
      </c>
      <c r="AF267" s="63">
        <v>1.2</v>
      </c>
      <c r="AG267" s="59"/>
      <c r="AH267" s="60"/>
      <c r="AI267" s="61"/>
      <c r="AJ267" s="64"/>
      <c r="AK267" s="65">
        <f t="shared" si="785"/>
        <v>7400000</v>
      </c>
      <c r="AL267" s="66">
        <v>891000</v>
      </c>
      <c r="AM267" s="49" t="s">
        <v>1288</v>
      </c>
      <c r="AN267" s="67">
        <v>0.86</v>
      </c>
      <c r="AO267" s="62">
        <v>17198000</v>
      </c>
      <c r="AP267" s="62">
        <v>0</v>
      </c>
      <c r="AQ267" s="68">
        <v>631526</v>
      </c>
      <c r="AR267" s="69">
        <f t="shared" si="786"/>
        <v>92500</v>
      </c>
      <c r="AS267" s="70">
        <f t="shared" si="787"/>
        <v>11137.5</v>
      </c>
      <c r="AT267" s="70">
        <f t="shared" si="788"/>
        <v>214975</v>
      </c>
      <c r="AU267" s="70" t="str">
        <f t="shared" si="789"/>
        <v/>
      </c>
      <c r="AV267" s="71">
        <f t="shared" si="790"/>
        <v>7894.0749999999998</v>
      </c>
      <c r="AW267" s="115">
        <f t="shared" si="791"/>
        <v>179020.91250000001</v>
      </c>
      <c r="AX267" s="116">
        <f t="shared" si="792"/>
        <v>180.35100113335852</v>
      </c>
      <c r="AY267" s="72">
        <f t="shared" si="793"/>
        <v>216089.80000000002</v>
      </c>
      <c r="AZ267" s="73">
        <f t="shared" si="794"/>
        <v>217.69530285858207</v>
      </c>
      <c r="BA267" s="66">
        <v>890000</v>
      </c>
      <c r="BB267" s="62">
        <v>2461868</v>
      </c>
      <c r="BC267" s="62">
        <v>11859805</v>
      </c>
      <c r="BD267" s="62">
        <v>969198</v>
      </c>
      <c r="BE267" s="62">
        <v>1996313</v>
      </c>
      <c r="BF267" s="62">
        <v>1758637</v>
      </c>
      <c r="BG267" s="62">
        <v>2566074</v>
      </c>
      <c r="BH267" s="62">
        <v>3025831</v>
      </c>
      <c r="BI267" s="62">
        <v>592800</v>
      </c>
      <c r="BJ267" s="47">
        <f t="shared" si="795"/>
        <v>26120526</v>
      </c>
      <c r="BK267" s="69">
        <f t="shared" si="796"/>
        <v>11125</v>
      </c>
      <c r="BL267" s="70">
        <f t="shared" si="797"/>
        <v>30773.35</v>
      </c>
      <c r="BM267" s="70">
        <f t="shared" si="798"/>
        <v>148247.5625</v>
      </c>
      <c r="BN267" s="70">
        <f t="shared" si="799"/>
        <v>12114.975</v>
      </c>
      <c r="BO267" s="70">
        <f t="shared" si="800"/>
        <v>24953.912499999999</v>
      </c>
      <c r="BP267" s="70">
        <f t="shared" si="801"/>
        <v>21982.962500000001</v>
      </c>
      <c r="BQ267" s="70">
        <f t="shared" si="802"/>
        <v>32075.924999999999</v>
      </c>
      <c r="BR267" s="70">
        <f t="shared" si="803"/>
        <v>37822.887499999997</v>
      </c>
      <c r="BS267" s="70">
        <f t="shared" si="804"/>
        <v>7410</v>
      </c>
      <c r="BT267" s="71">
        <f t="shared" si="805"/>
        <v>326506.57500000001</v>
      </c>
      <c r="BU267" s="65">
        <f t="shared" si="806"/>
        <v>11.207656466439994</v>
      </c>
      <c r="BV267" s="48">
        <f t="shared" si="807"/>
        <v>31.001989673844605</v>
      </c>
      <c r="BW267" s="48">
        <f t="shared" si="808"/>
        <v>149.34901145951392</v>
      </c>
      <c r="BX267" s="48">
        <f t="shared" si="809"/>
        <v>12.204986777483944</v>
      </c>
      <c r="BY267" s="48">
        <f t="shared" si="810"/>
        <v>25.139314947739578</v>
      </c>
      <c r="BZ267" s="48">
        <f t="shared" si="811"/>
        <v>22.146291399068126</v>
      </c>
      <c r="CA267" s="48">
        <f t="shared" si="812"/>
        <v>32.314242538723086</v>
      </c>
      <c r="CB267" s="48">
        <f t="shared" si="813"/>
        <v>38.103903790454602</v>
      </c>
      <c r="CC267" s="48">
        <f t="shared" si="814"/>
        <v>7.4650547789950892</v>
      </c>
      <c r="CD267" s="47">
        <f t="shared" si="815"/>
        <v>328.93245183226293</v>
      </c>
      <c r="CE267" s="66">
        <v>1122048</v>
      </c>
      <c r="CF267" s="62">
        <v>28800</v>
      </c>
      <c r="CG267" s="74">
        <v>-86314</v>
      </c>
      <c r="CH267" s="75">
        <f t="shared" si="816"/>
        <v>1064534</v>
      </c>
      <c r="CI267" s="62">
        <f>29220+3200</f>
        <v>32420</v>
      </c>
      <c r="CJ267" s="62">
        <v>53227</v>
      </c>
      <c r="CK267" s="62">
        <v>101571</v>
      </c>
      <c r="CL267" s="62">
        <v>47900</v>
      </c>
      <c r="CM267" s="62">
        <f>15120+45984</f>
        <v>61104</v>
      </c>
      <c r="CN267" s="62">
        <v>79352</v>
      </c>
      <c r="CO267" s="62">
        <v>0</v>
      </c>
      <c r="CP267" s="75">
        <f t="shared" si="861"/>
        <v>375574</v>
      </c>
      <c r="CQ267" s="62">
        <v>20000</v>
      </c>
      <c r="CR267" s="75">
        <f t="shared" si="862"/>
        <v>395574</v>
      </c>
      <c r="CS267" s="75">
        <f>IFERROR(IF(CH267-CR267&gt;0,CH267-CP267,""),"")</f>
        <v>688960</v>
      </c>
      <c r="CT267" s="62">
        <v>567305</v>
      </c>
      <c r="CU267" s="47">
        <f t="shared" si="818"/>
        <v>121655</v>
      </c>
      <c r="CV267" s="76">
        <f t="shared" si="819"/>
        <v>0.64719398347070178</v>
      </c>
      <c r="CW267" s="75">
        <f t="shared" si="820"/>
        <v>4944.6750000000002</v>
      </c>
      <c r="CX267" s="77">
        <f t="shared" si="821"/>
        <v>0.37159357991384023</v>
      </c>
      <c r="CY267" s="75">
        <f t="shared" si="822"/>
        <v>1520.6875</v>
      </c>
      <c r="CZ267" s="77">
        <f t="shared" si="823"/>
        <v>0.11428005117732266</v>
      </c>
      <c r="DA267" s="77">
        <f t="shared" si="824"/>
        <v>0.53291393229337902</v>
      </c>
      <c r="DB267" s="47">
        <f t="shared" si="825"/>
        <v>92500</v>
      </c>
      <c r="DC267" s="69">
        <f t="shared" si="826"/>
        <v>14025.6</v>
      </c>
      <c r="DD267" s="70">
        <f t="shared" si="827"/>
        <v>360</v>
      </c>
      <c r="DE267" s="70">
        <f t="shared" si="828"/>
        <v>-1078.925</v>
      </c>
      <c r="DF267" s="70">
        <f t="shared" si="829"/>
        <v>13306.674999999999</v>
      </c>
      <c r="DG267" s="70">
        <f t="shared" si="830"/>
        <v>405.25</v>
      </c>
      <c r="DH267" s="70">
        <f t="shared" si="831"/>
        <v>665.33749999999998</v>
      </c>
      <c r="DI267" s="70">
        <f t="shared" si="832"/>
        <v>1269.6375</v>
      </c>
      <c r="DJ267" s="70">
        <f t="shared" si="833"/>
        <v>598.75</v>
      </c>
      <c r="DK267" s="70">
        <f t="shared" si="834"/>
        <v>763.8</v>
      </c>
      <c r="DL267" s="70">
        <f t="shared" si="835"/>
        <v>991.9</v>
      </c>
      <c r="DM267" s="70" t="str">
        <f t="shared" si="836"/>
        <v/>
      </c>
      <c r="DN267" s="70">
        <f t="shared" si="837"/>
        <v>4694.6750000000002</v>
      </c>
      <c r="DO267" s="70">
        <f t="shared" si="838"/>
        <v>250</v>
      </c>
      <c r="DP267" s="70">
        <f t="shared" si="839"/>
        <v>4944.6750000000002</v>
      </c>
      <c r="DQ267" s="70">
        <f t="shared" si="840"/>
        <v>8612</v>
      </c>
      <c r="DR267" s="70">
        <f t="shared" si="841"/>
        <v>7091.3125</v>
      </c>
      <c r="DS267" s="71">
        <f t="shared" si="842"/>
        <v>1520.6875</v>
      </c>
      <c r="DT267" s="106">
        <f t="shared" si="843"/>
        <v>1.0540273960249273</v>
      </c>
      <c r="DU267" s="92">
        <f t="shared" si="844"/>
        <v>2.7054091273740435E-2</v>
      </c>
      <c r="DV267" s="92" t="str">
        <f t="shared" si="845"/>
        <v/>
      </c>
      <c r="DW267" s="92">
        <f t="shared" si="846"/>
        <v>1</v>
      </c>
      <c r="DX267" s="92">
        <f t="shared" si="847"/>
        <v>3.0454640246342531E-2</v>
      </c>
      <c r="DY267" s="92">
        <f t="shared" si="848"/>
        <v>5.0000281813450766E-2</v>
      </c>
      <c r="DZ267" s="92">
        <f t="shared" si="849"/>
        <v>9.5413580026565609E-2</v>
      </c>
      <c r="EA267" s="92">
        <f t="shared" si="850"/>
        <v>4.4996214305978013E-2</v>
      </c>
      <c r="EB267" s="92">
        <f t="shared" si="851"/>
        <v>5.7399763652452619E-2</v>
      </c>
      <c r="EC267" s="92">
        <f t="shared" si="852"/>
        <v>7.4541536484508716E-2</v>
      </c>
      <c r="ED267" s="92" t="str">
        <f t="shared" si="853"/>
        <v/>
      </c>
      <c r="EE267" s="92">
        <f t="shared" si="854"/>
        <v>0.35280601652929827</v>
      </c>
      <c r="EF267" s="92">
        <f t="shared" si="855"/>
        <v>1.8787563384541968E-2</v>
      </c>
      <c r="EG267" s="92">
        <f t="shared" si="856"/>
        <v>0.37159357991384023</v>
      </c>
      <c r="EH267" s="92">
        <f t="shared" si="857"/>
        <v>0.64719398347070178</v>
      </c>
      <c r="EI267" s="92">
        <f t="shared" si="858"/>
        <v>0.53291393229337902</v>
      </c>
      <c r="EJ267" s="122">
        <f t="shared" si="859"/>
        <v>0.11428005117732266</v>
      </c>
    </row>
    <row r="268" spans="2:140" ht="12" hidden="1" customHeight="1" outlineLevel="1">
      <c r="B268" s="121">
        <v>45587</v>
      </c>
      <c r="C268" s="117">
        <v>24198</v>
      </c>
      <c r="D268" s="50" t="s">
        <v>1291</v>
      </c>
      <c r="E268" s="50" t="s">
        <v>1286</v>
      </c>
      <c r="F268" s="50" t="s">
        <v>1287</v>
      </c>
      <c r="G268" s="50" t="s">
        <v>291</v>
      </c>
      <c r="H268" s="50" t="s">
        <v>731</v>
      </c>
      <c r="I268" s="50" t="s">
        <v>215</v>
      </c>
      <c r="J268" s="52" t="s">
        <v>541</v>
      </c>
      <c r="K268" s="50" t="s">
        <v>542</v>
      </c>
      <c r="L268" s="49">
        <v>11</v>
      </c>
      <c r="M268" s="50" t="s">
        <v>159</v>
      </c>
      <c r="N268" s="50" t="s">
        <v>244</v>
      </c>
      <c r="O268" s="50" t="s">
        <v>1290</v>
      </c>
      <c r="P268" s="50" t="s">
        <v>177</v>
      </c>
      <c r="Q268" s="53">
        <v>0.09</v>
      </c>
      <c r="R268" s="49">
        <v>82</v>
      </c>
      <c r="S268" s="49">
        <v>0</v>
      </c>
      <c r="T268" s="54">
        <f t="shared" si="860"/>
        <v>82</v>
      </c>
      <c r="U268" s="55">
        <v>69512</v>
      </c>
      <c r="V268" s="49">
        <v>4.26</v>
      </c>
      <c r="W268" s="56">
        <f t="shared" si="784"/>
        <v>19.248826291079812</v>
      </c>
      <c r="X268" s="49" t="s">
        <v>163</v>
      </c>
      <c r="Y268" s="57" t="s">
        <v>162</v>
      </c>
      <c r="Z268" s="58">
        <v>5800000</v>
      </c>
      <c r="AA268" s="114">
        <v>7.0000000000000007E-2</v>
      </c>
      <c r="AB268" s="59">
        <v>15</v>
      </c>
      <c r="AC268" s="60">
        <v>35</v>
      </c>
      <c r="AD268" s="61">
        <v>7.0000000000000007E-2</v>
      </c>
      <c r="AE268" s="62">
        <v>5800000</v>
      </c>
      <c r="AF268" s="63">
        <v>1.17</v>
      </c>
      <c r="AG268" s="59"/>
      <c r="AH268" s="60"/>
      <c r="AI268" s="61"/>
      <c r="AJ268" s="64"/>
      <c r="AK268" s="65">
        <f t="shared" si="785"/>
        <v>5800000</v>
      </c>
      <c r="AL268" s="66">
        <v>551000</v>
      </c>
      <c r="AM268" s="49" t="s">
        <v>1288</v>
      </c>
      <c r="AN268" s="67">
        <v>0.87</v>
      </c>
      <c r="AO268" s="62">
        <v>17398000</v>
      </c>
      <c r="AP268" s="62">
        <v>0</v>
      </c>
      <c r="AQ268" s="68">
        <v>915665</v>
      </c>
      <c r="AR268" s="69">
        <f t="shared" si="786"/>
        <v>70731.707317073175</v>
      </c>
      <c r="AS268" s="70">
        <f t="shared" si="787"/>
        <v>6719.5121951219517</v>
      </c>
      <c r="AT268" s="70">
        <f t="shared" si="788"/>
        <v>212170.73170731709</v>
      </c>
      <c r="AU268" s="70" t="str">
        <f t="shared" si="789"/>
        <v/>
      </c>
      <c r="AV268" s="71">
        <f t="shared" si="790"/>
        <v>11166.646341463415</v>
      </c>
      <c r="AW268" s="115">
        <f t="shared" si="791"/>
        <v>157895.73170731709</v>
      </c>
      <c r="AX268" s="116">
        <f t="shared" si="792"/>
        <v>186.26208424444701</v>
      </c>
      <c r="AY268" s="72">
        <f t="shared" si="793"/>
        <v>188995.91463414632</v>
      </c>
      <c r="AZ268" s="73">
        <f t="shared" si="794"/>
        <v>222.94949073541258</v>
      </c>
      <c r="BA268" s="66">
        <v>550000</v>
      </c>
      <c r="BB268" s="62">
        <v>1771643</v>
      </c>
      <c r="BC268" s="62">
        <v>11175807</v>
      </c>
      <c r="BD268" s="62">
        <v>828199</v>
      </c>
      <c r="BE268" s="62">
        <v>1722016</v>
      </c>
      <c r="BF268" s="62">
        <v>1682253</v>
      </c>
      <c r="BG268" s="62">
        <v>2345913</v>
      </c>
      <c r="BH268" s="62">
        <v>2653234</v>
      </c>
      <c r="BI268" s="62">
        <v>495600</v>
      </c>
      <c r="BJ268" s="47">
        <f t="shared" si="795"/>
        <v>23224665</v>
      </c>
      <c r="BK268" s="69">
        <f t="shared" si="796"/>
        <v>6707.3170731707314</v>
      </c>
      <c r="BL268" s="70">
        <f t="shared" si="797"/>
        <v>21605.40243902439</v>
      </c>
      <c r="BM268" s="70">
        <f t="shared" si="798"/>
        <v>136290.32926829267</v>
      </c>
      <c r="BN268" s="70">
        <f t="shared" si="799"/>
        <v>10099.987804878048</v>
      </c>
      <c r="BO268" s="70">
        <f t="shared" si="800"/>
        <v>21000.195121951219</v>
      </c>
      <c r="BP268" s="70">
        <f t="shared" si="801"/>
        <v>20515.280487804877</v>
      </c>
      <c r="BQ268" s="70">
        <f t="shared" si="802"/>
        <v>28608.695121951219</v>
      </c>
      <c r="BR268" s="70">
        <f t="shared" si="803"/>
        <v>32356.512195121952</v>
      </c>
      <c r="BS268" s="70">
        <f t="shared" si="804"/>
        <v>6043.9024390243903</v>
      </c>
      <c r="BT268" s="71">
        <f t="shared" si="805"/>
        <v>283227.62195121951</v>
      </c>
      <c r="BU268" s="65">
        <f t="shared" si="806"/>
        <v>7.9123029117274717</v>
      </c>
      <c r="BV268" s="48">
        <f t="shared" si="807"/>
        <v>25.486865577166533</v>
      </c>
      <c r="BW268" s="48">
        <f t="shared" si="808"/>
        <v>160.77521866728046</v>
      </c>
      <c r="BX268" s="48">
        <f t="shared" si="809"/>
        <v>11.914475198526873</v>
      </c>
      <c r="BY268" s="48">
        <f t="shared" si="810"/>
        <v>24.772931292438717</v>
      </c>
      <c r="BZ268" s="48">
        <f t="shared" si="811"/>
        <v>24.200900563931409</v>
      </c>
      <c r="CA268" s="48">
        <f t="shared" si="812"/>
        <v>33.7483168373806</v>
      </c>
      <c r="CB268" s="48">
        <f t="shared" si="813"/>
        <v>38.169438370353319</v>
      </c>
      <c r="CC268" s="48">
        <f t="shared" si="814"/>
        <v>7.1297042237311548</v>
      </c>
      <c r="CD268" s="47">
        <f t="shared" si="815"/>
        <v>334.11015364253655</v>
      </c>
      <c r="CE268" s="66">
        <v>947256</v>
      </c>
      <c r="CF268" s="62">
        <v>29520</v>
      </c>
      <c r="CG268" s="74">
        <v>-73258</v>
      </c>
      <c r="CH268" s="75">
        <f t="shared" si="816"/>
        <v>903518</v>
      </c>
      <c r="CI268" s="62">
        <f>29220+3280</f>
        <v>32500</v>
      </c>
      <c r="CJ268" s="62">
        <v>45176</v>
      </c>
      <c r="CK268" s="62">
        <v>101571</v>
      </c>
      <c r="CL268" s="62">
        <v>49174</v>
      </c>
      <c r="CM268" s="62">
        <f>17352+44496</f>
        <v>61848</v>
      </c>
      <c r="CN268" s="62">
        <v>69512</v>
      </c>
      <c r="CO268" s="62">
        <v>0</v>
      </c>
      <c r="CP268" s="75">
        <f t="shared" si="861"/>
        <v>359781</v>
      </c>
      <c r="CQ268" s="62">
        <v>20500</v>
      </c>
      <c r="CR268" s="75">
        <f t="shared" si="862"/>
        <v>380281</v>
      </c>
      <c r="CS268" s="75">
        <f t="shared" si="817"/>
        <v>543737</v>
      </c>
      <c r="CT268" s="62">
        <v>444645</v>
      </c>
      <c r="CU268" s="47">
        <f t="shared" si="818"/>
        <v>99092</v>
      </c>
      <c r="CV268" s="76">
        <f t="shared" si="819"/>
        <v>0.60179985346169085</v>
      </c>
      <c r="CW268" s="75">
        <f t="shared" si="820"/>
        <v>4637.5731707317073</v>
      </c>
      <c r="CX268" s="77">
        <f t="shared" si="821"/>
        <v>0.42088923518955901</v>
      </c>
      <c r="CY268" s="75">
        <f t="shared" si="822"/>
        <v>1208.439024390244</v>
      </c>
      <c r="CZ268" s="77">
        <f t="shared" si="823"/>
        <v>0.1096735206160807</v>
      </c>
      <c r="DA268" s="77">
        <f t="shared" si="824"/>
        <v>0.49212633284561014</v>
      </c>
      <c r="DB268" s="47">
        <f t="shared" si="825"/>
        <v>70731.707317073175</v>
      </c>
      <c r="DC268" s="69">
        <f t="shared" si="826"/>
        <v>11551.90243902439</v>
      </c>
      <c r="DD268" s="70">
        <f t="shared" si="827"/>
        <v>360</v>
      </c>
      <c r="DE268" s="70">
        <f t="shared" si="828"/>
        <v>-893.39024390243901</v>
      </c>
      <c r="DF268" s="70">
        <f t="shared" si="829"/>
        <v>11018.512195121952</v>
      </c>
      <c r="DG268" s="70">
        <f t="shared" si="830"/>
        <v>396.34146341463412</v>
      </c>
      <c r="DH268" s="70">
        <f t="shared" si="831"/>
        <v>550.92682926829264</v>
      </c>
      <c r="DI268" s="70">
        <f t="shared" si="832"/>
        <v>1238.6707317073171</v>
      </c>
      <c r="DJ268" s="70">
        <f t="shared" si="833"/>
        <v>599.68292682926824</v>
      </c>
      <c r="DK268" s="70">
        <f t="shared" si="834"/>
        <v>754.2439024390244</v>
      </c>
      <c r="DL268" s="70">
        <f t="shared" si="835"/>
        <v>847.70731707317077</v>
      </c>
      <c r="DM268" s="70" t="str">
        <f t="shared" si="836"/>
        <v/>
      </c>
      <c r="DN268" s="70">
        <f t="shared" si="837"/>
        <v>4387.5731707317073</v>
      </c>
      <c r="DO268" s="70">
        <f t="shared" si="838"/>
        <v>250</v>
      </c>
      <c r="DP268" s="70">
        <f t="shared" si="839"/>
        <v>4637.5731707317073</v>
      </c>
      <c r="DQ268" s="70">
        <f t="shared" si="840"/>
        <v>6630.9390243902435</v>
      </c>
      <c r="DR268" s="70">
        <f t="shared" si="841"/>
        <v>5422.5</v>
      </c>
      <c r="DS268" s="71">
        <f t="shared" si="842"/>
        <v>1208.439024390244</v>
      </c>
      <c r="DT268" s="106">
        <f t="shared" si="843"/>
        <v>1.0484085541184569</v>
      </c>
      <c r="DU268" s="92">
        <f t="shared" si="844"/>
        <v>3.2672287657799844E-2</v>
      </c>
      <c r="DV268" s="92" t="str">
        <f t="shared" si="845"/>
        <v/>
      </c>
      <c r="DW268" s="92">
        <f t="shared" si="846"/>
        <v>1</v>
      </c>
      <c r="DX268" s="92">
        <f t="shared" si="847"/>
        <v>3.5970506398322999E-2</v>
      </c>
      <c r="DY268" s="92">
        <f t="shared" si="848"/>
        <v>5.0000110678481223E-2</v>
      </c>
      <c r="DZ268" s="92">
        <f t="shared" si="849"/>
        <v>0.11241724016566355</v>
      </c>
      <c r="EA268" s="92">
        <f t="shared" si="850"/>
        <v>5.4425036357881082E-2</v>
      </c>
      <c r="EB268" s="92">
        <f t="shared" si="851"/>
        <v>6.8452427068414798E-2</v>
      </c>
      <c r="EC268" s="92">
        <f t="shared" si="852"/>
        <v>7.693482586954549E-2</v>
      </c>
      <c r="ED268" s="92" t="str">
        <f t="shared" si="853"/>
        <v/>
      </c>
      <c r="EE268" s="92">
        <f t="shared" si="854"/>
        <v>0.39820014653830915</v>
      </c>
      <c r="EF268" s="92">
        <f t="shared" si="855"/>
        <v>2.268908865124989E-2</v>
      </c>
      <c r="EG268" s="92">
        <f t="shared" si="856"/>
        <v>0.42088923518955901</v>
      </c>
      <c r="EH268" s="92">
        <f t="shared" si="857"/>
        <v>0.60179985346169085</v>
      </c>
      <c r="EI268" s="92">
        <f t="shared" si="858"/>
        <v>0.49212633284561014</v>
      </c>
      <c r="EJ268" s="122">
        <f t="shared" si="859"/>
        <v>0.1096735206160807</v>
      </c>
    </row>
    <row r="269" spans="2:140" ht="12" hidden="1" customHeight="1" outlineLevel="1">
      <c r="B269" s="121">
        <v>45589</v>
      </c>
      <c r="C269" s="117">
        <v>24478</v>
      </c>
      <c r="D269" s="50" t="s">
        <v>1292</v>
      </c>
      <c r="E269" s="50" t="s">
        <v>953</v>
      </c>
      <c r="F269" s="50" t="s">
        <v>1293</v>
      </c>
      <c r="G269" s="50" t="s">
        <v>1294</v>
      </c>
      <c r="H269" s="50" t="s">
        <v>396</v>
      </c>
      <c r="I269" s="50" t="s">
        <v>956</v>
      </c>
      <c r="J269" s="52" t="s">
        <v>183</v>
      </c>
      <c r="K269" s="50" t="s">
        <v>184</v>
      </c>
      <c r="L269" s="49">
        <v>9</v>
      </c>
      <c r="M269" s="50" t="s">
        <v>159</v>
      </c>
      <c r="N269" s="50" t="s">
        <v>160</v>
      </c>
      <c r="O269" s="50" t="s">
        <v>160</v>
      </c>
      <c r="P269" s="50" t="s">
        <v>177</v>
      </c>
      <c r="Q269" s="53">
        <v>0.04</v>
      </c>
      <c r="R269" s="49">
        <v>312</v>
      </c>
      <c r="S269" s="49">
        <v>0</v>
      </c>
      <c r="T269" s="54">
        <f t="shared" si="860"/>
        <v>312</v>
      </c>
      <c r="U269" s="55">
        <v>307692</v>
      </c>
      <c r="V269" s="49">
        <v>25.65</v>
      </c>
      <c r="W269" s="56">
        <f t="shared" si="784"/>
        <v>12.163742690058481</v>
      </c>
      <c r="X269" s="49" t="s">
        <v>163</v>
      </c>
      <c r="Y269" s="57" t="s">
        <v>162</v>
      </c>
      <c r="Z269" s="58">
        <v>76675000</v>
      </c>
      <c r="AA269" s="114">
        <f>(((43175000*0.0425)/(Table1[[#This Row],[Construction Loan Principal]]))+((33500000*0.085)/(Table1[[#This Row],[Construction Loan Principal]])))</f>
        <v>6.1068633844147374E-2</v>
      </c>
      <c r="AB269" s="59">
        <v>40</v>
      </c>
      <c r="AC269" s="60">
        <v>40</v>
      </c>
      <c r="AD269" s="61">
        <v>4.2500000000000003E-2</v>
      </c>
      <c r="AE269" s="62">
        <v>43175000</v>
      </c>
      <c r="AF269" s="63">
        <v>1.1499999999999999</v>
      </c>
      <c r="AG269" s="59"/>
      <c r="AH269" s="60"/>
      <c r="AI269" s="61"/>
      <c r="AJ269" s="64"/>
      <c r="AK269" s="65">
        <f t="shared" si="785"/>
        <v>43175000</v>
      </c>
      <c r="AL269" s="66">
        <v>8000000</v>
      </c>
      <c r="AM269" s="49" t="s">
        <v>1295</v>
      </c>
      <c r="AN269" s="67">
        <v>0.87</v>
      </c>
      <c r="AO269" s="62">
        <v>43260731</v>
      </c>
      <c r="AP269" s="62">
        <v>1262350</v>
      </c>
      <c r="AQ269" s="68">
        <v>7222952</v>
      </c>
      <c r="AR269" s="69">
        <f t="shared" si="786"/>
        <v>138381.41025641025</v>
      </c>
      <c r="AS269" s="70">
        <f t="shared" si="787"/>
        <v>25641.025641025641</v>
      </c>
      <c r="AT269" s="70">
        <f t="shared" si="788"/>
        <v>138656.18910256409</v>
      </c>
      <c r="AU269" s="70">
        <f t="shared" si="789"/>
        <v>4045.9935897435898</v>
      </c>
      <c r="AV269" s="71">
        <f t="shared" si="790"/>
        <v>23150.48717948718</v>
      </c>
      <c r="AW269" s="115">
        <f t="shared" si="791"/>
        <v>186219.79166666666</v>
      </c>
      <c r="AX269" s="116">
        <f t="shared" si="792"/>
        <v>188.82705757705759</v>
      </c>
      <c r="AY269" s="72">
        <f t="shared" si="793"/>
        <v>222905.09294871794</v>
      </c>
      <c r="AZ269" s="73">
        <f t="shared" si="794"/>
        <v>226.0259902759903</v>
      </c>
      <c r="BA269" s="66">
        <v>1834147</v>
      </c>
      <c r="BB269" s="62">
        <v>21063075</v>
      </c>
      <c r="BC269" s="62">
        <v>37037500</v>
      </c>
      <c r="BD269" s="62">
        <v>2905029</v>
      </c>
      <c r="BE269" s="62">
        <v>8540785</v>
      </c>
      <c r="BF269" s="62">
        <v>4140290</v>
      </c>
      <c r="BG269" s="62">
        <v>13676964</v>
      </c>
      <c r="BH269" s="62">
        <v>12473244</v>
      </c>
      <c r="BI269" s="62">
        <v>1250000</v>
      </c>
      <c r="BJ269" s="47">
        <f t="shared" si="795"/>
        <v>102921034</v>
      </c>
      <c r="BK269" s="69">
        <f t="shared" si="796"/>
        <v>5878.6762820512822</v>
      </c>
      <c r="BL269" s="70">
        <f t="shared" si="797"/>
        <v>67509.855769230766</v>
      </c>
      <c r="BM269" s="70">
        <f t="shared" si="798"/>
        <v>118709.93589743589</v>
      </c>
      <c r="BN269" s="70">
        <f t="shared" si="799"/>
        <v>9310.9903846153848</v>
      </c>
      <c r="BO269" s="70">
        <f t="shared" si="800"/>
        <v>27374.310897435898</v>
      </c>
      <c r="BP269" s="70">
        <f t="shared" si="801"/>
        <v>13270.160256410256</v>
      </c>
      <c r="BQ269" s="70">
        <f t="shared" si="802"/>
        <v>43836.423076923078</v>
      </c>
      <c r="BR269" s="70">
        <f t="shared" si="803"/>
        <v>39978.346153846156</v>
      </c>
      <c r="BS269" s="70">
        <f t="shared" si="804"/>
        <v>4006.4102564102564</v>
      </c>
      <c r="BT269" s="71">
        <f t="shared" si="805"/>
        <v>329875.108974359</v>
      </c>
      <c r="BU269" s="65">
        <f t="shared" si="806"/>
        <v>5.9609837109837107</v>
      </c>
      <c r="BV269" s="48">
        <f t="shared" si="807"/>
        <v>68.455062205062205</v>
      </c>
      <c r="BW269" s="48">
        <f t="shared" si="808"/>
        <v>120.37199537199537</v>
      </c>
      <c r="BX269" s="48">
        <f t="shared" si="809"/>
        <v>9.441353691353692</v>
      </c>
      <c r="BY269" s="48">
        <f t="shared" si="810"/>
        <v>27.757579007579007</v>
      </c>
      <c r="BZ269" s="48">
        <f t="shared" si="811"/>
        <v>13.455955955955956</v>
      </c>
      <c r="CA269" s="48">
        <f t="shared" si="812"/>
        <v>44.450177450177449</v>
      </c>
      <c r="CB269" s="48">
        <f t="shared" si="813"/>
        <v>40.538083538083541</v>
      </c>
      <c r="CC269" s="48">
        <f t="shared" si="814"/>
        <v>4.0625040625040629</v>
      </c>
      <c r="CD269" s="47">
        <f t="shared" si="815"/>
        <v>334.49369499369499</v>
      </c>
      <c r="CE269" s="66">
        <v>4118436</v>
      </c>
      <c r="CF269" s="62">
        <v>112320</v>
      </c>
      <c r="CG269" s="74">
        <v>-317307</v>
      </c>
      <c r="CH269" s="75">
        <f t="shared" si="816"/>
        <v>3913449</v>
      </c>
      <c r="CI269" s="62">
        <f>146921+12480</f>
        <v>159401</v>
      </c>
      <c r="CJ269" s="62">
        <v>117403</v>
      </c>
      <c r="CK269" s="62">
        <v>273472</v>
      </c>
      <c r="CL269" s="62">
        <v>211630</v>
      </c>
      <c r="CM269" s="62">
        <f>66035+152436</f>
        <v>218471</v>
      </c>
      <c r="CN269" s="62">
        <v>125876</v>
      </c>
      <c r="CO269" s="62">
        <v>0</v>
      </c>
      <c r="CP269" s="75">
        <f t="shared" si="861"/>
        <v>1106253</v>
      </c>
      <c r="CQ269" s="62">
        <v>78000</v>
      </c>
      <c r="CR269" s="75">
        <f t="shared" si="862"/>
        <v>1184253</v>
      </c>
      <c r="CS269" s="75">
        <f t="shared" si="817"/>
        <v>2807196</v>
      </c>
      <c r="CT269" s="62">
        <v>2354524</v>
      </c>
      <c r="CU269" s="47">
        <f t="shared" si="818"/>
        <v>452672</v>
      </c>
      <c r="CV269" s="76">
        <f t="shared" si="819"/>
        <v>0.71732019505045297</v>
      </c>
      <c r="CW269" s="75">
        <f t="shared" si="820"/>
        <v>3795.6826923076924</v>
      </c>
      <c r="CX269" s="77">
        <f t="shared" si="821"/>
        <v>0.30261107273916182</v>
      </c>
      <c r="CY269" s="75">
        <f t="shared" si="822"/>
        <v>1450.8717948717949</v>
      </c>
      <c r="CZ269" s="77">
        <f t="shared" si="823"/>
        <v>0.1156708570879549</v>
      </c>
      <c r="DA269" s="77">
        <f t="shared" si="824"/>
        <v>0.60164933796249809</v>
      </c>
      <c r="DB269" s="47">
        <f t="shared" si="825"/>
        <v>138381.41025641025</v>
      </c>
      <c r="DC269" s="69">
        <f t="shared" si="826"/>
        <v>13200.115384615385</v>
      </c>
      <c r="DD269" s="70">
        <f t="shared" si="827"/>
        <v>360</v>
      </c>
      <c r="DE269" s="70">
        <f t="shared" si="828"/>
        <v>-1017.0096153846154</v>
      </c>
      <c r="DF269" s="70">
        <f t="shared" si="829"/>
        <v>12543.10576923077</v>
      </c>
      <c r="DG269" s="70">
        <f t="shared" si="830"/>
        <v>510.90064102564105</v>
      </c>
      <c r="DH269" s="70">
        <f t="shared" si="831"/>
        <v>376.29166666666669</v>
      </c>
      <c r="DI269" s="70">
        <f t="shared" si="832"/>
        <v>876.51282051282055</v>
      </c>
      <c r="DJ269" s="70">
        <f t="shared" si="833"/>
        <v>678.3012820512821</v>
      </c>
      <c r="DK269" s="70">
        <f t="shared" si="834"/>
        <v>700.22756410256409</v>
      </c>
      <c r="DL269" s="70">
        <f t="shared" si="835"/>
        <v>403.44871794871796</v>
      </c>
      <c r="DM269" s="70" t="str">
        <f t="shared" si="836"/>
        <v/>
      </c>
      <c r="DN269" s="70">
        <f t="shared" si="837"/>
        <v>3545.6826923076924</v>
      </c>
      <c r="DO269" s="70">
        <f t="shared" si="838"/>
        <v>250</v>
      </c>
      <c r="DP269" s="70">
        <f t="shared" si="839"/>
        <v>3795.6826923076924</v>
      </c>
      <c r="DQ269" s="70">
        <f t="shared" si="840"/>
        <v>8997.4230769230762</v>
      </c>
      <c r="DR269" s="70">
        <f t="shared" si="841"/>
        <v>7546.5512820512822</v>
      </c>
      <c r="DS269" s="71">
        <f t="shared" si="842"/>
        <v>1450.8717948717949</v>
      </c>
      <c r="DT269" s="106">
        <f t="shared" si="843"/>
        <v>1.0523801383383302</v>
      </c>
      <c r="DU269" s="92">
        <f t="shared" si="844"/>
        <v>2.8701025617045219E-2</v>
      </c>
      <c r="DV269" s="92" t="str">
        <f t="shared" si="845"/>
        <v/>
      </c>
      <c r="DW269" s="92">
        <f t="shared" si="846"/>
        <v>1</v>
      </c>
      <c r="DX269" s="92">
        <f t="shared" si="847"/>
        <v>4.073158996067152E-2</v>
      </c>
      <c r="DY269" s="92">
        <f t="shared" si="848"/>
        <v>2.9999879901335114E-2</v>
      </c>
      <c r="DZ269" s="92">
        <f t="shared" si="849"/>
        <v>6.9880046986686165E-2</v>
      </c>
      <c r="EA269" s="92">
        <f t="shared" si="850"/>
        <v>5.4077617978412394E-2</v>
      </c>
      <c r="EB269" s="92">
        <f t="shared" si="851"/>
        <v>5.5825692375191298E-2</v>
      </c>
      <c r="EC269" s="92">
        <f t="shared" si="852"/>
        <v>3.2164977747250571E-2</v>
      </c>
      <c r="ED269" s="92" t="str">
        <f t="shared" si="853"/>
        <v/>
      </c>
      <c r="EE269" s="92">
        <f t="shared" si="854"/>
        <v>0.28267980494954709</v>
      </c>
      <c r="EF269" s="92">
        <f t="shared" si="855"/>
        <v>1.9931267789614737E-2</v>
      </c>
      <c r="EG269" s="92">
        <f t="shared" si="856"/>
        <v>0.30261107273916182</v>
      </c>
      <c r="EH269" s="92">
        <f t="shared" si="857"/>
        <v>0.71732019505045297</v>
      </c>
      <c r="EI269" s="92">
        <f t="shared" si="858"/>
        <v>0.60164933796249809</v>
      </c>
      <c r="EJ269" s="122">
        <f t="shared" si="859"/>
        <v>0.1156708570879549</v>
      </c>
    </row>
    <row r="270" spans="2:140" ht="12" hidden="1" customHeight="1" outlineLevel="1">
      <c r="B270" s="121">
        <v>45600</v>
      </c>
      <c r="C270" s="117" t="s">
        <v>1296</v>
      </c>
      <c r="D270" s="50" t="s">
        <v>1297</v>
      </c>
      <c r="E270" s="50" t="s">
        <v>1087</v>
      </c>
      <c r="F270" s="50" t="s">
        <v>1298</v>
      </c>
      <c r="G270" s="50" t="s">
        <v>162</v>
      </c>
      <c r="H270" s="50" t="s">
        <v>1299</v>
      </c>
      <c r="I270" s="50" t="s">
        <v>438</v>
      </c>
      <c r="J270" s="52" t="s">
        <v>1027</v>
      </c>
      <c r="K270" s="50" t="s">
        <v>199</v>
      </c>
      <c r="L270" s="49">
        <v>3</v>
      </c>
      <c r="M270" s="50" t="s">
        <v>159</v>
      </c>
      <c r="N270" s="50" t="s">
        <v>160</v>
      </c>
      <c r="O270" s="50" t="s">
        <v>160</v>
      </c>
      <c r="P270" s="50" t="s">
        <v>177</v>
      </c>
      <c r="Q270" s="53">
        <v>0.09</v>
      </c>
      <c r="R270" s="49">
        <f>90-33</f>
        <v>57</v>
      </c>
      <c r="S270" s="49">
        <v>33</v>
      </c>
      <c r="T270" s="54">
        <f t="shared" si="860"/>
        <v>90</v>
      </c>
      <c r="U270" s="55">
        <v>85455</v>
      </c>
      <c r="V270" s="49">
        <v>2.84</v>
      </c>
      <c r="W270" s="56">
        <f t="shared" si="784"/>
        <v>31.690140845070424</v>
      </c>
      <c r="X270" s="49" t="s">
        <v>163</v>
      </c>
      <c r="Y270" s="57" t="s">
        <v>162</v>
      </c>
      <c r="Z270" s="58">
        <v>11608500</v>
      </c>
      <c r="AA270" s="114">
        <v>4.8000000000000001E-2</v>
      </c>
      <c r="AB270" s="59">
        <v>40</v>
      </c>
      <c r="AC270" s="60">
        <v>40</v>
      </c>
      <c r="AD270" s="61">
        <v>4.8000000000000001E-2</v>
      </c>
      <c r="AE270" s="62">
        <v>11608500</v>
      </c>
      <c r="AF270" s="63">
        <v>1.1499999999999999</v>
      </c>
      <c r="AG270" s="59"/>
      <c r="AH270" s="60"/>
      <c r="AI270" s="61"/>
      <c r="AJ270" s="64"/>
      <c r="AK270" s="65">
        <f t="shared" si="785"/>
        <v>11608500</v>
      </c>
      <c r="AL270" s="66">
        <v>500</v>
      </c>
      <c r="AM270" s="49" t="s">
        <v>1300</v>
      </c>
      <c r="AN270" s="67">
        <v>0.93</v>
      </c>
      <c r="AO270" s="62">
        <v>13948605</v>
      </c>
      <c r="AP270" s="62">
        <v>0</v>
      </c>
      <c r="AQ270" s="68">
        <v>1014935</v>
      </c>
      <c r="AR270" s="69">
        <f t="shared" si="786"/>
        <v>128983.33333333333</v>
      </c>
      <c r="AS270" s="70">
        <f t="shared" si="787"/>
        <v>5.5555555555555554</v>
      </c>
      <c r="AT270" s="70">
        <f t="shared" si="788"/>
        <v>154984.5</v>
      </c>
      <c r="AU270" s="70" t="str">
        <f t="shared" si="789"/>
        <v/>
      </c>
      <c r="AV270" s="71">
        <f t="shared" si="790"/>
        <v>11277.055555555555</v>
      </c>
      <c r="AW270" s="115">
        <f t="shared" si="791"/>
        <v>144731.92222222223</v>
      </c>
      <c r="AX270" s="116">
        <f t="shared" si="792"/>
        <v>152.42961792756421</v>
      </c>
      <c r="AY270" s="72">
        <f t="shared" si="793"/>
        <v>170664.44444444447</v>
      </c>
      <c r="AZ270" s="73">
        <f t="shared" si="794"/>
        <v>179.74138435433852</v>
      </c>
      <c r="BA270" s="66">
        <v>2832500</v>
      </c>
      <c r="BB270" s="62">
        <v>1740797</v>
      </c>
      <c r="BC270" s="62">
        <v>11285076</v>
      </c>
      <c r="BD270" s="62">
        <v>510305</v>
      </c>
      <c r="BE270" s="62">
        <v>1823622</v>
      </c>
      <c r="BF270" s="62">
        <v>2738110</v>
      </c>
      <c r="BG270" s="62">
        <v>1705839</v>
      </c>
      <c r="BH270" s="62">
        <v>2840858</v>
      </c>
      <c r="BI270" s="62">
        <v>1095433</v>
      </c>
      <c r="BJ270" s="47">
        <f t="shared" si="795"/>
        <v>26572540</v>
      </c>
      <c r="BK270" s="69">
        <f t="shared" si="796"/>
        <v>31472.222222222223</v>
      </c>
      <c r="BL270" s="70">
        <f t="shared" si="797"/>
        <v>19342.18888888889</v>
      </c>
      <c r="BM270" s="70">
        <f t="shared" si="798"/>
        <v>125389.73333333334</v>
      </c>
      <c r="BN270" s="70">
        <f t="shared" si="799"/>
        <v>5670.0555555555557</v>
      </c>
      <c r="BO270" s="70">
        <f t="shared" si="800"/>
        <v>20262.466666666667</v>
      </c>
      <c r="BP270" s="70">
        <f t="shared" si="801"/>
        <v>30423.444444444445</v>
      </c>
      <c r="BQ270" s="70">
        <f t="shared" si="802"/>
        <v>18953.766666666666</v>
      </c>
      <c r="BR270" s="70">
        <f t="shared" si="803"/>
        <v>31565.088888888888</v>
      </c>
      <c r="BS270" s="70">
        <f t="shared" si="804"/>
        <v>12171.477777777778</v>
      </c>
      <c r="BT270" s="71">
        <f t="shared" si="805"/>
        <v>295250.44444444444</v>
      </c>
      <c r="BU270" s="65">
        <f t="shared" si="806"/>
        <v>33.146100286700602</v>
      </c>
      <c r="BV270" s="48">
        <f t="shared" si="807"/>
        <v>20.370920367444853</v>
      </c>
      <c r="BW270" s="48">
        <f t="shared" si="808"/>
        <v>132.05869756011936</v>
      </c>
      <c r="BX270" s="48">
        <f t="shared" si="809"/>
        <v>5.9716224913697271</v>
      </c>
      <c r="BY270" s="48">
        <f t="shared" si="810"/>
        <v>21.340143935404598</v>
      </c>
      <c r="BZ270" s="48">
        <f t="shared" si="811"/>
        <v>32.041542332221638</v>
      </c>
      <c r="CA270" s="48">
        <f t="shared" si="812"/>
        <v>19.961839564683167</v>
      </c>
      <c r="CB270" s="48">
        <f t="shared" si="813"/>
        <v>33.243906149435375</v>
      </c>
      <c r="CC270" s="48">
        <f t="shared" si="814"/>
        <v>12.818828623252005</v>
      </c>
      <c r="CD270" s="47">
        <f t="shared" si="815"/>
        <v>310.95360131063131</v>
      </c>
      <c r="CE270" s="66">
        <v>1448112</v>
      </c>
      <c r="CF270" s="62">
        <f>17244+9828</f>
        <v>27072</v>
      </c>
      <c r="CG270" s="74">
        <v>-110639</v>
      </c>
      <c r="CH270" s="75">
        <f t="shared" si="816"/>
        <v>1364545</v>
      </c>
      <c r="CI270" s="62">
        <f>43764+2280</f>
        <v>46044</v>
      </c>
      <c r="CJ270" s="62">
        <v>68227</v>
      </c>
      <c r="CK270" s="62">
        <v>156121</v>
      </c>
      <c r="CL270" s="62">
        <v>61663</v>
      </c>
      <c r="CM270" s="62">
        <f>17222+50524</f>
        <v>67746</v>
      </c>
      <c r="CN270" s="62">
        <v>45000</v>
      </c>
      <c r="CO270" s="62">
        <v>112500</v>
      </c>
      <c r="CP270" s="75">
        <f t="shared" si="861"/>
        <v>557301</v>
      </c>
      <c r="CQ270" s="62">
        <v>22500</v>
      </c>
      <c r="CR270" s="75">
        <f t="shared" si="862"/>
        <v>579801</v>
      </c>
      <c r="CS270" s="75">
        <f t="shared" si="817"/>
        <v>807244</v>
      </c>
      <c r="CT270" s="62">
        <v>682384</v>
      </c>
      <c r="CU270" s="47">
        <f t="shared" si="818"/>
        <v>124860</v>
      </c>
      <c r="CV270" s="76">
        <f t="shared" si="819"/>
        <v>0.59158474070111278</v>
      </c>
      <c r="CW270" s="75">
        <f t="shared" si="820"/>
        <v>6442.2333333333336</v>
      </c>
      <c r="CX270" s="77">
        <f t="shared" si="821"/>
        <v>0.4249042721200107</v>
      </c>
      <c r="CY270" s="75">
        <f t="shared" si="822"/>
        <v>1387.3333333333333</v>
      </c>
      <c r="CZ270" s="77">
        <f t="shared" si="823"/>
        <v>9.1503028482021478E-2</v>
      </c>
      <c r="DA270" s="77">
        <f t="shared" si="824"/>
        <v>0.50008171221909137</v>
      </c>
      <c r="DB270" s="47">
        <f t="shared" si="825"/>
        <v>128983.33333333333</v>
      </c>
      <c r="DC270" s="69">
        <f t="shared" si="826"/>
        <v>16090.133333333333</v>
      </c>
      <c r="DD270" s="70">
        <f t="shared" si="827"/>
        <v>300.8</v>
      </c>
      <c r="DE270" s="70">
        <f t="shared" si="828"/>
        <v>-1229.3222222222223</v>
      </c>
      <c r="DF270" s="70">
        <f t="shared" si="829"/>
        <v>15161.611111111111</v>
      </c>
      <c r="DG270" s="70">
        <f t="shared" si="830"/>
        <v>511.6</v>
      </c>
      <c r="DH270" s="70">
        <f t="shared" si="831"/>
        <v>758.07777777777778</v>
      </c>
      <c r="DI270" s="70">
        <f t="shared" si="832"/>
        <v>1734.6777777777777</v>
      </c>
      <c r="DJ270" s="70">
        <f t="shared" si="833"/>
        <v>685.14444444444439</v>
      </c>
      <c r="DK270" s="70">
        <f t="shared" si="834"/>
        <v>752.73333333333335</v>
      </c>
      <c r="DL270" s="70">
        <f t="shared" si="835"/>
        <v>500</v>
      </c>
      <c r="DM270" s="70">
        <f t="shared" si="836"/>
        <v>1250</v>
      </c>
      <c r="DN270" s="70">
        <f t="shared" si="837"/>
        <v>6192.2333333333336</v>
      </c>
      <c r="DO270" s="70">
        <f t="shared" si="838"/>
        <v>250</v>
      </c>
      <c r="DP270" s="70">
        <f t="shared" si="839"/>
        <v>6442.2333333333336</v>
      </c>
      <c r="DQ270" s="70">
        <f t="shared" si="840"/>
        <v>8969.3777777777777</v>
      </c>
      <c r="DR270" s="70">
        <f t="shared" si="841"/>
        <v>7582.0444444444447</v>
      </c>
      <c r="DS270" s="71">
        <f t="shared" si="842"/>
        <v>1387.3333333333333</v>
      </c>
      <c r="DT270" s="106">
        <f t="shared" si="843"/>
        <v>1.0612416593076812</v>
      </c>
      <c r="DU270" s="92">
        <f t="shared" si="844"/>
        <v>1.9839580226375823E-2</v>
      </c>
      <c r="DV270" s="92" t="str">
        <f t="shared" si="845"/>
        <v/>
      </c>
      <c r="DW270" s="92">
        <f t="shared" si="846"/>
        <v>1</v>
      </c>
      <c r="DX270" s="92">
        <f t="shared" si="847"/>
        <v>3.3743115837147182E-2</v>
      </c>
      <c r="DY270" s="92">
        <f t="shared" si="848"/>
        <v>4.9999816788746432E-2</v>
      </c>
      <c r="DZ270" s="92">
        <f t="shared" si="849"/>
        <v>0.11441249647318337</v>
      </c>
      <c r="EA270" s="92">
        <f t="shared" si="850"/>
        <v>4.5189422115063993E-2</v>
      </c>
      <c r="EB270" s="92">
        <f t="shared" si="851"/>
        <v>4.9647318336881525E-2</v>
      </c>
      <c r="EC270" s="92">
        <f t="shared" si="852"/>
        <v>3.2978025642247048E-2</v>
      </c>
      <c r="ED270" s="92">
        <f t="shared" si="853"/>
        <v>8.2445064105617624E-2</v>
      </c>
      <c r="EE270" s="92">
        <f t="shared" si="854"/>
        <v>0.40841525929888717</v>
      </c>
      <c r="EF270" s="92">
        <f t="shared" si="855"/>
        <v>1.6489012821123524E-2</v>
      </c>
      <c r="EG270" s="92">
        <f t="shared" si="856"/>
        <v>0.4249042721200107</v>
      </c>
      <c r="EH270" s="92">
        <f t="shared" si="857"/>
        <v>0.59158474070111278</v>
      </c>
      <c r="EI270" s="92">
        <f t="shared" si="858"/>
        <v>0.50008171221909137</v>
      </c>
      <c r="EJ270" s="122">
        <f t="shared" si="859"/>
        <v>9.1503028482021478E-2</v>
      </c>
    </row>
    <row r="271" spans="2:140" ht="12" hidden="1" customHeight="1" outlineLevel="1">
      <c r="B271" s="121">
        <v>45601</v>
      </c>
      <c r="C271" s="117">
        <v>24244</v>
      </c>
      <c r="D271" s="50" t="s">
        <v>1301</v>
      </c>
      <c r="E271" s="50" t="s">
        <v>983</v>
      </c>
      <c r="F271" s="50" t="s">
        <v>1302</v>
      </c>
      <c r="G271" s="50" t="s">
        <v>154</v>
      </c>
      <c r="H271" s="50" t="s">
        <v>1303</v>
      </c>
      <c r="I271" s="50" t="s">
        <v>540</v>
      </c>
      <c r="J271" s="52" t="s">
        <v>183</v>
      </c>
      <c r="K271" s="50" t="s">
        <v>184</v>
      </c>
      <c r="L271" s="49">
        <v>9</v>
      </c>
      <c r="M271" s="50" t="s">
        <v>159</v>
      </c>
      <c r="N271" s="50" t="s">
        <v>185</v>
      </c>
      <c r="O271" s="50" t="s">
        <v>160</v>
      </c>
      <c r="P271" s="50" t="s">
        <v>177</v>
      </c>
      <c r="Q271" s="53">
        <v>0.09</v>
      </c>
      <c r="R271" s="49">
        <v>88</v>
      </c>
      <c r="S271" s="49">
        <v>0</v>
      </c>
      <c r="T271" s="54">
        <f t="shared" si="860"/>
        <v>88</v>
      </c>
      <c r="U271" s="55">
        <v>64850</v>
      </c>
      <c r="V271" s="49">
        <v>15.5</v>
      </c>
      <c r="W271" s="56">
        <f t="shared" si="784"/>
        <v>5.67741935483871</v>
      </c>
      <c r="X271" s="49" t="s">
        <v>163</v>
      </c>
      <c r="Y271" s="57" t="s">
        <v>162</v>
      </c>
      <c r="Z271" s="58">
        <v>4300000</v>
      </c>
      <c r="AA271" s="114">
        <v>6.25E-2</v>
      </c>
      <c r="AB271" s="59">
        <v>15</v>
      </c>
      <c r="AC271" s="60">
        <v>40</v>
      </c>
      <c r="AD271" s="61">
        <v>6.25E-2</v>
      </c>
      <c r="AE271" s="62">
        <v>4300000</v>
      </c>
      <c r="AF271" s="63">
        <v>1.0900000000000001</v>
      </c>
      <c r="AG271" s="59"/>
      <c r="AH271" s="60"/>
      <c r="AI271" s="61"/>
      <c r="AJ271" s="64"/>
      <c r="AK271" s="65">
        <f t="shared" si="785"/>
        <v>4300000</v>
      </c>
      <c r="AL271" s="66">
        <v>500</v>
      </c>
      <c r="AM271" s="49" t="s">
        <v>857</v>
      </c>
      <c r="AN271" s="67">
        <v>0.87</v>
      </c>
      <c r="AO271" s="62">
        <v>17300000</v>
      </c>
      <c r="AP271" s="62">
        <v>0</v>
      </c>
      <c r="AQ271" s="68">
        <v>1027160</v>
      </c>
      <c r="AR271" s="69">
        <f t="shared" si="786"/>
        <v>48863.63636363636</v>
      </c>
      <c r="AS271" s="70">
        <f t="shared" si="787"/>
        <v>5.6818181818181817</v>
      </c>
      <c r="AT271" s="70">
        <f t="shared" si="788"/>
        <v>196590.90909090909</v>
      </c>
      <c r="AU271" s="70" t="str">
        <f t="shared" si="789"/>
        <v/>
      </c>
      <c r="AV271" s="71">
        <f t="shared" si="790"/>
        <v>11672.272727272728</v>
      </c>
      <c r="AW271" s="115">
        <f t="shared" si="791"/>
        <v>133409.09090909091</v>
      </c>
      <c r="AX271" s="116">
        <f t="shared" si="792"/>
        <v>181.03315343099462</v>
      </c>
      <c r="AY271" s="72">
        <f t="shared" si="793"/>
        <v>159690.68181818182</v>
      </c>
      <c r="AZ271" s="73">
        <f t="shared" si="794"/>
        <v>216.69668465690054</v>
      </c>
      <c r="BA271" s="66">
        <v>2000000</v>
      </c>
      <c r="BB271" s="62">
        <f>1760000+600000</f>
        <v>2360000</v>
      </c>
      <c r="BC271" s="62">
        <v>9380000</v>
      </c>
      <c r="BD271" s="62">
        <v>587000</v>
      </c>
      <c r="BE271" s="62">
        <v>1725780</v>
      </c>
      <c r="BF271" s="62">
        <v>1580000</v>
      </c>
      <c r="BG271" s="62">
        <v>2165000</v>
      </c>
      <c r="BH271" s="62">
        <v>2559880</v>
      </c>
      <c r="BI271" s="62">
        <v>270000</v>
      </c>
      <c r="BJ271" s="47">
        <f t="shared" si="795"/>
        <v>22627660</v>
      </c>
      <c r="BK271" s="69">
        <f t="shared" si="796"/>
        <v>22727.272727272728</v>
      </c>
      <c r="BL271" s="70">
        <f t="shared" si="797"/>
        <v>26818.18181818182</v>
      </c>
      <c r="BM271" s="70">
        <f t="shared" si="798"/>
        <v>106590.90909090909</v>
      </c>
      <c r="BN271" s="70">
        <f t="shared" si="799"/>
        <v>6670.454545454545</v>
      </c>
      <c r="BO271" s="70">
        <f t="shared" si="800"/>
        <v>19611.136363636364</v>
      </c>
      <c r="BP271" s="70">
        <f t="shared" si="801"/>
        <v>17954.545454545456</v>
      </c>
      <c r="BQ271" s="70">
        <f t="shared" si="802"/>
        <v>24602.272727272728</v>
      </c>
      <c r="BR271" s="70">
        <f t="shared" si="803"/>
        <v>29089.545454545456</v>
      </c>
      <c r="BS271" s="70">
        <f t="shared" si="804"/>
        <v>3068.181818181818</v>
      </c>
      <c r="BT271" s="71">
        <f t="shared" si="805"/>
        <v>257132.5</v>
      </c>
      <c r="BU271" s="65">
        <f t="shared" si="806"/>
        <v>30.840400925212027</v>
      </c>
      <c r="BV271" s="48">
        <f t="shared" si="807"/>
        <v>36.391673091750192</v>
      </c>
      <c r="BW271" s="48">
        <f t="shared" si="808"/>
        <v>144.64148033924442</v>
      </c>
      <c r="BX271" s="48">
        <f t="shared" si="809"/>
        <v>9.0516576715497301</v>
      </c>
      <c r="BY271" s="48">
        <f t="shared" si="810"/>
        <v>26.611873554356208</v>
      </c>
      <c r="BZ271" s="48">
        <f t="shared" si="811"/>
        <v>24.363916730917502</v>
      </c>
      <c r="CA271" s="48">
        <f t="shared" si="812"/>
        <v>33.384734001542022</v>
      </c>
      <c r="CB271" s="48">
        <f t="shared" si="813"/>
        <v>39.47386276021588</v>
      </c>
      <c r="CC271" s="48">
        <f t="shared" si="814"/>
        <v>4.1634541249036241</v>
      </c>
      <c r="CD271" s="47">
        <f t="shared" si="815"/>
        <v>348.92305319969159</v>
      </c>
      <c r="CE271" s="66">
        <v>846516</v>
      </c>
      <c r="CF271" s="62">
        <f>10560*3</f>
        <v>31680</v>
      </c>
      <c r="CG271" s="74">
        <v>-65865</v>
      </c>
      <c r="CH271" s="75">
        <f t="shared" si="816"/>
        <v>812331</v>
      </c>
      <c r="CI271" s="62">
        <f>48750+3200</f>
        <v>51950</v>
      </c>
      <c r="CJ271" s="62">
        <v>32089</v>
      </c>
      <c r="CK271" s="62">
        <v>122500</v>
      </c>
      <c r="CL271" s="62">
        <v>70000</v>
      </c>
      <c r="CM271" s="62">
        <f>12000+37320+2400</f>
        <v>51720</v>
      </c>
      <c r="CN271" s="62">
        <v>61600</v>
      </c>
      <c r="CO271" s="62">
        <v>70400</v>
      </c>
      <c r="CP271" s="75">
        <f t="shared" si="861"/>
        <v>460259</v>
      </c>
      <c r="CQ271" s="62">
        <v>22000</v>
      </c>
      <c r="CR271" s="75">
        <f t="shared" si="862"/>
        <v>482259</v>
      </c>
      <c r="CS271" s="75">
        <f t="shared" si="817"/>
        <v>352072</v>
      </c>
      <c r="CT271" s="62">
        <v>303983</v>
      </c>
      <c r="CU271" s="47">
        <f t="shared" si="818"/>
        <v>48089</v>
      </c>
      <c r="CV271" s="76">
        <f t="shared" si="819"/>
        <v>0.43340953379841468</v>
      </c>
      <c r="CW271" s="75">
        <f t="shared" si="820"/>
        <v>5480.215909090909</v>
      </c>
      <c r="CX271" s="77">
        <f t="shared" si="821"/>
        <v>0.59367302245020814</v>
      </c>
      <c r="CY271" s="75">
        <f t="shared" si="822"/>
        <v>546.46590909090912</v>
      </c>
      <c r="CZ271" s="77">
        <f t="shared" si="823"/>
        <v>5.9198774883637333E-2</v>
      </c>
      <c r="DA271" s="77">
        <f t="shared" si="824"/>
        <v>0.37421075891477734</v>
      </c>
      <c r="DB271" s="47">
        <f t="shared" si="825"/>
        <v>48863.63636363636</v>
      </c>
      <c r="DC271" s="69">
        <f t="shared" si="826"/>
        <v>9619.5</v>
      </c>
      <c r="DD271" s="70">
        <f t="shared" si="827"/>
        <v>360</v>
      </c>
      <c r="DE271" s="70">
        <f t="shared" si="828"/>
        <v>-748.46590909090912</v>
      </c>
      <c r="DF271" s="70">
        <f t="shared" si="829"/>
        <v>9231.0340909090901</v>
      </c>
      <c r="DG271" s="70">
        <f t="shared" si="830"/>
        <v>590.34090909090912</v>
      </c>
      <c r="DH271" s="70">
        <f t="shared" si="831"/>
        <v>364.64772727272725</v>
      </c>
      <c r="DI271" s="70">
        <f t="shared" si="832"/>
        <v>1392.0454545454545</v>
      </c>
      <c r="DJ271" s="70">
        <f t="shared" si="833"/>
        <v>795.4545454545455</v>
      </c>
      <c r="DK271" s="70">
        <f t="shared" si="834"/>
        <v>587.72727272727275</v>
      </c>
      <c r="DL271" s="70">
        <f t="shared" si="835"/>
        <v>700</v>
      </c>
      <c r="DM271" s="70">
        <f t="shared" si="836"/>
        <v>800</v>
      </c>
      <c r="DN271" s="70">
        <f t="shared" si="837"/>
        <v>5230.215909090909</v>
      </c>
      <c r="DO271" s="70">
        <f t="shared" si="838"/>
        <v>250</v>
      </c>
      <c r="DP271" s="70">
        <f t="shared" si="839"/>
        <v>5480.215909090909</v>
      </c>
      <c r="DQ271" s="70">
        <f t="shared" si="840"/>
        <v>4000.818181818182</v>
      </c>
      <c r="DR271" s="70">
        <f t="shared" si="841"/>
        <v>3454.3522727272725</v>
      </c>
      <c r="DS271" s="71">
        <f t="shared" si="842"/>
        <v>546.46590909090912</v>
      </c>
      <c r="DT271" s="106">
        <f t="shared" si="843"/>
        <v>1.0420825993345078</v>
      </c>
      <c r="DU271" s="92">
        <f t="shared" si="844"/>
        <v>3.8998880998016822E-2</v>
      </c>
      <c r="DV271" s="92" t="str">
        <f t="shared" si="845"/>
        <v/>
      </c>
      <c r="DW271" s="92">
        <f t="shared" si="846"/>
        <v>1</v>
      </c>
      <c r="DX271" s="92">
        <f t="shared" si="847"/>
        <v>6.395176350527064E-2</v>
      </c>
      <c r="DY271" s="92">
        <f t="shared" si="848"/>
        <v>3.9502370339184398E-2</v>
      </c>
      <c r="DZ271" s="92">
        <f t="shared" si="849"/>
        <v>0.15080059729346781</v>
      </c>
      <c r="EA271" s="92">
        <f t="shared" si="850"/>
        <v>8.6171769881981608E-2</v>
      </c>
      <c r="EB271" s="92">
        <f t="shared" si="851"/>
        <v>6.3668627689944121E-2</v>
      </c>
      <c r="EC271" s="92">
        <f t="shared" si="852"/>
        <v>7.5831157496143817E-2</v>
      </c>
      <c r="ED271" s="92">
        <f t="shared" si="853"/>
        <v>8.6664179995592935E-2</v>
      </c>
      <c r="EE271" s="92">
        <f t="shared" si="854"/>
        <v>0.56659046620158526</v>
      </c>
      <c r="EF271" s="92">
        <f t="shared" si="855"/>
        <v>2.708255624862279E-2</v>
      </c>
      <c r="EG271" s="92">
        <f t="shared" si="856"/>
        <v>0.59367302245020814</v>
      </c>
      <c r="EH271" s="92">
        <f t="shared" si="857"/>
        <v>0.43340953379841468</v>
      </c>
      <c r="EI271" s="92">
        <f t="shared" si="858"/>
        <v>0.37421075891477734</v>
      </c>
      <c r="EJ271" s="122">
        <f t="shared" si="859"/>
        <v>5.9198774883637333E-2</v>
      </c>
    </row>
    <row r="272" spans="2:140" ht="12" hidden="1" customHeight="1" outlineLevel="1">
      <c r="B272" s="121">
        <v>45609</v>
      </c>
      <c r="C272" s="117" t="s">
        <v>1304</v>
      </c>
      <c r="D272" s="50" t="s">
        <v>1305</v>
      </c>
      <c r="E272" s="50" t="s">
        <v>320</v>
      </c>
      <c r="F272" s="50" t="s">
        <v>714</v>
      </c>
      <c r="G272" s="50" t="s">
        <v>162</v>
      </c>
      <c r="H272" s="50" t="s">
        <v>561</v>
      </c>
      <c r="I272" s="50" t="s">
        <v>561</v>
      </c>
      <c r="J272" s="52" t="s">
        <v>1306</v>
      </c>
      <c r="K272" s="50" t="s">
        <v>1307</v>
      </c>
      <c r="L272" s="49">
        <v>5</v>
      </c>
      <c r="M272" s="50" t="s">
        <v>159</v>
      </c>
      <c r="N272" s="50" t="s">
        <v>160</v>
      </c>
      <c r="O272" s="50" t="s">
        <v>160</v>
      </c>
      <c r="P272" s="50" t="s">
        <v>177</v>
      </c>
      <c r="Q272" s="53">
        <v>0.09</v>
      </c>
      <c r="R272" s="49">
        <v>72</v>
      </c>
      <c r="S272" s="49">
        <v>10</v>
      </c>
      <c r="T272" s="54">
        <f t="shared" si="860"/>
        <v>82</v>
      </c>
      <c r="U272" s="55">
        <v>65401</v>
      </c>
      <c r="V272" s="49">
        <v>6.41</v>
      </c>
      <c r="W272" s="56">
        <f t="shared" si="784"/>
        <v>12.792511700468019</v>
      </c>
      <c r="X272" s="49" t="s">
        <v>163</v>
      </c>
      <c r="Y272" s="57" t="s">
        <v>162</v>
      </c>
      <c r="Z272" s="58">
        <v>4800000</v>
      </c>
      <c r="AA272" s="114">
        <v>4.2500000000000003E-2</v>
      </c>
      <c r="AB272" s="59">
        <v>15</v>
      </c>
      <c r="AC272" s="60">
        <v>35</v>
      </c>
      <c r="AD272" s="61">
        <v>4.2500000000000003E-2</v>
      </c>
      <c r="AE272" s="62">
        <v>4800000</v>
      </c>
      <c r="AF272" s="63">
        <v>1.2</v>
      </c>
      <c r="AG272" s="59"/>
      <c r="AH272" s="60"/>
      <c r="AI272" s="61"/>
      <c r="AJ272" s="64"/>
      <c r="AK272" s="65">
        <f t="shared" si="785"/>
        <v>4800000</v>
      </c>
      <c r="AL272" s="66">
        <v>0</v>
      </c>
      <c r="AM272" s="49" t="s">
        <v>163</v>
      </c>
      <c r="AN272" s="67">
        <v>0.88</v>
      </c>
      <c r="AO272" s="62">
        <v>8658334</v>
      </c>
      <c r="AP272" s="62">
        <v>0</v>
      </c>
      <c r="AQ272" s="68">
        <v>254296</v>
      </c>
      <c r="AR272" s="69">
        <f t="shared" si="786"/>
        <v>58536.585365853658</v>
      </c>
      <c r="AS272" s="70" t="str">
        <f t="shared" si="787"/>
        <v/>
      </c>
      <c r="AT272" s="70">
        <f t="shared" si="788"/>
        <v>105589.43902439025</v>
      </c>
      <c r="AU272" s="70" t="str">
        <f t="shared" si="789"/>
        <v/>
      </c>
      <c r="AV272" s="71">
        <f t="shared" si="790"/>
        <v>3101.1707317073169</v>
      </c>
      <c r="AW272" s="115">
        <f t="shared" si="791"/>
        <v>92829.268292682929</v>
      </c>
      <c r="AX272" s="116">
        <f t="shared" si="792"/>
        <v>116.38965765049464</v>
      </c>
      <c r="AY272" s="72">
        <f t="shared" si="793"/>
        <v>113233.14634146342</v>
      </c>
      <c r="AZ272" s="73">
        <f t="shared" si="794"/>
        <v>141.9721105181878</v>
      </c>
      <c r="BA272" s="66">
        <v>780258</v>
      </c>
      <c r="BB272" s="62">
        <v>1487000</v>
      </c>
      <c r="BC272" s="62">
        <v>6125000</v>
      </c>
      <c r="BD272" s="62">
        <v>532840</v>
      </c>
      <c r="BE272" s="62">
        <v>1140278</v>
      </c>
      <c r="BF272" s="62">
        <v>777000</v>
      </c>
      <c r="BG272" s="62">
        <v>947820</v>
      </c>
      <c r="BH272" s="62">
        <v>1607000</v>
      </c>
      <c r="BI272" s="62">
        <v>315435</v>
      </c>
      <c r="BJ272" s="47">
        <f t="shared" si="795"/>
        <v>13712631</v>
      </c>
      <c r="BK272" s="69">
        <f t="shared" si="796"/>
        <v>9515.3414634146338</v>
      </c>
      <c r="BL272" s="70">
        <f t="shared" si="797"/>
        <v>18134.146341463416</v>
      </c>
      <c r="BM272" s="70">
        <f t="shared" si="798"/>
        <v>74695.121951219509</v>
      </c>
      <c r="BN272" s="70">
        <f t="shared" si="799"/>
        <v>6498.0487804878048</v>
      </c>
      <c r="BO272" s="70">
        <f t="shared" si="800"/>
        <v>13905.829268292682</v>
      </c>
      <c r="BP272" s="70">
        <f t="shared" si="801"/>
        <v>9475.6097560975613</v>
      </c>
      <c r="BQ272" s="70">
        <f t="shared" si="802"/>
        <v>11558.780487804877</v>
      </c>
      <c r="BR272" s="70">
        <f t="shared" si="803"/>
        <v>19597.560975609755</v>
      </c>
      <c r="BS272" s="70">
        <f t="shared" si="804"/>
        <v>3846.768292682927</v>
      </c>
      <c r="BT272" s="71">
        <f t="shared" si="805"/>
        <v>167227.20731707316</v>
      </c>
      <c r="BU272" s="65">
        <f t="shared" si="806"/>
        <v>11.930368037185977</v>
      </c>
      <c r="BV272" s="48">
        <f t="shared" si="807"/>
        <v>22.736655402822588</v>
      </c>
      <c r="BW272" s="48">
        <f t="shared" si="808"/>
        <v>93.653002247672049</v>
      </c>
      <c r="BX272" s="48">
        <f t="shared" si="809"/>
        <v>8.1472760355346256</v>
      </c>
      <c r="BY272" s="48">
        <f t="shared" si="810"/>
        <v>17.435176832158529</v>
      </c>
      <c r="BZ272" s="48">
        <f t="shared" si="811"/>
        <v>11.880552285133255</v>
      </c>
      <c r="CA272" s="48">
        <f t="shared" si="812"/>
        <v>14.492438953532821</v>
      </c>
      <c r="CB272" s="48">
        <f t="shared" si="813"/>
        <v>24.571489732572896</v>
      </c>
      <c r="CC272" s="48">
        <f t="shared" si="814"/>
        <v>4.8230913900399077</v>
      </c>
      <c r="CD272" s="47">
        <f t="shared" si="815"/>
        <v>209.67005091665266</v>
      </c>
      <c r="CE272" s="66">
        <v>723228</v>
      </c>
      <c r="CF272" s="62">
        <v>14400</v>
      </c>
      <c r="CG272" s="74">
        <v>-55322</v>
      </c>
      <c r="CH272" s="75">
        <f t="shared" si="816"/>
        <v>682306</v>
      </c>
      <c r="CI272" s="62">
        <f>29000+8000+2880</f>
        <v>39880</v>
      </c>
      <c r="CJ272" s="62">
        <v>27292</v>
      </c>
      <c r="CK272" s="62">
        <v>87000</v>
      </c>
      <c r="CL272" s="62">
        <v>57450</v>
      </c>
      <c r="CM272" s="62">
        <f>16000+51000</f>
        <v>67000</v>
      </c>
      <c r="CN272" s="62">
        <v>33000</v>
      </c>
      <c r="CO272" s="62">
        <v>35000</v>
      </c>
      <c r="CP272" s="75">
        <f t="shared" si="861"/>
        <v>346622</v>
      </c>
      <c r="CQ272" s="62">
        <v>20500</v>
      </c>
      <c r="CR272" s="75">
        <f t="shared" si="862"/>
        <v>367122</v>
      </c>
      <c r="CS272" s="75">
        <f t="shared" si="817"/>
        <v>335684</v>
      </c>
      <c r="CT272" s="62">
        <v>263747</v>
      </c>
      <c r="CU272" s="47">
        <f t="shared" si="818"/>
        <v>71937</v>
      </c>
      <c r="CV272" s="76">
        <f t="shared" si="819"/>
        <v>0.49198453479816973</v>
      </c>
      <c r="CW272" s="75">
        <f t="shared" si="820"/>
        <v>4477.0975609756097</v>
      </c>
      <c r="CX272" s="77">
        <f t="shared" si="821"/>
        <v>0.538060635550618</v>
      </c>
      <c r="CY272" s="75">
        <f t="shared" si="822"/>
        <v>877.28048780487802</v>
      </c>
      <c r="CZ272" s="77">
        <f t="shared" si="823"/>
        <v>0.10543216679906083</v>
      </c>
      <c r="DA272" s="77">
        <f t="shared" si="824"/>
        <v>0.38655236799910891</v>
      </c>
      <c r="DB272" s="47">
        <f t="shared" si="825"/>
        <v>58536.585365853658</v>
      </c>
      <c r="DC272" s="69">
        <f t="shared" si="826"/>
        <v>8819.8536585365855</v>
      </c>
      <c r="DD272" s="70">
        <f t="shared" si="827"/>
        <v>175.60975609756099</v>
      </c>
      <c r="DE272" s="70">
        <f t="shared" si="828"/>
        <v>-674.65853658536582</v>
      </c>
      <c r="DF272" s="70">
        <f t="shared" si="829"/>
        <v>8320.8048780487807</v>
      </c>
      <c r="DG272" s="70">
        <f t="shared" si="830"/>
        <v>486.34146341463412</v>
      </c>
      <c r="DH272" s="70">
        <f t="shared" si="831"/>
        <v>332.82926829268291</v>
      </c>
      <c r="DI272" s="70">
        <f t="shared" si="832"/>
        <v>1060.9756097560976</v>
      </c>
      <c r="DJ272" s="70">
        <f t="shared" si="833"/>
        <v>700.60975609756099</v>
      </c>
      <c r="DK272" s="70">
        <f t="shared" si="834"/>
        <v>817.07317073170736</v>
      </c>
      <c r="DL272" s="70">
        <f t="shared" si="835"/>
        <v>402.4390243902439</v>
      </c>
      <c r="DM272" s="70">
        <f t="shared" si="836"/>
        <v>426.82926829268291</v>
      </c>
      <c r="DN272" s="70">
        <f t="shared" si="837"/>
        <v>4227.0975609756097</v>
      </c>
      <c r="DO272" s="70">
        <f t="shared" si="838"/>
        <v>250</v>
      </c>
      <c r="DP272" s="70">
        <f t="shared" si="839"/>
        <v>4477.0975609756097</v>
      </c>
      <c r="DQ272" s="70">
        <f t="shared" si="840"/>
        <v>4093.7073170731705</v>
      </c>
      <c r="DR272" s="70">
        <f t="shared" si="841"/>
        <v>3216.4268292682927</v>
      </c>
      <c r="DS272" s="71">
        <f t="shared" si="842"/>
        <v>877.28048780487802</v>
      </c>
      <c r="DT272" s="106">
        <f t="shared" si="843"/>
        <v>1.0599760224884436</v>
      </c>
      <c r="DU272" s="92">
        <f t="shared" si="844"/>
        <v>2.1104900147441177E-2</v>
      </c>
      <c r="DV272" s="92" t="str">
        <f t="shared" si="845"/>
        <v/>
      </c>
      <c r="DW272" s="92">
        <f t="shared" si="846"/>
        <v>1</v>
      </c>
      <c r="DX272" s="92">
        <f t="shared" si="847"/>
        <v>5.8448848463885705E-2</v>
      </c>
      <c r="DY272" s="92">
        <f t="shared" si="848"/>
        <v>3.9999648251664209E-2</v>
      </c>
      <c r="DZ272" s="92">
        <f t="shared" si="849"/>
        <v>0.12750877172412378</v>
      </c>
      <c r="EA272" s="92">
        <f t="shared" si="850"/>
        <v>8.4199757879895532E-2</v>
      </c>
      <c r="EB272" s="92">
        <f t="shared" si="851"/>
        <v>9.8196410408233251E-2</v>
      </c>
      <c r="EC272" s="92">
        <f t="shared" si="852"/>
        <v>4.8365396171219363E-2</v>
      </c>
      <c r="ED272" s="92">
        <f t="shared" si="853"/>
        <v>5.1296632302808419E-2</v>
      </c>
      <c r="EE272" s="92">
        <f t="shared" si="854"/>
        <v>0.50801546520183027</v>
      </c>
      <c r="EF272" s="92">
        <f t="shared" si="855"/>
        <v>3.0045170348787786E-2</v>
      </c>
      <c r="EG272" s="92">
        <f t="shared" si="856"/>
        <v>0.538060635550618</v>
      </c>
      <c r="EH272" s="92">
        <f t="shared" si="857"/>
        <v>0.49198453479816973</v>
      </c>
      <c r="EI272" s="92">
        <f t="shared" si="858"/>
        <v>0.38655236799910891</v>
      </c>
      <c r="EJ272" s="122">
        <f t="shared" si="859"/>
        <v>0.10543216679906083</v>
      </c>
    </row>
    <row r="273" spans="2:140" ht="12" hidden="1" customHeight="1" outlineLevel="1">
      <c r="B273" s="121">
        <v>45609</v>
      </c>
      <c r="C273" s="117">
        <v>24468</v>
      </c>
      <c r="D273" s="50" t="s">
        <v>1308</v>
      </c>
      <c r="E273" s="50" t="s">
        <v>1309</v>
      </c>
      <c r="F273" s="50" t="s">
        <v>1310</v>
      </c>
      <c r="G273" s="50" t="s">
        <v>162</v>
      </c>
      <c r="H273" s="50" t="s">
        <v>1311</v>
      </c>
      <c r="I273" s="50" t="s">
        <v>419</v>
      </c>
      <c r="J273" s="52" t="s">
        <v>230</v>
      </c>
      <c r="K273" s="50" t="s">
        <v>230</v>
      </c>
      <c r="L273" s="49">
        <v>3</v>
      </c>
      <c r="M273" s="50" t="s">
        <v>159</v>
      </c>
      <c r="N273" s="50" t="s">
        <v>185</v>
      </c>
      <c r="O273" s="50" t="s">
        <v>160</v>
      </c>
      <c r="P273" s="50" t="s">
        <v>177</v>
      </c>
      <c r="Q273" s="53">
        <v>0.04</v>
      </c>
      <c r="R273" s="49">
        <f>364-37</f>
        <v>327</v>
      </c>
      <c r="S273" s="49">
        <v>37</v>
      </c>
      <c r="T273" s="54">
        <f t="shared" si="860"/>
        <v>364</v>
      </c>
      <c r="U273" s="55">
        <v>267150</v>
      </c>
      <c r="V273" s="49">
        <v>10.31</v>
      </c>
      <c r="W273" s="56">
        <f t="shared" si="784"/>
        <v>35.305528612997087</v>
      </c>
      <c r="X273" s="49" t="s">
        <v>163</v>
      </c>
      <c r="Y273" s="57" t="s">
        <v>162</v>
      </c>
      <c r="Z273" s="58">
        <v>48800000</v>
      </c>
      <c r="AA273" s="114">
        <f>(((45800000*0.0785)/(Table1[[#This Row],[Construction Loan Principal]]))+((3000000*0.045)/(Table1[[#This Row],[Construction Loan Principal]])))</f>
        <v>7.6440573770491793E-2</v>
      </c>
      <c r="AB273" s="59">
        <v>17</v>
      </c>
      <c r="AC273" s="60">
        <v>40</v>
      </c>
      <c r="AD273" s="61">
        <v>6.1499999999999999E-2</v>
      </c>
      <c r="AE273" s="62">
        <v>33071000</v>
      </c>
      <c r="AF273" s="63">
        <v>1.26</v>
      </c>
      <c r="AG273" s="59">
        <v>18</v>
      </c>
      <c r="AH273" s="60">
        <v>40</v>
      </c>
      <c r="AI273" s="61">
        <v>4.4999999999999998E-2</v>
      </c>
      <c r="AJ273" s="64">
        <v>3000000</v>
      </c>
      <c r="AK273" s="65">
        <f t="shared" si="785"/>
        <v>36071000</v>
      </c>
      <c r="AL273" s="66">
        <v>15000000</v>
      </c>
      <c r="AM273" s="49" t="s">
        <v>1312</v>
      </c>
      <c r="AN273" s="67">
        <v>0.92</v>
      </c>
      <c r="AO273" s="62">
        <v>33762935</v>
      </c>
      <c r="AP273" s="62">
        <v>5183750</v>
      </c>
      <c r="AQ273" s="68">
        <v>3731022</v>
      </c>
      <c r="AR273" s="69">
        <f t="shared" si="786"/>
        <v>99096.153846153844</v>
      </c>
      <c r="AS273" s="70">
        <f t="shared" si="787"/>
        <v>41208.791208791212</v>
      </c>
      <c r="AT273" s="70">
        <f t="shared" si="788"/>
        <v>92755.315934065933</v>
      </c>
      <c r="AU273" s="70">
        <f t="shared" si="789"/>
        <v>14241.071428571429</v>
      </c>
      <c r="AV273" s="71">
        <f t="shared" si="790"/>
        <v>10250.060439560439</v>
      </c>
      <c r="AW273" s="115">
        <f t="shared" si="791"/>
        <v>132346.26648351649</v>
      </c>
      <c r="AX273" s="116">
        <f t="shared" si="792"/>
        <v>180.32581321355045</v>
      </c>
      <c r="AY273" s="72">
        <f t="shared" si="793"/>
        <v>159953.38186813187</v>
      </c>
      <c r="AZ273" s="73">
        <f t="shared" si="794"/>
        <v>217.94134755755192</v>
      </c>
      <c r="BA273" s="66">
        <v>0</v>
      </c>
      <c r="BB273" s="62">
        <v>6247175</v>
      </c>
      <c r="BC273" s="62">
        <v>41926866</v>
      </c>
      <c r="BD273" s="62">
        <v>3133609</v>
      </c>
      <c r="BE273" s="62">
        <v>6915381</v>
      </c>
      <c r="BF273" s="62">
        <v>4930733</v>
      </c>
      <c r="BG273" s="62">
        <v>18016154</v>
      </c>
      <c r="BH273" s="62">
        <v>10241328</v>
      </c>
      <c r="BI273" s="62">
        <v>2337461</v>
      </c>
      <c r="BJ273" s="47">
        <f t="shared" si="795"/>
        <v>93748707</v>
      </c>
      <c r="BK273" s="69" t="str">
        <f t="shared" si="796"/>
        <v/>
      </c>
      <c r="BL273" s="70">
        <f t="shared" si="797"/>
        <v>17162.56868131868</v>
      </c>
      <c r="BM273" s="70">
        <f t="shared" si="798"/>
        <v>115183.6978021978</v>
      </c>
      <c r="BN273" s="70">
        <f t="shared" si="799"/>
        <v>8608.8159340659349</v>
      </c>
      <c r="BO273" s="70">
        <f t="shared" si="800"/>
        <v>18998.29945054945</v>
      </c>
      <c r="BP273" s="70">
        <f t="shared" si="801"/>
        <v>13545.969780219781</v>
      </c>
      <c r="BQ273" s="70">
        <f t="shared" si="802"/>
        <v>49494.928571428572</v>
      </c>
      <c r="BR273" s="70">
        <f t="shared" si="803"/>
        <v>28135.516483516483</v>
      </c>
      <c r="BS273" s="70">
        <f t="shared" si="804"/>
        <v>6421.5961538461543</v>
      </c>
      <c r="BT273" s="71">
        <f t="shared" si="805"/>
        <v>257551.39285714287</v>
      </c>
      <c r="BU273" s="65" t="str">
        <f t="shared" si="806"/>
        <v/>
      </c>
      <c r="BV273" s="48">
        <f t="shared" si="807"/>
        <v>23.384521804229834</v>
      </c>
      <c r="BW273" s="48">
        <f t="shared" si="808"/>
        <v>156.9412914093206</v>
      </c>
      <c r="BX273" s="48">
        <f t="shared" si="809"/>
        <v>11.729773535466967</v>
      </c>
      <c r="BY273" s="48">
        <f t="shared" si="810"/>
        <v>25.885760808534531</v>
      </c>
      <c r="BZ273" s="48">
        <f t="shared" si="811"/>
        <v>18.456795807598727</v>
      </c>
      <c r="CA273" s="48">
        <f t="shared" si="812"/>
        <v>67.438345498783448</v>
      </c>
      <c r="CB273" s="48">
        <f t="shared" si="813"/>
        <v>38.335496911847279</v>
      </c>
      <c r="CC273" s="48">
        <f t="shared" si="814"/>
        <v>8.7496200636346622</v>
      </c>
      <c r="CD273" s="47">
        <f t="shared" si="815"/>
        <v>350.92160583941603</v>
      </c>
      <c r="CE273" s="66">
        <v>5248968</v>
      </c>
      <c r="CF273" s="62">
        <v>43680</v>
      </c>
      <c r="CG273" s="74">
        <v>-396949</v>
      </c>
      <c r="CH273" s="75">
        <f t="shared" si="816"/>
        <v>4895699</v>
      </c>
      <c r="CI273" s="62">
        <f>113196+13081+5000</f>
        <v>131277</v>
      </c>
      <c r="CJ273" s="62">
        <v>243575</v>
      </c>
      <c r="CK273" s="62">
        <v>611940</v>
      </c>
      <c r="CL273" s="62">
        <v>168859</v>
      </c>
      <c r="CM273" s="62">
        <f>218400+281372</f>
        <v>499772</v>
      </c>
      <c r="CN273" s="62">
        <v>327600</v>
      </c>
      <c r="CO273" s="62">
        <v>0</v>
      </c>
      <c r="CP273" s="75">
        <f t="shared" si="861"/>
        <v>1983023</v>
      </c>
      <c r="CQ273" s="62">
        <v>109200</v>
      </c>
      <c r="CR273" s="75">
        <f t="shared" si="862"/>
        <v>2092223</v>
      </c>
      <c r="CS273" s="75">
        <f t="shared" si="817"/>
        <v>2912676</v>
      </c>
      <c r="CT273" s="62">
        <f>2225172+161843</f>
        <v>2387015</v>
      </c>
      <c r="CU273" s="47">
        <f t="shared" si="818"/>
        <v>525661</v>
      </c>
      <c r="CV273" s="76">
        <f t="shared" si="819"/>
        <v>0.59494589026000166</v>
      </c>
      <c r="CW273" s="75">
        <f t="shared" si="820"/>
        <v>5747.8653846153848</v>
      </c>
      <c r="CX273" s="77">
        <f t="shared" si="821"/>
        <v>0.42735940261033206</v>
      </c>
      <c r="CY273" s="75">
        <f t="shared" si="822"/>
        <v>1444.1236263736264</v>
      </c>
      <c r="CZ273" s="77">
        <f t="shared" si="823"/>
        <v>0.10737200142410716</v>
      </c>
      <c r="DA273" s="77">
        <f t="shared" si="824"/>
        <v>0.48757388883589453</v>
      </c>
      <c r="DB273" s="47">
        <f t="shared" si="825"/>
        <v>99096.153846153844</v>
      </c>
      <c r="DC273" s="69">
        <f t="shared" si="826"/>
        <v>14420.241758241758</v>
      </c>
      <c r="DD273" s="70">
        <f t="shared" si="827"/>
        <v>120</v>
      </c>
      <c r="DE273" s="70">
        <f t="shared" si="828"/>
        <v>-1090.5192307692307</v>
      </c>
      <c r="DF273" s="70">
        <f t="shared" si="829"/>
        <v>13449.722527472528</v>
      </c>
      <c r="DG273" s="70">
        <f t="shared" si="830"/>
        <v>360.65109890109892</v>
      </c>
      <c r="DH273" s="70">
        <f t="shared" si="831"/>
        <v>669.16208791208794</v>
      </c>
      <c r="DI273" s="70">
        <f t="shared" si="832"/>
        <v>1681.1538461538462</v>
      </c>
      <c r="DJ273" s="70">
        <f t="shared" si="833"/>
        <v>463.89835164835165</v>
      </c>
      <c r="DK273" s="70">
        <f t="shared" si="834"/>
        <v>1373</v>
      </c>
      <c r="DL273" s="70">
        <f t="shared" si="835"/>
        <v>900</v>
      </c>
      <c r="DM273" s="70" t="str">
        <f t="shared" si="836"/>
        <v/>
      </c>
      <c r="DN273" s="70">
        <f t="shared" si="837"/>
        <v>5447.8653846153848</v>
      </c>
      <c r="DO273" s="70">
        <f t="shared" si="838"/>
        <v>300</v>
      </c>
      <c r="DP273" s="70">
        <f t="shared" si="839"/>
        <v>5747.8653846153848</v>
      </c>
      <c r="DQ273" s="70">
        <f t="shared" si="840"/>
        <v>8001.8571428571431</v>
      </c>
      <c r="DR273" s="70">
        <f t="shared" si="841"/>
        <v>6557.7335164835167</v>
      </c>
      <c r="DS273" s="71">
        <f t="shared" si="842"/>
        <v>1444.1236263736264</v>
      </c>
      <c r="DT273" s="106">
        <f t="shared" si="843"/>
        <v>1.0721590522619957</v>
      </c>
      <c r="DU273" s="92">
        <f t="shared" si="844"/>
        <v>8.9221171481334936E-3</v>
      </c>
      <c r="DV273" s="92" t="str">
        <f t="shared" si="845"/>
        <v/>
      </c>
      <c r="DW273" s="92">
        <f t="shared" si="846"/>
        <v>1</v>
      </c>
      <c r="DX273" s="92">
        <f t="shared" si="847"/>
        <v>2.6814761283322362E-2</v>
      </c>
      <c r="DY273" s="92">
        <f t="shared" si="848"/>
        <v>4.9752854495343772E-2</v>
      </c>
      <c r="DZ273" s="92">
        <f t="shared" si="849"/>
        <v>0.12499542966183175</v>
      </c>
      <c r="EA273" s="92">
        <f t="shared" si="850"/>
        <v>3.4491295318605168E-2</v>
      </c>
      <c r="EB273" s="92">
        <f t="shared" si="851"/>
        <v>0.10208389036989407</v>
      </c>
      <c r="EC273" s="92">
        <f t="shared" si="852"/>
        <v>6.6915878611001206E-2</v>
      </c>
      <c r="ED273" s="92" t="str">
        <f t="shared" si="853"/>
        <v/>
      </c>
      <c r="EE273" s="92">
        <f t="shared" si="854"/>
        <v>0.40505410973999834</v>
      </c>
      <c r="EF273" s="92">
        <f t="shared" si="855"/>
        <v>2.2305292870333737E-2</v>
      </c>
      <c r="EG273" s="92">
        <f t="shared" si="856"/>
        <v>0.42735940261033206</v>
      </c>
      <c r="EH273" s="92">
        <f t="shared" si="857"/>
        <v>0.59494589026000166</v>
      </c>
      <c r="EI273" s="92">
        <f t="shared" si="858"/>
        <v>0.48757388883589453</v>
      </c>
      <c r="EJ273" s="122">
        <f t="shared" si="859"/>
        <v>0.10737200142410716</v>
      </c>
    </row>
    <row r="274" spans="2:140" ht="12" hidden="1" customHeight="1" outlineLevel="1">
      <c r="B274" s="121">
        <v>45611</v>
      </c>
      <c r="C274" s="117">
        <v>24491</v>
      </c>
      <c r="D274" s="50" t="s">
        <v>1313</v>
      </c>
      <c r="E274" s="50" t="s">
        <v>363</v>
      </c>
      <c r="F274" s="50" t="s">
        <v>364</v>
      </c>
      <c r="G274" s="50" t="s">
        <v>162</v>
      </c>
      <c r="H274" s="50" t="s">
        <v>196</v>
      </c>
      <c r="I274" s="50" t="s">
        <v>1314</v>
      </c>
      <c r="J274" s="52" t="s">
        <v>360</v>
      </c>
      <c r="K274" s="50" t="s">
        <v>294</v>
      </c>
      <c r="L274" s="49">
        <v>7</v>
      </c>
      <c r="M274" s="50" t="s">
        <v>159</v>
      </c>
      <c r="N274" s="50" t="s">
        <v>160</v>
      </c>
      <c r="O274" s="50" t="s">
        <v>160</v>
      </c>
      <c r="P274" s="50" t="s">
        <v>177</v>
      </c>
      <c r="Q274" s="53">
        <v>0.04</v>
      </c>
      <c r="R274" s="49">
        <v>263</v>
      </c>
      <c r="S274" s="49">
        <v>0</v>
      </c>
      <c r="T274" s="54">
        <f t="shared" si="860"/>
        <v>263</v>
      </c>
      <c r="U274" s="55">
        <v>231729</v>
      </c>
      <c r="V274" s="49">
        <v>9.26</v>
      </c>
      <c r="W274" s="56">
        <f t="shared" si="784"/>
        <v>28.401727861771057</v>
      </c>
      <c r="X274" s="49" t="s">
        <v>163</v>
      </c>
      <c r="Y274" s="57" t="s">
        <v>162</v>
      </c>
      <c r="Z274" s="58">
        <v>56165617</v>
      </c>
      <c r="AA274" s="114">
        <v>6.8400000000000002E-2</v>
      </c>
      <c r="AB274" s="59">
        <v>18</v>
      </c>
      <c r="AC274" s="60">
        <v>40</v>
      </c>
      <c r="AD274" s="61">
        <v>5.9900000000000002E-2</v>
      </c>
      <c r="AE274" s="62">
        <v>39184825</v>
      </c>
      <c r="AF274" s="63">
        <v>1.1499999999999999</v>
      </c>
      <c r="AG274" s="59"/>
      <c r="AH274" s="60"/>
      <c r="AI274" s="61"/>
      <c r="AJ274" s="64"/>
      <c r="AK274" s="65">
        <f t="shared" si="785"/>
        <v>39184825</v>
      </c>
      <c r="AL274" s="66">
        <v>0</v>
      </c>
      <c r="AM274" s="49" t="s">
        <v>163</v>
      </c>
      <c r="AN274" s="67">
        <v>0.9</v>
      </c>
      <c r="AO274" s="62">
        <v>31542338</v>
      </c>
      <c r="AP274" s="62">
        <v>3712500</v>
      </c>
      <c r="AQ274" s="68">
        <v>3105901</v>
      </c>
      <c r="AR274" s="69">
        <f t="shared" si="786"/>
        <v>148991.73003802283</v>
      </c>
      <c r="AS274" s="70" t="str">
        <f t="shared" si="787"/>
        <v/>
      </c>
      <c r="AT274" s="70">
        <f t="shared" si="788"/>
        <v>119932.84410646388</v>
      </c>
      <c r="AU274" s="70">
        <f t="shared" si="789"/>
        <v>14115.96958174905</v>
      </c>
      <c r="AV274" s="71">
        <f t="shared" si="790"/>
        <v>11809.509505703421</v>
      </c>
      <c r="AW274" s="115">
        <f t="shared" si="791"/>
        <v>151931.44486692015</v>
      </c>
      <c r="AX274" s="116">
        <f t="shared" si="792"/>
        <v>172.43405011888888</v>
      </c>
      <c r="AY274" s="72">
        <f t="shared" si="793"/>
        <v>182221.93536121672</v>
      </c>
      <c r="AZ274" s="73">
        <f t="shared" si="794"/>
        <v>206.81213400135505</v>
      </c>
      <c r="BA274" s="66">
        <v>3300000</v>
      </c>
      <c r="BB274" s="62">
        <v>6637987</v>
      </c>
      <c r="BC274" s="62">
        <v>33319983</v>
      </c>
      <c r="BD274" s="62">
        <v>2496399</v>
      </c>
      <c r="BE274" s="62">
        <v>5470000</v>
      </c>
      <c r="BF274" s="62">
        <v>3477589</v>
      </c>
      <c r="BG274" s="62">
        <v>12023238</v>
      </c>
      <c r="BH274" s="62">
        <v>8743368</v>
      </c>
      <c r="BI274" s="62">
        <v>2077000</v>
      </c>
      <c r="BJ274" s="47">
        <f t="shared" si="795"/>
        <v>77545564</v>
      </c>
      <c r="BK274" s="69">
        <f t="shared" si="796"/>
        <v>12547.528517110266</v>
      </c>
      <c r="BL274" s="70">
        <f t="shared" si="797"/>
        <v>25239.494296577948</v>
      </c>
      <c r="BM274" s="70">
        <f t="shared" si="798"/>
        <v>126691.9505703422</v>
      </c>
      <c r="BN274" s="70">
        <f t="shared" si="799"/>
        <v>9492.0114068441071</v>
      </c>
      <c r="BO274" s="70">
        <f t="shared" si="800"/>
        <v>20798.47908745247</v>
      </c>
      <c r="BP274" s="70">
        <f t="shared" si="801"/>
        <v>13222.77186311787</v>
      </c>
      <c r="BQ274" s="70">
        <f t="shared" si="802"/>
        <v>45715.733840304179</v>
      </c>
      <c r="BR274" s="70">
        <f t="shared" si="803"/>
        <v>33244.74524714829</v>
      </c>
      <c r="BS274" s="70">
        <f t="shared" si="804"/>
        <v>7897.3384030418247</v>
      </c>
      <c r="BT274" s="71">
        <f t="shared" si="805"/>
        <v>294850.05323193915</v>
      </c>
      <c r="BU274" s="65">
        <f t="shared" si="806"/>
        <v>14.24077262664578</v>
      </c>
      <c r="BV274" s="48">
        <f t="shared" si="807"/>
        <v>28.64547380776683</v>
      </c>
      <c r="BW274" s="48">
        <f t="shared" si="808"/>
        <v>143.78857631112206</v>
      </c>
      <c r="BX274" s="48">
        <f t="shared" si="809"/>
        <v>10.772924407389667</v>
      </c>
      <c r="BY274" s="48">
        <f t="shared" si="810"/>
        <v>23.605159475076491</v>
      </c>
      <c r="BZ274" s="48">
        <f t="shared" si="811"/>
        <v>15.007137647855901</v>
      </c>
      <c r="CA274" s="48">
        <f t="shared" si="812"/>
        <v>51.884908664862834</v>
      </c>
      <c r="CB274" s="48">
        <f t="shared" si="813"/>
        <v>37.731004751239595</v>
      </c>
      <c r="CC274" s="48">
        <f t="shared" si="814"/>
        <v>8.9630559834979646</v>
      </c>
      <c r="CD274" s="47">
        <f t="shared" si="815"/>
        <v>334.63901367545708</v>
      </c>
      <c r="CE274" s="66">
        <v>4826412</v>
      </c>
      <c r="CF274" s="62">
        <v>63120</v>
      </c>
      <c r="CG274" s="74">
        <v>-366715</v>
      </c>
      <c r="CH274" s="75">
        <f t="shared" si="816"/>
        <v>4522817</v>
      </c>
      <c r="CI274" s="62">
        <f>138000+10520+5000</f>
        <v>153520</v>
      </c>
      <c r="CJ274" s="62">
        <v>226000</v>
      </c>
      <c r="CK274" s="62">
        <v>328750</v>
      </c>
      <c r="CL274" s="62">
        <v>210075</v>
      </c>
      <c r="CM274" s="62">
        <f>48000+155000</f>
        <v>203000</v>
      </c>
      <c r="CN274" s="62">
        <v>300000</v>
      </c>
      <c r="CO274" s="62">
        <v>0</v>
      </c>
      <c r="CP274" s="75">
        <f t="shared" si="861"/>
        <v>1421345</v>
      </c>
      <c r="CQ274" s="62">
        <v>78900</v>
      </c>
      <c r="CR274" s="75">
        <f t="shared" si="862"/>
        <v>1500245</v>
      </c>
      <c r="CS274" s="75">
        <f t="shared" si="817"/>
        <v>3101472</v>
      </c>
      <c r="CT274" s="62">
        <v>2623926</v>
      </c>
      <c r="CU274" s="47">
        <f t="shared" si="818"/>
        <v>477546</v>
      </c>
      <c r="CV274" s="76">
        <f t="shared" si="819"/>
        <v>0.685738998504693</v>
      </c>
      <c r="CW274" s="75">
        <f t="shared" si="820"/>
        <v>5704.3536121673005</v>
      </c>
      <c r="CX274" s="77">
        <f t="shared" si="821"/>
        <v>0.33170588153356634</v>
      </c>
      <c r="CY274" s="75">
        <f t="shared" si="822"/>
        <v>1815.764258555133</v>
      </c>
      <c r="CZ274" s="77">
        <f t="shared" si="823"/>
        <v>0.10558596556084406</v>
      </c>
      <c r="DA274" s="77">
        <f t="shared" si="824"/>
        <v>0.5801530329438489</v>
      </c>
      <c r="DB274" s="47">
        <f t="shared" si="825"/>
        <v>148991.73003802283</v>
      </c>
      <c r="DC274" s="69">
        <f t="shared" si="826"/>
        <v>18351.376425855513</v>
      </c>
      <c r="DD274" s="70">
        <f t="shared" si="827"/>
        <v>240</v>
      </c>
      <c r="DE274" s="70">
        <f t="shared" si="828"/>
        <v>-1394.3536121673003</v>
      </c>
      <c r="DF274" s="70">
        <f t="shared" si="829"/>
        <v>17197.022813688214</v>
      </c>
      <c r="DG274" s="70">
        <f t="shared" si="830"/>
        <v>583.72623574144484</v>
      </c>
      <c r="DH274" s="70">
        <f t="shared" si="831"/>
        <v>859.31558935361215</v>
      </c>
      <c r="DI274" s="70">
        <f t="shared" si="832"/>
        <v>1250</v>
      </c>
      <c r="DJ274" s="70">
        <f t="shared" si="833"/>
        <v>798.7642585551331</v>
      </c>
      <c r="DK274" s="70">
        <f t="shared" si="834"/>
        <v>771.86311787072248</v>
      </c>
      <c r="DL274" s="70">
        <f t="shared" si="835"/>
        <v>1140.6844106463877</v>
      </c>
      <c r="DM274" s="70" t="str">
        <f t="shared" si="836"/>
        <v/>
      </c>
      <c r="DN274" s="70">
        <f t="shared" si="837"/>
        <v>5404.3536121673005</v>
      </c>
      <c r="DO274" s="70">
        <f t="shared" si="838"/>
        <v>300</v>
      </c>
      <c r="DP274" s="70">
        <f t="shared" si="839"/>
        <v>5704.3536121673005</v>
      </c>
      <c r="DQ274" s="70">
        <f t="shared" si="840"/>
        <v>11792.669201520912</v>
      </c>
      <c r="DR274" s="70">
        <f t="shared" si="841"/>
        <v>9976.9049429657789</v>
      </c>
      <c r="DS274" s="71">
        <f t="shared" si="842"/>
        <v>1815.764258555133</v>
      </c>
      <c r="DT274" s="106">
        <f t="shared" si="843"/>
        <v>1.0671252009532997</v>
      </c>
      <c r="DU274" s="92">
        <f t="shared" si="844"/>
        <v>1.3955904030607473E-2</v>
      </c>
      <c r="DV274" s="92" t="str">
        <f t="shared" si="845"/>
        <v/>
      </c>
      <c r="DW274" s="92">
        <f t="shared" si="846"/>
        <v>1</v>
      </c>
      <c r="DX274" s="92">
        <f t="shared" si="847"/>
        <v>3.3943447192313993E-2</v>
      </c>
      <c r="DY274" s="92">
        <f t="shared" si="848"/>
        <v>4.9968857904266299E-2</v>
      </c>
      <c r="DZ274" s="92">
        <f t="shared" si="849"/>
        <v>7.2687000159413928E-2</v>
      </c>
      <c r="EA274" s="92">
        <f t="shared" si="850"/>
        <v>4.6447822231144881E-2</v>
      </c>
      <c r="EB274" s="92">
        <f t="shared" si="851"/>
        <v>4.4883531657371946E-2</v>
      </c>
      <c r="EC274" s="92">
        <f t="shared" si="852"/>
        <v>6.6330342350795976E-2</v>
      </c>
      <c r="ED274" s="92" t="str">
        <f t="shared" si="853"/>
        <v/>
      </c>
      <c r="EE274" s="92">
        <f t="shared" si="854"/>
        <v>0.314261001495307</v>
      </c>
      <c r="EF274" s="92">
        <f t="shared" si="855"/>
        <v>1.7444880038259343E-2</v>
      </c>
      <c r="EG274" s="92">
        <f t="shared" si="856"/>
        <v>0.33170588153356634</v>
      </c>
      <c r="EH274" s="92">
        <f t="shared" si="857"/>
        <v>0.685738998504693</v>
      </c>
      <c r="EI274" s="92">
        <f t="shared" si="858"/>
        <v>0.5801530329438489</v>
      </c>
      <c r="EJ274" s="122">
        <f t="shared" si="859"/>
        <v>0.10558596556084406</v>
      </c>
    </row>
    <row r="275" spans="2:140" ht="12" hidden="1" customHeight="1" outlineLevel="1">
      <c r="B275" s="121">
        <v>45615</v>
      </c>
      <c r="C275" s="117">
        <v>24481</v>
      </c>
      <c r="D275" s="50" t="s">
        <v>1315</v>
      </c>
      <c r="E275" s="50" t="s">
        <v>1316</v>
      </c>
      <c r="F275" s="50" t="s">
        <v>1317</v>
      </c>
      <c r="G275" s="50" t="s">
        <v>162</v>
      </c>
      <c r="H275" s="50" t="s">
        <v>1318</v>
      </c>
      <c r="I275" s="50" t="s">
        <v>340</v>
      </c>
      <c r="J275" s="52" t="s">
        <v>847</v>
      </c>
      <c r="K275" s="50" t="s">
        <v>176</v>
      </c>
      <c r="L275" s="49">
        <v>6</v>
      </c>
      <c r="M275" s="50" t="s">
        <v>159</v>
      </c>
      <c r="N275" s="50" t="s">
        <v>160</v>
      </c>
      <c r="O275" s="50" t="s">
        <v>160</v>
      </c>
      <c r="P275" s="50" t="s">
        <v>177</v>
      </c>
      <c r="Q275" s="53">
        <v>0.04</v>
      </c>
      <c r="R275" s="49">
        <v>358</v>
      </c>
      <c r="S275" s="49">
        <v>0</v>
      </c>
      <c r="T275" s="54">
        <f t="shared" si="860"/>
        <v>358</v>
      </c>
      <c r="U275" s="55">
        <v>350996</v>
      </c>
      <c r="V275" s="49">
        <v>15.71</v>
      </c>
      <c r="W275" s="56">
        <f t="shared" si="784"/>
        <v>22.788033099936346</v>
      </c>
      <c r="X275" s="49" t="s">
        <v>163</v>
      </c>
      <c r="Y275" s="57" t="s">
        <v>162</v>
      </c>
      <c r="Z275" s="58">
        <v>41000000</v>
      </c>
      <c r="AA275" s="114">
        <f>(((39000000*0.065)/(Table1[[#This Row],[Construction Loan Principal]]))+((2000000*0.0654)/(Table1[[#This Row],[Construction Loan Principal]])))</f>
        <v>6.5019512195121948E-2</v>
      </c>
      <c r="AB275" s="59">
        <v>42.5</v>
      </c>
      <c r="AC275" s="60">
        <v>42.5</v>
      </c>
      <c r="AD275" s="61">
        <v>5.7599999999999998E-2</v>
      </c>
      <c r="AE275" s="62">
        <v>39000000</v>
      </c>
      <c r="AF275" s="63">
        <v>1.26</v>
      </c>
      <c r="AG275" s="59">
        <v>42.5</v>
      </c>
      <c r="AH275" s="60">
        <v>42.5</v>
      </c>
      <c r="AI275" s="61">
        <v>6.4600000000000005E-2</v>
      </c>
      <c r="AJ275" s="64">
        <v>2000000</v>
      </c>
      <c r="AK275" s="65">
        <f t="shared" si="785"/>
        <v>41000000</v>
      </c>
      <c r="AL275" s="66">
        <v>0</v>
      </c>
      <c r="AM275" s="49" t="s">
        <v>163</v>
      </c>
      <c r="AN275" s="67">
        <v>0.83</v>
      </c>
      <c r="AO275" s="62">
        <v>28621569</v>
      </c>
      <c r="AP275" s="62">
        <v>0</v>
      </c>
      <c r="AQ275" s="68">
        <v>4175509</v>
      </c>
      <c r="AR275" s="69">
        <f t="shared" si="786"/>
        <v>114525.13966480448</v>
      </c>
      <c r="AS275" s="70" t="str">
        <f t="shared" si="787"/>
        <v/>
      </c>
      <c r="AT275" s="70">
        <f t="shared" si="788"/>
        <v>79948.516759776539</v>
      </c>
      <c r="AU275" s="70" t="str">
        <f t="shared" si="789"/>
        <v/>
      </c>
      <c r="AV275" s="71">
        <f t="shared" si="790"/>
        <v>11663.432960893855</v>
      </c>
      <c r="AW275" s="115">
        <f t="shared" si="791"/>
        <v>120148.3407821229</v>
      </c>
      <c r="AX275" s="116">
        <f t="shared" si="792"/>
        <v>122.54585807245667</v>
      </c>
      <c r="AY275" s="72">
        <f t="shared" si="793"/>
        <v>146556.94413407819</v>
      </c>
      <c r="AZ275" s="73">
        <f t="shared" si="794"/>
        <v>149.48143568587676</v>
      </c>
      <c r="BA275" s="66">
        <v>5750000</v>
      </c>
      <c r="BB275" s="62">
        <v>8267500</v>
      </c>
      <c r="BC275" s="62">
        <v>34745606</v>
      </c>
      <c r="BD275" s="62">
        <v>3010917</v>
      </c>
      <c r="BE275" s="62">
        <v>6443363</v>
      </c>
      <c r="BF275" s="62">
        <v>2815934</v>
      </c>
      <c r="BG275" s="62">
        <v>3113106</v>
      </c>
      <c r="BH275" s="62">
        <v>8650651</v>
      </c>
      <c r="BI275" s="62">
        <v>1000000</v>
      </c>
      <c r="BJ275" s="47">
        <f t="shared" si="795"/>
        <v>73797077</v>
      </c>
      <c r="BK275" s="69">
        <f t="shared" si="796"/>
        <v>16061.45251396648</v>
      </c>
      <c r="BL275" s="70">
        <f t="shared" si="797"/>
        <v>23093.575418994413</v>
      </c>
      <c r="BM275" s="70">
        <f t="shared" si="798"/>
        <v>97054.765363128492</v>
      </c>
      <c r="BN275" s="70">
        <f t="shared" si="799"/>
        <v>8410.382681564246</v>
      </c>
      <c r="BO275" s="70">
        <f t="shared" si="800"/>
        <v>17998.22067039106</v>
      </c>
      <c r="BP275" s="70">
        <f t="shared" si="801"/>
        <v>7865.7374301675982</v>
      </c>
      <c r="BQ275" s="70">
        <f t="shared" si="802"/>
        <v>8695.8268156424583</v>
      </c>
      <c r="BR275" s="70">
        <f t="shared" si="803"/>
        <v>24163.829608938548</v>
      </c>
      <c r="BS275" s="70">
        <f t="shared" si="804"/>
        <v>2793.2960893854747</v>
      </c>
      <c r="BT275" s="71">
        <f t="shared" si="805"/>
        <v>206137.08659217876</v>
      </c>
      <c r="BU275" s="65">
        <f t="shared" si="806"/>
        <v>16.381953070690265</v>
      </c>
      <c r="BV275" s="48">
        <f t="shared" si="807"/>
        <v>23.55439948033596</v>
      </c>
      <c r="BW275" s="48">
        <f t="shared" si="808"/>
        <v>98.991458592120708</v>
      </c>
      <c r="BX275" s="48">
        <f t="shared" si="809"/>
        <v>8.5782088684771338</v>
      </c>
      <c r="BY275" s="48">
        <f t="shared" si="810"/>
        <v>18.357368744942963</v>
      </c>
      <c r="BZ275" s="48">
        <f t="shared" si="811"/>
        <v>8.0226954153323682</v>
      </c>
      <c r="CA275" s="48">
        <f t="shared" si="812"/>
        <v>8.8693489384494413</v>
      </c>
      <c r="CB275" s="48">
        <f t="shared" si="813"/>
        <v>24.646010210942574</v>
      </c>
      <c r="CC275" s="48">
        <f t="shared" si="814"/>
        <v>2.849035316641785</v>
      </c>
      <c r="CD275" s="47">
        <f t="shared" si="815"/>
        <v>210.25047863793318</v>
      </c>
      <c r="CE275" s="66">
        <v>5245056</v>
      </c>
      <c r="CF275" s="62">
        <v>128880</v>
      </c>
      <c r="CG275" s="74">
        <v>-403045</v>
      </c>
      <c r="CH275" s="75">
        <f t="shared" si="816"/>
        <v>4970891</v>
      </c>
      <c r="CI275" s="62">
        <f>210000+14320+8500</f>
        <v>232820</v>
      </c>
      <c r="CJ275" s="62">
        <v>198836</v>
      </c>
      <c r="CK275" s="62">
        <v>375000</v>
      </c>
      <c r="CL275" s="62">
        <f>36000+155000</f>
        <v>191000</v>
      </c>
      <c r="CM275" s="62">
        <f>100000+311000</f>
        <v>411000</v>
      </c>
      <c r="CN275" s="62">
        <v>375000</v>
      </c>
      <c r="CO275" s="62">
        <v>0</v>
      </c>
      <c r="CP275" s="75">
        <f t="shared" si="861"/>
        <v>1783656</v>
      </c>
      <c r="CQ275" s="62">
        <v>89500</v>
      </c>
      <c r="CR275" s="75">
        <f t="shared" si="862"/>
        <v>1873156</v>
      </c>
      <c r="CS275" s="75">
        <f t="shared" si="817"/>
        <v>3187235</v>
      </c>
      <c r="CT275" s="62">
        <f>2460391+138136</f>
        <v>2598527</v>
      </c>
      <c r="CU275" s="47">
        <f t="shared" si="818"/>
        <v>588708</v>
      </c>
      <c r="CV275" s="76">
        <f t="shared" si="819"/>
        <v>0.64117982068003498</v>
      </c>
      <c r="CW275" s="75">
        <f t="shared" si="820"/>
        <v>5232.2793296089385</v>
      </c>
      <c r="CX275" s="77">
        <f t="shared" si="821"/>
        <v>0.37682499978374101</v>
      </c>
      <c r="CY275" s="75">
        <f t="shared" si="822"/>
        <v>1644.4357541899442</v>
      </c>
      <c r="CZ275" s="77">
        <f t="shared" si="823"/>
        <v>0.11843108207361618</v>
      </c>
      <c r="DA275" s="77">
        <f t="shared" si="824"/>
        <v>0.52274873860641879</v>
      </c>
      <c r="DB275" s="47">
        <f t="shared" si="825"/>
        <v>114525.13966480448</v>
      </c>
      <c r="DC275" s="69">
        <f t="shared" si="826"/>
        <v>14650.994413407821</v>
      </c>
      <c r="DD275" s="70">
        <f t="shared" si="827"/>
        <v>360</v>
      </c>
      <c r="DE275" s="70">
        <f t="shared" si="828"/>
        <v>-1125.8240223463688</v>
      </c>
      <c r="DF275" s="70">
        <f t="shared" si="829"/>
        <v>13885.170391061452</v>
      </c>
      <c r="DG275" s="70">
        <f t="shared" si="830"/>
        <v>650.33519553072631</v>
      </c>
      <c r="DH275" s="70">
        <f t="shared" si="831"/>
        <v>555.40782122905023</v>
      </c>
      <c r="DI275" s="70">
        <f t="shared" si="832"/>
        <v>1047.4860335195531</v>
      </c>
      <c r="DJ275" s="70">
        <f t="shared" si="833"/>
        <v>533.51955307262574</v>
      </c>
      <c r="DK275" s="70">
        <f t="shared" si="834"/>
        <v>1148.0446927374301</v>
      </c>
      <c r="DL275" s="70">
        <f t="shared" si="835"/>
        <v>1047.4860335195531</v>
      </c>
      <c r="DM275" s="70" t="str">
        <f t="shared" si="836"/>
        <v/>
      </c>
      <c r="DN275" s="70">
        <f t="shared" si="837"/>
        <v>4982.2793296089385</v>
      </c>
      <c r="DO275" s="70">
        <f t="shared" si="838"/>
        <v>250</v>
      </c>
      <c r="DP275" s="70">
        <f t="shared" si="839"/>
        <v>5232.2793296089385</v>
      </c>
      <c r="DQ275" s="70">
        <f t="shared" si="840"/>
        <v>8902.8910614525139</v>
      </c>
      <c r="DR275" s="70">
        <f t="shared" si="841"/>
        <v>7258.4553072625695</v>
      </c>
      <c r="DS275" s="71">
        <f t="shared" si="842"/>
        <v>1644.4357541899442</v>
      </c>
      <c r="DT275" s="106">
        <f t="shared" si="843"/>
        <v>1.0551540961167727</v>
      </c>
      <c r="DU275" s="92">
        <f t="shared" si="844"/>
        <v>2.5926941467837455E-2</v>
      </c>
      <c r="DV275" s="92" t="str">
        <f t="shared" si="845"/>
        <v/>
      </c>
      <c r="DW275" s="92">
        <f t="shared" si="846"/>
        <v>1</v>
      </c>
      <c r="DX275" s="92">
        <f t="shared" si="847"/>
        <v>4.6836673747221572E-2</v>
      </c>
      <c r="DY275" s="92">
        <f t="shared" si="848"/>
        <v>4.0000072421624212E-2</v>
      </c>
      <c r="DZ275" s="92">
        <f t="shared" si="849"/>
        <v>7.5439191887329657E-2</v>
      </c>
      <c r="EA275" s="92">
        <f t="shared" si="850"/>
        <v>3.8423695067946573E-2</v>
      </c>
      <c r="EB275" s="92">
        <f t="shared" si="851"/>
        <v>8.2681354308513297E-2</v>
      </c>
      <c r="EC275" s="92">
        <f t="shared" si="852"/>
        <v>7.5439191887329657E-2</v>
      </c>
      <c r="ED275" s="92" t="str">
        <f t="shared" si="853"/>
        <v/>
      </c>
      <c r="EE275" s="92">
        <f t="shared" si="854"/>
        <v>0.35882017931996496</v>
      </c>
      <c r="EF275" s="92">
        <f t="shared" si="855"/>
        <v>1.8004820463776012E-2</v>
      </c>
      <c r="EG275" s="92">
        <f t="shared" si="856"/>
        <v>0.37682499978374101</v>
      </c>
      <c r="EH275" s="92">
        <f t="shared" si="857"/>
        <v>0.64117982068003498</v>
      </c>
      <c r="EI275" s="92">
        <f t="shared" si="858"/>
        <v>0.52274873860641879</v>
      </c>
      <c r="EJ275" s="122">
        <f t="shared" si="859"/>
        <v>0.11843108207361618</v>
      </c>
    </row>
    <row r="276" spans="2:140" ht="12" hidden="1" customHeight="1" outlineLevel="1">
      <c r="B276" s="121">
        <v>45618</v>
      </c>
      <c r="C276" s="117">
        <v>24606</v>
      </c>
      <c r="D276" s="50" t="s">
        <v>1319</v>
      </c>
      <c r="E276" s="50" t="s">
        <v>1320</v>
      </c>
      <c r="F276" s="50" t="s">
        <v>1321</v>
      </c>
      <c r="G276" s="50" t="s">
        <v>154</v>
      </c>
      <c r="H276" s="50" t="s">
        <v>1322</v>
      </c>
      <c r="I276" s="50" t="s">
        <v>1323</v>
      </c>
      <c r="J276" s="52" t="s">
        <v>806</v>
      </c>
      <c r="K276" s="50" t="s">
        <v>807</v>
      </c>
      <c r="L276" s="49">
        <v>9</v>
      </c>
      <c r="M276" s="50" t="s">
        <v>159</v>
      </c>
      <c r="N276" s="50" t="s">
        <v>160</v>
      </c>
      <c r="O276" s="50" t="s">
        <v>160</v>
      </c>
      <c r="P276" s="50" t="s">
        <v>177</v>
      </c>
      <c r="Q276" s="53">
        <v>0.04</v>
      </c>
      <c r="R276" s="49">
        <v>177</v>
      </c>
      <c r="S276" s="49">
        <v>0</v>
      </c>
      <c r="T276" s="54">
        <f t="shared" si="860"/>
        <v>177</v>
      </c>
      <c r="U276" s="55">
        <v>167181</v>
      </c>
      <c r="V276" s="49">
        <v>8.89</v>
      </c>
      <c r="W276" s="56">
        <f t="shared" si="784"/>
        <v>19.910011248593925</v>
      </c>
      <c r="X276" s="49" t="s">
        <v>163</v>
      </c>
      <c r="Y276" s="57" t="s">
        <v>162</v>
      </c>
      <c r="Z276" s="58">
        <f>13966000+10000000</f>
        <v>23966000</v>
      </c>
      <c r="AA276" s="114">
        <f>(((13966000*0.0583)/(Table1[[#This Row],[Construction Loan Principal]]))+((10000000*0.02)/(Table1[[#This Row],[Construction Loan Principal]])))</f>
        <v>4.2319026954852706E-2</v>
      </c>
      <c r="AB276" s="59">
        <v>17</v>
      </c>
      <c r="AC276" s="60">
        <v>40</v>
      </c>
      <c r="AD276" s="61">
        <v>5.8299999999999998E-2</v>
      </c>
      <c r="AE276" s="62">
        <v>13966000</v>
      </c>
      <c r="AF276" s="63">
        <v>1.6</v>
      </c>
      <c r="AG276" s="59">
        <v>17</v>
      </c>
      <c r="AH276" s="60">
        <v>40</v>
      </c>
      <c r="AI276" s="61">
        <v>0.02</v>
      </c>
      <c r="AJ276" s="64">
        <v>10000000</v>
      </c>
      <c r="AK276" s="65">
        <f t="shared" si="785"/>
        <v>23966000</v>
      </c>
      <c r="AL276" s="66">
        <f>750000+3200000</f>
        <v>3950000</v>
      </c>
      <c r="AM276" s="49" t="s">
        <v>1324</v>
      </c>
      <c r="AN276" s="67">
        <v>0.83</v>
      </c>
      <c r="AO276" s="62">
        <v>20324481</v>
      </c>
      <c r="AP276" s="62">
        <v>0</v>
      </c>
      <c r="AQ276" s="68">
        <v>4468281</v>
      </c>
      <c r="AR276" s="69">
        <f t="shared" si="786"/>
        <v>135401.12994350283</v>
      </c>
      <c r="AS276" s="70">
        <f t="shared" si="787"/>
        <v>22316.384180790959</v>
      </c>
      <c r="AT276" s="70">
        <f t="shared" si="788"/>
        <v>114827.57627118644</v>
      </c>
      <c r="AU276" s="70" t="str">
        <f t="shared" si="789"/>
        <v/>
      </c>
      <c r="AV276" s="71">
        <f t="shared" si="790"/>
        <v>25244.525423728814</v>
      </c>
      <c r="AW276" s="115">
        <f t="shared" si="791"/>
        <v>157039.54802259887</v>
      </c>
      <c r="AX276" s="116">
        <f t="shared" si="792"/>
        <v>166.26291265155729</v>
      </c>
      <c r="AY276" s="72">
        <f t="shared" si="793"/>
        <v>188239.47457627117</v>
      </c>
      <c r="AZ276" s="73">
        <f t="shared" si="794"/>
        <v>199.29529671433954</v>
      </c>
      <c r="BA276" s="66">
        <v>1986336</v>
      </c>
      <c r="BB276" s="62">
        <v>4065000</v>
      </c>
      <c r="BC276" s="62">
        <v>23731000</v>
      </c>
      <c r="BD276" s="62">
        <v>1704447</v>
      </c>
      <c r="BE276" s="62">
        <v>3817940</v>
      </c>
      <c r="BF276" s="62">
        <v>3745772</v>
      </c>
      <c r="BG276" s="62">
        <v>7206929</v>
      </c>
      <c r="BH276" s="62">
        <v>6143535</v>
      </c>
      <c r="BI276" s="62">
        <v>200000</v>
      </c>
      <c r="BJ276" s="47">
        <f t="shared" si="795"/>
        <v>52600959</v>
      </c>
      <c r="BK276" s="69">
        <f t="shared" si="796"/>
        <v>11222.237288135593</v>
      </c>
      <c r="BL276" s="70">
        <f t="shared" si="797"/>
        <v>22966.101694915254</v>
      </c>
      <c r="BM276" s="70">
        <f t="shared" si="798"/>
        <v>134073.4463276836</v>
      </c>
      <c r="BN276" s="70">
        <f t="shared" si="799"/>
        <v>9629.6440677966093</v>
      </c>
      <c r="BO276" s="70">
        <f t="shared" si="800"/>
        <v>21570.282485875705</v>
      </c>
      <c r="BP276" s="70">
        <f t="shared" si="801"/>
        <v>21162.553672316386</v>
      </c>
      <c r="BQ276" s="70">
        <f t="shared" si="802"/>
        <v>40717.112994350282</v>
      </c>
      <c r="BR276" s="70">
        <f t="shared" si="803"/>
        <v>34709.237288135591</v>
      </c>
      <c r="BS276" s="70">
        <f t="shared" si="804"/>
        <v>1129.9435028248588</v>
      </c>
      <c r="BT276" s="71">
        <f t="shared" si="805"/>
        <v>297180.55932203389</v>
      </c>
      <c r="BU276" s="65">
        <f t="shared" si="806"/>
        <v>11.881350153426526</v>
      </c>
      <c r="BV276" s="48">
        <f t="shared" si="807"/>
        <v>24.314964021031098</v>
      </c>
      <c r="BW276" s="48">
        <f t="shared" si="808"/>
        <v>141.94794863052618</v>
      </c>
      <c r="BX276" s="48">
        <f t="shared" si="809"/>
        <v>10.195219552461104</v>
      </c>
      <c r="BY276" s="48">
        <f t="shared" si="810"/>
        <v>22.837164510321148</v>
      </c>
      <c r="BZ276" s="48">
        <f t="shared" si="811"/>
        <v>22.4054886619891</v>
      </c>
      <c r="CA276" s="48">
        <f t="shared" si="812"/>
        <v>43.108541042343326</v>
      </c>
      <c r="CB276" s="48">
        <f t="shared" si="813"/>
        <v>36.747806269851239</v>
      </c>
      <c r="CC276" s="48">
        <f t="shared" si="814"/>
        <v>1.1963081929166592</v>
      </c>
      <c r="CD276" s="47">
        <f t="shared" si="815"/>
        <v>314.6347910348664</v>
      </c>
      <c r="CE276" s="66">
        <v>2520612</v>
      </c>
      <c r="CF276" s="62">
        <v>63720</v>
      </c>
      <c r="CG276" s="74">
        <v>-193825</v>
      </c>
      <c r="CH276" s="75">
        <f t="shared" si="816"/>
        <v>2390507</v>
      </c>
      <c r="CI276" s="62">
        <f>85845+15000+7080+4425+4500</f>
        <v>116850</v>
      </c>
      <c r="CJ276" s="62">
        <v>59763</v>
      </c>
      <c r="CK276" s="62">
        <v>247800</v>
      </c>
      <c r="CL276" s="62">
        <f>132750+14160</f>
        <v>146910</v>
      </c>
      <c r="CM276" s="62">
        <f>62000+83600</f>
        <v>145600</v>
      </c>
      <c r="CN276" s="62">
        <v>130095</v>
      </c>
      <c r="CO276" s="62">
        <v>0</v>
      </c>
      <c r="CP276" s="75">
        <f t="shared" si="861"/>
        <v>847018</v>
      </c>
      <c r="CQ276" s="62">
        <v>44250</v>
      </c>
      <c r="CR276" s="75">
        <f t="shared" si="862"/>
        <v>891268</v>
      </c>
      <c r="CS276" s="75">
        <f t="shared" si="817"/>
        <v>1543489</v>
      </c>
      <c r="CT276" s="62">
        <v>1300726</v>
      </c>
      <c r="CU276" s="47">
        <f t="shared" si="818"/>
        <v>242763</v>
      </c>
      <c r="CV276" s="76">
        <f t="shared" si="819"/>
        <v>0.64567432766354582</v>
      </c>
      <c r="CW276" s="75">
        <f t="shared" si="820"/>
        <v>5035.4124293785308</v>
      </c>
      <c r="CX276" s="77">
        <f t="shared" si="821"/>
        <v>0.37283638993736473</v>
      </c>
      <c r="CY276" s="75">
        <f t="shared" si="822"/>
        <v>1371.542372881356</v>
      </c>
      <c r="CZ276" s="77">
        <f t="shared" si="823"/>
        <v>0.10155293416835842</v>
      </c>
      <c r="DA276" s="77">
        <f t="shared" si="824"/>
        <v>0.5441213934951874</v>
      </c>
      <c r="DB276" s="47">
        <f t="shared" si="825"/>
        <v>135401.12994350283</v>
      </c>
      <c r="DC276" s="69">
        <f t="shared" si="826"/>
        <v>14240.745762711864</v>
      </c>
      <c r="DD276" s="70">
        <f t="shared" si="827"/>
        <v>360</v>
      </c>
      <c r="DE276" s="70">
        <f t="shared" si="828"/>
        <v>-1095.0564971751412</v>
      </c>
      <c r="DF276" s="70">
        <f t="shared" si="829"/>
        <v>13505.689265536723</v>
      </c>
      <c r="DG276" s="70">
        <f t="shared" si="830"/>
        <v>660.16949152542372</v>
      </c>
      <c r="DH276" s="70">
        <f t="shared" si="831"/>
        <v>337.64406779661016</v>
      </c>
      <c r="DI276" s="70">
        <f t="shared" si="832"/>
        <v>1400</v>
      </c>
      <c r="DJ276" s="70">
        <f t="shared" si="833"/>
        <v>830</v>
      </c>
      <c r="DK276" s="70">
        <f t="shared" si="834"/>
        <v>822.59887005649716</v>
      </c>
      <c r="DL276" s="70">
        <f t="shared" si="835"/>
        <v>735</v>
      </c>
      <c r="DM276" s="70" t="str">
        <f t="shared" si="836"/>
        <v/>
      </c>
      <c r="DN276" s="70">
        <f t="shared" si="837"/>
        <v>4785.4124293785308</v>
      </c>
      <c r="DO276" s="70">
        <f t="shared" si="838"/>
        <v>250</v>
      </c>
      <c r="DP276" s="70">
        <f t="shared" si="839"/>
        <v>5035.4124293785308</v>
      </c>
      <c r="DQ276" s="70">
        <f t="shared" si="840"/>
        <v>8720.276836158193</v>
      </c>
      <c r="DR276" s="70">
        <f t="shared" si="841"/>
        <v>7348.7344632768363</v>
      </c>
      <c r="DS276" s="71">
        <f t="shared" si="842"/>
        <v>1371.542372881356</v>
      </c>
      <c r="DT276" s="106">
        <f t="shared" si="843"/>
        <v>1.0544256929596942</v>
      </c>
      <c r="DU276" s="92">
        <f t="shared" si="844"/>
        <v>2.6655433345311265E-2</v>
      </c>
      <c r="DV276" s="92" t="str">
        <f t="shared" si="845"/>
        <v/>
      </c>
      <c r="DW276" s="92">
        <f t="shared" si="846"/>
        <v>1</v>
      </c>
      <c r="DX276" s="92">
        <f t="shared" si="847"/>
        <v>4.8880844105455457E-2</v>
      </c>
      <c r="DY276" s="92">
        <f t="shared" si="848"/>
        <v>2.5000135954423058E-2</v>
      </c>
      <c r="DZ276" s="92">
        <f t="shared" si="849"/>
        <v>0.10366001856509938</v>
      </c>
      <c r="EA276" s="92">
        <f t="shared" si="850"/>
        <v>6.14555824350232E-2</v>
      </c>
      <c r="EB276" s="92">
        <f t="shared" si="851"/>
        <v>6.0907581529775899E-2</v>
      </c>
      <c r="EC276" s="92">
        <f t="shared" si="852"/>
        <v>5.4421509746677171E-2</v>
      </c>
      <c r="ED276" s="92" t="str">
        <f t="shared" si="853"/>
        <v/>
      </c>
      <c r="EE276" s="92">
        <f t="shared" si="854"/>
        <v>0.35432567233645412</v>
      </c>
      <c r="EF276" s="92">
        <f t="shared" si="855"/>
        <v>1.8510717600910602E-2</v>
      </c>
      <c r="EG276" s="92">
        <f t="shared" si="856"/>
        <v>0.37283638993736473</v>
      </c>
      <c r="EH276" s="92">
        <f t="shared" si="857"/>
        <v>0.64567432766354582</v>
      </c>
      <c r="EI276" s="92">
        <f t="shared" si="858"/>
        <v>0.5441213934951874</v>
      </c>
      <c r="EJ276" s="122">
        <f t="shared" si="859"/>
        <v>0.10155293416835842</v>
      </c>
    </row>
    <row r="277" spans="2:140" ht="12" hidden="1" customHeight="1" outlineLevel="1">
      <c r="B277" s="121">
        <v>45622</v>
      </c>
      <c r="C277" s="117">
        <v>23019</v>
      </c>
      <c r="D277" s="50" t="s">
        <v>1325</v>
      </c>
      <c r="E277" s="50" t="s">
        <v>1326</v>
      </c>
      <c r="F277" s="50" t="s">
        <v>546</v>
      </c>
      <c r="G277" s="50" t="s">
        <v>291</v>
      </c>
      <c r="H277" s="50" t="s">
        <v>1327</v>
      </c>
      <c r="I277" s="50" t="s">
        <v>499</v>
      </c>
      <c r="J277" s="52" t="s">
        <v>541</v>
      </c>
      <c r="K277" s="50" t="s">
        <v>542</v>
      </c>
      <c r="L277" s="49">
        <v>11</v>
      </c>
      <c r="M277" s="50" t="s">
        <v>159</v>
      </c>
      <c r="N277" s="50" t="s">
        <v>244</v>
      </c>
      <c r="O277" s="50" t="s">
        <v>160</v>
      </c>
      <c r="P277" s="50" t="s">
        <v>177</v>
      </c>
      <c r="Q277" s="53">
        <v>0.09</v>
      </c>
      <c r="R277" s="49">
        <v>84</v>
      </c>
      <c r="S277" s="49">
        <v>0</v>
      </c>
      <c r="T277" s="54">
        <f t="shared" si="860"/>
        <v>84</v>
      </c>
      <c r="U277" s="55">
        <v>70719</v>
      </c>
      <c r="V277" s="49">
        <v>5.34</v>
      </c>
      <c r="W277" s="56">
        <f t="shared" si="784"/>
        <v>15.730337078651687</v>
      </c>
      <c r="X277" s="49" t="s">
        <v>163</v>
      </c>
      <c r="Y277" s="57" t="s">
        <v>162</v>
      </c>
      <c r="Z277" s="58">
        <v>3895000</v>
      </c>
      <c r="AA277" s="114">
        <v>0.05</v>
      </c>
      <c r="AB277" s="59">
        <v>40</v>
      </c>
      <c r="AC277" s="60">
        <v>40</v>
      </c>
      <c r="AD277" s="61">
        <v>0.05</v>
      </c>
      <c r="AE277" s="62">
        <v>3895000</v>
      </c>
      <c r="AF277" s="63">
        <v>1.2</v>
      </c>
      <c r="AG277" s="59"/>
      <c r="AH277" s="60"/>
      <c r="AI277" s="61"/>
      <c r="AJ277" s="64"/>
      <c r="AK277" s="65">
        <f t="shared" si="785"/>
        <v>3895000</v>
      </c>
      <c r="AL277" s="66">
        <v>500</v>
      </c>
      <c r="AM277" s="49" t="s">
        <v>1038</v>
      </c>
      <c r="AN277" s="67">
        <v>0.9</v>
      </c>
      <c r="AO277" s="62">
        <v>17998200</v>
      </c>
      <c r="AP277" s="62">
        <v>0</v>
      </c>
      <c r="AQ277" s="68">
        <v>434993</v>
      </c>
      <c r="AR277" s="69">
        <f t="shared" si="786"/>
        <v>46369.047619047618</v>
      </c>
      <c r="AS277" s="70">
        <f t="shared" si="787"/>
        <v>5.9523809523809526</v>
      </c>
      <c r="AT277" s="70">
        <f t="shared" si="788"/>
        <v>214264.28571428571</v>
      </c>
      <c r="AU277" s="70" t="str">
        <f t="shared" si="789"/>
        <v/>
      </c>
      <c r="AV277" s="71">
        <f t="shared" si="790"/>
        <v>5178.4880952380954</v>
      </c>
      <c r="AW277" s="115">
        <f t="shared" si="791"/>
        <v>136385.83333333334</v>
      </c>
      <c r="AX277" s="116">
        <f t="shared" si="792"/>
        <v>161.99903844794184</v>
      </c>
      <c r="AY277" s="72">
        <f t="shared" si="793"/>
        <v>163253.84523809524</v>
      </c>
      <c r="AZ277" s="73">
        <f t="shared" si="794"/>
        <v>193.91285227449487</v>
      </c>
      <c r="BA277" s="66">
        <v>1860000</v>
      </c>
      <c r="BB277" s="62">
        <v>3282708</v>
      </c>
      <c r="BC277" s="62">
        <v>8173702</v>
      </c>
      <c r="BD277" s="62">
        <v>572821</v>
      </c>
      <c r="BE277" s="62">
        <v>1684092</v>
      </c>
      <c r="BF277" s="62">
        <v>1809778</v>
      </c>
      <c r="BG277" s="62">
        <v>1927614</v>
      </c>
      <c r="BH277" s="62">
        <v>2539000</v>
      </c>
      <c r="BI277" s="62">
        <v>478979</v>
      </c>
      <c r="BJ277" s="47">
        <f t="shared" si="795"/>
        <v>22328694</v>
      </c>
      <c r="BK277" s="69">
        <f t="shared" si="796"/>
        <v>22142.857142857141</v>
      </c>
      <c r="BL277" s="70">
        <f t="shared" si="797"/>
        <v>39079.857142857145</v>
      </c>
      <c r="BM277" s="70">
        <f t="shared" si="798"/>
        <v>97305.976190476184</v>
      </c>
      <c r="BN277" s="70">
        <f t="shared" si="799"/>
        <v>6819.2976190476193</v>
      </c>
      <c r="BO277" s="70">
        <f t="shared" si="800"/>
        <v>20048.714285714286</v>
      </c>
      <c r="BP277" s="70">
        <f t="shared" si="801"/>
        <v>21544.976190476191</v>
      </c>
      <c r="BQ277" s="70">
        <f t="shared" si="802"/>
        <v>22947.785714285714</v>
      </c>
      <c r="BR277" s="70">
        <f t="shared" si="803"/>
        <v>30226.190476190477</v>
      </c>
      <c r="BS277" s="70">
        <f t="shared" si="804"/>
        <v>5702.1309523809523</v>
      </c>
      <c r="BT277" s="71">
        <f t="shared" si="805"/>
        <v>265817.78571428574</v>
      </c>
      <c r="BU277" s="65">
        <f t="shared" si="806"/>
        <v>26.301276884571333</v>
      </c>
      <c r="BV277" s="48">
        <f t="shared" si="807"/>
        <v>46.419038730751282</v>
      </c>
      <c r="BW277" s="48">
        <f t="shared" si="808"/>
        <v>115.57999971719057</v>
      </c>
      <c r="BX277" s="48">
        <f t="shared" si="809"/>
        <v>8.0999589926328142</v>
      </c>
      <c r="BY277" s="48">
        <f t="shared" si="810"/>
        <v>23.813854833920164</v>
      </c>
      <c r="BZ277" s="48">
        <f t="shared" si="811"/>
        <v>25.591114127745019</v>
      </c>
      <c r="CA277" s="48">
        <f t="shared" si="812"/>
        <v>27.257370720739829</v>
      </c>
      <c r="CB277" s="48">
        <f t="shared" si="813"/>
        <v>35.902656994584198</v>
      </c>
      <c r="CC277" s="48">
        <f t="shared" si="814"/>
        <v>6.7729888714489741</v>
      </c>
      <c r="CD277" s="47">
        <f t="shared" si="815"/>
        <v>315.73825987358418</v>
      </c>
      <c r="CE277" s="66">
        <v>719196</v>
      </c>
      <c r="CF277" s="62">
        <v>30240</v>
      </c>
      <c r="CG277" s="74">
        <v>-56208</v>
      </c>
      <c r="CH277" s="75">
        <f t="shared" si="816"/>
        <v>693228</v>
      </c>
      <c r="CI277" s="62">
        <f>29400+11723+3360</f>
        <v>44483</v>
      </c>
      <c r="CJ277" s="62">
        <v>34661</v>
      </c>
      <c r="CK277" s="62">
        <v>91095</v>
      </c>
      <c r="CL277" s="62">
        <v>52200</v>
      </c>
      <c r="CM277" s="62">
        <f>13900+39300</f>
        <v>53200</v>
      </c>
      <c r="CN277" s="62">
        <v>46200</v>
      </c>
      <c r="CO277" s="62">
        <v>67200</v>
      </c>
      <c r="CP277" s="75">
        <f t="shared" si="861"/>
        <v>389039</v>
      </c>
      <c r="CQ277" s="62">
        <v>21000</v>
      </c>
      <c r="CR277" s="75">
        <f t="shared" si="862"/>
        <v>410039</v>
      </c>
      <c r="CS277" s="75">
        <f t="shared" si="817"/>
        <v>304189</v>
      </c>
      <c r="CT277" s="62">
        <v>236319</v>
      </c>
      <c r="CU277" s="47">
        <f t="shared" si="818"/>
        <v>67870</v>
      </c>
      <c r="CV277" s="76">
        <f t="shared" si="819"/>
        <v>0.43880079858286164</v>
      </c>
      <c r="CW277" s="75">
        <f t="shared" si="820"/>
        <v>4881.416666666667</v>
      </c>
      <c r="CX277" s="77">
        <f t="shared" si="821"/>
        <v>0.5914922651710548</v>
      </c>
      <c r="CY277" s="75">
        <f t="shared" si="822"/>
        <v>807.97619047619048</v>
      </c>
      <c r="CZ277" s="77">
        <f t="shared" si="823"/>
        <v>9.7904296998967147E-2</v>
      </c>
      <c r="DA277" s="77">
        <f t="shared" si="824"/>
        <v>0.34089650158389445</v>
      </c>
      <c r="DB277" s="47">
        <f t="shared" si="825"/>
        <v>46369.047619047618</v>
      </c>
      <c r="DC277" s="69">
        <f t="shared" si="826"/>
        <v>8561.8571428571431</v>
      </c>
      <c r="DD277" s="70">
        <f t="shared" si="827"/>
        <v>360</v>
      </c>
      <c r="DE277" s="70">
        <f t="shared" si="828"/>
        <v>-669.14285714285711</v>
      </c>
      <c r="DF277" s="70">
        <f t="shared" si="829"/>
        <v>8252.7142857142862</v>
      </c>
      <c r="DG277" s="70">
        <f t="shared" si="830"/>
        <v>529.55952380952385</v>
      </c>
      <c r="DH277" s="70">
        <f t="shared" si="831"/>
        <v>412.63095238095241</v>
      </c>
      <c r="DI277" s="70">
        <f t="shared" si="832"/>
        <v>1084.4642857142858</v>
      </c>
      <c r="DJ277" s="70">
        <f t="shared" si="833"/>
        <v>621.42857142857144</v>
      </c>
      <c r="DK277" s="70">
        <f t="shared" si="834"/>
        <v>633.33333333333337</v>
      </c>
      <c r="DL277" s="70">
        <f t="shared" si="835"/>
        <v>550</v>
      </c>
      <c r="DM277" s="70">
        <f t="shared" si="836"/>
        <v>800</v>
      </c>
      <c r="DN277" s="70">
        <f t="shared" si="837"/>
        <v>4631.416666666667</v>
      </c>
      <c r="DO277" s="70">
        <f t="shared" si="838"/>
        <v>250</v>
      </c>
      <c r="DP277" s="70">
        <f t="shared" si="839"/>
        <v>4881.416666666667</v>
      </c>
      <c r="DQ277" s="70">
        <f t="shared" si="840"/>
        <v>3621.2976190476193</v>
      </c>
      <c r="DR277" s="70">
        <f t="shared" si="841"/>
        <v>2813.3214285714284</v>
      </c>
      <c r="DS277" s="71">
        <f t="shared" si="842"/>
        <v>807.97619047619048</v>
      </c>
      <c r="DT277" s="106">
        <f t="shared" si="843"/>
        <v>1.0374595371219859</v>
      </c>
      <c r="DU277" s="92">
        <f t="shared" si="844"/>
        <v>4.3622011805639703E-2</v>
      </c>
      <c r="DV277" s="92" t="str">
        <f t="shared" si="845"/>
        <v/>
      </c>
      <c r="DW277" s="92">
        <f t="shared" si="846"/>
        <v>1</v>
      </c>
      <c r="DX277" s="92">
        <f t="shared" si="847"/>
        <v>6.4167921665022193E-2</v>
      </c>
      <c r="DY277" s="92">
        <f t="shared" si="848"/>
        <v>4.9999422989261827E-2</v>
      </c>
      <c r="DZ277" s="92">
        <f t="shared" si="849"/>
        <v>0.13140698298395334</v>
      </c>
      <c r="EA277" s="92">
        <f t="shared" si="850"/>
        <v>7.5299901331163779E-2</v>
      </c>
      <c r="EB277" s="92">
        <f t="shared" si="851"/>
        <v>7.674242817658837E-2</v>
      </c>
      <c r="EC277" s="92">
        <f t="shared" si="852"/>
        <v>6.664474025861622E-2</v>
      </c>
      <c r="ED277" s="92">
        <f t="shared" si="853"/>
        <v>9.6937804012532672E-2</v>
      </c>
      <c r="EE277" s="92">
        <f t="shared" si="854"/>
        <v>0.56119920141713842</v>
      </c>
      <c r="EF277" s="92">
        <f t="shared" si="855"/>
        <v>3.0293063753916459E-2</v>
      </c>
      <c r="EG277" s="92">
        <f t="shared" si="856"/>
        <v>0.5914922651710548</v>
      </c>
      <c r="EH277" s="92">
        <f t="shared" si="857"/>
        <v>0.43880079858286164</v>
      </c>
      <c r="EI277" s="92">
        <f t="shared" si="858"/>
        <v>0.34089650158389445</v>
      </c>
      <c r="EJ277" s="122">
        <f t="shared" si="859"/>
        <v>9.7904296998967147E-2</v>
      </c>
    </row>
    <row r="278" spans="2:140" ht="12" hidden="1" customHeight="1" outlineLevel="1">
      <c r="B278" s="121">
        <v>45628</v>
      </c>
      <c r="C278" s="117">
        <v>24488</v>
      </c>
      <c r="D278" s="50" t="s">
        <v>1328</v>
      </c>
      <c r="E278" s="50" t="s">
        <v>1329</v>
      </c>
      <c r="F278" s="50" t="s">
        <v>1330</v>
      </c>
      <c r="G278" s="50" t="s">
        <v>162</v>
      </c>
      <c r="H278" s="50" t="s">
        <v>1331</v>
      </c>
      <c r="I278" s="50" t="s">
        <v>1184</v>
      </c>
      <c r="J278" s="52" t="s">
        <v>360</v>
      </c>
      <c r="K278" s="50" t="s">
        <v>294</v>
      </c>
      <c r="L278" s="49">
        <v>7</v>
      </c>
      <c r="M278" s="50" t="s">
        <v>159</v>
      </c>
      <c r="N278" s="50" t="s">
        <v>160</v>
      </c>
      <c r="O278" s="50" t="s">
        <v>160</v>
      </c>
      <c r="P278" s="50" t="s">
        <v>177</v>
      </c>
      <c r="Q278" s="53">
        <v>0.04</v>
      </c>
      <c r="R278" s="49">
        <v>274</v>
      </c>
      <c r="S278" s="49">
        <v>0</v>
      </c>
      <c r="T278" s="54">
        <f t="shared" si="860"/>
        <v>274</v>
      </c>
      <c r="U278" s="55">
        <v>249198</v>
      </c>
      <c r="V278" s="49">
        <v>9.9600000000000009</v>
      </c>
      <c r="W278" s="56">
        <f t="shared" si="784"/>
        <v>27.510040160642568</v>
      </c>
      <c r="X278" s="49" t="s">
        <v>163</v>
      </c>
      <c r="Y278" s="57" t="s">
        <v>162</v>
      </c>
      <c r="Z278" s="58">
        <v>64959160</v>
      </c>
      <c r="AA278" s="114">
        <f>(((45000000*0.058)/(Table1[[#This Row],[Construction Loan Principal]]))+(((2770000*0.0805)/(Table1[[#This Row],[Construction Loan Principal]])))+((17189160*0.0805)/(Table1[[#This Row],[Construction Loan Principal]])))</f>
        <v>6.4913283669308541E-2</v>
      </c>
      <c r="AB278" s="59">
        <v>19</v>
      </c>
      <c r="AC278" s="60">
        <v>40</v>
      </c>
      <c r="AD278" s="61">
        <v>5.8000000000000003E-2</v>
      </c>
      <c r="AE278" s="62">
        <v>45000000</v>
      </c>
      <c r="AF278" s="63">
        <v>1.23</v>
      </c>
      <c r="AG278" s="59">
        <v>19</v>
      </c>
      <c r="AH278" s="60">
        <v>40</v>
      </c>
      <c r="AI278" s="61">
        <v>6.3E-2</v>
      </c>
      <c r="AJ278" s="64">
        <v>2770000</v>
      </c>
      <c r="AK278" s="65">
        <f t="shared" si="785"/>
        <v>47770000</v>
      </c>
      <c r="AL278" s="66">
        <v>0</v>
      </c>
      <c r="AM278" s="49" t="s">
        <v>163</v>
      </c>
      <c r="AN278" s="67">
        <v>0.9</v>
      </c>
      <c r="AO278" s="62">
        <v>25995171</v>
      </c>
      <c r="AP278" s="62">
        <v>4206556</v>
      </c>
      <c r="AQ278" s="68">
        <v>7633206</v>
      </c>
      <c r="AR278" s="69">
        <f t="shared" si="786"/>
        <v>174343.06569343066</v>
      </c>
      <c r="AS278" s="70" t="str">
        <f t="shared" si="787"/>
        <v/>
      </c>
      <c r="AT278" s="70">
        <f t="shared" si="788"/>
        <v>94872.886861313862</v>
      </c>
      <c r="AU278" s="70">
        <f t="shared" si="789"/>
        <v>15352.394160583941</v>
      </c>
      <c r="AV278" s="71">
        <f t="shared" si="790"/>
        <v>27858.416058394159</v>
      </c>
      <c r="AW278" s="115">
        <f t="shared" si="791"/>
        <v>165669.10218978103</v>
      </c>
      <c r="AX278" s="116">
        <f t="shared" si="792"/>
        <v>182.15769789484668</v>
      </c>
      <c r="AY278" s="72">
        <f t="shared" si="793"/>
        <v>196297.90875912408</v>
      </c>
      <c r="AZ278" s="73">
        <f t="shared" si="794"/>
        <v>215.83490637966597</v>
      </c>
      <c r="BA278" s="66">
        <v>8646080</v>
      </c>
      <c r="BB278" s="62">
        <v>9877413</v>
      </c>
      <c r="BC278" s="62">
        <v>35515921</v>
      </c>
      <c r="BD278" s="62">
        <v>2319667</v>
      </c>
      <c r="BE278" s="62">
        <v>6072626</v>
      </c>
      <c r="BF278" s="62">
        <v>2103556</v>
      </c>
      <c r="BG278" s="62">
        <v>11818441</v>
      </c>
      <c r="BH278" s="62">
        <v>9419482</v>
      </c>
      <c r="BI278" s="62">
        <v>1084407</v>
      </c>
      <c r="BJ278" s="47">
        <f t="shared" si="795"/>
        <v>86857593</v>
      </c>
      <c r="BK278" s="69">
        <f t="shared" si="796"/>
        <v>31555.036496350363</v>
      </c>
      <c r="BL278" s="70">
        <f t="shared" si="797"/>
        <v>36048.952554744523</v>
      </c>
      <c r="BM278" s="70">
        <f t="shared" si="798"/>
        <v>129620.14963503649</v>
      </c>
      <c r="BN278" s="70">
        <f t="shared" si="799"/>
        <v>8465.9379562043796</v>
      </c>
      <c r="BO278" s="70">
        <f t="shared" si="800"/>
        <v>22162.868613138686</v>
      </c>
      <c r="BP278" s="70">
        <f t="shared" si="801"/>
        <v>7677.2116788321164</v>
      </c>
      <c r="BQ278" s="70">
        <f t="shared" si="802"/>
        <v>43132.996350364963</v>
      </c>
      <c r="BR278" s="70">
        <f t="shared" si="803"/>
        <v>34377.671532846718</v>
      </c>
      <c r="BS278" s="70">
        <f t="shared" si="804"/>
        <v>3957.6897810218979</v>
      </c>
      <c r="BT278" s="71">
        <f t="shared" si="805"/>
        <v>316998.51459854015</v>
      </c>
      <c r="BU278" s="65">
        <f t="shared" si="806"/>
        <v>34.695623560381705</v>
      </c>
      <c r="BV278" s="48">
        <f t="shared" si="807"/>
        <v>39.63680687645968</v>
      </c>
      <c r="BW278" s="48">
        <f t="shared" si="808"/>
        <v>142.52089101838698</v>
      </c>
      <c r="BX278" s="48">
        <f t="shared" si="809"/>
        <v>9.3085297634812481</v>
      </c>
      <c r="BY278" s="48">
        <f t="shared" si="810"/>
        <v>24.368678721338053</v>
      </c>
      <c r="BZ278" s="48">
        <f t="shared" si="811"/>
        <v>8.4413037022769046</v>
      </c>
      <c r="CA278" s="48">
        <f t="shared" si="812"/>
        <v>47.425906307434246</v>
      </c>
      <c r="CB278" s="48">
        <f t="shared" si="813"/>
        <v>37.799187794444578</v>
      </c>
      <c r="CC278" s="48">
        <f t="shared" si="814"/>
        <v>4.3515878939638357</v>
      </c>
      <c r="CD278" s="47">
        <f t="shared" si="815"/>
        <v>348.54851563816726</v>
      </c>
      <c r="CE278" s="66">
        <v>5094264</v>
      </c>
      <c r="CF278" s="62">
        <v>98640</v>
      </c>
      <c r="CG278" s="74">
        <v>-389468</v>
      </c>
      <c r="CH278" s="75">
        <f t="shared" si="816"/>
        <v>4803436</v>
      </c>
      <c r="CI278" s="62">
        <f>100502+32880+10960+5000+70800</f>
        <v>220142</v>
      </c>
      <c r="CJ278" s="62">
        <v>156029</v>
      </c>
      <c r="CK278" s="62">
        <v>405664</v>
      </c>
      <c r="CL278" s="62">
        <v>155566</v>
      </c>
      <c r="CM278" s="62">
        <f>16714+45448</f>
        <v>62162</v>
      </c>
      <c r="CN278" s="62">
        <v>183580</v>
      </c>
      <c r="CO278" s="62">
        <v>0</v>
      </c>
      <c r="CP278" s="75">
        <f t="shared" si="861"/>
        <v>1183143</v>
      </c>
      <c r="CQ278" s="62">
        <v>68500</v>
      </c>
      <c r="CR278" s="75">
        <f t="shared" si="862"/>
        <v>1251643</v>
      </c>
      <c r="CS278" s="75">
        <f t="shared" si="817"/>
        <v>3620293</v>
      </c>
      <c r="CT278" s="62">
        <f>2896217+189889</f>
        <v>3086106</v>
      </c>
      <c r="CU278" s="47">
        <f t="shared" si="818"/>
        <v>534187</v>
      </c>
      <c r="CV278" s="76">
        <f t="shared" si="819"/>
        <v>0.75368819320169977</v>
      </c>
      <c r="CW278" s="75">
        <f t="shared" si="820"/>
        <v>4568.0401459854011</v>
      </c>
      <c r="CX278" s="77">
        <f t="shared" si="821"/>
        <v>0.26057243190083101</v>
      </c>
      <c r="CY278" s="75">
        <f t="shared" si="822"/>
        <v>1949.587591240876</v>
      </c>
      <c r="CZ278" s="77">
        <f t="shared" si="823"/>
        <v>0.11120935097292854</v>
      </c>
      <c r="DA278" s="77">
        <f t="shared" si="824"/>
        <v>0.64247884222877127</v>
      </c>
      <c r="DB278" s="47">
        <f t="shared" si="825"/>
        <v>174343.06569343066</v>
      </c>
      <c r="DC278" s="69">
        <f t="shared" si="826"/>
        <v>18592.204379562045</v>
      </c>
      <c r="DD278" s="70">
        <f t="shared" si="827"/>
        <v>360</v>
      </c>
      <c r="DE278" s="70">
        <f t="shared" si="828"/>
        <v>-1421.4160583941605</v>
      </c>
      <c r="DF278" s="70">
        <f t="shared" si="829"/>
        <v>17530.788321167882</v>
      </c>
      <c r="DG278" s="70">
        <f t="shared" si="830"/>
        <v>803.43795620437959</v>
      </c>
      <c r="DH278" s="70">
        <f t="shared" si="831"/>
        <v>569.44890510948903</v>
      </c>
      <c r="DI278" s="70">
        <f t="shared" si="832"/>
        <v>1480.5255474452554</v>
      </c>
      <c r="DJ278" s="70">
        <f t="shared" si="833"/>
        <v>567.7591240875912</v>
      </c>
      <c r="DK278" s="70">
        <f t="shared" si="834"/>
        <v>226.86861313868613</v>
      </c>
      <c r="DL278" s="70">
        <f t="shared" si="835"/>
        <v>670</v>
      </c>
      <c r="DM278" s="70" t="str">
        <f t="shared" si="836"/>
        <v/>
      </c>
      <c r="DN278" s="70">
        <f t="shared" si="837"/>
        <v>4318.0401459854011</v>
      </c>
      <c r="DO278" s="70">
        <f t="shared" si="838"/>
        <v>250</v>
      </c>
      <c r="DP278" s="70">
        <f t="shared" si="839"/>
        <v>4568.0401459854011</v>
      </c>
      <c r="DQ278" s="70">
        <f t="shared" si="840"/>
        <v>13212.748175182482</v>
      </c>
      <c r="DR278" s="70">
        <f t="shared" si="841"/>
        <v>11263.160583941606</v>
      </c>
      <c r="DS278" s="71">
        <f t="shared" si="842"/>
        <v>1949.587591240876</v>
      </c>
      <c r="DT278" s="106">
        <f t="shared" si="843"/>
        <v>1.0605458259462601</v>
      </c>
      <c r="DU278" s="92">
        <f t="shared" si="844"/>
        <v>2.0535300147644313E-2</v>
      </c>
      <c r="DV278" s="92" t="str">
        <f t="shared" si="845"/>
        <v/>
      </c>
      <c r="DW278" s="92">
        <f t="shared" si="846"/>
        <v>1</v>
      </c>
      <c r="DX278" s="92">
        <f t="shared" si="847"/>
        <v>4.5830109946296778E-2</v>
      </c>
      <c r="DY278" s="92">
        <f t="shared" si="848"/>
        <v>3.2482789403252173E-2</v>
      </c>
      <c r="DZ278" s="92">
        <f t="shared" si="849"/>
        <v>8.4452879147343687E-2</v>
      </c>
      <c r="EA278" s="92">
        <f t="shared" si="850"/>
        <v>3.2386400068617545E-2</v>
      </c>
      <c r="EB278" s="92">
        <f t="shared" si="851"/>
        <v>1.294115295800756E-2</v>
      </c>
      <c r="EC278" s="92">
        <f t="shared" si="852"/>
        <v>3.8218475274782469E-2</v>
      </c>
      <c r="ED278" s="92" t="str">
        <f t="shared" si="853"/>
        <v/>
      </c>
      <c r="EE278" s="92">
        <f t="shared" si="854"/>
        <v>0.24631180679830023</v>
      </c>
      <c r="EF278" s="92">
        <f t="shared" si="855"/>
        <v>1.4260625102530771E-2</v>
      </c>
      <c r="EG278" s="92">
        <f t="shared" si="856"/>
        <v>0.26057243190083101</v>
      </c>
      <c r="EH278" s="92">
        <f t="shared" si="857"/>
        <v>0.75368819320169977</v>
      </c>
      <c r="EI278" s="92">
        <f t="shared" si="858"/>
        <v>0.64247884222877127</v>
      </c>
      <c r="EJ278" s="122">
        <f t="shared" si="859"/>
        <v>0.11120935097292854</v>
      </c>
    </row>
    <row r="279" spans="2:140" ht="12" hidden="1" customHeight="1" outlineLevel="1">
      <c r="B279" s="121">
        <v>45628</v>
      </c>
      <c r="C279" s="117" t="s">
        <v>1332</v>
      </c>
      <c r="D279" s="50" t="s">
        <v>1333</v>
      </c>
      <c r="E279" s="50" t="s">
        <v>320</v>
      </c>
      <c r="F279" s="50" t="s">
        <v>714</v>
      </c>
      <c r="G279" s="50" t="s">
        <v>162</v>
      </c>
      <c r="H279" s="50" t="s">
        <v>1334</v>
      </c>
      <c r="I279" s="50" t="s">
        <v>321</v>
      </c>
      <c r="J279" s="52" t="s">
        <v>1335</v>
      </c>
      <c r="K279" s="50" t="s">
        <v>1336</v>
      </c>
      <c r="L279" s="49">
        <v>2</v>
      </c>
      <c r="M279" s="50" t="s">
        <v>283</v>
      </c>
      <c r="N279" s="50" t="s">
        <v>244</v>
      </c>
      <c r="O279" s="50" t="s">
        <v>283</v>
      </c>
      <c r="P279" s="50" t="s">
        <v>177</v>
      </c>
      <c r="Q279" s="53">
        <v>0.09</v>
      </c>
      <c r="R279" s="49">
        <v>45</v>
      </c>
      <c r="S279" s="49">
        <v>4</v>
      </c>
      <c r="T279" s="54">
        <f t="shared" si="860"/>
        <v>49</v>
      </c>
      <c r="U279" s="55">
        <v>36890</v>
      </c>
      <c r="V279" s="49">
        <v>9.42</v>
      </c>
      <c r="W279" s="56">
        <f t="shared" si="784"/>
        <v>5.2016985138004248</v>
      </c>
      <c r="X279" s="49" t="s">
        <v>163</v>
      </c>
      <c r="Y279" s="57" t="s">
        <v>162</v>
      </c>
      <c r="Z279" s="58">
        <v>2000000</v>
      </c>
      <c r="AA279" s="114">
        <v>6.5000000000000002E-2</v>
      </c>
      <c r="AB279" s="59">
        <v>15</v>
      </c>
      <c r="AC279" s="60">
        <v>35</v>
      </c>
      <c r="AD279" s="61">
        <v>6.5000000000000002E-2</v>
      </c>
      <c r="AE279" s="62">
        <v>2000000</v>
      </c>
      <c r="AF279" s="63">
        <v>1.1599999999999999</v>
      </c>
      <c r="AG279" s="59"/>
      <c r="AH279" s="60"/>
      <c r="AI279" s="61"/>
      <c r="AJ279" s="64"/>
      <c r="AK279" s="65">
        <f t="shared" si="785"/>
        <v>2000000</v>
      </c>
      <c r="AL279" s="66">
        <v>0</v>
      </c>
      <c r="AM279" s="49" t="s">
        <v>163</v>
      </c>
      <c r="AN279" s="67">
        <v>0.86</v>
      </c>
      <c r="AO279" s="62">
        <v>7739226</v>
      </c>
      <c r="AP279" s="62">
        <v>0</v>
      </c>
      <c r="AQ279" s="68">
        <v>370285</v>
      </c>
      <c r="AR279" s="69">
        <f t="shared" si="786"/>
        <v>40816.326530612248</v>
      </c>
      <c r="AS279" s="70" t="str">
        <f t="shared" si="787"/>
        <v/>
      </c>
      <c r="AT279" s="70">
        <f t="shared" si="788"/>
        <v>157943.38775510204</v>
      </c>
      <c r="AU279" s="70" t="str">
        <f t="shared" si="789"/>
        <v/>
      </c>
      <c r="AV279" s="71">
        <f t="shared" si="790"/>
        <v>7556.8367346938776</v>
      </c>
      <c r="AW279" s="115">
        <f t="shared" si="791"/>
        <v>112579.59183673469</v>
      </c>
      <c r="AX279" s="116">
        <f t="shared" si="792"/>
        <v>149.53645974518841</v>
      </c>
      <c r="AY279" s="72">
        <f t="shared" si="793"/>
        <v>137252.28571428571</v>
      </c>
      <c r="AZ279" s="73">
        <f t="shared" si="794"/>
        <v>182.30853889943074</v>
      </c>
      <c r="BA279" s="66">
        <v>100000</v>
      </c>
      <c r="BB279" s="62">
        <v>1230000</v>
      </c>
      <c r="BC279" s="62">
        <v>4286400</v>
      </c>
      <c r="BD279" s="62">
        <v>383040</v>
      </c>
      <c r="BE279" s="62">
        <v>825922</v>
      </c>
      <c r="BF279" s="62">
        <v>585500</v>
      </c>
      <c r="BG279" s="62">
        <v>975350</v>
      </c>
      <c r="BH279" s="62">
        <v>1525000</v>
      </c>
      <c r="BI279" s="62">
        <v>198300</v>
      </c>
      <c r="BJ279" s="47">
        <f t="shared" si="795"/>
        <v>10109512</v>
      </c>
      <c r="BK279" s="69">
        <f t="shared" si="796"/>
        <v>2040.8163265306123</v>
      </c>
      <c r="BL279" s="70">
        <f t="shared" si="797"/>
        <v>25102.040816326531</v>
      </c>
      <c r="BM279" s="70">
        <f t="shared" si="798"/>
        <v>87477.551020408166</v>
      </c>
      <c r="BN279" s="70">
        <f t="shared" si="799"/>
        <v>7817.1428571428569</v>
      </c>
      <c r="BO279" s="70">
        <f t="shared" si="800"/>
        <v>16855.551020408162</v>
      </c>
      <c r="BP279" s="70">
        <f t="shared" si="801"/>
        <v>11948.979591836734</v>
      </c>
      <c r="BQ279" s="70">
        <f t="shared" si="802"/>
        <v>19905.102040816328</v>
      </c>
      <c r="BR279" s="70">
        <f t="shared" si="803"/>
        <v>31122.448979591838</v>
      </c>
      <c r="BS279" s="70">
        <f t="shared" si="804"/>
        <v>4046.9387755102039</v>
      </c>
      <c r="BT279" s="71">
        <f t="shared" si="805"/>
        <v>206316.57142857142</v>
      </c>
      <c r="BU279" s="65">
        <f t="shared" si="806"/>
        <v>2.7107617240444566</v>
      </c>
      <c r="BV279" s="48">
        <f t="shared" si="807"/>
        <v>33.342369205746813</v>
      </c>
      <c r="BW279" s="48">
        <f t="shared" si="808"/>
        <v>116.19409053944159</v>
      </c>
      <c r="BX279" s="48">
        <f t="shared" si="809"/>
        <v>10.383301707779886</v>
      </c>
      <c r="BY279" s="48">
        <f t="shared" si="810"/>
        <v>22.388777446462456</v>
      </c>
      <c r="BZ279" s="48">
        <f t="shared" si="811"/>
        <v>15.871509894280292</v>
      </c>
      <c r="CA279" s="48">
        <f t="shared" si="812"/>
        <v>26.439414475467608</v>
      </c>
      <c r="CB279" s="48">
        <f t="shared" si="813"/>
        <v>41.339116291677961</v>
      </c>
      <c r="CC279" s="48">
        <f t="shared" si="814"/>
        <v>5.375440498780157</v>
      </c>
      <c r="CD279" s="47">
        <f t="shared" si="815"/>
        <v>274.04478178368123</v>
      </c>
      <c r="CE279" s="66">
        <v>448236</v>
      </c>
      <c r="CF279" s="62">
        <v>5880</v>
      </c>
      <c r="CG279" s="74">
        <v>-34059</v>
      </c>
      <c r="CH279" s="75">
        <f t="shared" si="816"/>
        <v>420057</v>
      </c>
      <c r="CI279" s="62">
        <f>25000+5000+1800</f>
        <v>31800</v>
      </c>
      <c r="CJ279" s="62">
        <v>16802</v>
      </c>
      <c r="CK279" s="62">
        <v>71250</v>
      </c>
      <c r="CL279" s="62">
        <v>29500</v>
      </c>
      <c r="CM279" s="62">
        <f>9000+28000</f>
        <v>37000</v>
      </c>
      <c r="CN279" s="62">
        <v>25000</v>
      </c>
      <c r="CO279" s="62">
        <v>28000</v>
      </c>
      <c r="CP279" s="75">
        <f t="shared" si="861"/>
        <v>239352</v>
      </c>
      <c r="CQ279" s="62">
        <v>12250</v>
      </c>
      <c r="CR279" s="75">
        <f t="shared" si="862"/>
        <v>251602</v>
      </c>
      <c r="CS279" s="75">
        <f t="shared" si="817"/>
        <v>180705</v>
      </c>
      <c r="CT279" s="62">
        <v>144997</v>
      </c>
      <c r="CU279" s="47">
        <f t="shared" si="818"/>
        <v>35708</v>
      </c>
      <c r="CV279" s="76">
        <f t="shared" si="819"/>
        <v>0.43019161685199864</v>
      </c>
      <c r="CW279" s="75">
        <f t="shared" si="820"/>
        <v>5134.7346938775509</v>
      </c>
      <c r="CX279" s="77">
        <f t="shared" si="821"/>
        <v>0.59897109201846421</v>
      </c>
      <c r="CY279" s="75">
        <f t="shared" si="822"/>
        <v>728.73469387755097</v>
      </c>
      <c r="CZ279" s="77">
        <f t="shared" si="823"/>
        <v>8.5007510885427448E-2</v>
      </c>
      <c r="DA279" s="77">
        <f t="shared" si="824"/>
        <v>0.34518410596657123</v>
      </c>
      <c r="DB279" s="47">
        <f t="shared" si="825"/>
        <v>40816.326530612248</v>
      </c>
      <c r="DC279" s="69">
        <f t="shared" si="826"/>
        <v>9147.6734693877552</v>
      </c>
      <c r="DD279" s="70">
        <f t="shared" si="827"/>
        <v>120</v>
      </c>
      <c r="DE279" s="70">
        <f t="shared" si="828"/>
        <v>-695.08163265306121</v>
      </c>
      <c r="DF279" s="70">
        <f t="shared" si="829"/>
        <v>8572.5918367346931</v>
      </c>
      <c r="DG279" s="70">
        <f t="shared" si="830"/>
        <v>648.9795918367347</v>
      </c>
      <c r="DH279" s="70">
        <f t="shared" si="831"/>
        <v>342.89795918367349</v>
      </c>
      <c r="DI279" s="70">
        <f t="shared" si="832"/>
        <v>1454.0816326530612</v>
      </c>
      <c r="DJ279" s="70">
        <f t="shared" si="833"/>
        <v>602.0408163265306</v>
      </c>
      <c r="DK279" s="70">
        <f t="shared" si="834"/>
        <v>755.10204081632651</v>
      </c>
      <c r="DL279" s="70">
        <f t="shared" si="835"/>
        <v>510.20408163265307</v>
      </c>
      <c r="DM279" s="70">
        <f t="shared" si="836"/>
        <v>571.42857142857144</v>
      </c>
      <c r="DN279" s="70">
        <f t="shared" si="837"/>
        <v>4884.7346938775509</v>
      </c>
      <c r="DO279" s="70">
        <f t="shared" si="838"/>
        <v>250</v>
      </c>
      <c r="DP279" s="70">
        <f t="shared" si="839"/>
        <v>5134.7346938775509</v>
      </c>
      <c r="DQ279" s="70">
        <f t="shared" si="840"/>
        <v>3687.8571428571427</v>
      </c>
      <c r="DR279" s="70">
        <f t="shared" si="841"/>
        <v>2959.1224489795918</v>
      </c>
      <c r="DS279" s="71">
        <f t="shared" si="842"/>
        <v>728.73469387755097</v>
      </c>
      <c r="DT279" s="106">
        <f t="shared" si="843"/>
        <v>1.0670837529192467</v>
      </c>
      <c r="DU279" s="92">
        <f t="shared" si="844"/>
        <v>1.3998100257822152E-2</v>
      </c>
      <c r="DV279" s="92" t="str">
        <f t="shared" si="845"/>
        <v/>
      </c>
      <c r="DW279" s="92">
        <f t="shared" si="846"/>
        <v>1</v>
      </c>
      <c r="DX279" s="92">
        <f t="shared" si="847"/>
        <v>7.5704011598425922E-2</v>
      </c>
      <c r="DY279" s="92">
        <f t="shared" si="848"/>
        <v>3.9999333423797245E-2</v>
      </c>
      <c r="DZ279" s="92">
        <f t="shared" si="849"/>
        <v>0.16961983730779395</v>
      </c>
      <c r="EA279" s="92">
        <f t="shared" si="850"/>
        <v>7.0228564218665565E-2</v>
      </c>
      <c r="EB279" s="92">
        <f t="shared" si="851"/>
        <v>8.8083283935275453E-2</v>
      </c>
      <c r="EC279" s="92">
        <f t="shared" si="852"/>
        <v>5.951573238869963E-2</v>
      </c>
      <c r="ED279" s="92">
        <f t="shared" si="853"/>
        <v>6.6657620275343582E-2</v>
      </c>
      <c r="EE279" s="92">
        <f t="shared" si="854"/>
        <v>0.56980838314800131</v>
      </c>
      <c r="EF279" s="92">
        <f t="shared" si="855"/>
        <v>2.9162708870462819E-2</v>
      </c>
      <c r="EG279" s="92">
        <f t="shared" si="856"/>
        <v>0.59897109201846421</v>
      </c>
      <c r="EH279" s="92">
        <f t="shared" si="857"/>
        <v>0.43019161685199864</v>
      </c>
      <c r="EI279" s="92">
        <f t="shared" si="858"/>
        <v>0.34518410596657123</v>
      </c>
      <c r="EJ279" s="122">
        <f t="shared" si="859"/>
        <v>8.5007510885427448E-2</v>
      </c>
    </row>
    <row r="280" spans="2:140" ht="12" hidden="1" customHeight="1" outlineLevel="1">
      <c r="B280" s="121">
        <v>45637</v>
      </c>
      <c r="C280" s="117">
        <v>24492</v>
      </c>
      <c r="D280" s="50" t="s">
        <v>1337</v>
      </c>
      <c r="E280" s="50" t="s">
        <v>1338</v>
      </c>
      <c r="F280" s="50" t="s">
        <v>1009</v>
      </c>
      <c r="G280" s="50" t="s">
        <v>154</v>
      </c>
      <c r="H280" s="50" t="s">
        <v>1339</v>
      </c>
      <c r="I280" s="50" t="s">
        <v>825</v>
      </c>
      <c r="J280" s="52" t="s">
        <v>360</v>
      </c>
      <c r="K280" s="50" t="s">
        <v>294</v>
      </c>
      <c r="L280" s="49">
        <v>7</v>
      </c>
      <c r="M280" s="50" t="s">
        <v>159</v>
      </c>
      <c r="N280" s="50" t="s">
        <v>160</v>
      </c>
      <c r="O280" s="50" t="s">
        <v>160</v>
      </c>
      <c r="P280" s="50" t="s">
        <v>177</v>
      </c>
      <c r="Q280" s="53">
        <v>0.04</v>
      </c>
      <c r="R280" s="49">
        <v>208</v>
      </c>
      <c r="S280" s="49">
        <v>0</v>
      </c>
      <c r="T280" s="54">
        <f t="shared" si="860"/>
        <v>208</v>
      </c>
      <c r="U280" s="55">
        <v>237468</v>
      </c>
      <c r="V280" s="49">
        <v>10.076000000000001</v>
      </c>
      <c r="W280" s="56">
        <f t="shared" si="784"/>
        <v>20.643112346169115</v>
      </c>
      <c r="X280" s="49" t="s">
        <v>163</v>
      </c>
      <c r="Y280" s="57" t="s">
        <v>162</v>
      </c>
      <c r="Z280" s="58">
        <v>58571053</v>
      </c>
      <c r="AA280" s="114">
        <f>(((36128353*0.06)/(Table1[[#This Row],[Construction Loan Principal]]))+(((4871647*0.06)/(Table1[[#This Row],[Construction Loan Principal]])))+((17571053*0.0625)/(Table1[[#This Row],[Construction Loan Principal]])))</f>
        <v>6.0749988778586582E-2</v>
      </c>
      <c r="AB280" s="59">
        <v>19</v>
      </c>
      <c r="AC280" s="60">
        <v>40</v>
      </c>
      <c r="AD280" s="61">
        <v>0.06</v>
      </c>
      <c r="AE280" s="62">
        <v>36128353</v>
      </c>
      <c r="AF280" s="63">
        <v>1.17</v>
      </c>
      <c r="AG280" s="59"/>
      <c r="AH280" s="60"/>
      <c r="AI280" s="61"/>
      <c r="AJ280" s="64"/>
      <c r="AK280" s="65">
        <f t="shared" si="785"/>
        <v>36128353</v>
      </c>
      <c r="AL280" s="66">
        <v>0</v>
      </c>
      <c r="AM280" s="49" t="s">
        <v>163</v>
      </c>
      <c r="AN280" s="67">
        <v>0.86</v>
      </c>
      <c r="AO280" s="62">
        <v>30976747</v>
      </c>
      <c r="AP280" s="62">
        <v>6004726</v>
      </c>
      <c r="AQ280" s="68">
        <v>7772338</v>
      </c>
      <c r="AR280" s="69">
        <f t="shared" si="786"/>
        <v>173694.00480769231</v>
      </c>
      <c r="AS280" s="70" t="str">
        <f t="shared" si="787"/>
        <v/>
      </c>
      <c r="AT280" s="70">
        <f t="shared" si="788"/>
        <v>148926.66826923078</v>
      </c>
      <c r="AU280" s="70">
        <f t="shared" si="789"/>
        <v>28868.875</v>
      </c>
      <c r="AV280" s="71">
        <f t="shared" si="790"/>
        <v>37367.009615384617</v>
      </c>
      <c r="AW280" s="115">
        <f t="shared" si="791"/>
        <v>192320.03365384616</v>
      </c>
      <c r="AX280" s="116">
        <f t="shared" si="792"/>
        <v>168.45455808782657</v>
      </c>
      <c r="AY280" s="72">
        <f t="shared" si="793"/>
        <v>229474.08173076922</v>
      </c>
      <c r="AZ280" s="73">
        <f t="shared" si="794"/>
        <v>200.9980671079893</v>
      </c>
      <c r="BA280" s="66">
        <v>5750000</v>
      </c>
      <c r="BB280" s="62">
        <v>5097169</v>
      </c>
      <c r="BC280" s="62">
        <v>34905398</v>
      </c>
      <c r="BD280" s="62">
        <v>2318770</v>
      </c>
      <c r="BE280" s="62">
        <v>5409272</v>
      </c>
      <c r="BF280" s="62">
        <v>3767930</v>
      </c>
      <c r="BG280" s="62">
        <v>12668251</v>
      </c>
      <c r="BH280" s="62">
        <v>9005000</v>
      </c>
      <c r="BI280" s="62">
        <v>1960374</v>
      </c>
      <c r="BJ280" s="47">
        <f t="shared" si="795"/>
        <v>80882164</v>
      </c>
      <c r="BK280" s="69">
        <f t="shared" si="796"/>
        <v>27644.23076923077</v>
      </c>
      <c r="BL280" s="70">
        <f t="shared" si="797"/>
        <v>24505.620192307691</v>
      </c>
      <c r="BM280" s="70">
        <f t="shared" si="798"/>
        <v>167814.41346153847</v>
      </c>
      <c r="BN280" s="70">
        <f t="shared" si="799"/>
        <v>11147.932692307691</v>
      </c>
      <c r="BO280" s="70">
        <f t="shared" si="800"/>
        <v>26006.115384615383</v>
      </c>
      <c r="BP280" s="70">
        <f t="shared" si="801"/>
        <v>18115.048076923078</v>
      </c>
      <c r="BQ280" s="70">
        <f t="shared" si="802"/>
        <v>60905.052884615383</v>
      </c>
      <c r="BR280" s="70">
        <f t="shared" si="803"/>
        <v>43293.269230769234</v>
      </c>
      <c r="BS280" s="70">
        <f t="shared" si="804"/>
        <v>9424.875</v>
      </c>
      <c r="BT280" s="71">
        <f t="shared" si="805"/>
        <v>388856.55769230769</v>
      </c>
      <c r="BU280" s="65">
        <f t="shared" si="806"/>
        <v>24.213788805228493</v>
      </c>
      <c r="BV280" s="48">
        <f t="shared" si="807"/>
        <v>21.464656290531778</v>
      </c>
      <c r="BW280" s="48">
        <f t="shared" si="808"/>
        <v>146.98990179729481</v>
      </c>
      <c r="BX280" s="48">
        <f t="shared" si="809"/>
        <v>9.7645577509390744</v>
      </c>
      <c r="BY280" s="48">
        <f t="shared" si="810"/>
        <v>22.778951269223644</v>
      </c>
      <c r="BZ280" s="48">
        <f t="shared" si="811"/>
        <v>15.867106304849495</v>
      </c>
      <c r="CA280" s="48">
        <f t="shared" si="812"/>
        <v>53.347192042717332</v>
      </c>
      <c r="CB280" s="48">
        <f t="shared" si="813"/>
        <v>37.920898815840452</v>
      </c>
      <c r="CC280" s="48">
        <f t="shared" si="814"/>
        <v>8.2553186113497397</v>
      </c>
      <c r="CD280" s="47">
        <f t="shared" si="815"/>
        <v>340.60237168797482</v>
      </c>
      <c r="CE280" s="66">
        <v>4175232</v>
      </c>
      <c r="CF280" s="62">
        <v>49920</v>
      </c>
      <c r="CG280" s="74">
        <v>-316886</v>
      </c>
      <c r="CH280" s="75">
        <f t="shared" si="816"/>
        <v>3908266</v>
      </c>
      <c r="CI280" s="62">
        <f>99050+36000+8320+5000</f>
        <v>148370</v>
      </c>
      <c r="CJ280" s="62">
        <v>126318</v>
      </c>
      <c r="CK280" s="62">
        <v>280800</v>
      </c>
      <c r="CL280" s="62">
        <v>156000</v>
      </c>
      <c r="CM280" s="62">
        <f>53111+96000</f>
        <v>149111</v>
      </c>
      <c r="CN280" s="62">
        <v>156000</v>
      </c>
      <c r="CO280" s="62">
        <v>0</v>
      </c>
      <c r="CP280" s="75">
        <f t="shared" si="861"/>
        <v>1016599</v>
      </c>
      <c r="CQ280" s="62">
        <v>52000</v>
      </c>
      <c r="CR280" s="75">
        <f t="shared" si="862"/>
        <v>1068599</v>
      </c>
      <c r="CS280" s="75">
        <f t="shared" si="817"/>
        <v>2891667</v>
      </c>
      <c r="CT280" s="62">
        <v>2421526</v>
      </c>
      <c r="CU280" s="47">
        <f t="shared" si="818"/>
        <v>470141</v>
      </c>
      <c r="CV280" s="76">
        <f t="shared" si="819"/>
        <v>0.73988490036246257</v>
      </c>
      <c r="CW280" s="75">
        <f t="shared" si="820"/>
        <v>5137.4951923076924</v>
      </c>
      <c r="CX280" s="77">
        <f t="shared" si="821"/>
        <v>0.27342023291147532</v>
      </c>
      <c r="CY280" s="75">
        <f t="shared" si="822"/>
        <v>2260.2932692307691</v>
      </c>
      <c r="CZ280" s="77">
        <f t="shared" si="823"/>
        <v>0.12029401274120032</v>
      </c>
      <c r="DA280" s="77">
        <f t="shared" si="824"/>
        <v>0.61959088762126224</v>
      </c>
      <c r="DB280" s="47">
        <f t="shared" si="825"/>
        <v>173694.00480769231</v>
      </c>
      <c r="DC280" s="69">
        <f t="shared" si="826"/>
        <v>20073.23076923077</v>
      </c>
      <c r="DD280" s="70">
        <f t="shared" si="827"/>
        <v>240</v>
      </c>
      <c r="DE280" s="70">
        <f t="shared" si="828"/>
        <v>-1523.4903846153845</v>
      </c>
      <c r="DF280" s="70">
        <f t="shared" si="829"/>
        <v>18789.740384615383</v>
      </c>
      <c r="DG280" s="70">
        <f t="shared" si="830"/>
        <v>713.31730769230774</v>
      </c>
      <c r="DH280" s="70">
        <f t="shared" si="831"/>
        <v>607.29807692307691</v>
      </c>
      <c r="DI280" s="70">
        <f t="shared" si="832"/>
        <v>1350</v>
      </c>
      <c r="DJ280" s="70">
        <f t="shared" si="833"/>
        <v>750</v>
      </c>
      <c r="DK280" s="70">
        <f t="shared" si="834"/>
        <v>716.87980769230774</v>
      </c>
      <c r="DL280" s="70">
        <f t="shared" si="835"/>
        <v>750</v>
      </c>
      <c r="DM280" s="70" t="str">
        <f t="shared" si="836"/>
        <v/>
      </c>
      <c r="DN280" s="70">
        <f t="shared" si="837"/>
        <v>4887.4951923076924</v>
      </c>
      <c r="DO280" s="70">
        <f t="shared" si="838"/>
        <v>250</v>
      </c>
      <c r="DP280" s="70">
        <f t="shared" si="839"/>
        <v>5137.4951923076924</v>
      </c>
      <c r="DQ280" s="70">
        <f t="shared" si="840"/>
        <v>13902.245192307691</v>
      </c>
      <c r="DR280" s="70">
        <f t="shared" si="841"/>
        <v>11641.951923076924</v>
      </c>
      <c r="DS280" s="71">
        <f t="shared" si="842"/>
        <v>2260.2932692307691</v>
      </c>
      <c r="DT280" s="106">
        <f t="shared" si="843"/>
        <v>1.0683080424925018</v>
      </c>
      <c r="DU280" s="92">
        <f t="shared" si="844"/>
        <v>1.277292794298034E-2</v>
      </c>
      <c r="DV280" s="92" t="str">
        <f t="shared" si="845"/>
        <v/>
      </c>
      <c r="DW280" s="92">
        <f t="shared" si="846"/>
        <v>1</v>
      </c>
      <c r="DX280" s="92">
        <f t="shared" si="847"/>
        <v>3.7963127381810756E-2</v>
      </c>
      <c r="DY280" s="92">
        <f t="shared" si="848"/>
        <v>3.2320727401870801E-2</v>
      </c>
      <c r="DZ280" s="92">
        <f t="shared" si="849"/>
        <v>7.1847719679264413E-2</v>
      </c>
      <c r="EA280" s="92">
        <f t="shared" si="850"/>
        <v>3.9915399821813559E-2</v>
      </c>
      <c r="EB280" s="92">
        <f t="shared" si="851"/>
        <v>3.8152725530964368E-2</v>
      </c>
      <c r="EC280" s="92">
        <f t="shared" si="852"/>
        <v>3.9915399821813559E-2</v>
      </c>
      <c r="ED280" s="92" t="str">
        <f t="shared" si="853"/>
        <v/>
      </c>
      <c r="EE280" s="92">
        <f t="shared" si="854"/>
        <v>0.26011509963753748</v>
      </c>
      <c r="EF280" s="92">
        <f t="shared" si="855"/>
        <v>1.3305133273937854E-2</v>
      </c>
      <c r="EG280" s="92">
        <f t="shared" si="856"/>
        <v>0.27342023291147532</v>
      </c>
      <c r="EH280" s="92">
        <f t="shared" si="857"/>
        <v>0.73988490036246257</v>
      </c>
      <c r="EI280" s="92">
        <f t="shared" si="858"/>
        <v>0.61959088762126224</v>
      </c>
      <c r="EJ280" s="122">
        <f t="shared" si="859"/>
        <v>0.12029401274120032</v>
      </c>
    </row>
    <row r="281" spans="2:140" ht="12" hidden="1" customHeight="1" outlineLevel="1">
      <c r="B281" s="121">
        <v>45638</v>
      </c>
      <c r="C281" s="117">
        <v>24472</v>
      </c>
      <c r="D281" s="50" t="s">
        <v>1340</v>
      </c>
      <c r="E281" s="50" t="s">
        <v>490</v>
      </c>
      <c r="F281" s="50" t="s">
        <v>1341</v>
      </c>
      <c r="G281" s="50" t="s">
        <v>490</v>
      </c>
      <c r="H281" s="50" t="s">
        <v>1339</v>
      </c>
      <c r="I281" s="50" t="s">
        <v>306</v>
      </c>
      <c r="J281" s="52" t="s">
        <v>360</v>
      </c>
      <c r="K281" s="50" t="s">
        <v>294</v>
      </c>
      <c r="L281" s="49">
        <v>7</v>
      </c>
      <c r="M281" s="50" t="s">
        <v>159</v>
      </c>
      <c r="N281" s="50" t="s">
        <v>244</v>
      </c>
      <c r="O281" s="50" t="s">
        <v>160</v>
      </c>
      <c r="P281" s="50" t="s">
        <v>177</v>
      </c>
      <c r="Q281" s="53">
        <v>0.04</v>
      </c>
      <c r="R281" s="49">
        <v>150</v>
      </c>
      <c r="S281" s="49">
        <v>0</v>
      </c>
      <c r="T281" s="54">
        <f t="shared" si="860"/>
        <v>150</v>
      </c>
      <c r="U281" s="55">
        <v>105040</v>
      </c>
      <c r="V281" s="49">
        <v>3.12</v>
      </c>
      <c r="W281" s="56">
        <f t="shared" si="784"/>
        <v>48.076923076923073</v>
      </c>
      <c r="X281" s="49" t="s">
        <v>163</v>
      </c>
      <c r="Y281" s="57" t="s">
        <v>162</v>
      </c>
      <c r="Z281" s="58">
        <v>29555412</v>
      </c>
      <c r="AA281" s="114">
        <f>(((20611500*0.0675)/(Table1[[#This Row],[Construction Loan Principal]]))+(((2888500*0.0725)/(Table1[[#This Row],[Construction Loan Principal]])))+((6055412*0.0859)/(Table1[[#This Row],[Construction Loan Principal]])))</f>
        <v>7.1758512139840927E-2</v>
      </c>
      <c r="AB281" s="59">
        <v>19</v>
      </c>
      <c r="AC281" s="60">
        <v>40</v>
      </c>
      <c r="AD281" s="61">
        <v>6.7500000000000004E-2</v>
      </c>
      <c r="AE281" s="62">
        <v>20611504</v>
      </c>
      <c r="AF281" s="63">
        <v>1.1499999999999999</v>
      </c>
      <c r="AG281" s="59"/>
      <c r="AH281" s="60"/>
      <c r="AI281" s="61"/>
      <c r="AJ281" s="64"/>
      <c r="AK281" s="65">
        <f t="shared" si="785"/>
        <v>20611504</v>
      </c>
      <c r="AL281" s="66">
        <v>10000000</v>
      </c>
      <c r="AM281" s="49" t="s">
        <v>1342</v>
      </c>
      <c r="AN281" s="67">
        <v>0.86</v>
      </c>
      <c r="AO281" s="62">
        <v>17143597</v>
      </c>
      <c r="AP281" s="62">
        <v>0</v>
      </c>
      <c r="AQ281" s="68">
        <v>1675234</v>
      </c>
      <c r="AR281" s="69">
        <f t="shared" si="786"/>
        <v>137410.02666666667</v>
      </c>
      <c r="AS281" s="70">
        <f t="shared" si="787"/>
        <v>66666.666666666672</v>
      </c>
      <c r="AT281" s="70">
        <f t="shared" si="788"/>
        <v>114290.64666666667</v>
      </c>
      <c r="AU281" s="70" t="str">
        <f t="shared" si="789"/>
        <v/>
      </c>
      <c r="AV281" s="71">
        <f t="shared" si="790"/>
        <v>11168.226666666667</v>
      </c>
      <c r="AW281" s="115">
        <f t="shared" si="791"/>
        <v>145413.29333333333</v>
      </c>
      <c r="AX281" s="116">
        <f t="shared" si="792"/>
        <v>207.65416984006092</v>
      </c>
      <c r="AY281" s="72">
        <f t="shared" si="793"/>
        <v>175120.61333333334</v>
      </c>
      <c r="AZ281" s="73">
        <f t="shared" si="794"/>
        <v>250.0770373191165</v>
      </c>
      <c r="BA281" s="66">
        <v>8550000</v>
      </c>
      <c r="BB281" s="62">
        <v>2509090</v>
      </c>
      <c r="BC281" s="62">
        <v>19302904</v>
      </c>
      <c r="BD281" s="62">
        <v>1249735</v>
      </c>
      <c r="BE281" s="62">
        <v>3206363</v>
      </c>
      <c r="BF281" s="62">
        <v>3078191</v>
      </c>
      <c r="BG281" s="62">
        <v>5387907</v>
      </c>
      <c r="BH281" s="62">
        <v>4866000</v>
      </c>
      <c r="BI281" s="62">
        <v>1280146</v>
      </c>
      <c r="BJ281" s="47">
        <f t="shared" si="795"/>
        <v>49430336</v>
      </c>
      <c r="BK281" s="69">
        <f t="shared" si="796"/>
        <v>57000</v>
      </c>
      <c r="BL281" s="70">
        <f t="shared" si="797"/>
        <v>16727.266666666666</v>
      </c>
      <c r="BM281" s="70">
        <f t="shared" si="798"/>
        <v>128686.02666666667</v>
      </c>
      <c r="BN281" s="70">
        <f t="shared" si="799"/>
        <v>8331.5666666666675</v>
      </c>
      <c r="BO281" s="70">
        <f t="shared" si="800"/>
        <v>21375.753333333334</v>
      </c>
      <c r="BP281" s="70">
        <f t="shared" si="801"/>
        <v>20521.273333333334</v>
      </c>
      <c r="BQ281" s="70">
        <f t="shared" si="802"/>
        <v>35919.379999999997</v>
      </c>
      <c r="BR281" s="70">
        <f t="shared" si="803"/>
        <v>32440</v>
      </c>
      <c r="BS281" s="70">
        <f t="shared" si="804"/>
        <v>8534.3066666666673</v>
      </c>
      <c r="BT281" s="71">
        <f t="shared" si="805"/>
        <v>329535.5733333333</v>
      </c>
      <c r="BU281" s="65">
        <f t="shared" si="806"/>
        <v>81.397562833206393</v>
      </c>
      <c r="BV281" s="48">
        <f t="shared" si="807"/>
        <v>23.886995430312261</v>
      </c>
      <c r="BW281" s="48">
        <f t="shared" si="808"/>
        <v>183.76717440974866</v>
      </c>
      <c r="BX281" s="48">
        <f t="shared" si="809"/>
        <v>11.89770563594821</v>
      </c>
      <c r="BY281" s="48">
        <f t="shared" si="810"/>
        <v>30.525161843107387</v>
      </c>
      <c r="BZ281" s="48">
        <f t="shared" si="811"/>
        <v>29.304940974866717</v>
      </c>
      <c r="CA281" s="48">
        <f t="shared" si="812"/>
        <v>51.293859482102057</v>
      </c>
      <c r="CB281" s="48">
        <f t="shared" si="813"/>
        <v>46.325209444021326</v>
      </c>
      <c r="CC281" s="48">
        <f t="shared" si="814"/>
        <v>12.187223914699162</v>
      </c>
      <c r="CD281" s="47">
        <f t="shared" si="815"/>
        <v>470.5858339680122</v>
      </c>
      <c r="CE281" s="66">
        <v>2823300</v>
      </c>
      <c r="CF281" s="62">
        <v>18000</v>
      </c>
      <c r="CG281" s="74">
        <v>-213098</v>
      </c>
      <c r="CH281" s="75">
        <f t="shared" si="816"/>
        <v>2628202</v>
      </c>
      <c r="CI281" s="62">
        <f>48700+15000+6000+4500</f>
        <v>74200</v>
      </c>
      <c r="CJ281" s="62">
        <v>131410</v>
      </c>
      <c r="CK281" s="62">
        <v>253670</v>
      </c>
      <c r="CL281" s="62">
        <v>100500</v>
      </c>
      <c r="CM281" s="62">
        <f>120680+70000</f>
        <v>190680</v>
      </c>
      <c r="CN281" s="62">
        <v>120000</v>
      </c>
      <c r="CO281" s="62">
        <v>0</v>
      </c>
      <c r="CP281" s="75">
        <f t="shared" si="861"/>
        <v>870460</v>
      </c>
      <c r="CQ281" s="62">
        <v>37500</v>
      </c>
      <c r="CR281" s="75">
        <f t="shared" si="862"/>
        <v>907960</v>
      </c>
      <c r="CS281" s="75">
        <f t="shared" si="817"/>
        <v>1757742</v>
      </c>
      <c r="CT281" s="62">
        <v>1492331</v>
      </c>
      <c r="CU281" s="47">
        <f t="shared" si="818"/>
        <v>265411</v>
      </c>
      <c r="CV281" s="76">
        <f t="shared" si="819"/>
        <v>0.66880019115730072</v>
      </c>
      <c r="CW281" s="75">
        <f t="shared" si="820"/>
        <v>6053.0666666666666</v>
      </c>
      <c r="CX281" s="77">
        <f t="shared" si="821"/>
        <v>0.34546811850839471</v>
      </c>
      <c r="CY281" s="75">
        <f t="shared" si="822"/>
        <v>1769.4066666666668</v>
      </c>
      <c r="CZ281" s="77">
        <f t="shared" si="823"/>
        <v>0.10098576897818357</v>
      </c>
      <c r="DA281" s="77">
        <f t="shared" si="824"/>
        <v>0.56781442217911715</v>
      </c>
      <c r="DB281" s="47">
        <f t="shared" si="825"/>
        <v>137410.02666666667</v>
      </c>
      <c r="DC281" s="69">
        <f t="shared" si="826"/>
        <v>18822</v>
      </c>
      <c r="DD281" s="70">
        <f t="shared" si="827"/>
        <v>120</v>
      </c>
      <c r="DE281" s="70">
        <f t="shared" si="828"/>
        <v>-1420.6533333333334</v>
      </c>
      <c r="DF281" s="70">
        <f t="shared" si="829"/>
        <v>17521.346666666668</v>
      </c>
      <c r="DG281" s="70">
        <f t="shared" si="830"/>
        <v>494.66666666666669</v>
      </c>
      <c r="DH281" s="70">
        <f t="shared" si="831"/>
        <v>876.06666666666672</v>
      </c>
      <c r="DI281" s="70">
        <f t="shared" si="832"/>
        <v>1691.1333333333334</v>
      </c>
      <c r="DJ281" s="70">
        <f t="shared" si="833"/>
        <v>670</v>
      </c>
      <c r="DK281" s="70">
        <f t="shared" si="834"/>
        <v>1271.2</v>
      </c>
      <c r="DL281" s="70">
        <f t="shared" si="835"/>
        <v>800</v>
      </c>
      <c r="DM281" s="70" t="str">
        <f t="shared" si="836"/>
        <v/>
      </c>
      <c r="DN281" s="70">
        <f t="shared" si="837"/>
        <v>5803.0666666666666</v>
      </c>
      <c r="DO281" s="70">
        <f t="shared" si="838"/>
        <v>250</v>
      </c>
      <c r="DP281" s="70">
        <f t="shared" si="839"/>
        <v>6053.0666666666666</v>
      </c>
      <c r="DQ281" s="70">
        <f t="shared" si="840"/>
        <v>11718.28</v>
      </c>
      <c r="DR281" s="70">
        <f t="shared" si="841"/>
        <v>9948.873333333333</v>
      </c>
      <c r="DS281" s="71">
        <f t="shared" si="842"/>
        <v>1769.4066666666668</v>
      </c>
      <c r="DT281" s="106">
        <f t="shared" si="843"/>
        <v>1.0742324981108757</v>
      </c>
      <c r="DU281" s="92">
        <f t="shared" si="844"/>
        <v>6.8487886395337955E-3</v>
      </c>
      <c r="DV281" s="92" t="str">
        <f t="shared" si="845"/>
        <v/>
      </c>
      <c r="DW281" s="92">
        <f t="shared" si="846"/>
        <v>1</v>
      </c>
      <c r="DX281" s="92">
        <f t="shared" si="847"/>
        <v>2.8232228725189313E-2</v>
      </c>
      <c r="DY281" s="92">
        <f t="shared" si="848"/>
        <v>4.9999961951174225E-2</v>
      </c>
      <c r="DZ281" s="92">
        <f t="shared" si="849"/>
        <v>9.6518456343918771E-2</v>
      </c>
      <c r="EA281" s="92">
        <f t="shared" si="850"/>
        <v>3.8239069904063692E-2</v>
      </c>
      <c r="EB281" s="92">
        <f t="shared" si="851"/>
        <v>7.2551500988128001E-2</v>
      </c>
      <c r="EC281" s="92">
        <f t="shared" si="852"/>
        <v>4.5658590930225305E-2</v>
      </c>
      <c r="ED281" s="92" t="str">
        <f t="shared" si="853"/>
        <v/>
      </c>
      <c r="EE281" s="92">
        <f t="shared" si="854"/>
        <v>0.33119980884269928</v>
      </c>
      <c r="EF281" s="92">
        <f t="shared" si="855"/>
        <v>1.4268309665695407E-2</v>
      </c>
      <c r="EG281" s="92">
        <f t="shared" si="856"/>
        <v>0.34546811850839471</v>
      </c>
      <c r="EH281" s="92">
        <f t="shared" si="857"/>
        <v>0.66880019115730072</v>
      </c>
      <c r="EI281" s="92">
        <f t="shared" si="858"/>
        <v>0.56781442217911715</v>
      </c>
      <c r="EJ281" s="122">
        <f t="shared" si="859"/>
        <v>0.10098576897818357</v>
      </c>
    </row>
    <row r="282" spans="2:140" ht="12" hidden="1" customHeight="1" outlineLevel="1">
      <c r="B282" s="121">
        <v>45643</v>
      </c>
      <c r="C282" s="117">
        <v>24474</v>
      </c>
      <c r="D282" s="50" t="s">
        <v>1343</v>
      </c>
      <c r="E282" s="50" t="s">
        <v>1344</v>
      </c>
      <c r="F282" s="50" t="s">
        <v>1345</v>
      </c>
      <c r="G282" s="50" t="s">
        <v>154</v>
      </c>
      <c r="H282" s="50" t="s">
        <v>1346</v>
      </c>
      <c r="I282" s="50" t="s">
        <v>156</v>
      </c>
      <c r="J282" s="52" t="s">
        <v>1347</v>
      </c>
      <c r="K282" s="50" t="s">
        <v>282</v>
      </c>
      <c r="L282" s="49">
        <v>7</v>
      </c>
      <c r="M282" s="50" t="s">
        <v>159</v>
      </c>
      <c r="N282" s="50" t="s">
        <v>160</v>
      </c>
      <c r="O282" s="50" t="s">
        <v>160</v>
      </c>
      <c r="P282" s="50" t="s">
        <v>177</v>
      </c>
      <c r="Q282" s="53">
        <v>0.04</v>
      </c>
      <c r="R282" s="49">
        <v>312</v>
      </c>
      <c r="S282" s="49">
        <v>0</v>
      </c>
      <c r="T282" s="54">
        <f t="shared" si="860"/>
        <v>312</v>
      </c>
      <c r="U282" s="55">
        <v>363216</v>
      </c>
      <c r="V282" s="49">
        <v>14.74</v>
      </c>
      <c r="W282" s="56">
        <f t="shared" si="784"/>
        <v>21.166892808683855</v>
      </c>
      <c r="X282" s="49" t="s">
        <v>163</v>
      </c>
      <c r="Y282" s="57" t="s">
        <v>162</v>
      </c>
      <c r="Z282" s="58">
        <v>89016894</v>
      </c>
      <c r="AA282" s="114">
        <f>(((60412000*0.0832)/(Table1[[#This Row],[Construction Loan Principal]]))+((28604894*0.0882)/(Table1[[#This Row],[Construction Loan Principal]])))</f>
        <v>8.4806711530510143E-2</v>
      </c>
      <c r="AB282" s="59">
        <v>15</v>
      </c>
      <c r="AC282" s="60">
        <v>40</v>
      </c>
      <c r="AD282" s="61">
        <v>6.5000000000000002E-2</v>
      </c>
      <c r="AE282" s="62">
        <v>53370000</v>
      </c>
      <c r="AF282" s="63">
        <v>1.1499999999999999</v>
      </c>
      <c r="AG282" s="59"/>
      <c r="AH282" s="60"/>
      <c r="AI282" s="61"/>
      <c r="AJ282" s="64"/>
      <c r="AK282" s="65">
        <f t="shared" si="785"/>
        <v>53370000</v>
      </c>
      <c r="AL282" s="66">
        <v>0</v>
      </c>
      <c r="AM282" s="49" t="s">
        <v>163</v>
      </c>
      <c r="AN282" s="67">
        <v>0.88</v>
      </c>
      <c r="AO282" s="62">
        <v>49564236</v>
      </c>
      <c r="AP282" s="62">
        <v>9365518</v>
      </c>
      <c r="AQ282" s="68">
        <v>11206731</v>
      </c>
      <c r="AR282" s="69">
        <f t="shared" si="786"/>
        <v>171057.69230769231</v>
      </c>
      <c r="AS282" s="70" t="str">
        <f t="shared" si="787"/>
        <v/>
      </c>
      <c r="AT282" s="70">
        <f t="shared" si="788"/>
        <v>158859.73076923078</v>
      </c>
      <c r="AU282" s="70">
        <f t="shared" si="789"/>
        <v>30017.685897435898</v>
      </c>
      <c r="AV282" s="71">
        <f t="shared" si="790"/>
        <v>35919.009615384617</v>
      </c>
      <c r="AW282" s="115">
        <f t="shared" si="791"/>
        <v>198876.99358974359</v>
      </c>
      <c r="AX282" s="116">
        <f t="shared" si="792"/>
        <v>170.83394453988811</v>
      </c>
      <c r="AY282" s="72">
        <f t="shared" si="793"/>
        <v>236633.05448717947</v>
      </c>
      <c r="AZ282" s="73">
        <f t="shared" si="794"/>
        <v>203.26613640368265</v>
      </c>
      <c r="BA282" s="66">
        <v>4800000</v>
      </c>
      <c r="BB282" s="62">
        <v>11146259</v>
      </c>
      <c r="BC282" s="62">
        <v>50903363</v>
      </c>
      <c r="BD282" s="62">
        <v>3408395</v>
      </c>
      <c r="BE282" s="62">
        <v>8371496</v>
      </c>
      <c r="BF282" s="62">
        <v>5393624</v>
      </c>
      <c r="BG282" s="62">
        <v>22961153</v>
      </c>
      <c r="BH282" s="62">
        <v>14248616</v>
      </c>
      <c r="BI282" s="62">
        <v>2273779</v>
      </c>
      <c r="BJ282" s="47">
        <f t="shared" si="795"/>
        <v>123506685</v>
      </c>
      <c r="BK282" s="69">
        <f t="shared" si="796"/>
        <v>15384.615384615385</v>
      </c>
      <c r="BL282" s="70">
        <f t="shared" si="797"/>
        <v>35725.189102564102</v>
      </c>
      <c r="BM282" s="70">
        <f t="shared" si="798"/>
        <v>163151.8044871795</v>
      </c>
      <c r="BN282" s="70">
        <f t="shared" si="799"/>
        <v>10924.342948717949</v>
      </c>
      <c r="BO282" s="70">
        <f t="shared" si="800"/>
        <v>26831.717948717949</v>
      </c>
      <c r="BP282" s="70">
        <f t="shared" si="801"/>
        <v>17287.25641025641</v>
      </c>
      <c r="BQ282" s="70">
        <f t="shared" si="802"/>
        <v>73593.439102564109</v>
      </c>
      <c r="BR282" s="70">
        <f t="shared" si="803"/>
        <v>45668.641025641024</v>
      </c>
      <c r="BS282" s="70">
        <f t="shared" si="804"/>
        <v>7287.7532051282051</v>
      </c>
      <c r="BT282" s="71">
        <f t="shared" si="805"/>
        <v>395854.75961538462</v>
      </c>
      <c r="BU282" s="65">
        <f t="shared" si="806"/>
        <v>13.215276860050219</v>
      </c>
      <c r="BV282" s="48">
        <f t="shared" si="807"/>
        <v>30.687687216422184</v>
      </c>
      <c r="BW282" s="48">
        <f t="shared" si="808"/>
        <v>140.14625732346593</v>
      </c>
      <c r="BX282" s="48">
        <f t="shared" si="809"/>
        <v>9.3839340777939295</v>
      </c>
      <c r="BY282" s="48">
        <f t="shared" si="810"/>
        <v>23.048257786000615</v>
      </c>
      <c r="BZ282" s="48">
        <f t="shared" si="811"/>
        <v>14.849632174794062</v>
      </c>
      <c r="CA282" s="48">
        <f t="shared" si="812"/>
        <v>63.21624873353597</v>
      </c>
      <c r="CB282" s="48">
        <f t="shared" si="813"/>
        <v>39.229042773446103</v>
      </c>
      <c r="CC282" s="48">
        <f t="shared" si="814"/>
        <v>6.2601289590766926</v>
      </c>
      <c r="CD282" s="47">
        <f t="shared" si="815"/>
        <v>340.03646590458573</v>
      </c>
      <c r="CE282" s="66">
        <v>6544512</v>
      </c>
      <c r="CF282" s="62">
        <f>16848+77496+17976</f>
        <v>112320</v>
      </c>
      <c r="CG282" s="74">
        <v>-499262</v>
      </c>
      <c r="CH282" s="75">
        <f t="shared" si="816"/>
        <v>6157570</v>
      </c>
      <c r="CI282" s="62">
        <f>159120+39000+12480+3500+93220</f>
        <v>307320</v>
      </c>
      <c r="CJ282" s="62">
        <v>153939</v>
      </c>
      <c r="CK282" s="62">
        <v>419328</v>
      </c>
      <c r="CL282" s="62">
        <v>221520</v>
      </c>
      <c r="CM282" s="62">
        <f>119624+189256</f>
        <v>308880</v>
      </c>
      <c r="CN282" s="62">
        <v>124800</v>
      </c>
      <c r="CO282" s="62">
        <v>217709</v>
      </c>
      <c r="CP282" s="75">
        <f t="shared" si="861"/>
        <v>1753496</v>
      </c>
      <c r="CQ282" s="62">
        <v>78000</v>
      </c>
      <c r="CR282" s="75">
        <f t="shared" si="862"/>
        <v>1831496</v>
      </c>
      <c r="CS282" s="75">
        <f t="shared" si="817"/>
        <v>4404074</v>
      </c>
      <c r="CT282" s="62">
        <v>3749500</v>
      </c>
      <c r="CU282" s="47">
        <f t="shared" si="818"/>
        <v>654574</v>
      </c>
      <c r="CV282" s="76">
        <f t="shared" si="819"/>
        <v>0.71522922191708738</v>
      </c>
      <c r="CW282" s="75">
        <f t="shared" si="820"/>
        <v>5870.1794871794873</v>
      </c>
      <c r="CX282" s="77">
        <f t="shared" si="821"/>
        <v>0.29743811276201487</v>
      </c>
      <c r="CY282" s="75">
        <f t="shared" si="822"/>
        <v>2097.9935897435898</v>
      </c>
      <c r="CZ282" s="77">
        <f t="shared" si="823"/>
        <v>0.10630394782357326</v>
      </c>
      <c r="DA282" s="77">
        <f t="shared" si="824"/>
        <v>0.60892527409351416</v>
      </c>
      <c r="DB282" s="47">
        <f t="shared" si="825"/>
        <v>171057.69230769231</v>
      </c>
      <c r="DC282" s="69">
        <f t="shared" si="826"/>
        <v>20976</v>
      </c>
      <c r="DD282" s="70">
        <f t="shared" si="827"/>
        <v>360</v>
      </c>
      <c r="DE282" s="70">
        <f t="shared" si="828"/>
        <v>-1600.198717948718</v>
      </c>
      <c r="DF282" s="70">
        <f t="shared" si="829"/>
        <v>19735.801282051281</v>
      </c>
      <c r="DG282" s="70">
        <f t="shared" si="830"/>
        <v>985</v>
      </c>
      <c r="DH282" s="70">
        <f t="shared" si="831"/>
        <v>493.39423076923077</v>
      </c>
      <c r="DI282" s="70">
        <f t="shared" si="832"/>
        <v>1344</v>
      </c>
      <c r="DJ282" s="70">
        <f t="shared" si="833"/>
        <v>710</v>
      </c>
      <c r="DK282" s="70">
        <f t="shared" si="834"/>
        <v>990</v>
      </c>
      <c r="DL282" s="70">
        <f t="shared" si="835"/>
        <v>400</v>
      </c>
      <c r="DM282" s="70">
        <f t="shared" si="836"/>
        <v>697.78525641025647</v>
      </c>
      <c r="DN282" s="70">
        <f t="shared" si="837"/>
        <v>5620.1794871794873</v>
      </c>
      <c r="DO282" s="70">
        <f t="shared" si="838"/>
        <v>250</v>
      </c>
      <c r="DP282" s="70">
        <f t="shared" si="839"/>
        <v>5870.1794871794873</v>
      </c>
      <c r="DQ282" s="70">
        <f t="shared" si="840"/>
        <v>14115.621794871795</v>
      </c>
      <c r="DR282" s="70">
        <f t="shared" si="841"/>
        <v>12017.628205128205</v>
      </c>
      <c r="DS282" s="71">
        <f t="shared" si="842"/>
        <v>2097.9935897435898</v>
      </c>
      <c r="DT282" s="106">
        <f t="shared" si="843"/>
        <v>1.0628400489154</v>
      </c>
      <c r="DU282" s="92">
        <f t="shared" si="844"/>
        <v>1.8240961937907325E-2</v>
      </c>
      <c r="DV282" s="92" t="str">
        <f t="shared" si="845"/>
        <v/>
      </c>
      <c r="DW282" s="92">
        <f t="shared" si="846"/>
        <v>1</v>
      </c>
      <c r="DX282" s="92">
        <f t="shared" si="847"/>
        <v>4.9909298635663096E-2</v>
      </c>
      <c r="DY282" s="92">
        <f t="shared" si="848"/>
        <v>2.4999959399568335E-2</v>
      </c>
      <c r="DZ282" s="92">
        <f t="shared" si="849"/>
        <v>6.8099591234854012E-2</v>
      </c>
      <c r="EA282" s="92">
        <f t="shared" si="850"/>
        <v>3.5975230488650554E-2</v>
      </c>
      <c r="EB282" s="92">
        <f t="shared" si="851"/>
        <v>5.0162645329245144E-2</v>
      </c>
      <c r="EC282" s="92">
        <f t="shared" si="852"/>
        <v>2.0267735486563694E-2</v>
      </c>
      <c r="ED282" s="92">
        <f t="shared" si="853"/>
        <v>3.5356317508367749E-2</v>
      </c>
      <c r="EE282" s="92">
        <f t="shared" si="854"/>
        <v>0.28477077808291257</v>
      </c>
      <c r="EF282" s="92">
        <f t="shared" si="855"/>
        <v>1.2667334679102308E-2</v>
      </c>
      <c r="EG282" s="92">
        <f t="shared" si="856"/>
        <v>0.29743811276201487</v>
      </c>
      <c r="EH282" s="92">
        <f t="shared" si="857"/>
        <v>0.71522922191708738</v>
      </c>
      <c r="EI282" s="92">
        <f t="shared" si="858"/>
        <v>0.60892527409351416</v>
      </c>
      <c r="EJ282" s="122">
        <f t="shared" si="859"/>
        <v>0.10630394782357326</v>
      </c>
    </row>
    <row r="283" spans="2:140" ht="12" hidden="1" customHeight="1" outlineLevel="1">
      <c r="B283" s="121">
        <v>45645</v>
      </c>
      <c r="C283" s="117">
        <v>24484</v>
      </c>
      <c r="D283" s="50" t="s">
        <v>1348</v>
      </c>
      <c r="E283" s="50" t="s">
        <v>1349</v>
      </c>
      <c r="F283" s="50" t="s">
        <v>1350</v>
      </c>
      <c r="G283" s="50" t="s">
        <v>291</v>
      </c>
      <c r="H283" s="50" t="s">
        <v>424</v>
      </c>
      <c r="I283" s="50" t="s">
        <v>306</v>
      </c>
      <c r="J283" s="52" t="s">
        <v>263</v>
      </c>
      <c r="K283" s="50" t="s">
        <v>176</v>
      </c>
      <c r="L283" s="49">
        <v>6</v>
      </c>
      <c r="M283" s="50" t="s">
        <v>159</v>
      </c>
      <c r="N283" s="50" t="s">
        <v>160</v>
      </c>
      <c r="O283" s="50" t="s">
        <v>160</v>
      </c>
      <c r="P283" s="50" t="s">
        <v>1351</v>
      </c>
      <c r="Q283" s="53">
        <v>0.04</v>
      </c>
      <c r="R283" s="49">
        <v>250</v>
      </c>
      <c r="S283" s="49">
        <v>0</v>
      </c>
      <c r="T283" s="54">
        <f t="shared" si="860"/>
        <v>250</v>
      </c>
      <c r="U283" s="55">
        <v>268246</v>
      </c>
      <c r="V283" s="49">
        <v>16.149999999999999</v>
      </c>
      <c r="W283" s="56">
        <f t="shared" si="784"/>
        <v>15.479876160990713</v>
      </c>
      <c r="X283" s="49">
        <v>2007</v>
      </c>
      <c r="Y283" s="57" t="s">
        <v>162</v>
      </c>
      <c r="Z283" s="58">
        <v>31706000</v>
      </c>
      <c r="AA283" s="114">
        <f>(((21053000*0.0539)/(Table1[[#This Row],[Construction Loan Principal]]))+(((5600000*0.0615)/(Table1[[#This Row],[Construction Loan Principal]])))+((5053000*0.0615)/(Table1[[#This Row],[Construction Loan Principal]])))</f>
        <v>5.6453548224310861E-2</v>
      </c>
      <c r="AB283" s="59">
        <v>16</v>
      </c>
      <c r="AC283" s="60">
        <v>40</v>
      </c>
      <c r="AD283" s="61">
        <v>5.3900000000000003E-2</v>
      </c>
      <c r="AE283" s="62">
        <v>21053000</v>
      </c>
      <c r="AF283" s="63">
        <v>1.57</v>
      </c>
      <c r="AG283" s="59">
        <v>16</v>
      </c>
      <c r="AH283" s="60">
        <v>40</v>
      </c>
      <c r="AI283" s="61">
        <v>6.1499999999999999E-2</v>
      </c>
      <c r="AJ283" s="64">
        <v>5600000</v>
      </c>
      <c r="AK283" s="65">
        <f t="shared" si="785"/>
        <v>26653000</v>
      </c>
      <c r="AL283" s="66">
        <v>0</v>
      </c>
      <c r="AM283" s="49" t="s">
        <v>163</v>
      </c>
      <c r="AN283" s="67">
        <v>0.88</v>
      </c>
      <c r="AO283" s="62">
        <v>13149123</v>
      </c>
      <c r="AP283" s="62">
        <v>989200</v>
      </c>
      <c r="AQ283" s="68">
        <v>1509383</v>
      </c>
      <c r="AR283" s="69">
        <f t="shared" si="786"/>
        <v>106612</v>
      </c>
      <c r="AS283" s="70" t="str">
        <f t="shared" si="787"/>
        <v/>
      </c>
      <c r="AT283" s="70">
        <f t="shared" si="788"/>
        <v>52596.491999999998</v>
      </c>
      <c r="AU283" s="70">
        <f t="shared" si="789"/>
        <v>3956.8</v>
      </c>
      <c r="AV283" s="71">
        <f t="shared" si="790"/>
        <v>6037.5320000000002</v>
      </c>
      <c r="AW283" s="115">
        <f t="shared" si="791"/>
        <v>30000</v>
      </c>
      <c r="AX283" s="116">
        <f t="shared" si="792"/>
        <v>27.959410391953654</v>
      </c>
      <c r="AY283" s="72">
        <f t="shared" si="793"/>
        <v>37620</v>
      </c>
      <c r="AZ283" s="73">
        <f t="shared" si="794"/>
        <v>35.061100631509881</v>
      </c>
      <c r="BA283" s="66">
        <v>22980000</v>
      </c>
      <c r="BB283" s="62">
        <v>675000</v>
      </c>
      <c r="BC283" s="62">
        <v>6825000</v>
      </c>
      <c r="BD283" s="62">
        <v>750000</v>
      </c>
      <c r="BE283" s="62">
        <v>1155000</v>
      </c>
      <c r="BF283" s="62">
        <v>797500</v>
      </c>
      <c r="BG283" s="62">
        <v>3195267</v>
      </c>
      <c r="BH283" s="62">
        <v>4872939</v>
      </c>
      <c r="BI283" s="62">
        <v>1050000</v>
      </c>
      <c r="BJ283" s="47">
        <f t="shared" si="795"/>
        <v>42300706</v>
      </c>
      <c r="BK283" s="69">
        <f t="shared" si="796"/>
        <v>91920</v>
      </c>
      <c r="BL283" s="70">
        <f t="shared" si="797"/>
        <v>2700</v>
      </c>
      <c r="BM283" s="70">
        <f t="shared" si="798"/>
        <v>27300</v>
      </c>
      <c r="BN283" s="70">
        <f t="shared" si="799"/>
        <v>3000</v>
      </c>
      <c r="BO283" s="70">
        <f t="shared" si="800"/>
        <v>4620</v>
      </c>
      <c r="BP283" s="70">
        <f t="shared" si="801"/>
        <v>3190</v>
      </c>
      <c r="BQ283" s="70">
        <f t="shared" si="802"/>
        <v>12781.067999999999</v>
      </c>
      <c r="BR283" s="70">
        <f t="shared" si="803"/>
        <v>19491.756000000001</v>
      </c>
      <c r="BS283" s="70">
        <f t="shared" si="804"/>
        <v>4200</v>
      </c>
      <c r="BT283" s="71">
        <f t="shared" si="805"/>
        <v>169202.82399999999</v>
      </c>
      <c r="BU283" s="65">
        <f t="shared" si="806"/>
        <v>85.667633440945991</v>
      </c>
      <c r="BV283" s="48">
        <f t="shared" si="807"/>
        <v>2.5163469352758288</v>
      </c>
      <c r="BW283" s="48">
        <f t="shared" si="808"/>
        <v>25.443063456677827</v>
      </c>
      <c r="BX283" s="48">
        <f t="shared" si="809"/>
        <v>2.7959410391953656</v>
      </c>
      <c r="BY283" s="48">
        <f t="shared" si="810"/>
        <v>4.3057492003608626</v>
      </c>
      <c r="BZ283" s="48">
        <f t="shared" si="811"/>
        <v>2.973017305011072</v>
      </c>
      <c r="CA283" s="48">
        <f t="shared" si="812"/>
        <v>11.911704181982211</v>
      </c>
      <c r="CB283" s="48">
        <f t="shared" si="813"/>
        <v>18.165933508794165</v>
      </c>
      <c r="CC283" s="48">
        <f t="shared" si="814"/>
        <v>3.9143174548735118</v>
      </c>
      <c r="CD283" s="47">
        <f t="shared" si="815"/>
        <v>157.69370652311684</v>
      </c>
      <c r="CE283" s="66">
        <v>3679464</v>
      </c>
      <c r="CF283" s="62">
        <v>75000</v>
      </c>
      <c r="CG283" s="74">
        <v>-281585</v>
      </c>
      <c r="CH283" s="75">
        <f t="shared" si="816"/>
        <v>3472879</v>
      </c>
      <c r="CI283" s="62">
        <f>72500+10000+4500</f>
        <v>87000</v>
      </c>
      <c r="CJ283" s="62">
        <v>86822</v>
      </c>
      <c r="CK283" s="62">
        <v>349150</v>
      </c>
      <c r="CL283" s="62">
        <f>215000</f>
        <v>215000</v>
      </c>
      <c r="CM283" s="62">
        <f>10000+35000+270000</f>
        <v>315000</v>
      </c>
      <c r="CN283" s="62">
        <v>290000</v>
      </c>
      <c r="CO283" s="62">
        <v>0</v>
      </c>
      <c r="CP283" s="75">
        <f t="shared" si="861"/>
        <v>1342972</v>
      </c>
      <c r="CQ283" s="62">
        <v>75000</v>
      </c>
      <c r="CR283" s="75">
        <f t="shared" si="862"/>
        <v>1417972</v>
      </c>
      <c r="CS283" s="75">
        <f t="shared" si="817"/>
        <v>2129907</v>
      </c>
      <c r="CT283" s="62">
        <f>1305219+376794</f>
        <v>1682013</v>
      </c>
      <c r="CU283" s="47">
        <f t="shared" si="818"/>
        <v>447894</v>
      </c>
      <c r="CV283" s="76">
        <f t="shared" si="819"/>
        <v>0.61329720960620859</v>
      </c>
      <c r="CW283" s="75">
        <f t="shared" si="820"/>
        <v>5671.8879999999999</v>
      </c>
      <c r="CX283" s="77">
        <f t="shared" si="821"/>
        <v>0.40829870548326042</v>
      </c>
      <c r="CY283" s="75">
        <f t="shared" si="822"/>
        <v>1791.576</v>
      </c>
      <c r="CZ283" s="77">
        <f t="shared" si="823"/>
        <v>0.12896907724110168</v>
      </c>
      <c r="DA283" s="77">
        <f t="shared" si="824"/>
        <v>0.48432813236510686</v>
      </c>
      <c r="DB283" s="47">
        <f t="shared" si="825"/>
        <v>106612</v>
      </c>
      <c r="DC283" s="69">
        <f t="shared" si="826"/>
        <v>14717.856</v>
      </c>
      <c r="DD283" s="70">
        <f t="shared" si="827"/>
        <v>300</v>
      </c>
      <c r="DE283" s="70">
        <f t="shared" si="828"/>
        <v>-1126.3399999999999</v>
      </c>
      <c r="DF283" s="70">
        <f t="shared" si="829"/>
        <v>13891.516</v>
      </c>
      <c r="DG283" s="70">
        <f t="shared" si="830"/>
        <v>348</v>
      </c>
      <c r="DH283" s="70">
        <f t="shared" si="831"/>
        <v>347.28800000000001</v>
      </c>
      <c r="DI283" s="70">
        <f t="shared" si="832"/>
        <v>1396.6</v>
      </c>
      <c r="DJ283" s="70">
        <f t="shared" si="833"/>
        <v>860</v>
      </c>
      <c r="DK283" s="70">
        <f t="shared" si="834"/>
        <v>1260</v>
      </c>
      <c r="DL283" s="70">
        <f t="shared" si="835"/>
        <v>1160</v>
      </c>
      <c r="DM283" s="70" t="str">
        <f t="shared" si="836"/>
        <v/>
      </c>
      <c r="DN283" s="70">
        <f t="shared" si="837"/>
        <v>5371.8879999999999</v>
      </c>
      <c r="DO283" s="70">
        <f t="shared" si="838"/>
        <v>300</v>
      </c>
      <c r="DP283" s="70">
        <f t="shared" si="839"/>
        <v>5671.8879999999999</v>
      </c>
      <c r="DQ283" s="70">
        <f t="shared" si="840"/>
        <v>8519.6280000000006</v>
      </c>
      <c r="DR283" s="70">
        <f t="shared" si="841"/>
        <v>6728.0519999999997</v>
      </c>
      <c r="DS283" s="71">
        <f t="shared" si="842"/>
        <v>1791.576</v>
      </c>
      <c r="DT283" s="106">
        <f t="shared" si="843"/>
        <v>1.0594852282501059</v>
      </c>
      <c r="DU283" s="92">
        <f t="shared" si="844"/>
        <v>2.1595915089468998E-2</v>
      </c>
      <c r="DV283" s="92" t="str">
        <f t="shared" si="845"/>
        <v/>
      </c>
      <c r="DW283" s="92">
        <f t="shared" si="846"/>
        <v>1</v>
      </c>
      <c r="DX283" s="92">
        <f t="shared" si="847"/>
        <v>2.5051261503784037E-2</v>
      </c>
      <c r="DY283" s="92">
        <f t="shared" si="848"/>
        <v>2.5000007198638364E-2</v>
      </c>
      <c r="DZ283" s="92">
        <f t="shared" si="849"/>
        <v>0.10053618337984134</v>
      </c>
      <c r="EA283" s="92">
        <f t="shared" si="850"/>
        <v>6.1908289923144455E-2</v>
      </c>
      <c r="EB283" s="92">
        <f t="shared" si="851"/>
        <v>9.0702843375769782E-2</v>
      </c>
      <c r="EC283" s="92">
        <f t="shared" si="852"/>
        <v>8.350420501261345E-2</v>
      </c>
      <c r="ED283" s="92" t="str">
        <f t="shared" si="853"/>
        <v/>
      </c>
      <c r="EE283" s="92">
        <f t="shared" si="854"/>
        <v>0.38670279039379141</v>
      </c>
      <c r="EF283" s="92">
        <f t="shared" si="855"/>
        <v>2.1595915089468998E-2</v>
      </c>
      <c r="EG283" s="92">
        <f t="shared" si="856"/>
        <v>0.40829870548326042</v>
      </c>
      <c r="EH283" s="92">
        <f t="shared" si="857"/>
        <v>0.61329720960620859</v>
      </c>
      <c r="EI283" s="92">
        <f t="shared" si="858"/>
        <v>0.48432813236510686</v>
      </c>
      <c r="EJ283" s="122">
        <f t="shared" si="859"/>
        <v>0.12896907724110168</v>
      </c>
    </row>
    <row r="284" spans="2:140" ht="12" hidden="1" customHeight="1" outlineLevel="1">
      <c r="B284" s="121">
        <v>45645</v>
      </c>
      <c r="C284" s="117">
        <v>24497</v>
      </c>
      <c r="D284" s="50" t="s">
        <v>1352</v>
      </c>
      <c r="E284" s="50" t="s">
        <v>490</v>
      </c>
      <c r="F284" s="50" t="s">
        <v>1353</v>
      </c>
      <c r="G284" s="50" t="s">
        <v>154</v>
      </c>
      <c r="H284" s="50" t="s">
        <v>220</v>
      </c>
      <c r="I284" s="50" t="s">
        <v>419</v>
      </c>
      <c r="J284" s="52" t="s">
        <v>183</v>
      </c>
      <c r="K284" s="50" t="s">
        <v>184</v>
      </c>
      <c r="L284" s="49">
        <v>9</v>
      </c>
      <c r="M284" s="50" t="s">
        <v>159</v>
      </c>
      <c r="N284" s="50" t="s">
        <v>361</v>
      </c>
      <c r="O284" s="50" t="s">
        <v>160</v>
      </c>
      <c r="P284" s="50" t="s">
        <v>177</v>
      </c>
      <c r="Q284" s="53">
        <v>0.04</v>
      </c>
      <c r="R284" s="49">
        <v>201</v>
      </c>
      <c r="S284" s="49">
        <v>0</v>
      </c>
      <c r="T284" s="54">
        <f t="shared" si="860"/>
        <v>201</v>
      </c>
      <c r="U284" s="55">
        <v>108924</v>
      </c>
      <c r="V284" s="49">
        <v>7.27</v>
      </c>
      <c r="W284" s="56">
        <f t="shared" si="784"/>
        <v>27.647867950481434</v>
      </c>
      <c r="X284" s="49" t="s">
        <v>163</v>
      </c>
      <c r="Y284" s="57" t="s">
        <v>162</v>
      </c>
      <c r="Z284" s="58">
        <v>30000000</v>
      </c>
      <c r="AA284" s="114">
        <f>(((8511600*0.059)/(Table1[[#This Row],[Construction Loan Principal]]))+((21488400*0.06)/(Table1[[#This Row],[Construction Loan Principal]])))</f>
        <v>5.9716279999999997E-2</v>
      </c>
      <c r="AB284" s="59">
        <v>19</v>
      </c>
      <c r="AC284" s="60">
        <v>40</v>
      </c>
      <c r="AD284" s="61">
        <v>0.06</v>
      </c>
      <c r="AE284" s="62">
        <v>8511600</v>
      </c>
      <c r="AF284" s="63">
        <v>1.32</v>
      </c>
      <c r="AG284" s="59"/>
      <c r="AH284" s="60"/>
      <c r="AI284" s="61"/>
      <c r="AJ284" s="64"/>
      <c r="AK284" s="65">
        <f t="shared" si="785"/>
        <v>8511600</v>
      </c>
      <c r="AL284" s="66">
        <f>3912842+17617567</f>
        <v>21530409</v>
      </c>
      <c r="AM284" s="49" t="s">
        <v>1354</v>
      </c>
      <c r="AN284" s="67">
        <v>0.87</v>
      </c>
      <c r="AO284" s="62">
        <v>24247228</v>
      </c>
      <c r="AP284" s="62">
        <v>257536</v>
      </c>
      <c r="AQ284" s="68">
        <v>2932704</v>
      </c>
      <c r="AR284" s="69">
        <f t="shared" si="786"/>
        <v>42346.26865671642</v>
      </c>
      <c r="AS284" s="70">
        <f t="shared" si="787"/>
        <v>107116.46268656716</v>
      </c>
      <c r="AT284" s="70">
        <f t="shared" si="788"/>
        <v>120632.97512437811</v>
      </c>
      <c r="AU284" s="70">
        <f t="shared" si="789"/>
        <v>1281.273631840796</v>
      </c>
      <c r="AV284" s="71">
        <f t="shared" si="790"/>
        <v>14590.567164179105</v>
      </c>
      <c r="AW284" s="115">
        <f t="shared" si="791"/>
        <v>156435.42288557213</v>
      </c>
      <c r="AX284" s="116">
        <f t="shared" si="792"/>
        <v>288.67393779148762</v>
      </c>
      <c r="AY284" s="72">
        <f t="shared" si="793"/>
        <v>189036.56218905473</v>
      </c>
      <c r="AZ284" s="73">
        <f t="shared" si="794"/>
        <v>348.83358121258857</v>
      </c>
      <c r="BA284" s="66">
        <v>1090000</v>
      </c>
      <c r="BB284" s="62">
        <v>1385000</v>
      </c>
      <c r="BC284" s="62">
        <v>30058520</v>
      </c>
      <c r="BD284" s="62">
        <v>1886611</v>
      </c>
      <c r="BE284" s="62">
        <v>4666218</v>
      </c>
      <c r="BF284" s="62">
        <v>4018080</v>
      </c>
      <c r="BG284" s="62">
        <v>6586453</v>
      </c>
      <c r="BH284" s="62">
        <v>6915000</v>
      </c>
      <c r="BI284" s="62">
        <v>873594</v>
      </c>
      <c r="BJ284" s="47">
        <f t="shared" si="795"/>
        <v>57479476</v>
      </c>
      <c r="BK284" s="69">
        <f t="shared" si="796"/>
        <v>5422.8855721393038</v>
      </c>
      <c r="BL284" s="70">
        <f t="shared" si="797"/>
        <v>6890.5472636815921</v>
      </c>
      <c r="BM284" s="70">
        <f t="shared" si="798"/>
        <v>149544.87562189053</v>
      </c>
      <c r="BN284" s="70">
        <f t="shared" si="799"/>
        <v>9386.1243781094527</v>
      </c>
      <c r="BO284" s="70">
        <f t="shared" si="800"/>
        <v>23215.014925373136</v>
      </c>
      <c r="BP284" s="70">
        <f t="shared" si="801"/>
        <v>19990.447761194031</v>
      </c>
      <c r="BQ284" s="70">
        <f t="shared" si="802"/>
        <v>32768.422885572138</v>
      </c>
      <c r="BR284" s="70">
        <f t="shared" si="803"/>
        <v>34402.985074626864</v>
      </c>
      <c r="BS284" s="70">
        <f t="shared" si="804"/>
        <v>4346.2388059701489</v>
      </c>
      <c r="BT284" s="71">
        <f t="shared" si="805"/>
        <v>285967.54228855722</v>
      </c>
      <c r="BU284" s="65">
        <f t="shared" si="806"/>
        <v>10.006977341999926</v>
      </c>
      <c r="BV284" s="48">
        <f t="shared" si="807"/>
        <v>12.715287723550365</v>
      </c>
      <c r="BW284" s="48">
        <f t="shared" si="808"/>
        <v>275.9586500679373</v>
      </c>
      <c r="BX284" s="48">
        <f t="shared" si="809"/>
        <v>17.320434431346627</v>
      </c>
      <c r="BY284" s="48">
        <f t="shared" si="810"/>
        <v>42.839208989754326</v>
      </c>
      <c r="BZ284" s="48">
        <f t="shared" si="811"/>
        <v>36.888839925085378</v>
      </c>
      <c r="CA284" s="48">
        <f t="shared" si="812"/>
        <v>60.468335720318755</v>
      </c>
      <c r="CB284" s="48">
        <f t="shared" si="813"/>
        <v>63.484631486173846</v>
      </c>
      <c r="CC284" s="48">
        <f t="shared" si="814"/>
        <v>8.020215930373471</v>
      </c>
      <c r="CD284" s="47">
        <f t="shared" si="815"/>
        <v>527.70258161653999</v>
      </c>
      <c r="CE284" s="66">
        <v>2297808</v>
      </c>
      <c r="CF284" s="62">
        <v>12060</v>
      </c>
      <c r="CG284" s="74">
        <v>-173240</v>
      </c>
      <c r="CH284" s="75">
        <f t="shared" si="816"/>
        <v>2136628</v>
      </c>
      <c r="CI284" s="62">
        <f>67000+4500+8040+54400</f>
        <v>133940</v>
      </c>
      <c r="CJ284" s="62">
        <v>106831</v>
      </c>
      <c r="CK284" s="62">
        <v>330370</v>
      </c>
      <c r="CL284" s="62">
        <f>120000+185000</f>
        <v>305000</v>
      </c>
      <c r="CM284" s="62">
        <f>135116+108210</f>
        <v>243326</v>
      </c>
      <c r="CN284" s="62">
        <v>200000</v>
      </c>
      <c r="CO284" s="62">
        <v>0</v>
      </c>
      <c r="CP284" s="75">
        <f t="shared" si="861"/>
        <v>1319467</v>
      </c>
      <c r="CQ284" s="62">
        <v>60300</v>
      </c>
      <c r="CR284" s="75">
        <f t="shared" si="862"/>
        <v>1379767</v>
      </c>
      <c r="CS284" s="75">
        <f t="shared" si="817"/>
        <v>817161</v>
      </c>
      <c r="CT284" s="62">
        <v>572034</v>
      </c>
      <c r="CU284" s="47">
        <f t="shared" si="818"/>
        <v>245127</v>
      </c>
      <c r="CV284" s="76">
        <f t="shared" si="819"/>
        <v>0.38245356702242972</v>
      </c>
      <c r="CW284" s="75">
        <f t="shared" si="820"/>
        <v>6864.5124378109449</v>
      </c>
      <c r="CX284" s="77">
        <f t="shared" si="821"/>
        <v>0.64576847256518211</v>
      </c>
      <c r="CY284" s="75">
        <f t="shared" si="822"/>
        <v>1219.5373134328358</v>
      </c>
      <c r="CZ284" s="77">
        <f t="shared" si="823"/>
        <v>0.1147261011275711</v>
      </c>
      <c r="DA284" s="77">
        <f t="shared" si="824"/>
        <v>0.26772746589485863</v>
      </c>
      <c r="DB284" s="47">
        <f t="shared" si="825"/>
        <v>42346.26865671642</v>
      </c>
      <c r="DC284" s="69">
        <f t="shared" si="826"/>
        <v>11431.880597014926</v>
      </c>
      <c r="DD284" s="70">
        <f t="shared" si="827"/>
        <v>60</v>
      </c>
      <c r="DE284" s="70">
        <f t="shared" si="828"/>
        <v>-861.89054726368158</v>
      </c>
      <c r="DF284" s="70">
        <f t="shared" si="829"/>
        <v>10629.990049751244</v>
      </c>
      <c r="DG284" s="70">
        <f t="shared" si="830"/>
        <v>666.3681592039801</v>
      </c>
      <c r="DH284" s="70">
        <f t="shared" si="831"/>
        <v>531.497512437811</v>
      </c>
      <c r="DI284" s="70">
        <f t="shared" si="832"/>
        <v>1643.6318407960198</v>
      </c>
      <c r="DJ284" s="70">
        <f t="shared" si="833"/>
        <v>1517.4129353233832</v>
      </c>
      <c r="DK284" s="70">
        <f t="shared" si="834"/>
        <v>1210.5771144278608</v>
      </c>
      <c r="DL284" s="70">
        <f t="shared" si="835"/>
        <v>995.0248756218906</v>
      </c>
      <c r="DM284" s="70" t="str">
        <f t="shared" si="836"/>
        <v/>
      </c>
      <c r="DN284" s="70">
        <f t="shared" si="837"/>
        <v>6564.5124378109449</v>
      </c>
      <c r="DO284" s="70">
        <f t="shared" si="838"/>
        <v>300</v>
      </c>
      <c r="DP284" s="70">
        <f t="shared" si="839"/>
        <v>6864.5124378109449</v>
      </c>
      <c r="DQ284" s="70">
        <f t="shared" si="840"/>
        <v>4065.4776119402986</v>
      </c>
      <c r="DR284" s="70">
        <f t="shared" si="841"/>
        <v>2845.9402985074626</v>
      </c>
      <c r="DS284" s="71">
        <f t="shared" si="842"/>
        <v>1219.5373134328358</v>
      </c>
      <c r="DT284" s="106">
        <f t="shared" si="843"/>
        <v>1.0754366225660246</v>
      </c>
      <c r="DU284" s="92">
        <f t="shared" si="844"/>
        <v>5.6444079175223764E-3</v>
      </c>
      <c r="DV284" s="92" t="str">
        <f t="shared" si="845"/>
        <v/>
      </c>
      <c r="DW284" s="92">
        <f t="shared" si="846"/>
        <v>1</v>
      </c>
      <c r="DX284" s="92">
        <f t="shared" si="847"/>
        <v>6.2687561896595939E-2</v>
      </c>
      <c r="DY284" s="92">
        <f t="shared" si="848"/>
        <v>4.9999812789123799E-2</v>
      </c>
      <c r="DZ284" s="92">
        <f t="shared" si="849"/>
        <v>0.15462214292801554</v>
      </c>
      <c r="EA284" s="92">
        <f t="shared" si="850"/>
        <v>0.14274829310483622</v>
      </c>
      <c r="EB284" s="92">
        <f t="shared" si="851"/>
        <v>0.11388318415746682</v>
      </c>
      <c r="EC284" s="92">
        <f t="shared" si="852"/>
        <v>9.3605438101531949E-2</v>
      </c>
      <c r="ED284" s="92" t="str">
        <f t="shared" si="853"/>
        <v/>
      </c>
      <c r="EE284" s="92">
        <f t="shared" si="854"/>
        <v>0.61754643297757028</v>
      </c>
      <c r="EF284" s="92">
        <f t="shared" si="855"/>
        <v>2.8222039587611884E-2</v>
      </c>
      <c r="EG284" s="92">
        <f t="shared" si="856"/>
        <v>0.64576847256518211</v>
      </c>
      <c r="EH284" s="92">
        <f t="shared" si="857"/>
        <v>0.38245356702242972</v>
      </c>
      <c r="EI284" s="92">
        <f t="shared" si="858"/>
        <v>0.26772746589485863</v>
      </c>
      <c r="EJ284" s="122">
        <f t="shared" si="859"/>
        <v>0.1147261011275711</v>
      </c>
    </row>
    <row r="285" spans="2:140" ht="12" hidden="1" customHeight="1" outlineLevel="1">
      <c r="B285" s="121">
        <v>45645</v>
      </c>
      <c r="C285" s="117">
        <v>23178</v>
      </c>
      <c r="D285" s="50" t="s">
        <v>1355</v>
      </c>
      <c r="E285" s="50" t="s">
        <v>266</v>
      </c>
      <c r="F285" s="50" t="s">
        <v>1356</v>
      </c>
      <c r="G285" s="50" t="s">
        <v>291</v>
      </c>
      <c r="H285" s="50" t="s">
        <v>424</v>
      </c>
      <c r="I285" s="50" t="s">
        <v>517</v>
      </c>
      <c r="J285" s="52" t="s">
        <v>347</v>
      </c>
      <c r="K285" s="50" t="s">
        <v>347</v>
      </c>
      <c r="L285" s="49">
        <v>1</v>
      </c>
      <c r="M285" s="50" t="s">
        <v>159</v>
      </c>
      <c r="N285" s="50" t="s">
        <v>160</v>
      </c>
      <c r="O285" s="50" t="s">
        <v>160</v>
      </c>
      <c r="P285" s="50" t="s">
        <v>177</v>
      </c>
      <c r="Q285" s="53">
        <v>0.09</v>
      </c>
      <c r="R285" s="49">
        <v>98</v>
      </c>
      <c r="S285" s="49">
        <v>12</v>
      </c>
      <c r="T285" s="54">
        <f t="shared" si="860"/>
        <v>110</v>
      </c>
      <c r="U285" s="55">
        <v>102995</v>
      </c>
      <c r="V285" s="49">
        <v>4.5599999999999996</v>
      </c>
      <c r="W285" s="56">
        <f t="shared" si="784"/>
        <v>24.122807017543863</v>
      </c>
      <c r="X285" s="49" t="s">
        <v>163</v>
      </c>
      <c r="Y285" s="57" t="s">
        <v>162</v>
      </c>
      <c r="Z285" s="58">
        <v>5600000</v>
      </c>
      <c r="AA285" s="114">
        <v>6.25E-2</v>
      </c>
      <c r="AB285" s="59">
        <v>18</v>
      </c>
      <c r="AC285" s="60">
        <v>35</v>
      </c>
      <c r="AD285" s="61">
        <v>6.25E-2</v>
      </c>
      <c r="AE285" s="62">
        <v>5600000</v>
      </c>
      <c r="AF285" s="63">
        <v>1.22</v>
      </c>
      <c r="AG285" s="59"/>
      <c r="AH285" s="60"/>
      <c r="AI285" s="61"/>
      <c r="AJ285" s="64"/>
      <c r="AK285" s="65">
        <f t="shared" si="785"/>
        <v>5600000</v>
      </c>
      <c r="AL285" s="66">
        <v>500</v>
      </c>
      <c r="AM285" s="49" t="s">
        <v>1357</v>
      </c>
      <c r="AN285" s="67">
        <v>0.9</v>
      </c>
      <c r="AO285" s="62">
        <v>17707079</v>
      </c>
      <c r="AP285" s="62">
        <v>0</v>
      </c>
      <c r="AQ285" s="68">
        <v>1246136</v>
      </c>
      <c r="AR285" s="69">
        <f t="shared" si="786"/>
        <v>50909.090909090912</v>
      </c>
      <c r="AS285" s="70">
        <f t="shared" si="787"/>
        <v>4.5454545454545459</v>
      </c>
      <c r="AT285" s="70">
        <f t="shared" si="788"/>
        <v>160973.44545454546</v>
      </c>
      <c r="AU285" s="70" t="str">
        <f t="shared" si="789"/>
        <v/>
      </c>
      <c r="AV285" s="71">
        <f t="shared" si="790"/>
        <v>11328.50909090909</v>
      </c>
      <c r="AW285" s="115">
        <f t="shared" si="791"/>
        <v>132496.81818181818</v>
      </c>
      <c r="AX285" s="116">
        <f t="shared" si="792"/>
        <v>141.50832564687607</v>
      </c>
      <c r="AY285" s="72">
        <f t="shared" si="793"/>
        <v>157671.21818181817</v>
      </c>
      <c r="AZ285" s="73">
        <f t="shared" si="794"/>
        <v>168.3949123743871</v>
      </c>
      <c r="BA285" s="66">
        <v>1242277</v>
      </c>
      <c r="BB285" s="62">
        <v>2025067</v>
      </c>
      <c r="BC285" s="62">
        <v>12549583</v>
      </c>
      <c r="BD285" s="62">
        <v>728733</v>
      </c>
      <c r="BE285" s="62">
        <v>2040451</v>
      </c>
      <c r="BF285" s="62">
        <v>1142039</v>
      </c>
      <c r="BG285" s="62">
        <v>1292515</v>
      </c>
      <c r="BH285" s="62">
        <v>2945983</v>
      </c>
      <c r="BI285" s="62">
        <v>587068</v>
      </c>
      <c r="BJ285" s="47">
        <f t="shared" si="795"/>
        <v>24553716</v>
      </c>
      <c r="BK285" s="69">
        <f t="shared" si="796"/>
        <v>11293.427272727273</v>
      </c>
      <c r="BL285" s="70">
        <f t="shared" si="797"/>
        <v>18409.7</v>
      </c>
      <c r="BM285" s="70">
        <f t="shared" si="798"/>
        <v>114087.11818181818</v>
      </c>
      <c r="BN285" s="70">
        <f t="shared" si="799"/>
        <v>6624.8454545454542</v>
      </c>
      <c r="BO285" s="70">
        <f t="shared" si="800"/>
        <v>18549.554545454546</v>
      </c>
      <c r="BP285" s="70">
        <f t="shared" si="801"/>
        <v>10382.172727272728</v>
      </c>
      <c r="BQ285" s="70">
        <f t="shared" si="802"/>
        <v>11750.136363636364</v>
      </c>
      <c r="BR285" s="70">
        <f t="shared" si="803"/>
        <v>26781.663636363635</v>
      </c>
      <c r="BS285" s="70">
        <f t="shared" si="804"/>
        <v>5336.9818181818182</v>
      </c>
      <c r="BT285" s="71">
        <f t="shared" si="805"/>
        <v>223215.6</v>
      </c>
      <c r="BU285" s="65">
        <f t="shared" si="806"/>
        <v>12.061527258604787</v>
      </c>
      <c r="BV285" s="48">
        <f t="shared" si="807"/>
        <v>19.661799116461964</v>
      </c>
      <c r="BW285" s="48">
        <f t="shared" si="808"/>
        <v>121.8465265304141</v>
      </c>
      <c r="BX285" s="48">
        <f t="shared" si="809"/>
        <v>7.0754211369483953</v>
      </c>
      <c r="BY285" s="48">
        <f t="shared" si="810"/>
        <v>19.811165590562648</v>
      </c>
      <c r="BZ285" s="48">
        <f t="shared" si="811"/>
        <v>11.088295548327588</v>
      </c>
      <c r="CA285" s="48">
        <f t="shared" si="812"/>
        <v>12.54929850963639</v>
      </c>
      <c r="CB285" s="48">
        <f t="shared" si="813"/>
        <v>28.60316520219428</v>
      </c>
      <c r="CC285" s="48">
        <f t="shared" si="814"/>
        <v>5.6999660177678528</v>
      </c>
      <c r="CD285" s="47">
        <f t="shared" si="815"/>
        <v>238.39716491091801</v>
      </c>
      <c r="CE285" s="66">
        <v>1174536</v>
      </c>
      <c r="CF285" s="62">
        <v>26400</v>
      </c>
      <c r="CG285" s="74">
        <v>-90070</v>
      </c>
      <c r="CH285" s="75">
        <f t="shared" si="816"/>
        <v>1110866</v>
      </c>
      <c r="CI285" s="62">
        <f>56320+6000+3920</f>
        <v>66240</v>
      </c>
      <c r="CJ285" s="62">
        <v>44420</v>
      </c>
      <c r="CK285" s="62">
        <v>163213</v>
      </c>
      <c r="CL285" s="62">
        <v>68780</v>
      </c>
      <c r="CM285" s="62">
        <f>23451+65979</f>
        <v>89430</v>
      </c>
      <c r="CN285" s="62">
        <v>83000</v>
      </c>
      <c r="CO285" s="62">
        <v>87036</v>
      </c>
      <c r="CP285" s="75">
        <f t="shared" si="861"/>
        <v>602119</v>
      </c>
      <c r="CQ285" s="62">
        <v>27500</v>
      </c>
      <c r="CR285" s="75">
        <f t="shared" si="862"/>
        <v>629619</v>
      </c>
      <c r="CS285" s="75">
        <f t="shared" si="817"/>
        <v>508747</v>
      </c>
      <c r="CT285" s="62">
        <v>394515</v>
      </c>
      <c r="CU285" s="47">
        <f t="shared" si="818"/>
        <v>114232</v>
      </c>
      <c r="CV285" s="76">
        <f t="shared" si="819"/>
        <v>0.45797332891635895</v>
      </c>
      <c r="CW285" s="75">
        <f t="shared" si="820"/>
        <v>5723.8090909090906</v>
      </c>
      <c r="CX285" s="77">
        <f t="shared" si="821"/>
        <v>0.56678213213834971</v>
      </c>
      <c r="CY285" s="75">
        <f t="shared" si="822"/>
        <v>1038.4727272727273</v>
      </c>
      <c r="CZ285" s="77">
        <f t="shared" si="823"/>
        <v>0.10283148462550838</v>
      </c>
      <c r="DA285" s="77">
        <f t="shared" si="824"/>
        <v>0.35514184429085055</v>
      </c>
      <c r="DB285" s="47">
        <f t="shared" si="825"/>
        <v>50909.090909090912</v>
      </c>
      <c r="DC285" s="69">
        <f t="shared" si="826"/>
        <v>10677.6</v>
      </c>
      <c r="DD285" s="70">
        <f t="shared" si="827"/>
        <v>240</v>
      </c>
      <c r="DE285" s="70">
        <f t="shared" si="828"/>
        <v>-818.81818181818187</v>
      </c>
      <c r="DF285" s="70">
        <f t="shared" si="829"/>
        <v>10098.781818181818</v>
      </c>
      <c r="DG285" s="70">
        <f t="shared" si="830"/>
        <v>602.18181818181813</v>
      </c>
      <c r="DH285" s="70">
        <f t="shared" si="831"/>
        <v>403.81818181818181</v>
      </c>
      <c r="DI285" s="70">
        <f t="shared" si="832"/>
        <v>1483.7545454545455</v>
      </c>
      <c r="DJ285" s="70">
        <f t="shared" si="833"/>
        <v>625.27272727272725</v>
      </c>
      <c r="DK285" s="70">
        <f t="shared" si="834"/>
        <v>813</v>
      </c>
      <c r="DL285" s="70">
        <f t="shared" si="835"/>
        <v>754.5454545454545</v>
      </c>
      <c r="DM285" s="70">
        <f t="shared" si="836"/>
        <v>791.23636363636365</v>
      </c>
      <c r="DN285" s="70">
        <f t="shared" si="837"/>
        <v>5473.8090909090906</v>
      </c>
      <c r="DO285" s="70">
        <f t="shared" si="838"/>
        <v>250</v>
      </c>
      <c r="DP285" s="70">
        <f t="shared" si="839"/>
        <v>5723.8090909090906</v>
      </c>
      <c r="DQ285" s="70">
        <f t="shared" si="840"/>
        <v>4624.9727272727268</v>
      </c>
      <c r="DR285" s="70">
        <f t="shared" si="841"/>
        <v>3586.5</v>
      </c>
      <c r="DS285" s="71">
        <f t="shared" si="842"/>
        <v>1038.4727272727273</v>
      </c>
      <c r="DT285" s="106">
        <f t="shared" si="843"/>
        <v>1.0573156438310292</v>
      </c>
      <c r="DU285" s="92">
        <f t="shared" si="844"/>
        <v>2.3765242612520322E-2</v>
      </c>
      <c r="DV285" s="92" t="str">
        <f t="shared" si="845"/>
        <v/>
      </c>
      <c r="DW285" s="92">
        <f t="shared" si="846"/>
        <v>1</v>
      </c>
      <c r="DX285" s="92">
        <f t="shared" si="847"/>
        <v>5.9629154191414624E-2</v>
      </c>
      <c r="DY285" s="92">
        <f t="shared" si="848"/>
        <v>3.9986821092733056E-2</v>
      </c>
      <c r="DZ285" s="92">
        <f t="shared" si="849"/>
        <v>0.14692411145898784</v>
      </c>
      <c r="EA285" s="92">
        <f t="shared" si="850"/>
        <v>6.1915658594285897E-2</v>
      </c>
      <c r="EB285" s="92">
        <f t="shared" si="851"/>
        <v>8.0504759349912594E-2</v>
      </c>
      <c r="EC285" s="92">
        <f t="shared" si="852"/>
        <v>7.4716482456029798E-2</v>
      </c>
      <c r="ED285" s="92">
        <f t="shared" si="853"/>
        <v>7.834968394027722E-2</v>
      </c>
      <c r="EE285" s="92">
        <f t="shared" si="854"/>
        <v>0.542026671083641</v>
      </c>
      <c r="EF285" s="92">
        <f t="shared" si="855"/>
        <v>2.4755461054708668E-2</v>
      </c>
      <c r="EG285" s="92">
        <f t="shared" si="856"/>
        <v>0.56678213213834971</v>
      </c>
      <c r="EH285" s="92">
        <f t="shared" si="857"/>
        <v>0.45797332891635895</v>
      </c>
      <c r="EI285" s="92">
        <f t="shared" si="858"/>
        <v>0.35514184429085055</v>
      </c>
      <c r="EJ285" s="122">
        <f t="shared" si="859"/>
        <v>0.10283148462550838</v>
      </c>
    </row>
    <row r="286" spans="2:140" ht="12" customHeight="1" collapsed="1">
      <c r="B286" s="211">
        <v>2025</v>
      </c>
      <c r="C286" s="117"/>
      <c r="D286" s="50"/>
      <c r="E286" s="50"/>
      <c r="F286" s="50"/>
      <c r="G286" s="50"/>
      <c r="H286" s="50"/>
      <c r="I286" s="50"/>
      <c r="J286" s="52"/>
      <c r="K286" s="50"/>
      <c r="L286" s="49"/>
      <c r="M286" s="50"/>
      <c r="N286" s="50"/>
      <c r="O286" s="50"/>
      <c r="P286" s="50"/>
      <c r="Q286" s="53"/>
      <c r="R286" s="49"/>
      <c r="S286" s="49"/>
      <c r="T286" s="54" t="str">
        <f t="shared" si="860"/>
        <v/>
      </c>
      <c r="U286" s="55"/>
      <c r="V286" s="49"/>
      <c r="W286" s="56" t="str">
        <f t="shared" si="784"/>
        <v/>
      </c>
      <c r="X286" s="49"/>
      <c r="Y286" s="57"/>
      <c r="Z286" s="58"/>
      <c r="AA286" s="114"/>
      <c r="AB286" s="59"/>
      <c r="AC286" s="60"/>
      <c r="AD286" s="61"/>
      <c r="AE286" s="62"/>
      <c r="AF286" s="63"/>
      <c r="AG286" s="59"/>
      <c r="AH286" s="60"/>
      <c r="AI286" s="61"/>
      <c r="AJ286" s="64"/>
      <c r="AK286" s="65" t="str">
        <f t="shared" si="785"/>
        <v/>
      </c>
      <c r="AL286" s="66"/>
      <c r="AM286" s="49"/>
      <c r="AN286" s="67"/>
      <c r="AO286" s="62"/>
      <c r="AP286" s="62"/>
      <c r="AQ286" s="68"/>
      <c r="AR286" s="69" t="str">
        <f t="shared" si="786"/>
        <v/>
      </c>
      <c r="AS286" s="70" t="str">
        <f t="shared" si="787"/>
        <v/>
      </c>
      <c r="AT286" s="70" t="str">
        <f t="shared" si="788"/>
        <v/>
      </c>
      <c r="AU286" s="70" t="str">
        <f t="shared" si="789"/>
        <v/>
      </c>
      <c r="AV286" s="71" t="str">
        <f t="shared" si="790"/>
        <v/>
      </c>
      <c r="AW286" s="115" t="str">
        <f t="shared" si="791"/>
        <v/>
      </c>
      <c r="AX286" s="116" t="str">
        <f t="shared" si="792"/>
        <v/>
      </c>
      <c r="AY286" s="72" t="str">
        <f t="shared" si="793"/>
        <v/>
      </c>
      <c r="AZ286" s="73" t="str">
        <f t="shared" si="794"/>
        <v/>
      </c>
      <c r="BA286" s="66"/>
      <c r="BB286" s="62"/>
      <c r="BC286" s="62"/>
      <c r="BD286" s="62"/>
      <c r="BE286" s="62"/>
      <c r="BF286" s="62"/>
      <c r="BG286" s="62"/>
      <c r="BH286" s="62"/>
      <c r="BI286" s="62"/>
      <c r="BJ286" s="47" t="str">
        <f t="shared" si="795"/>
        <v/>
      </c>
      <c r="BK286" s="69" t="str">
        <f t="shared" si="796"/>
        <v/>
      </c>
      <c r="BL286" s="70" t="str">
        <f t="shared" si="797"/>
        <v/>
      </c>
      <c r="BM286" s="70" t="str">
        <f t="shared" si="798"/>
        <v/>
      </c>
      <c r="BN286" s="70" t="str">
        <f t="shared" si="799"/>
        <v/>
      </c>
      <c r="BO286" s="70" t="str">
        <f t="shared" si="800"/>
        <v/>
      </c>
      <c r="BP286" s="70" t="str">
        <f t="shared" si="801"/>
        <v/>
      </c>
      <c r="BQ286" s="70" t="str">
        <f t="shared" si="802"/>
        <v/>
      </c>
      <c r="BR286" s="70" t="str">
        <f t="shared" si="803"/>
        <v/>
      </c>
      <c r="BS286" s="70" t="str">
        <f t="shared" si="804"/>
        <v/>
      </c>
      <c r="BT286" s="71" t="str">
        <f t="shared" si="805"/>
        <v/>
      </c>
      <c r="BU286" s="65" t="str">
        <f t="shared" si="806"/>
        <v/>
      </c>
      <c r="BV286" s="48" t="str">
        <f t="shared" si="807"/>
        <v/>
      </c>
      <c r="BW286" s="48" t="str">
        <f t="shared" si="808"/>
        <v/>
      </c>
      <c r="BX286" s="48" t="str">
        <f t="shared" si="809"/>
        <v/>
      </c>
      <c r="BY286" s="48" t="str">
        <f t="shared" si="810"/>
        <v/>
      </c>
      <c r="BZ286" s="48" t="str">
        <f t="shared" si="811"/>
        <v/>
      </c>
      <c r="CA286" s="48" t="str">
        <f t="shared" si="812"/>
        <v/>
      </c>
      <c r="CB286" s="48" t="str">
        <f t="shared" si="813"/>
        <v/>
      </c>
      <c r="CC286" s="48" t="str">
        <f t="shared" si="814"/>
        <v/>
      </c>
      <c r="CD286" s="47" t="str">
        <f t="shared" si="815"/>
        <v/>
      </c>
      <c r="CE286" s="66"/>
      <c r="CF286" s="62"/>
      <c r="CG286" s="74"/>
      <c r="CH286" s="75" t="str">
        <f t="shared" si="816"/>
        <v/>
      </c>
      <c r="CI286" s="62"/>
      <c r="CJ286" s="62"/>
      <c r="CK286" s="62"/>
      <c r="CL286" s="62"/>
      <c r="CM286" s="62"/>
      <c r="CN286" s="62"/>
      <c r="CO286" s="62"/>
      <c r="CP286" s="75" t="str">
        <f t="shared" si="861"/>
        <v/>
      </c>
      <c r="CQ286" s="62"/>
      <c r="CR286" s="75" t="str">
        <f t="shared" si="862"/>
        <v/>
      </c>
      <c r="CS286" s="75" t="str">
        <f t="shared" si="817"/>
        <v/>
      </c>
      <c r="CT286" s="62"/>
      <c r="CU286" s="47" t="str">
        <f t="shared" si="818"/>
        <v/>
      </c>
      <c r="CV286" s="76" t="str">
        <f t="shared" si="819"/>
        <v/>
      </c>
      <c r="CW286" s="75" t="str">
        <f t="shared" si="820"/>
        <v/>
      </c>
      <c r="CX286" s="77" t="str">
        <f t="shared" si="821"/>
        <v/>
      </c>
      <c r="CY286" s="75" t="str">
        <f t="shared" si="822"/>
        <v/>
      </c>
      <c r="CZ286" s="77" t="str">
        <f t="shared" si="823"/>
        <v/>
      </c>
      <c r="DA286" s="77" t="str">
        <f t="shared" si="824"/>
        <v/>
      </c>
      <c r="DB286" s="47" t="str">
        <f t="shared" si="825"/>
        <v/>
      </c>
      <c r="DC286" s="69" t="str">
        <f t="shared" si="826"/>
        <v/>
      </c>
      <c r="DD286" s="70" t="str">
        <f t="shared" si="827"/>
        <v/>
      </c>
      <c r="DE286" s="70" t="str">
        <f t="shared" si="828"/>
        <v/>
      </c>
      <c r="DF286" s="70" t="str">
        <f t="shared" si="829"/>
        <v/>
      </c>
      <c r="DG286" s="70" t="str">
        <f t="shared" si="830"/>
        <v/>
      </c>
      <c r="DH286" s="70" t="str">
        <f t="shared" si="831"/>
        <v/>
      </c>
      <c r="DI286" s="70" t="str">
        <f t="shared" si="832"/>
        <v/>
      </c>
      <c r="DJ286" s="70" t="str">
        <f t="shared" si="833"/>
        <v/>
      </c>
      <c r="DK286" s="70" t="str">
        <f t="shared" si="834"/>
        <v/>
      </c>
      <c r="DL286" s="70" t="str">
        <f t="shared" si="835"/>
        <v/>
      </c>
      <c r="DM286" s="70" t="str">
        <f t="shared" si="836"/>
        <v/>
      </c>
      <c r="DN286" s="70" t="str">
        <f t="shared" si="837"/>
        <v/>
      </c>
      <c r="DO286" s="70" t="str">
        <f t="shared" si="838"/>
        <v/>
      </c>
      <c r="DP286" s="70" t="str">
        <f t="shared" si="839"/>
        <v/>
      </c>
      <c r="DQ286" s="70" t="str">
        <f t="shared" si="840"/>
        <v/>
      </c>
      <c r="DR286" s="70" t="str">
        <f t="shared" si="841"/>
        <v/>
      </c>
      <c r="DS286" s="71" t="str">
        <f t="shared" si="842"/>
        <v/>
      </c>
      <c r="DT286" s="106" t="str">
        <f t="shared" si="843"/>
        <v/>
      </c>
      <c r="DU286" s="92" t="str">
        <f t="shared" si="844"/>
        <v/>
      </c>
      <c r="DV286" s="92" t="str">
        <f t="shared" si="845"/>
        <v/>
      </c>
      <c r="DW286" s="92" t="str">
        <f t="shared" si="846"/>
        <v/>
      </c>
      <c r="DX286" s="92" t="str">
        <f t="shared" si="847"/>
        <v/>
      </c>
      <c r="DY286" s="92" t="str">
        <f t="shared" si="848"/>
        <v/>
      </c>
      <c r="DZ286" s="92" t="str">
        <f t="shared" si="849"/>
        <v/>
      </c>
      <c r="EA286" s="92" t="str">
        <f t="shared" si="850"/>
        <v/>
      </c>
      <c r="EB286" s="92" t="str">
        <f t="shared" si="851"/>
        <v/>
      </c>
      <c r="EC286" s="92" t="str">
        <f t="shared" si="852"/>
        <v/>
      </c>
      <c r="ED286" s="92" t="str">
        <f t="shared" si="853"/>
        <v/>
      </c>
      <c r="EE286" s="92" t="str">
        <f t="shared" si="854"/>
        <v/>
      </c>
      <c r="EF286" s="92" t="str">
        <f t="shared" si="855"/>
        <v/>
      </c>
      <c r="EG286" s="92" t="str">
        <f t="shared" si="856"/>
        <v/>
      </c>
      <c r="EH286" s="92" t="str">
        <f t="shared" si="857"/>
        <v/>
      </c>
      <c r="EI286" s="92" t="str">
        <f t="shared" si="858"/>
        <v/>
      </c>
      <c r="EJ286" s="122" t="str">
        <f t="shared" si="859"/>
        <v/>
      </c>
    </row>
    <row r="287" spans="2:140" ht="12" hidden="1" customHeight="1" outlineLevel="1">
      <c r="B287" s="121">
        <v>45666</v>
      </c>
      <c r="C287" s="117">
        <v>24607</v>
      </c>
      <c r="D287" s="50" t="s">
        <v>1358</v>
      </c>
      <c r="E287" s="50" t="s">
        <v>257</v>
      </c>
      <c r="F287" s="50" t="s">
        <v>1359</v>
      </c>
      <c r="G287" s="50" t="s">
        <v>154</v>
      </c>
      <c r="H287" s="50" t="s">
        <v>1360</v>
      </c>
      <c r="I287" s="50" t="s">
        <v>1022</v>
      </c>
      <c r="J287" s="52" t="s">
        <v>230</v>
      </c>
      <c r="K287" s="50" t="s">
        <v>230</v>
      </c>
      <c r="L287" s="49">
        <v>3</v>
      </c>
      <c r="M287" s="50" t="s">
        <v>159</v>
      </c>
      <c r="N287" s="50" t="s">
        <v>160</v>
      </c>
      <c r="O287" s="50" t="s">
        <v>160</v>
      </c>
      <c r="P287" s="50" t="s">
        <v>177</v>
      </c>
      <c r="Q287" s="53">
        <v>0.04</v>
      </c>
      <c r="R287" s="49">
        <v>300</v>
      </c>
      <c r="S287" s="49">
        <v>0</v>
      </c>
      <c r="T287" s="54">
        <f t="shared" si="860"/>
        <v>300</v>
      </c>
      <c r="U287" s="55">
        <v>288252</v>
      </c>
      <c r="V287" s="49">
        <v>15.42</v>
      </c>
      <c r="W287" s="56">
        <f t="shared" si="784"/>
        <v>19.455252918287936</v>
      </c>
      <c r="X287" s="49" t="s">
        <v>163</v>
      </c>
      <c r="Y287" s="57" t="s">
        <v>162</v>
      </c>
      <c r="Z287" s="58">
        <v>50489000</v>
      </c>
      <c r="AA287" s="114">
        <f>(((40489000*0.0584)/(Table1[[#This Row],[Construction Loan Principal]]))+(((10000000*0.02)/(Table1[[#This Row],[Construction Loan Principal]]))))</f>
        <v>5.0794382934896715E-2</v>
      </c>
      <c r="AB287" s="59">
        <v>17</v>
      </c>
      <c r="AC287" s="60">
        <v>40</v>
      </c>
      <c r="AD287" s="61">
        <v>5.8400000000000001E-2</v>
      </c>
      <c r="AE287" s="62">
        <v>40489000</v>
      </c>
      <c r="AF287" s="63">
        <v>1.31</v>
      </c>
      <c r="AG287" s="59">
        <v>17</v>
      </c>
      <c r="AH287" s="60">
        <v>40</v>
      </c>
      <c r="AI287" s="61">
        <v>0.02</v>
      </c>
      <c r="AJ287" s="64">
        <v>10000000</v>
      </c>
      <c r="AK287" s="65">
        <f t="shared" si="785"/>
        <v>50489000</v>
      </c>
      <c r="AL287" s="66">
        <v>0</v>
      </c>
      <c r="AM287" s="49" t="s">
        <v>163</v>
      </c>
      <c r="AN287" s="67">
        <v>0.84</v>
      </c>
      <c r="AO287" s="62">
        <v>36691456</v>
      </c>
      <c r="AP287" s="62">
        <v>750000</v>
      </c>
      <c r="AQ287" s="68">
        <v>5264364</v>
      </c>
      <c r="AR287" s="69">
        <f t="shared" si="786"/>
        <v>168296.66666666666</v>
      </c>
      <c r="AS287" s="70" t="str">
        <f t="shared" si="787"/>
        <v/>
      </c>
      <c r="AT287" s="70">
        <f t="shared" si="788"/>
        <v>122304.85333333333</v>
      </c>
      <c r="AU287" s="70">
        <f t="shared" si="789"/>
        <v>2500</v>
      </c>
      <c r="AV287" s="71">
        <f t="shared" si="790"/>
        <v>17547.88</v>
      </c>
      <c r="AW287" s="115">
        <f t="shared" si="791"/>
        <v>172452.22333333333</v>
      </c>
      <c r="AX287" s="116">
        <f t="shared" si="792"/>
        <v>179.48068703773089</v>
      </c>
      <c r="AY287" s="72">
        <f t="shared" si="793"/>
        <v>206080.56</v>
      </c>
      <c r="AZ287" s="73">
        <f t="shared" si="794"/>
        <v>214.47958036717873</v>
      </c>
      <c r="BA287" s="66">
        <v>2500000</v>
      </c>
      <c r="BB287" s="62">
        <v>6525000</v>
      </c>
      <c r="BC287" s="62">
        <v>45210667</v>
      </c>
      <c r="BD287" s="62">
        <v>2919008</v>
      </c>
      <c r="BE287" s="62">
        <v>7169493</v>
      </c>
      <c r="BF287" s="62">
        <v>5526950</v>
      </c>
      <c r="BG287" s="62">
        <v>12249757</v>
      </c>
      <c r="BH287" s="62">
        <v>10893945</v>
      </c>
      <c r="BI287" s="62">
        <v>200000</v>
      </c>
      <c r="BJ287" s="47">
        <f t="shared" si="795"/>
        <v>93194820</v>
      </c>
      <c r="BK287" s="69">
        <f t="shared" si="796"/>
        <v>8333.3333333333339</v>
      </c>
      <c r="BL287" s="70">
        <f t="shared" si="797"/>
        <v>21750</v>
      </c>
      <c r="BM287" s="70">
        <f t="shared" si="798"/>
        <v>150702.22333333333</v>
      </c>
      <c r="BN287" s="70">
        <f t="shared" si="799"/>
        <v>9730.0266666666666</v>
      </c>
      <c r="BO287" s="70">
        <f t="shared" si="800"/>
        <v>23898.31</v>
      </c>
      <c r="BP287" s="70">
        <f t="shared" si="801"/>
        <v>18423.166666666668</v>
      </c>
      <c r="BQ287" s="70">
        <f t="shared" si="802"/>
        <v>40832.523333333331</v>
      </c>
      <c r="BR287" s="70">
        <f t="shared" si="803"/>
        <v>36313.15</v>
      </c>
      <c r="BS287" s="70">
        <f t="shared" si="804"/>
        <v>666.66666666666663</v>
      </c>
      <c r="BT287" s="71">
        <f t="shared" si="805"/>
        <v>310649.40000000002</v>
      </c>
      <c r="BU287" s="65">
        <f t="shared" si="806"/>
        <v>8.6729667096845819</v>
      </c>
      <c r="BV287" s="48">
        <f t="shared" si="807"/>
        <v>22.636443112276758</v>
      </c>
      <c r="BW287" s="48">
        <f t="shared" si="808"/>
        <v>156.84424392545412</v>
      </c>
      <c r="BX287" s="48">
        <f t="shared" si="809"/>
        <v>10.126583683721188</v>
      </c>
      <c r="BY287" s="48">
        <f t="shared" si="810"/>
        <v>24.872309645726656</v>
      </c>
      <c r="BZ287" s="48">
        <f t="shared" si="811"/>
        <v>19.174021342436479</v>
      </c>
      <c r="CA287" s="48">
        <f t="shared" si="812"/>
        <v>42.496693865090265</v>
      </c>
      <c r="CB287" s="48">
        <f t="shared" si="813"/>
        <v>37.793128928853918</v>
      </c>
      <c r="CC287" s="48">
        <f t="shared" si="814"/>
        <v>0.69383733677476656</v>
      </c>
      <c r="CD287" s="47">
        <f t="shared" si="815"/>
        <v>323.31022855001873</v>
      </c>
      <c r="CE287" s="66">
        <v>5406588</v>
      </c>
      <c r="CF287" s="62">
        <v>108000</v>
      </c>
      <c r="CG287" s="74">
        <v>-413594</v>
      </c>
      <c r="CH287" s="75">
        <f t="shared" si="816"/>
        <v>5100994</v>
      </c>
      <c r="CI287" s="62">
        <f>145500+40000+12000+7500+4500</f>
        <v>209500</v>
      </c>
      <c r="CJ287" s="62">
        <v>127525</v>
      </c>
      <c r="CK287" s="62">
        <v>420000</v>
      </c>
      <c r="CL287" s="62">
        <f>240000+45000</f>
        <v>285000</v>
      </c>
      <c r="CM287" s="62">
        <f>109000+131000</f>
        <v>240000</v>
      </c>
      <c r="CN287" s="62">
        <v>235800</v>
      </c>
      <c r="CO287" s="62">
        <v>0</v>
      </c>
      <c r="CP287" s="75">
        <f t="shared" si="861"/>
        <v>1517825</v>
      </c>
      <c r="CQ287" s="62">
        <v>75000</v>
      </c>
      <c r="CR287" s="75">
        <f t="shared" si="862"/>
        <v>1592825</v>
      </c>
      <c r="CS287" s="75">
        <f t="shared" si="817"/>
        <v>3583169</v>
      </c>
      <c r="CT287" s="62">
        <v>2669304</v>
      </c>
      <c r="CU287" s="47">
        <f t="shared" si="818"/>
        <v>913865</v>
      </c>
      <c r="CV287" s="76">
        <f t="shared" si="819"/>
        <v>0.7024452489063896</v>
      </c>
      <c r="CW287" s="75">
        <f t="shared" si="820"/>
        <v>5309.416666666667</v>
      </c>
      <c r="CX287" s="77">
        <f t="shared" si="821"/>
        <v>0.31225776779976611</v>
      </c>
      <c r="CY287" s="75">
        <f t="shared" si="822"/>
        <v>3046.2166666666667</v>
      </c>
      <c r="CZ287" s="77">
        <f t="shared" si="823"/>
        <v>0.17915429816227973</v>
      </c>
      <c r="DA287" s="77">
        <f t="shared" si="824"/>
        <v>0.52329095074410992</v>
      </c>
      <c r="DB287" s="47">
        <f t="shared" si="825"/>
        <v>168296.66666666666</v>
      </c>
      <c r="DC287" s="69">
        <f t="shared" si="826"/>
        <v>18021.96</v>
      </c>
      <c r="DD287" s="70">
        <f t="shared" si="827"/>
        <v>360</v>
      </c>
      <c r="DE287" s="70">
        <f t="shared" si="828"/>
        <v>-1378.6466666666668</v>
      </c>
      <c r="DF287" s="70">
        <f t="shared" si="829"/>
        <v>17003.313333333332</v>
      </c>
      <c r="DG287" s="70">
        <f t="shared" si="830"/>
        <v>698.33333333333337</v>
      </c>
      <c r="DH287" s="70">
        <f t="shared" si="831"/>
        <v>425.08333333333331</v>
      </c>
      <c r="DI287" s="70">
        <f t="shared" si="832"/>
        <v>1400</v>
      </c>
      <c r="DJ287" s="70">
        <f t="shared" si="833"/>
        <v>950</v>
      </c>
      <c r="DK287" s="70">
        <f t="shared" si="834"/>
        <v>800</v>
      </c>
      <c r="DL287" s="70">
        <f t="shared" si="835"/>
        <v>786</v>
      </c>
      <c r="DM287" s="70" t="str">
        <f t="shared" si="836"/>
        <v/>
      </c>
      <c r="DN287" s="70">
        <f t="shared" si="837"/>
        <v>5059.416666666667</v>
      </c>
      <c r="DO287" s="70">
        <f t="shared" si="838"/>
        <v>250</v>
      </c>
      <c r="DP287" s="70">
        <f t="shared" si="839"/>
        <v>5309.416666666667</v>
      </c>
      <c r="DQ287" s="70">
        <f t="shared" si="840"/>
        <v>11943.896666666667</v>
      </c>
      <c r="DR287" s="70">
        <f t="shared" si="841"/>
        <v>8897.68</v>
      </c>
      <c r="DS287" s="71">
        <f t="shared" si="842"/>
        <v>3046.2166666666667</v>
      </c>
      <c r="DT287" s="106">
        <f t="shared" si="843"/>
        <v>1.0599087158306792</v>
      </c>
      <c r="DU287" s="92">
        <f t="shared" si="844"/>
        <v>2.117234405686421E-2</v>
      </c>
      <c r="DV287" s="92" t="str">
        <f t="shared" si="845"/>
        <v/>
      </c>
      <c r="DW287" s="92">
        <f t="shared" si="846"/>
        <v>1</v>
      </c>
      <c r="DX287" s="92">
        <f t="shared" si="847"/>
        <v>4.1070426665861595E-2</v>
      </c>
      <c r="DY287" s="92">
        <f t="shared" si="848"/>
        <v>2.5000029406033412E-2</v>
      </c>
      <c r="DZ287" s="92">
        <f t="shared" si="849"/>
        <v>8.2336893554471935E-2</v>
      </c>
      <c r="EA287" s="92">
        <f t="shared" si="850"/>
        <v>5.587146348339167E-2</v>
      </c>
      <c r="EB287" s="92">
        <f t="shared" si="851"/>
        <v>4.7049653459698249E-2</v>
      </c>
      <c r="EC287" s="92">
        <f t="shared" si="852"/>
        <v>4.6226284524153526E-2</v>
      </c>
      <c r="ED287" s="92" t="str">
        <f t="shared" si="853"/>
        <v/>
      </c>
      <c r="EE287" s="92">
        <f t="shared" si="854"/>
        <v>0.2975547510936104</v>
      </c>
      <c r="EF287" s="92">
        <f t="shared" si="855"/>
        <v>1.4703016706155703E-2</v>
      </c>
      <c r="EG287" s="92">
        <f t="shared" si="856"/>
        <v>0.31225776779976611</v>
      </c>
      <c r="EH287" s="92">
        <f t="shared" si="857"/>
        <v>0.7024452489063896</v>
      </c>
      <c r="EI287" s="92">
        <f t="shared" si="858"/>
        <v>0.52329095074410992</v>
      </c>
      <c r="EJ287" s="122">
        <f t="shared" si="859"/>
        <v>0.17915429816227973</v>
      </c>
    </row>
    <row r="288" spans="2:140" ht="12" hidden="1" customHeight="1" outlineLevel="1">
      <c r="B288" s="121">
        <v>45667</v>
      </c>
      <c r="C288" s="117" t="s">
        <v>1361</v>
      </c>
      <c r="D288" s="50" t="s">
        <v>1362</v>
      </c>
      <c r="E288" s="50" t="s">
        <v>309</v>
      </c>
      <c r="F288" s="50" t="s">
        <v>1363</v>
      </c>
      <c r="G288" s="50" t="s">
        <v>154</v>
      </c>
      <c r="H288" s="50" t="s">
        <v>310</v>
      </c>
      <c r="I288" s="50" t="s">
        <v>182</v>
      </c>
      <c r="J288" s="52" t="s">
        <v>1364</v>
      </c>
      <c r="K288" s="50" t="s">
        <v>1364</v>
      </c>
      <c r="L288" s="49">
        <v>10</v>
      </c>
      <c r="M288" s="50" t="s">
        <v>159</v>
      </c>
      <c r="N288" s="50" t="s">
        <v>244</v>
      </c>
      <c r="O288" s="50" t="s">
        <v>160</v>
      </c>
      <c r="P288" s="50" t="s">
        <v>177</v>
      </c>
      <c r="Q288" s="53">
        <v>0.09</v>
      </c>
      <c r="R288" s="49">
        <v>75</v>
      </c>
      <c r="S288" s="49">
        <v>0</v>
      </c>
      <c r="T288" s="54">
        <f t="shared" si="860"/>
        <v>75</v>
      </c>
      <c r="U288" s="55">
        <v>54387</v>
      </c>
      <c r="V288" s="49">
        <v>4.12</v>
      </c>
      <c r="W288" s="56">
        <f t="shared" si="784"/>
        <v>18.203883495145632</v>
      </c>
      <c r="X288" s="49" t="s">
        <v>163</v>
      </c>
      <c r="Y288" s="57" t="s">
        <v>162</v>
      </c>
      <c r="Z288" s="58">
        <v>3050000</v>
      </c>
      <c r="AA288" s="114">
        <v>4.2500000000000003E-2</v>
      </c>
      <c r="AB288" s="59">
        <v>15</v>
      </c>
      <c r="AC288" s="60">
        <v>35</v>
      </c>
      <c r="AD288" s="61">
        <v>4.2500000000000003E-2</v>
      </c>
      <c r="AE288" s="62">
        <v>3050000</v>
      </c>
      <c r="AF288" s="63">
        <v>1.27</v>
      </c>
      <c r="AG288" s="59"/>
      <c r="AH288" s="60"/>
      <c r="AI288" s="61"/>
      <c r="AJ288" s="64"/>
      <c r="AK288" s="65">
        <f t="shared" si="785"/>
        <v>3050000</v>
      </c>
      <c r="AL288" s="66">
        <v>500</v>
      </c>
      <c r="AM288" s="49" t="s">
        <v>1365</v>
      </c>
      <c r="AN288" s="67">
        <v>0.88</v>
      </c>
      <c r="AO288" s="62">
        <v>10182966</v>
      </c>
      <c r="AP288" s="62">
        <v>0</v>
      </c>
      <c r="AQ288" s="68">
        <v>115567</v>
      </c>
      <c r="AR288" s="69">
        <f t="shared" si="786"/>
        <v>40666.666666666664</v>
      </c>
      <c r="AS288" s="70">
        <f t="shared" si="787"/>
        <v>6.666666666666667</v>
      </c>
      <c r="AT288" s="70">
        <f t="shared" si="788"/>
        <v>135772.88</v>
      </c>
      <c r="AU288" s="70" t="str">
        <f t="shared" si="789"/>
        <v/>
      </c>
      <c r="AV288" s="71">
        <f t="shared" si="790"/>
        <v>1540.8933333333334</v>
      </c>
      <c r="AW288" s="115">
        <f t="shared" si="791"/>
        <v>94200</v>
      </c>
      <c r="AX288" s="116">
        <f t="shared" si="792"/>
        <v>129.90236637431738</v>
      </c>
      <c r="AY288" s="72">
        <f t="shared" si="793"/>
        <v>114905.16</v>
      </c>
      <c r="AZ288" s="73">
        <f t="shared" si="794"/>
        <v>158.45490650339235</v>
      </c>
      <c r="BA288" s="66">
        <v>675000</v>
      </c>
      <c r="BB288" s="62">
        <v>1255000</v>
      </c>
      <c r="BC288" s="62">
        <v>5810000</v>
      </c>
      <c r="BD288" s="62">
        <v>494550</v>
      </c>
      <c r="BE288" s="62">
        <v>1058337</v>
      </c>
      <c r="BF288" s="62">
        <v>1110000</v>
      </c>
      <c r="BG288" s="62">
        <v>1106625</v>
      </c>
      <c r="BH288" s="62">
        <v>1558000</v>
      </c>
      <c r="BI288" s="62">
        <v>281521</v>
      </c>
      <c r="BJ288" s="47">
        <f t="shared" si="795"/>
        <v>13349033</v>
      </c>
      <c r="BK288" s="69">
        <f t="shared" si="796"/>
        <v>9000</v>
      </c>
      <c r="BL288" s="70">
        <f t="shared" si="797"/>
        <v>16733.333333333332</v>
      </c>
      <c r="BM288" s="70">
        <f t="shared" si="798"/>
        <v>77466.666666666672</v>
      </c>
      <c r="BN288" s="70">
        <f t="shared" si="799"/>
        <v>6594</v>
      </c>
      <c r="BO288" s="70">
        <f t="shared" si="800"/>
        <v>14111.16</v>
      </c>
      <c r="BP288" s="70">
        <f t="shared" si="801"/>
        <v>14800</v>
      </c>
      <c r="BQ288" s="70">
        <f t="shared" si="802"/>
        <v>14755</v>
      </c>
      <c r="BR288" s="70">
        <f t="shared" si="803"/>
        <v>20773.333333333332</v>
      </c>
      <c r="BS288" s="70">
        <f t="shared" si="804"/>
        <v>3753.6133333333332</v>
      </c>
      <c r="BT288" s="71">
        <f t="shared" si="805"/>
        <v>177987.10666666666</v>
      </c>
      <c r="BU288" s="65">
        <f t="shared" si="806"/>
        <v>12.411054112195929</v>
      </c>
      <c r="BV288" s="48">
        <f t="shared" si="807"/>
        <v>23.075367275267986</v>
      </c>
      <c r="BW288" s="48">
        <f t="shared" si="808"/>
        <v>106.8269990990494</v>
      </c>
      <c r="BX288" s="48">
        <f t="shared" si="809"/>
        <v>9.0931656462022179</v>
      </c>
      <c r="BY288" s="48">
        <f t="shared" si="810"/>
        <v>19.459374482872747</v>
      </c>
      <c r="BZ288" s="48">
        <f t="shared" si="811"/>
        <v>20.409288984499973</v>
      </c>
      <c r="CA288" s="48">
        <f t="shared" si="812"/>
        <v>20.347233713938994</v>
      </c>
      <c r="CB288" s="48">
        <f t="shared" si="813"/>
        <v>28.646551565631494</v>
      </c>
      <c r="CC288" s="48">
        <f t="shared" si="814"/>
        <v>5.1762553551400154</v>
      </c>
      <c r="CD288" s="47">
        <f t="shared" si="815"/>
        <v>245.44529023479876</v>
      </c>
      <c r="CE288" s="66">
        <v>640824</v>
      </c>
      <c r="CF288" s="62">
        <v>18000</v>
      </c>
      <c r="CG288" s="74">
        <v>-49412</v>
      </c>
      <c r="CH288" s="75">
        <f t="shared" si="816"/>
        <v>609412</v>
      </c>
      <c r="CI288" s="62">
        <f>29500+4500+3000</f>
        <v>37000</v>
      </c>
      <c r="CJ288" s="62">
        <v>30471</v>
      </c>
      <c r="CK288" s="62">
        <v>73500</v>
      </c>
      <c r="CL288" s="62">
        <v>66600</v>
      </c>
      <c r="CM288" s="62">
        <f>22000+55000</f>
        <v>77000</v>
      </c>
      <c r="CN288" s="62">
        <v>52547</v>
      </c>
      <c r="CO288" s="62">
        <v>40000</v>
      </c>
      <c r="CP288" s="75">
        <f t="shared" si="861"/>
        <v>377118</v>
      </c>
      <c r="CQ288" s="62">
        <v>18750</v>
      </c>
      <c r="CR288" s="75">
        <f t="shared" si="862"/>
        <v>395868</v>
      </c>
      <c r="CS288" s="75">
        <f t="shared" si="817"/>
        <v>232294</v>
      </c>
      <c r="CT288" s="62">
        <v>167589</v>
      </c>
      <c r="CU288" s="47">
        <f t="shared" si="818"/>
        <v>64705</v>
      </c>
      <c r="CV288" s="76">
        <f t="shared" si="819"/>
        <v>0.38117726595472357</v>
      </c>
      <c r="CW288" s="75">
        <f t="shared" si="820"/>
        <v>5278.24</v>
      </c>
      <c r="CX288" s="77">
        <f t="shared" si="821"/>
        <v>0.64959009668336032</v>
      </c>
      <c r="CY288" s="75">
        <f t="shared" si="822"/>
        <v>862.73333333333335</v>
      </c>
      <c r="CZ288" s="77">
        <f t="shared" si="823"/>
        <v>0.10617611730651841</v>
      </c>
      <c r="DA288" s="77">
        <f t="shared" si="824"/>
        <v>0.27500114864820513</v>
      </c>
      <c r="DB288" s="47">
        <f t="shared" si="825"/>
        <v>40666.666666666664</v>
      </c>
      <c r="DC288" s="69">
        <f t="shared" si="826"/>
        <v>8544.32</v>
      </c>
      <c r="DD288" s="70">
        <f t="shared" si="827"/>
        <v>240</v>
      </c>
      <c r="DE288" s="70">
        <f t="shared" si="828"/>
        <v>-658.82666666666671</v>
      </c>
      <c r="DF288" s="70">
        <f t="shared" si="829"/>
        <v>8125.4933333333329</v>
      </c>
      <c r="DG288" s="70">
        <f t="shared" si="830"/>
        <v>493.33333333333331</v>
      </c>
      <c r="DH288" s="70">
        <f t="shared" si="831"/>
        <v>406.28</v>
      </c>
      <c r="DI288" s="70">
        <f t="shared" si="832"/>
        <v>980</v>
      </c>
      <c r="DJ288" s="70">
        <f t="shared" si="833"/>
        <v>888</v>
      </c>
      <c r="DK288" s="70">
        <f t="shared" si="834"/>
        <v>1026.6666666666667</v>
      </c>
      <c r="DL288" s="70">
        <f t="shared" si="835"/>
        <v>700.62666666666667</v>
      </c>
      <c r="DM288" s="70">
        <f t="shared" si="836"/>
        <v>533.33333333333337</v>
      </c>
      <c r="DN288" s="70">
        <f t="shared" si="837"/>
        <v>5028.24</v>
      </c>
      <c r="DO288" s="70">
        <f t="shared" si="838"/>
        <v>250</v>
      </c>
      <c r="DP288" s="70">
        <f t="shared" si="839"/>
        <v>5278.24</v>
      </c>
      <c r="DQ288" s="70">
        <f t="shared" si="840"/>
        <v>3097.2533333333336</v>
      </c>
      <c r="DR288" s="70">
        <f t="shared" si="841"/>
        <v>2234.52</v>
      </c>
      <c r="DS288" s="71">
        <f t="shared" si="842"/>
        <v>862.73333333333335</v>
      </c>
      <c r="DT288" s="106">
        <f t="shared" si="843"/>
        <v>1.0515447677433329</v>
      </c>
      <c r="DU288" s="92">
        <f t="shared" si="844"/>
        <v>2.9536668132560565E-2</v>
      </c>
      <c r="DV288" s="92" t="str">
        <f t="shared" si="845"/>
        <v/>
      </c>
      <c r="DW288" s="92">
        <f t="shared" si="846"/>
        <v>1</v>
      </c>
      <c r="DX288" s="92">
        <f t="shared" si="847"/>
        <v>6.0714262272485608E-2</v>
      </c>
      <c r="DY288" s="92">
        <f t="shared" si="848"/>
        <v>5.0000656370402949E-2</v>
      </c>
      <c r="DZ288" s="92">
        <f t="shared" si="849"/>
        <v>0.12060806154128897</v>
      </c>
      <c r="EA288" s="92">
        <f t="shared" si="850"/>
        <v>0.1092856720904741</v>
      </c>
      <c r="EB288" s="92">
        <f t="shared" si="851"/>
        <v>0.12635130256706464</v>
      </c>
      <c r="EC288" s="92">
        <f t="shared" si="852"/>
        <v>8.6225738908981123E-2</v>
      </c>
      <c r="ED288" s="92">
        <f t="shared" si="853"/>
        <v>6.5637040294579035E-2</v>
      </c>
      <c r="EE288" s="92">
        <f t="shared" si="854"/>
        <v>0.61882273404527643</v>
      </c>
      <c r="EF288" s="92">
        <f t="shared" si="855"/>
        <v>3.0767362638083922E-2</v>
      </c>
      <c r="EG288" s="92">
        <f t="shared" si="856"/>
        <v>0.64959009668336032</v>
      </c>
      <c r="EH288" s="92">
        <f t="shared" si="857"/>
        <v>0.38117726595472357</v>
      </c>
      <c r="EI288" s="92">
        <f t="shared" si="858"/>
        <v>0.27500114864820513</v>
      </c>
      <c r="EJ288" s="122">
        <f t="shared" si="859"/>
        <v>0.10617611730651841</v>
      </c>
    </row>
    <row r="289" spans="2:140" ht="12" hidden="1" customHeight="1" outlineLevel="1">
      <c r="B289" s="121">
        <v>45671</v>
      </c>
      <c r="C289" s="117">
        <v>24493</v>
      </c>
      <c r="D289" s="50" t="s">
        <v>1366</v>
      </c>
      <c r="E289" s="50" t="s">
        <v>1367</v>
      </c>
      <c r="F289" s="50" t="s">
        <v>1367</v>
      </c>
      <c r="G289" s="50" t="s">
        <v>154</v>
      </c>
      <c r="H289" s="50" t="s">
        <v>1368</v>
      </c>
      <c r="I289" s="50" t="s">
        <v>825</v>
      </c>
      <c r="J289" s="52" t="s">
        <v>360</v>
      </c>
      <c r="K289" s="50" t="s">
        <v>294</v>
      </c>
      <c r="L289" s="49">
        <v>7</v>
      </c>
      <c r="M289" s="50" t="s">
        <v>159</v>
      </c>
      <c r="N289" s="50" t="s">
        <v>160</v>
      </c>
      <c r="O289" s="50" t="s">
        <v>160</v>
      </c>
      <c r="P289" s="50" t="s">
        <v>177</v>
      </c>
      <c r="Q289" s="53">
        <v>0.04</v>
      </c>
      <c r="R289" s="49">
        <v>199</v>
      </c>
      <c r="S289" s="49">
        <v>0</v>
      </c>
      <c r="T289" s="54">
        <f t="shared" si="860"/>
        <v>199</v>
      </c>
      <c r="U289" s="55">
        <v>229497</v>
      </c>
      <c r="V289" s="49">
        <v>6.54</v>
      </c>
      <c r="W289" s="56">
        <f t="shared" si="784"/>
        <v>30.428134556574925</v>
      </c>
      <c r="X289" s="49" t="s">
        <v>163</v>
      </c>
      <c r="Y289" s="57" t="s">
        <v>162</v>
      </c>
      <c r="Z289" s="58">
        <v>34449028</v>
      </c>
      <c r="AA289" s="114">
        <v>0.06</v>
      </c>
      <c r="AB289" s="59">
        <v>19</v>
      </c>
      <c r="AC289" s="60">
        <v>40</v>
      </c>
      <c r="AD289" s="61">
        <v>0.06</v>
      </c>
      <c r="AE289" s="62">
        <v>34449028</v>
      </c>
      <c r="AF289" s="63">
        <v>1.1499999999999999</v>
      </c>
      <c r="AG289" s="59"/>
      <c r="AH289" s="60"/>
      <c r="AI289" s="61"/>
      <c r="AJ289" s="64"/>
      <c r="AK289" s="65">
        <f t="shared" si="785"/>
        <v>34449028</v>
      </c>
      <c r="AL289" s="66">
        <v>0</v>
      </c>
      <c r="AM289" s="49" t="s">
        <v>163</v>
      </c>
      <c r="AN289" s="67">
        <v>0.88</v>
      </c>
      <c r="AO289" s="62">
        <v>28402468</v>
      </c>
      <c r="AP289" s="62">
        <f>4163419+1131943</f>
        <v>5295362</v>
      </c>
      <c r="AQ289" s="68">
        <v>5137400</v>
      </c>
      <c r="AR289" s="69">
        <f t="shared" si="786"/>
        <v>173110.69346733668</v>
      </c>
      <c r="AS289" s="70" t="str">
        <f t="shared" si="787"/>
        <v/>
      </c>
      <c r="AT289" s="70">
        <f t="shared" si="788"/>
        <v>142725.96984924623</v>
      </c>
      <c r="AU289" s="70">
        <f t="shared" si="789"/>
        <v>26609.859296482413</v>
      </c>
      <c r="AV289" s="71">
        <f t="shared" si="790"/>
        <v>25816.080402010051</v>
      </c>
      <c r="AW289" s="115">
        <f t="shared" si="791"/>
        <v>182111.42211055275</v>
      </c>
      <c r="AX289" s="116">
        <f t="shared" si="792"/>
        <v>157.91131474485505</v>
      </c>
      <c r="AY289" s="72">
        <f t="shared" si="793"/>
        <v>214623.50753768845</v>
      </c>
      <c r="AZ289" s="73">
        <f t="shared" si="794"/>
        <v>186.10299045303427</v>
      </c>
      <c r="BA289" s="66">
        <v>5750000</v>
      </c>
      <c r="BB289" s="62">
        <v>4773735</v>
      </c>
      <c r="BC289" s="62">
        <v>31466438</v>
      </c>
      <c r="BD289" s="62">
        <v>2073989</v>
      </c>
      <c r="BE289" s="62">
        <v>4395916</v>
      </c>
      <c r="BF289" s="62">
        <v>3500108</v>
      </c>
      <c r="BG289" s="62">
        <v>11663094</v>
      </c>
      <c r="BH289" s="62">
        <v>8094000</v>
      </c>
      <c r="BI289" s="62">
        <v>1566978</v>
      </c>
      <c r="BJ289" s="47">
        <f t="shared" si="795"/>
        <v>73284258</v>
      </c>
      <c r="BK289" s="69">
        <f t="shared" si="796"/>
        <v>28894.472361809047</v>
      </c>
      <c r="BL289" s="70">
        <f t="shared" si="797"/>
        <v>23988.618090452263</v>
      </c>
      <c r="BM289" s="70">
        <f t="shared" si="798"/>
        <v>158122.80402010051</v>
      </c>
      <c r="BN289" s="70">
        <f t="shared" si="799"/>
        <v>10422.055276381909</v>
      </c>
      <c r="BO289" s="70">
        <f t="shared" si="800"/>
        <v>22090.03015075377</v>
      </c>
      <c r="BP289" s="70">
        <f t="shared" si="801"/>
        <v>17588.482412060301</v>
      </c>
      <c r="BQ289" s="70">
        <f t="shared" si="802"/>
        <v>58608.512562814067</v>
      </c>
      <c r="BR289" s="70">
        <f t="shared" si="803"/>
        <v>40673.366834170854</v>
      </c>
      <c r="BS289" s="70">
        <f t="shared" si="804"/>
        <v>7874.2613065326632</v>
      </c>
      <c r="BT289" s="71">
        <f t="shared" si="805"/>
        <v>368262.60301507538</v>
      </c>
      <c r="BU289" s="65">
        <f t="shared" si="806"/>
        <v>25.05479374458054</v>
      </c>
      <c r="BV289" s="48">
        <f t="shared" si="807"/>
        <v>20.800860141962641</v>
      </c>
      <c r="BW289" s="48">
        <f t="shared" si="808"/>
        <v>137.11045460289242</v>
      </c>
      <c r="BX289" s="48">
        <f t="shared" si="809"/>
        <v>9.037107238874583</v>
      </c>
      <c r="BY289" s="48">
        <f t="shared" si="810"/>
        <v>19.154568469304611</v>
      </c>
      <c r="BZ289" s="48">
        <f t="shared" si="811"/>
        <v>15.251214612827184</v>
      </c>
      <c r="CA289" s="48">
        <f t="shared" si="812"/>
        <v>50.820246016287797</v>
      </c>
      <c r="CB289" s="48">
        <f t="shared" si="813"/>
        <v>35.268434881501719</v>
      </c>
      <c r="CC289" s="48">
        <f t="shared" si="814"/>
        <v>6.8278801030078826</v>
      </c>
      <c r="CD289" s="47">
        <f t="shared" si="815"/>
        <v>319.32555981123937</v>
      </c>
      <c r="CE289" s="66">
        <v>3984360</v>
      </c>
      <c r="CF289" s="62">
        <v>47760</v>
      </c>
      <c r="CG289" s="74">
        <v>-302409</v>
      </c>
      <c r="CH289" s="75">
        <f t="shared" si="816"/>
        <v>3729711</v>
      </c>
      <c r="CI289" s="62">
        <f>92900+36000+7960+5000</f>
        <v>141860</v>
      </c>
      <c r="CJ289" s="62">
        <v>121871</v>
      </c>
      <c r="CK289" s="62">
        <v>268650</v>
      </c>
      <c r="CL289" s="62">
        <v>149250</v>
      </c>
      <c r="CM289" s="62">
        <f>87250+91850</f>
        <v>179100</v>
      </c>
      <c r="CN289" s="62">
        <v>149250</v>
      </c>
      <c r="CO289" s="62">
        <v>0</v>
      </c>
      <c r="CP289" s="75">
        <f t="shared" si="861"/>
        <v>1009981</v>
      </c>
      <c r="CQ289" s="62">
        <v>49750</v>
      </c>
      <c r="CR289" s="75">
        <f t="shared" si="862"/>
        <v>1059731</v>
      </c>
      <c r="CS289" s="75">
        <f t="shared" si="817"/>
        <v>2719730</v>
      </c>
      <c r="CT289" s="62">
        <v>2314519</v>
      </c>
      <c r="CU289" s="47">
        <f t="shared" si="818"/>
        <v>405211</v>
      </c>
      <c r="CV289" s="76">
        <f t="shared" si="819"/>
        <v>0.72920663289997534</v>
      </c>
      <c r="CW289" s="75">
        <f t="shared" si="820"/>
        <v>5325.281407035176</v>
      </c>
      <c r="CX289" s="77">
        <f t="shared" si="821"/>
        <v>0.28413220220011687</v>
      </c>
      <c r="CY289" s="75">
        <f t="shared" si="822"/>
        <v>2036.2361809045226</v>
      </c>
      <c r="CZ289" s="77">
        <f t="shared" si="823"/>
        <v>0.10864407456770779</v>
      </c>
      <c r="DA289" s="77">
        <f t="shared" si="824"/>
        <v>0.62056255833226759</v>
      </c>
      <c r="DB289" s="47">
        <f t="shared" si="825"/>
        <v>173110.69346733668</v>
      </c>
      <c r="DC289" s="69">
        <f t="shared" si="826"/>
        <v>20021.909547738695</v>
      </c>
      <c r="DD289" s="70">
        <f t="shared" si="827"/>
        <v>240</v>
      </c>
      <c r="DE289" s="70">
        <f t="shared" si="828"/>
        <v>-1519.643216080402</v>
      </c>
      <c r="DF289" s="70">
        <f t="shared" si="829"/>
        <v>18742.266331658291</v>
      </c>
      <c r="DG289" s="70">
        <f t="shared" si="830"/>
        <v>712.8643216080402</v>
      </c>
      <c r="DH289" s="70">
        <f t="shared" si="831"/>
        <v>612.4170854271357</v>
      </c>
      <c r="DI289" s="70">
        <f t="shared" si="832"/>
        <v>1350</v>
      </c>
      <c r="DJ289" s="70">
        <f t="shared" si="833"/>
        <v>750</v>
      </c>
      <c r="DK289" s="70">
        <f t="shared" si="834"/>
        <v>900</v>
      </c>
      <c r="DL289" s="70">
        <f t="shared" si="835"/>
        <v>750</v>
      </c>
      <c r="DM289" s="70" t="str">
        <f t="shared" si="836"/>
        <v/>
      </c>
      <c r="DN289" s="70">
        <f t="shared" si="837"/>
        <v>5075.281407035176</v>
      </c>
      <c r="DO289" s="70">
        <f t="shared" si="838"/>
        <v>250</v>
      </c>
      <c r="DP289" s="70">
        <f t="shared" si="839"/>
        <v>5325.281407035176</v>
      </c>
      <c r="DQ289" s="70">
        <f t="shared" si="840"/>
        <v>13666.984924623115</v>
      </c>
      <c r="DR289" s="70">
        <f t="shared" si="841"/>
        <v>11630.748743718594</v>
      </c>
      <c r="DS289" s="71">
        <f t="shared" si="842"/>
        <v>2036.2361809045226</v>
      </c>
      <c r="DT289" s="106">
        <f t="shared" si="843"/>
        <v>1.0682757993849925</v>
      </c>
      <c r="DU289" s="92">
        <f t="shared" si="844"/>
        <v>1.2805281696088517E-2</v>
      </c>
      <c r="DV289" s="92" t="str">
        <f t="shared" si="845"/>
        <v/>
      </c>
      <c r="DW289" s="92">
        <f t="shared" si="846"/>
        <v>1</v>
      </c>
      <c r="DX289" s="92">
        <f t="shared" si="847"/>
        <v>3.8035118538674979E-2</v>
      </c>
      <c r="DY289" s="92">
        <f t="shared" si="848"/>
        <v>3.2675722059966578E-2</v>
      </c>
      <c r="DZ289" s="92">
        <f t="shared" si="849"/>
        <v>7.2029709540497908E-2</v>
      </c>
      <c r="EA289" s="92">
        <f t="shared" si="850"/>
        <v>4.0016505300276617E-2</v>
      </c>
      <c r="EB289" s="92">
        <f t="shared" si="851"/>
        <v>4.8019806360331943E-2</v>
      </c>
      <c r="EC289" s="92">
        <f t="shared" si="852"/>
        <v>4.0016505300276617E-2</v>
      </c>
      <c r="ED289" s="92" t="str">
        <f t="shared" si="853"/>
        <v/>
      </c>
      <c r="EE289" s="92">
        <f t="shared" si="854"/>
        <v>0.27079336710002466</v>
      </c>
      <c r="EF289" s="92">
        <f t="shared" si="855"/>
        <v>1.3338835100092206E-2</v>
      </c>
      <c r="EG289" s="92">
        <f t="shared" si="856"/>
        <v>0.28413220220011687</v>
      </c>
      <c r="EH289" s="92">
        <f t="shared" si="857"/>
        <v>0.72920663289997534</v>
      </c>
      <c r="EI289" s="92">
        <f t="shared" si="858"/>
        <v>0.62056255833226759</v>
      </c>
      <c r="EJ289" s="122">
        <f t="shared" si="859"/>
        <v>0.10864407456770779</v>
      </c>
    </row>
    <row r="290" spans="2:140" ht="12" hidden="1" customHeight="1" outlineLevel="1">
      <c r="B290" s="272"/>
      <c r="C290" s="117"/>
      <c r="D290" s="50"/>
      <c r="E290" s="50"/>
      <c r="F290" s="50"/>
      <c r="G290" s="50"/>
      <c r="H290" s="50"/>
      <c r="I290" s="50"/>
      <c r="J290" s="52"/>
      <c r="K290" s="50"/>
      <c r="L290" s="49"/>
      <c r="M290" s="50"/>
      <c r="N290" s="50"/>
      <c r="O290" s="50"/>
      <c r="P290" s="50"/>
      <c r="Q290" s="53"/>
      <c r="R290" s="49"/>
      <c r="S290" s="49"/>
      <c r="T290" s="54" t="str">
        <f>IFERROR(IF(SUM(R290:S290)&gt;0,SUM(R290:S290),""),"")</f>
        <v/>
      </c>
      <c r="U290" s="55"/>
      <c r="V290" s="49"/>
      <c r="W290" s="56" t="str">
        <f>IFERROR(IF(T290&gt;0,T290/V290,""),"")</f>
        <v/>
      </c>
      <c r="X290" s="49"/>
      <c r="Y290" s="57"/>
      <c r="Z290" s="58"/>
      <c r="AA290" s="114"/>
      <c r="AB290" s="59"/>
      <c r="AC290" s="60"/>
      <c r="AD290" s="61"/>
      <c r="AE290" s="62"/>
      <c r="AF290" s="63"/>
      <c r="AG290" s="59"/>
      <c r="AH290" s="60"/>
      <c r="AI290" s="61"/>
      <c r="AJ290" s="64"/>
      <c r="AK290" s="65" t="str">
        <f>IFERROR(IF(AE290&gt;0,AJ290+AE290,""),"")</f>
        <v/>
      </c>
      <c r="AL290" s="66"/>
      <c r="AM290" s="49"/>
      <c r="AN290" s="67"/>
      <c r="AO290" s="62"/>
      <c r="AP290" s="62"/>
      <c r="AQ290" s="68"/>
      <c r="AR290" s="69" t="str">
        <f>IFERROR(IF(AK290&gt;0,AK290/T290,""),"")</f>
        <v/>
      </c>
      <c r="AS290" s="70" t="str">
        <f>IFERROR(IF(AL290&gt;0,AL290/T290,""),"")</f>
        <v/>
      </c>
      <c r="AT290" s="70" t="str">
        <f>IFERROR(IF(AO290&gt;0,AO290/T290,""),"")</f>
        <v/>
      </c>
      <c r="AU290" s="70" t="str">
        <f>IFERROR(IF(AP290&gt;0,AP290/T290,""),"")</f>
        <v/>
      </c>
      <c r="AV290" s="71" t="str">
        <f>IFERROR(IF(AQ290&gt;0,AQ290/T290,""),"")</f>
        <v/>
      </c>
      <c r="AW290" s="115" t="str">
        <f>IFERROR(IF(SUM(BB290:BC290)&gt;0,SUM(BB290:BC290)/T290,""),"")</f>
        <v/>
      </c>
      <c r="AX290" s="116" t="str">
        <f>IFERROR(IF(SUM(BB290:BC290)&gt;0,SUM(BB290:BC290)/U290,""),"")</f>
        <v/>
      </c>
      <c r="AY290" s="72" t="str">
        <f>IFERROR(IF(SUM(BL290:BO290)&gt;0,SUM(BL290:BO290),""),"")</f>
        <v/>
      </c>
      <c r="AZ290" s="73" t="str">
        <f>IFERROR(IF(SUM(BV290:BY290)&gt;0,SUM(BV290:BY290),""),"")</f>
        <v/>
      </c>
      <c r="BA290" s="66"/>
      <c r="BB290" s="62"/>
      <c r="BC290" s="62"/>
      <c r="BD290" s="62"/>
      <c r="BE290" s="62"/>
      <c r="BF290" s="62"/>
      <c r="BG290" s="62"/>
      <c r="BH290" s="62"/>
      <c r="BI290" s="62"/>
      <c r="BJ290" s="47" t="str">
        <f>IFERROR(IF(SUM(BA290:BI290)&gt;0,SUM(BA290:BI290),""),"")</f>
        <v/>
      </c>
      <c r="BK290" s="69" t="str">
        <f t="shared" ref="BK290:BT290" si="863">IFERROR(IF(BA290&gt;0,BA290/$T290,""),"")</f>
        <v/>
      </c>
      <c r="BL290" s="70" t="str">
        <f t="shared" si="863"/>
        <v/>
      </c>
      <c r="BM290" s="70" t="str">
        <f t="shared" si="863"/>
        <v/>
      </c>
      <c r="BN290" s="70" t="str">
        <f t="shared" si="863"/>
        <v/>
      </c>
      <c r="BO290" s="70" t="str">
        <f t="shared" si="863"/>
        <v/>
      </c>
      <c r="BP290" s="70" t="str">
        <f t="shared" si="863"/>
        <v/>
      </c>
      <c r="BQ290" s="70" t="str">
        <f t="shared" si="863"/>
        <v/>
      </c>
      <c r="BR290" s="70" t="str">
        <f t="shared" si="863"/>
        <v/>
      </c>
      <c r="BS290" s="70" t="str">
        <f t="shared" si="863"/>
        <v/>
      </c>
      <c r="BT290" s="71" t="str">
        <f t="shared" si="863"/>
        <v/>
      </c>
      <c r="BU290" s="65" t="str">
        <f t="shared" ref="BU290:CD290" si="864">IFERROR(IF(BA290&gt;0,BA290/$U290,""),"")</f>
        <v/>
      </c>
      <c r="BV290" s="48" t="str">
        <f t="shared" si="864"/>
        <v/>
      </c>
      <c r="BW290" s="48" t="str">
        <f t="shared" si="864"/>
        <v/>
      </c>
      <c r="BX290" s="48" t="str">
        <f t="shared" si="864"/>
        <v/>
      </c>
      <c r="BY290" s="48" t="str">
        <f t="shared" si="864"/>
        <v/>
      </c>
      <c r="BZ290" s="48" t="str">
        <f t="shared" si="864"/>
        <v/>
      </c>
      <c r="CA290" s="48" t="str">
        <f t="shared" si="864"/>
        <v/>
      </c>
      <c r="CB290" s="48" t="str">
        <f t="shared" si="864"/>
        <v/>
      </c>
      <c r="CC290" s="48" t="str">
        <f t="shared" si="864"/>
        <v/>
      </c>
      <c r="CD290" s="47" t="str">
        <f t="shared" si="864"/>
        <v/>
      </c>
      <c r="CE290" s="66"/>
      <c r="CF290" s="62"/>
      <c r="CG290" s="74"/>
      <c r="CH290" s="75" t="str">
        <f>IFERROR(IF(SUM(CE290:CG290)&gt;0,SUM(CE290:CG290),""),"")</f>
        <v/>
      </c>
      <c r="CI290" s="62"/>
      <c r="CJ290" s="62"/>
      <c r="CK290" s="62"/>
      <c r="CL290" s="62"/>
      <c r="CM290" s="62"/>
      <c r="CN290" s="62"/>
      <c r="CO290" s="62"/>
      <c r="CP290" s="75" t="str">
        <f>IFERROR(IF(SUM(CI290:CO290)&gt;0,SUM(CI290:CO290),""),"")</f>
        <v/>
      </c>
      <c r="CQ290" s="62"/>
      <c r="CR290" s="75" t="str">
        <f>IFERROR(IF(SUM(CP290:CQ290)&gt;0,SUM(CP290:CQ290),""),"")</f>
        <v/>
      </c>
      <c r="CS290" s="75" t="str">
        <f>IFERROR(IF(CH290-CR290&gt;0,CH290-CP290,""),"")</f>
        <v/>
      </c>
      <c r="CT290" s="62"/>
      <c r="CU290" s="47" t="str">
        <f>IFERROR(IF(CS290-CT290&gt;0,CS290-CT290,""),"")</f>
        <v/>
      </c>
      <c r="CV290" s="76" t="str">
        <f>IFERROR(IF(CU290&gt;0,CS290/CH290,""),"")</f>
        <v/>
      </c>
      <c r="CW290" s="75" t="str">
        <f>IFERROR(IF(CU290&gt;0,CR290/T290,""),"")</f>
        <v/>
      </c>
      <c r="CX290" s="77" t="str">
        <f>IFERROR(IF(CU290&gt;0,CR290/CH290,""),"")</f>
        <v/>
      </c>
      <c r="CY290" s="75" t="str">
        <f>IFERROR(IF(CU290&gt;0,CU290/T290,""),"")</f>
        <v/>
      </c>
      <c r="CZ290" s="77" t="str">
        <f>IFERROR(IF(CU290&gt;0,CU290/CH290,""),"")</f>
        <v/>
      </c>
      <c r="DA290" s="77" t="str">
        <f>IFERROR(IF(CT290&gt;0,CT290/CH290,""),"")</f>
        <v/>
      </c>
      <c r="DB290" s="47" t="str">
        <f>IFERROR(IF(AR290&gt;0,AR290,""),"")</f>
        <v/>
      </c>
      <c r="DC290" s="69" t="str">
        <f t="shared" ref="DC290:DS290" si="865">IFERROR(IF(ABS(CE290)&gt;0,CE290/$T290,""),"")</f>
        <v/>
      </c>
      <c r="DD290" s="70" t="str">
        <f t="shared" si="865"/>
        <v/>
      </c>
      <c r="DE290" s="70" t="str">
        <f t="shared" si="865"/>
        <v/>
      </c>
      <c r="DF290" s="70" t="str">
        <f t="shared" si="865"/>
        <v/>
      </c>
      <c r="DG290" s="70" t="str">
        <f t="shared" si="865"/>
        <v/>
      </c>
      <c r="DH290" s="70" t="str">
        <f t="shared" si="865"/>
        <v/>
      </c>
      <c r="DI290" s="70" t="str">
        <f t="shared" si="865"/>
        <v/>
      </c>
      <c r="DJ290" s="70" t="str">
        <f t="shared" si="865"/>
        <v/>
      </c>
      <c r="DK290" s="70" t="str">
        <f t="shared" si="865"/>
        <v/>
      </c>
      <c r="DL290" s="70" t="str">
        <f t="shared" si="865"/>
        <v/>
      </c>
      <c r="DM290" s="70" t="str">
        <f t="shared" si="865"/>
        <v/>
      </c>
      <c r="DN290" s="70" t="str">
        <f t="shared" si="865"/>
        <v/>
      </c>
      <c r="DO290" s="70" t="str">
        <f t="shared" si="865"/>
        <v/>
      </c>
      <c r="DP290" s="70" t="str">
        <f t="shared" si="865"/>
        <v/>
      </c>
      <c r="DQ290" s="70" t="str">
        <f t="shared" si="865"/>
        <v/>
      </c>
      <c r="DR290" s="70" t="str">
        <f t="shared" si="865"/>
        <v/>
      </c>
      <c r="DS290" s="71" t="str">
        <f t="shared" si="865"/>
        <v/>
      </c>
      <c r="DT290" s="106" t="str">
        <f t="shared" ref="DT290:EJ290" si="866">IFERROR(IF(ABS(CE290&gt;0),CE290/$CH290,""),"")</f>
        <v/>
      </c>
      <c r="DU290" s="92" t="str">
        <f t="shared" si="866"/>
        <v/>
      </c>
      <c r="DV290" s="92" t="str">
        <f t="shared" si="866"/>
        <v/>
      </c>
      <c r="DW290" s="92" t="str">
        <f t="shared" si="866"/>
        <v/>
      </c>
      <c r="DX290" s="92" t="str">
        <f t="shared" si="866"/>
        <v/>
      </c>
      <c r="DY290" s="92" t="str">
        <f t="shared" si="866"/>
        <v/>
      </c>
      <c r="DZ290" s="92" t="str">
        <f t="shared" si="866"/>
        <v/>
      </c>
      <c r="EA290" s="92" t="str">
        <f t="shared" si="866"/>
        <v/>
      </c>
      <c r="EB290" s="92" t="str">
        <f t="shared" si="866"/>
        <v/>
      </c>
      <c r="EC290" s="92" t="str">
        <f t="shared" si="866"/>
        <v/>
      </c>
      <c r="ED290" s="92" t="str">
        <f t="shared" si="866"/>
        <v/>
      </c>
      <c r="EE290" s="92" t="str">
        <f t="shared" si="866"/>
        <v/>
      </c>
      <c r="EF290" s="92" t="str">
        <f t="shared" si="866"/>
        <v/>
      </c>
      <c r="EG290" s="92" t="str">
        <f t="shared" si="866"/>
        <v/>
      </c>
      <c r="EH290" s="92" t="str">
        <f t="shared" si="866"/>
        <v/>
      </c>
      <c r="EI290" s="92" t="str">
        <f t="shared" si="866"/>
        <v/>
      </c>
      <c r="EJ290" s="122" t="str">
        <f t="shared" si="866"/>
        <v/>
      </c>
    </row>
    <row r="291" spans="2:140" ht="12" hidden="1" customHeight="1" outlineLevel="1">
      <c r="B291" s="121">
        <v>45679</v>
      </c>
      <c r="C291" s="117">
        <v>24487</v>
      </c>
      <c r="D291" s="50" t="s">
        <v>1369</v>
      </c>
      <c r="E291" s="50" t="s">
        <v>1370</v>
      </c>
      <c r="F291" s="50" t="s">
        <v>1371</v>
      </c>
      <c r="G291" s="50" t="s">
        <v>162</v>
      </c>
      <c r="H291" s="50" t="s">
        <v>1372</v>
      </c>
      <c r="I291" s="50" t="s">
        <v>1373</v>
      </c>
      <c r="J291" s="52" t="s">
        <v>230</v>
      </c>
      <c r="K291" s="50" t="s">
        <v>230</v>
      </c>
      <c r="L291" s="49">
        <v>3</v>
      </c>
      <c r="M291" s="50" t="s">
        <v>159</v>
      </c>
      <c r="N291" s="50" t="s">
        <v>244</v>
      </c>
      <c r="O291" s="50" t="s">
        <v>160</v>
      </c>
      <c r="P291" s="50" t="s">
        <v>1351</v>
      </c>
      <c r="Q291" s="53">
        <v>0.04</v>
      </c>
      <c r="R291" s="49">
        <v>113</v>
      </c>
      <c r="S291" s="49">
        <v>0</v>
      </c>
      <c r="T291" s="54">
        <f t="shared" si="860"/>
        <v>113</v>
      </c>
      <c r="U291" s="55">
        <v>79849</v>
      </c>
      <c r="V291" s="49">
        <v>2.7625999999999999</v>
      </c>
      <c r="W291" s="56">
        <f t="shared" si="784"/>
        <v>40.90349670600159</v>
      </c>
      <c r="X291" s="49">
        <v>1932</v>
      </c>
      <c r="Y291" s="57" t="s">
        <v>162</v>
      </c>
      <c r="Z291" s="58">
        <v>14847400</v>
      </c>
      <c r="AA291" s="114">
        <v>5.5E-2</v>
      </c>
      <c r="AB291" s="59">
        <v>17</v>
      </c>
      <c r="AC291" s="60">
        <v>40</v>
      </c>
      <c r="AD291" s="61">
        <v>5.5E-2</v>
      </c>
      <c r="AE291" s="62">
        <v>14847400</v>
      </c>
      <c r="AF291" s="63">
        <v>1.29</v>
      </c>
      <c r="AG291" s="59"/>
      <c r="AH291" s="60"/>
      <c r="AI291" s="61"/>
      <c r="AJ291" s="64"/>
      <c r="AK291" s="65">
        <f t="shared" si="785"/>
        <v>14847400</v>
      </c>
      <c r="AL291" s="66">
        <v>7000000</v>
      </c>
      <c r="AM291" s="49" t="s">
        <v>1374</v>
      </c>
      <c r="AN291" s="67">
        <v>0.94</v>
      </c>
      <c r="AO291" s="62">
        <v>13503303</v>
      </c>
      <c r="AP291" s="62">
        <v>791687</v>
      </c>
      <c r="AQ291" s="68">
        <v>2128828</v>
      </c>
      <c r="AR291" s="69">
        <f t="shared" si="786"/>
        <v>131392.92035398231</v>
      </c>
      <c r="AS291" s="70">
        <f t="shared" si="787"/>
        <v>61946.902654867255</v>
      </c>
      <c r="AT291" s="70">
        <f t="shared" si="788"/>
        <v>119498.25663716815</v>
      </c>
      <c r="AU291" s="70">
        <f t="shared" si="789"/>
        <v>7006.0796460176989</v>
      </c>
      <c r="AV291" s="71">
        <f t="shared" si="790"/>
        <v>18839.185840707964</v>
      </c>
      <c r="AW291" s="115">
        <f t="shared" si="791"/>
        <v>52080.902654867255</v>
      </c>
      <c r="AX291" s="116">
        <f t="shared" si="792"/>
        <v>73.703390148906067</v>
      </c>
      <c r="AY291" s="72">
        <f t="shared" si="793"/>
        <v>64580.327433628314</v>
      </c>
      <c r="AZ291" s="73">
        <f t="shared" si="794"/>
        <v>91.392215306390796</v>
      </c>
      <c r="BA291" s="66">
        <v>22075000</v>
      </c>
      <c r="BB291" s="62">
        <v>124600</v>
      </c>
      <c r="BC291" s="62">
        <v>5760542</v>
      </c>
      <c r="BD291" s="62">
        <v>588514</v>
      </c>
      <c r="BE291" s="62">
        <v>823921</v>
      </c>
      <c r="BF291" s="62">
        <v>1494627</v>
      </c>
      <c r="BG291" s="62">
        <v>2278043</v>
      </c>
      <c r="BH291" s="62">
        <v>4275214</v>
      </c>
      <c r="BI291" s="62">
        <v>850757</v>
      </c>
      <c r="BJ291" s="47">
        <f t="shared" si="795"/>
        <v>38271218</v>
      </c>
      <c r="BK291" s="69">
        <f t="shared" si="796"/>
        <v>195353.98230088496</v>
      </c>
      <c r="BL291" s="70">
        <f t="shared" si="797"/>
        <v>1102.6548672566371</v>
      </c>
      <c r="BM291" s="70">
        <f t="shared" si="798"/>
        <v>50978.24778761062</v>
      </c>
      <c r="BN291" s="70">
        <f t="shared" si="799"/>
        <v>5208.0884955752208</v>
      </c>
      <c r="BO291" s="70">
        <f t="shared" si="800"/>
        <v>7291.3362831858403</v>
      </c>
      <c r="BP291" s="70">
        <f t="shared" si="801"/>
        <v>13226.787610619469</v>
      </c>
      <c r="BQ291" s="70">
        <f t="shared" si="802"/>
        <v>20159.672566371682</v>
      </c>
      <c r="BR291" s="70">
        <f t="shared" si="803"/>
        <v>37833.75221238938</v>
      </c>
      <c r="BS291" s="70">
        <f t="shared" si="804"/>
        <v>7528.8230088495575</v>
      </c>
      <c r="BT291" s="71">
        <f t="shared" si="805"/>
        <v>338683.34513274336</v>
      </c>
      <c r="BU291" s="65">
        <f t="shared" si="806"/>
        <v>276.45931696076343</v>
      </c>
      <c r="BV291" s="48">
        <f t="shared" si="807"/>
        <v>1.5604453405803453</v>
      </c>
      <c r="BW291" s="48">
        <f t="shared" si="808"/>
        <v>72.142944808325709</v>
      </c>
      <c r="BX291" s="48">
        <f t="shared" si="809"/>
        <v>7.3703365101629323</v>
      </c>
      <c r="BY291" s="48">
        <f t="shared" si="810"/>
        <v>10.31848864732182</v>
      </c>
      <c r="BZ291" s="48">
        <f t="shared" si="811"/>
        <v>18.718168042179613</v>
      </c>
      <c r="CA291" s="48">
        <f t="shared" si="812"/>
        <v>28.529386717429148</v>
      </c>
      <c r="CB291" s="48">
        <f t="shared" si="813"/>
        <v>53.541234079324724</v>
      </c>
      <c r="CC291" s="48">
        <f t="shared" si="814"/>
        <v>10.654573006549862</v>
      </c>
      <c r="CD291" s="47">
        <f t="shared" si="815"/>
        <v>479.29489411263762</v>
      </c>
      <c r="CE291" s="66">
        <v>2148972</v>
      </c>
      <c r="CF291" s="62">
        <v>12859</v>
      </c>
      <c r="CG291" s="74">
        <v>-162137</v>
      </c>
      <c r="CH291" s="75">
        <f t="shared" si="816"/>
        <v>1999694</v>
      </c>
      <c r="CI291" s="62">
        <f>60381+40000+4520+5000</f>
        <v>109901</v>
      </c>
      <c r="CJ291" s="62">
        <v>79988</v>
      </c>
      <c r="CK291" s="62">
        <v>197008</v>
      </c>
      <c r="CL291" s="62">
        <f>83942+80000</f>
        <v>163942</v>
      </c>
      <c r="CM291" s="62">
        <f>27423+81673</f>
        <v>109096</v>
      </c>
      <c r="CN291" s="62">
        <v>99813</v>
      </c>
      <c r="CO291" s="62">
        <v>0</v>
      </c>
      <c r="CP291" s="75">
        <f t="shared" si="861"/>
        <v>759748</v>
      </c>
      <c r="CQ291" s="62">
        <v>33900</v>
      </c>
      <c r="CR291" s="75">
        <f t="shared" si="862"/>
        <v>793648</v>
      </c>
      <c r="CS291" s="75">
        <f t="shared" si="817"/>
        <v>1239946</v>
      </c>
      <c r="CT291" s="62">
        <v>933789</v>
      </c>
      <c r="CU291" s="47">
        <f t="shared" si="818"/>
        <v>306157</v>
      </c>
      <c r="CV291" s="76">
        <f t="shared" si="819"/>
        <v>0.62006787038416877</v>
      </c>
      <c r="CW291" s="75">
        <f t="shared" si="820"/>
        <v>7023.4336283185839</v>
      </c>
      <c r="CX291" s="77">
        <f t="shared" si="821"/>
        <v>0.3968847233626745</v>
      </c>
      <c r="CY291" s="75">
        <f t="shared" si="822"/>
        <v>2709.353982300885</v>
      </c>
      <c r="CZ291" s="77">
        <f t="shared" si="823"/>
        <v>0.15310192459446295</v>
      </c>
      <c r="DA291" s="77">
        <f t="shared" si="824"/>
        <v>0.46696594578970585</v>
      </c>
      <c r="DB291" s="47">
        <f t="shared" si="825"/>
        <v>131392.92035398231</v>
      </c>
      <c r="DC291" s="69">
        <f t="shared" si="826"/>
        <v>19017.451327433628</v>
      </c>
      <c r="DD291" s="70">
        <f t="shared" si="827"/>
        <v>113.79646017699115</v>
      </c>
      <c r="DE291" s="70">
        <f t="shared" si="828"/>
        <v>-1434.8407079646017</v>
      </c>
      <c r="DF291" s="70">
        <f t="shared" si="829"/>
        <v>17696.407079646018</v>
      </c>
      <c r="DG291" s="70">
        <f t="shared" si="830"/>
        <v>972.57522123893807</v>
      </c>
      <c r="DH291" s="70">
        <f t="shared" si="831"/>
        <v>707.85840707964599</v>
      </c>
      <c r="DI291" s="70">
        <f t="shared" si="832"/>
        <v>1743.4336283185842</v>
      </c>
      <c r="DJ291" s="70">
        <f t="shared" si="833"/>
        <v>1450.8141592920354</v>
      </c>
      <c r="DK291" s="70">
        <f t="shared" si="834"/>
        <v>965.45132743362831</v>
      </c>
      <c r="DL291" s="70">
        <f t="shared" si="835"/>
        <v>883.30088495575217</v>
      </c>
      <c r="DM291" s="70" t="str">
        <f t="shared" si="836"/>
        <v/>
      </c>
      <c r="DN291" s="70">
        <f t="shared" si="837"/>
        <v>6723.4336283185839</v>
      </c>
      <c r="DO291" s="70">
        <f t="shared" si="838"/>
        <v>300</v>
      </c>
      <c r="DP291" s="70">
        <f t="shared" si="839"/>
        <v>7023.4336283185839</v>
      </c>
      <c r="DQ291" s="70">
        <f t="shared" si="840"/>
        <v>10972.973451327434</v>
      </c>
      <c r="DR291" s="70">
        <f t="shared" si="841"/>
        <v>8263.6194690265493</v>
      </c>
      <c r="DS291" s="71">
        <f t="shared" si="842"/>
        <v>2709.353982300885</v>
      </c>
      <c r="DT291" s="106">
        <f t="shared" si="843"/>
        <v>1.0746504215144916</v>
      </c>
      <c r="DU291" s="92">
        <f t="shared" si="844"/>
        <v>6.4304838640311971E-3</v>
      </c>
      <c r="DV291" s="92" t="str">
        <f t="shared" si="845"/>
        <v/>
      </c>
      <c r="DW291" s="92">
        <f t="shared" si="846"/>
        <v>1</v>
      </c>
      <c r="DX291" s="92">
        <f t="shared" si="847"/>
        <v>5.4958908713033092E-2</v>
      </c>
      <c r="DY291" s="92">
        <f t="shared" si="848"/>
        <v>4.0000120018362811E-2</v>
      </c>
      <c r="DZ291" s="92">
        <f t="shared" si="849"/>
        <v>9.8519073418232989E-2</v>
      </c>
      <c r="EA291" s="92">
        <f t="shared" si="850"/>
        <v>8.1983543482152768E-2</v>
      </c>
      <c r="EB291" s="92">
        <f t="shared" si="851"/>
        <v>5.455634712110953E-2</v>
      </c>
      <c r="EC291" s="92">
        <f t="shared" si="852"/>
        <v>4.991413686294003E-2</v>
      </c>
      <c r="ED291" s="92" t="str">
        <f t="shared" si="853"/>
        <v/>
      </c>
      <c r="EE291" s="92">
        <f t="shared" si="854"/>
        <v>0.37993212961583123</v>
      </c>
      <c r="EF291" s="92">
        <f t="shared" si="855"/>
        <v>1.6952593746843266E-2</v>
      </c>
      <c r="EG291" s="92">
        <f t="shared" si="856"/>
        <v>0.3968847233626745</v>
      </c>
      <c r="EH291" s="92">
        <f t="shared" si="857"/>
        <v>0.62006787038416877</v>
      </c>
      <c r="EI291" s="92">
        <f t="shared" si="858"/>
        <v>0.46696594578970585</v>
      </c>
      <c r="EJ291" s="122">
        <f t="shared" si="859"/>
        <v>0.15310192459446295</v>
      </c>
    </row>
    <row r="292" spans="2:140" ht="12" hidden="1" customHeight="1" outlineLevel="1">
      <c r="B292" s="121">
        <v>45685</v>
      </c>
      <c r="C292" s="117" t="s">
        <v>1375</v>
      </c>
      <c r="D292" s="50" t="s">
        <v>1376</v>
      </c>
      <c r="E292" s="50" t="s">
        <v>309</v>
      </c>
      <c r="F292" s="50" t="s">
        <v>1363</v>
      </c>
      <c r="G292" s="50" t="s">
        <v>154</v>
      </c>
      <c r="H292" s="50" t="s">
        <v>310</v>
      </c>
      <c r="I292" s="50" t="s">
        <v>182</v>
      </c>
      <c r="J292" s="52" t="s">
        <v>1377</v>
      </c>
      <c r="K292" s="50" t="s">
        <v>1378</v>
      </c>
      <c r="L292" s="49">
        <v>6</v>
      </c>
      <c r="M292" s="50" t="s">
        <v>283</v>
      </c>
      <c r="N292" s="50" t="s">
        <v>244</v>
      </c>
      <c r="O292" s="50" t="s">
        <v>160</v>
      </c>
      <c r="P292" s="50" t="s">
        <v>177</v>
      </c>
      <c r="Q292" s="53">
        <v>0.09</v>
      </c>
      <c r="R292" s="49">
        <v>48</v>
      </c>
      <c r="S292" s="49">
        <v>0</v>
      </c>
      <c r="T292" s="54">
        <f t="shared" si="860"/>
        <v>48</v>
      </c>
      <c r="U292" s="55">
        <v>39024</v>
      </c>
      <c r="V292" s="49">
        <v>7.83</v>
      </c>
      <c r="W292" s="56">
        <f t="shared" si="784"/>
        <v>6.1302681992337167</v>
      </c>
      <c r="X292" s="49" t="s">
        <v>163</v>
      </c>
      <c r="Y292" s="57" t="s">
        <v>162</v>
      </c>
      <c r="Z292" s="58">
        <v>2000000</v>
      </c>
      <c r="AA292" s="114">
        <v>4.2500000000000003E-2</v>
      </c>
      <c r="AB292" s="59">
        <v>15</v>
      </c>
      <c r="AC292" s="60">
        <v>35</v>
      </c>
      <c r="AD292" s="61">
        <v>4.2500000000000003E-2</v>
      </c>
      <c r="AE292" s="62">
        <v>2000000</v>
      </c>
      <c r="AF292" s="63">
        <v>1.3</v>
      </c>
      <c r="AG292" s="59"/>
      <c r="AH292" s="60"/>
      <c r="AI292" s="61"/>
      <c r="AJ292" s="64"/>
      <c r="AK292" s="65">
        <f t="shared" si="785"/>
        <v>2000000</v>
      </c>
      <c r="AL292" s="66">
        <v>250</v>
      </c>
      <c r="AM292" s="49" t="s">
        <v>1379</v>
      </c>
      <c r="AN292" s="67">
        <v>0.88</v>
      </c>
      <c r="AO292" s="62">
        <v>7919208</v>
      </c>
      <c r="AP292" s="62">
        <v>0</v>
      </c>
      <c r="AQ292" s="68">
        <v>512399</v>
      </c>
      <c r="AR292" s="69">
        <f t="shared" si="786"/>
        <v>41666.666666666664</v>
      </c>
      <c r="AS292" s="70">
        <f t="shared" si="787"/>
        <v>5.208333333333333</v>
      </c>
      <c r="AT292" s="70">
        <f t="shared" si="788"/>
        <v>164983.5</v>
      </c>
      <c r="AU292" s="70" t="str">
        <f t="shared" si="789"/>
        <v/>
      </c>
      <c r="AV292" s="71">
        <f t="shared" si="790"/>
        <v>10674.979166666666</v>
      </c>
      <c r="AW292" s="115">
        <f t="shared" si="791"/>
        <v>110322.91666666667</v>
      </c>
      <c r="AX292" s="116">
        <f t="shared" si="792"/>
        <v>135.69854448544484</v>
      </c>
      <c r="AY292" s="72">
        <f t="shared" si="793"/>
        <v>134571.89583333334</v>
      </c>
      <c r="AZ292" s="73">
        <f t="shared" si="794"/>
        <v>165.52508712587127</v>
      </c>
      <c r="BA292" s="66">
        <v>498750</v>
      </c>
      <c r="BB292" s="62">
        <v>1328000</v>
      </c>
      <c r="BC292" s="62">
        <v>3967500</v>
      </c>
      <c r="BD292" s="62">
        <v>370685</v>
      </c>
      <c r="BE292" s="62">
        <v>793266</v>
      </c>
      <c r="BF292" s="62">
        <v>860192</v>
      </c>
      <c r="BG292" s="62">
        <v>894399</v>
      </c>
      <c r="BH292" s="62">
        <v>1546802</v>
      </c>
      <c r="BI292" s="62">
        <v>172263</v>
      </c>
      <c r="BJ292" s="47">
        <f t="shared" si="795"/>
        <v>10431857</v>
      </c>
      <c r="BK292" s="69">
        <f t="shared" si="796"/>
        <v>10390.625</v>
      </c>
      <c r="BL292" s="70">
        <f t="shared" si="797"/>
        <v>27666.666666666668</v>
      </c>
      <c r="BM292" s="70">
        <f t="shared" si="798"/>
        <v>82656.25</v>
      </c>
      <c r="BN292" s="70">
        <f t="shared" si="799"/>
        <v>7722.604166666667</v>
      </c>
      <c r="BO292" s="70">
        <f t="shared" si="800"/>
        <v>16526.375</v>
      </c>
      <c r="BP292" s="70">
        <f t="shared" si="801"/>
        <v>17920.666666666668</v>
      </c>
      <c r="BQ292" s="70">
        <f t="shared" si="802"/>
        <v>18633.3125</v>
      </c>
      <c r="BR292" s="70">
        <f t="shared" si="803"/>
        <v>32225.041666666668</v>
      </c>
      <c r="BS292" s="70">
        <f t="shared" si="804"/>
        <v>3588.8125</v>
      </c>
      <c r="BT292" s="71">
        <f t="shared" si="805"/>
        <v>217330.35416666666</v>
      </c>
      <c r="BU292" s="65">
        <f t="shared" si="806"/>
        <v>12.780596555965559</v>
      </c>
      <c r="BV292" s="48">
        <f t="shared" si="807"/>
        <v>34.030340303403037</v>
      </c>
      <c r="BW292" s="48">
        <f t="shared" si="808"/>
        <v>101.66820418204182</v>
      </c>
      <c r="BX292" s="48">
        <f t="shared" si="809"/>
        <v>9.4988981139811397</v>
      </c>
      <c r="BY292" s="48">
        <f t="shared" si="810"/>
        <v>20.327644526445265</v>
      </c>
      <c r="BZ292" s="48">
        <f t="shared" si="811"/>
        <v>22.042640426404265</v>
      </c>
      <c r="CA292" s="48">
        <f t="shared" si="812"/>
        <v>22.91920356703567</v>
      </c>
      <c r="CB292" s="48">
        <f t="shared" si="813"/>
        <v>39.63719762197622</v>
      </c>
      <c r="CC292" s="48">
        <f t="shared" si="814"/>
        <v>4.4142835178351785</v>
      </c>
      <c r="CD292" s="47">
        <f t="shared" si="815"/>
        <v>267.31900881508813</v>
      </c>
      <c r="CE292" s="66">
        <v>396192</v>
      </c>
      <c r="CF292" s="62">
        <v>11520</v>
      </c>
      <c r="CG292" s="74">
        <v>-30578</v>
      </c>
      <c r="CH292" s="75">
        <f t="shared" si="816"/>
        <v>377134</v>
      </c>
      <c r="CI292" s="62">
        <f>18000+3000+1920</f>
        <v>22920</v>
      </c>
      <c r="CJ292" s="62">
        <v>18857</v>
      </c>
      <c r="CK292" s="62">
        <v>54000</v>
      </c>
      <c r="CL292" s="62">
        <v>33000</v>
      </c>
      <c r="CM292" s="62">
        <f>10000+30500</f>
        <v>40500</v>
      </c>
      <c r="CN292" s="62">
        <v>23414</v>
      </c>
      <c r="CO292" s="62">
        <v>30000</v>
      </c>
      <c r="CP292" s="75">
        <f t="shared" si="861"/>
        <v>222691</v>
      </c>
      <c r="CQ292" s="62">
        <v>12000</v>
      </c>
      <c r="CR292" s="75">
        <f t="shared" si="862"/>
        <v>234691</v>
      </c>
      <c r="CS292" s="75">
        <f t="shared" si="817"/>
        <v>154443</v>
      </c>
      <c r="CT292" s="62">
        <v>109895</v>
      </c>
      <c r="CU292" s="47">
        <f t="shared" si="818"/>
        <v>44548</v>
      </c>
      <c r="CV292" s="76">
        <f t="shared" si="819"/>
        <v>0.40951757200358491</v>
      </c>
      <c r="CW292" s="75">
        <f t="shared" si="820"/>
        <v>4889.395833333333</v>
      </c>
      <c r="CX292" s="77">
        <f t="shared" si="821"/>
        <v>0.62230135707732526</v>
      </c>
      <c r="CY292" s="75">
        <f t="shared" si="822"/>
        <v>928.08333333333337</v>
      </c>
      <c r="CZ292" s="77">
        <f t="shared" si="823"/>
        <v>0.11812247105803242</v>
      </c>
      <c r="DA292" s="77">
        <f t="shared" si="824"/>
        <v>0.29139510094555249</v>
      </c>
      <c r="DB292" s="47">
        <f t="shared" si="825"/>
        <v>41666.666666666664</v>
      </c>
      <c r="DC292" s="69">
        <f t="shared" si="826"/>
        <v>8254</v>
      </c>
      <c r="DD292" s="70">
        <f t="shared" si="827"/>
        <v>240</v>
      </c>
      <c r="DE292" s="70">
        <f t="shared" si="828"/>
        <v>-637.04166666666663</v>
      </c>
      <c r="DF292" s="70">
        <f t="shared" si="829"/>
        <v>7856.958333333333</v>
      </c>
      <c r="DG292" s="70">
        <f t="shared" si="830"/>
        <v>477.5</v>
      </c>
      <c r="DH292" s="70">
        <f t="shared" si="831"/>
        <v>392.85416666666669</v>
      </c>
      <c r="DI292" s="70">
        <f t="shared" si="832"/>
        <v>1125</v>
      </c>
      <c r="DJ292" s="70">
        <f t="shared" si="833"/>
        <v>687.5</v>
      </c>
      <c r="DK292" s="70">
        <f t="shared" si="834"/>
        <v>843.75</v>
      </c>
      <c r="DL292" s="70">
        <f t="shared" si="835"/>
        <v>487.79166666666669</v>
      </c>
      <c r="DM292" s="70">
        <f t="shared" si="836"/>
        <v>625</v>
      </c>
      <c r="DN292" s="70">
        <f t="shared" si="837"/>
        <v>4639.395833333333</v>
      </c>
      <c r="DO292" s="70">
        <f t="shared" si="838"/>
        <v>250</v>
      </c>
      <c r="DP292" s="70">
        <f t="shared" si="839"/>
        <v>4889.395833333333</v>
      </c>
      <c r="DQ292" s="70">
        <f t="shared" si="840"/>
        <v>3217.5625</v>
      </c>
      <c r="DR292" s="70">
        <f t="shared" si="841"/>
        <v>2289.4791666666665</v>
      </c>
      <c r="DS292" s="71">
        <f t="shared" si="842"/>
        <v>928.08333333333337</v>
      </c>
      <c r="DT292" s="106">
        <f t="shared" si="843"/>
        <v>1.0505337625353324</v>
      </c>
      <c r="DU292" s="92">
        <f t="shared" si="844"/>
        <v>3.0546171917673823E-2</v>
      </c>
      <c r="DV292" s="92" t="str">
        <f t="shared" si="845"/>
        <v/>
      </c>
      <c r="DW292" s="92">
        <f t="shared" si="846"/>
        <v>1</v>
      </c>
      <c r="DX292" s="92">
        <f t="shared" si="847"/>
        <v>6.0774154544538543E-2</v>
      </c>
      <c r="DY292" s="92">
        <f t="shared" si="848"/>
        <v>5.0000795473227021E-2</v>
      </c>
      <c r="DZ292" s="92">
        <f t="shared" si="849"/>
        <v>0.14318518086409604</v>
      </c>
      <c r="EA292" s="92">
        <f t="shared" si="850"/>
        <v>8.7502054972503143E-2</v>
      </c>
      <c r="EB292" s="92">
        <f t="shared" si="851"/>
        <v>0.10738888564807204</v>
      </c>
      <c r="EC292" s="92">
        <f t="shared" si="852"/>
        <v>6.2084033791702686E-2</v>
      </c>
      <c r="ED292" s="92">
        <f t="shared" si="853"/>
        <v>7.9547322702275589E-2</v>
      </c>
      <c r="EE292" s="92">
        <f t="shared" si="854"/>
        <v>0.59048242799641504</v>
      </c>
      <c r="EF292" s="92">
        <f t="shared" si="855"/>
        <v>3.1818929080910233E-2</v>
      </c>
      <c r="EG292" s="92">
        <f t="shared" si="856"/>
        <v>0.62230135707732526</v>
      </c>
      <c r="EH292" s="92">
        <f t="shared" si="857"/>
        <v>0.40951757200358491</v>
      </c>
      <c r="EI292" s="92">
        <f t="shared" si="858"/>
        <v>0.29139510094555249</v>
      </c>
      <c r="EJ292" s="122">
        <f t="shared" si="859"/>
        <v>0.11812247105803242</v>
      </c>
    </row>
    <row r="293" spans="2:140" ht="12" hidden="1" customHeight="1" outlineLevel="1">
      <c r="B293" s="121">
        <v>45687</v>
      </c>
      <c r="C293" s="117">
        <v>24411</v>
      </c>
      <c r="D293" s="50" t="s">
        <v>1380</v>
      </c>
      <c r="E293" s="50" t="s">
        <v>1381</v>
      </c>
      <c r="F293" s="50" t="s">
        <v>475</v>
      </c>
      <c r="G293" s="50" t="s">
        <v>154</v>
      </c>
      <c r="H293" s="50" t="s">
        <v>1382</v>
      </c>
      <c r="I293" s="50" t="s">
        <v>174</v>
      </c>
      <c r="J293" s="52" t="s">
        <v>230</v>
      </c>
      <c r="K293" s="50" t="s">
        <v>230</v>
      </c>
      <c r="L293" s="49">
        <v>3</v>
      </c>
      <c r="M293" s="50" t="s">
        <v>159</v>
      </c>
      <c r="N293" s="50" t="s">
        <v>160</v>
      </c>
      <c r="O293" s="50" t="s">
        <v>160</v>
      </c>
      <c r="P293" s="50" t="s">
        <v>1351</v>
      </c>
      <c r="Q293" s="53">
        <v>0.04</v>
      </c>
      <c r="R293" s="49">
        <v>167</v>
      </c>
      <c r="S293" s="49">
        <v>0</v>
      </c>
      <c r="T293" s="54">
        <f t="shared" si="860"/>
        <v>167</v>
      </c>
      <c r="U293" s="55">
        <v>129062</v>
      </c>
      <c r="V293" s="49">
        <v>9.1199999999999992</v>
      </c>
      <c r="W293" s="56">
        <f t="shared" si="784"/>
        <v>18.311403508771932</v>
      </c>
      <c r="X293" s="49">
        <v>1969</v>
      </c>
      <c r="Y293" s="57" t="s">
        <v>162</v>
      </c>
      <c r="Z293" s="58">
        <v>23969000</v>
      </c>
      <c r="AA293" s="114">
        <v>6.2E-2</v>
      </c>
      <c r="AB293" s="59">
        <v>18</v>
      </c>
      <c r="AC293" s="60">
        <v>40</v>
      </c>
      <c r="AD293" s="61">
        <v>6.2E-2</v>
      </c>
      <c r="AE293" s="62">
        <v>23969000</v>
      </c>
      <c r="AF293" s="63">
        <v>1.1499999999999999</v>
      </c>
      <c r="AG293" s="59"/>
      <c r="AH293" s="60"/>
      <c r="AI293" s="61"/>
      <c r="AJ293" s="64"/>
      <c r="AK293" s="65">
        <f t="shared" si="785"/>
        <v>23969000</v>
      </c>
      <c r="AL293" s="66">
        <v>12062229</v>
      </c>
      <c r="AM293" s="49" t="s">
        <v>1383</v>
      </c>
      <c r="AN293" s="67">
        <v>0.87</v>
      </c>
      <c r="AO293" s="62">
        <v>23593000</v>
      </c>
      <c r="AP293" s="62">
        <v>0</v>
      </c>
      <c r="AQ293" s="68">
        <v>3537832</v>
      </c>
      <c r="AR293" s="69">
        <f t="shared" si="786"/>
        <v>143526.94610778443</v>
      </c>
      <c r="AS293" s="70">
        <f t="shared" si="787"/>
        <v>72228.916167664676</v>
      </c>
      <c r="AT293" s="70">
        <f t="shared" si="788"/>
        <v>141275.4491017964</v>
      </c>
      <c r="AU293" s="70" t="str">
        <f t="shared" si="789"/>
        <v/>
      </c>
      <c r="AV293" s="71">
        <f t="shared" si="790"/>
        <v>21184.622754491018</v>
      </c>
      <c r="AW293" s="115">
        <f t="shared" si="791"/>
        <v>118761.94011976047</v>
      </c>
      <c r="AX293" s="116">
        <f t="shared" si="792"/>
        <v>153.67221955339295</v>
      </c>
      <c r="AY293" s="72">
        <f t="shared" si="793"/>
        <v>148927.47305389223</v>
      </c>
      <c r="AZ293" s="73">
        <f t="shared" si="794"/>
        <v>192.70496350591191</v>
      </c>
      <c r="BA293" s="66">
        <v>20000000</v>
      </c>
      <c r="BB293" s="62">
        <v>2074250</v>
      </c>
      <c r="BC293" s="62">
        <v>17758994</v>
      </c>
      <c r="BD293" s="62">
        <v>1983324</v>
      </c>
      <c r="BE293" s="62">
        <v>3054320</v>
      </c>
      <c r="BF293" s="62">
        <v>4196155</v>
      </c>
      <c r="BG293" s="62">
        <v>5475621</v>
      </c>
      <c r="BH293" s="62">
        <v>7440703</v>
      </c>
      <c r="BI293" s="62">
        <v>1178689</v>
      </c>
      <c r="BJ293" s="47">
        <f t="shared" si="795"/>
        <v>63162056</v>
      </c>
      <c r="BK293" s="69">
        <f t="shared" si="796"/>
        <v>119760.47904191617</v>
      </c>
      <c r="BL293" s="70">
        <f t="shared" si="797"/>
        <v>12420.65868263473</v>
      </c>
      <c r="BM293" s="70">
        <f t="shared" si="798"/>
        <v>106341.28143712576</v>
      </c>
      <c r="BN293" s="70">
        <f t="shared" si="799"/>
        <v>11876.191616766468</v>
      </c>
      <c r="BO293" s="70">
        <f t="shared" si="800"/>
        <v>18289.34131736527</v>
      </c>
      <c r="BP293" s="70">
        <f t="shared" si="801"/>
        <v>25126.676646706586</v>
      </c>
      <c r="BQ293" s="70">
        <f t="shared" si="802"/>
        <v>32788.149700598806</v>
      </c>
      <c r="BR293" s="70">
        <f t="shared" si="803"/>
        <v>44555.107784431137</v>
      </c>
      <c r="BS293" s="70">
        <f t="shared" si="804"/>
        <v>7058.0179640718561</v>
      </c>
      <c r="BT293" s="71">
        <f t="shared" si="805"/>
        <v>378215.90419161675</v>
      </c>
      <c r="BU293" s="65">
        <f t="shared" si="806"/>
        <v>154.96428073329096</v>
      </c>
      <c r="BV293" s="48">
        <f t="shared" si="807"/>
        <v>16.07173296555144</v>
      </c>
      <c r="BW293" s="48">
        <f t="shared" si="808"/>
        <v>137.60048658784152</v>
      </c>
      <c r="BX293" s="48">
        <f t="shared" si="809"/>
        <v>15.367218856053679</v>
      </c>
      <c r="BY293" s="48">
        <f t="shared" si="810"/>
        <v>23.665525096465263</v>
      </c>
      <c r="BZ293" s="48">
        <f t="shared" si="811"/>
        <v>32.512707071020131</v>
      </c>
      <c r="CA293" s="48">
        <f t="shared" si="812"/>
        <v>42.426283491655177</v>
      </c>
      <c r="CB293" s="48">
        <f t="shared" si="813"/>
        <v>57.652159427252016</v>
      </c>
      <c r="CC293" s="48">
        <f t="shared" si="814"/>
        <v>9.1327346546620998</v>
      </c>
      <c r="CD293" s="47">
        <f t="shared" si="815"/>
        <v>489.39312888379226</v>
      </c>
      <c r="CE293" s="66">
        <v>4018920</v>
      </c>
      <c r="CF293" s="62">
        <v>5400</v>
      </c>
      <c r="CG293" s="74">
        <v>-201216</v>
      </c>
      <c r="CH293" s="75">
        <f t="shared" si="816"/>
        <v>3823104</v>
      </c>
      <c r="CI293" s="62">
        <f>68680+80000+6680</f>
        <v>155360</v>
      </c>
      <c r="CJ293" s="62">
        <v>106212</v>
      </c>
      <c r="CK293" s="62">
        <v>257275</v>
      </c>
      <c r="CL293" s="62">
        <f>215000+131495</f>
        <v>346495</v>
      </c>
      <c r="CM293" s="62">
        <f>144314+257837</f>
        <v>402151</v>
      </c>
      <c r="CN293" s="62">
        <v>258349</v>
      </c>
      <c r="CO293" s="62">
        <v>380755</v>
      </c>
      <c r="CP293" s="75">
        <f t="shared" si="861"/>
        <v>1906597</v>
      </c>
      <c r="CQ293" s="62">
        <v>50100</v>
      </c>
      <c r="CR293" s="75">
        <f t="shared" si="862"/>
        <v>1956697</v>
      </c>
      <c r="CS293" s="75">
        <f t="shared" si="817"/>
        <v>1916507</v>
      </c>
      <c r="CT293" s="62">
        <v>1622851</v>
      </c>
      <c r="CU293" s="47">
        <f t="shared" si="818"/>
        <v>293656</v>
      </c>
      <c r="CV293" s="76">
        <f t="shared" si="819"/>
        <v>0.50129606727936249</v>
      </c>
      <c r="CW293" s="75">
        <f t="shared" si="820"/>
        <v>11716.748502994013</v>
      </c>
      <c r="CX293" s="77">
        <f t="shared" si="821"/>
        <v>0.51180846767443422</v>
      </c>
      <c r="CY293" s="75">
        <f t="shared" si="822"/>
        <v>1758.4191616766468</v>
      </c>
      <c r="CZ293" s="77">
        <f t="shared" si="823"/>
        <v>7.6810884558725062E-2</v>
      </c>
      <c r="DA293" s="77">
        <f t="shared" si="824"/>
        <v>0.42448518272063746</v>
      </c>
      <c r="DB293" s="47">
        <f t="shared" si="825"/>
        <v>143526.94610778443</v>
      </c>
      <c r="DC293" s="69">
        <f t="shared" si="826"/>
        <v>24065.389221556885</v>
      </c>
      <c r="DD293" s="70">
        <f t="shared" si="827"/>
        <v>32.335329341317369</v>
      </c>
      <c r="DE293" s="70">
        <f t="shared" si="828"/>
        <v>-1204.8862275449101</v>
      </c>
      <c r="DF293" s="70">
        <f t="shared" si="829"/>
        <v>22892.838323353295</v>
      </c>
      <c r="DG293" s="70">
        <f t="shared" si="830"/>
        <v>930.29940119760477</v>
      </c>
      <c r="DH293" s="70">
        <f t="shared" si="831"/>
        <v>636</v>
      </c>
      <c r="DI293" s="70">
        <f t="shared" si="832"/>
        <v>1540.5688622754492</v>
      </c>
      <c r="DJ293" s="70">
        <f t="shared" si="833"/>
        <v>2074.820359281437</v>
      </c>
      <c r="DK293" s="70">
        <f t="shared" si="834"/>
        <v>2408.0898203592815</v>
      </c>
      <c r="DL293" s="70">
        <f t="shared" si="835"/>
        <v>1547</v>
      </c>
      <c r="DM293" s="70">
        <f t="shared" si="836"/>
        <v>2279.9700598802397</v>
      </c>
      <c r="DN293" s="70">
        <f t="shared" si="837"/>
        <v>11416.748502994013</v>
      </c>
      <c r="DO293" s="70">
        <f t="shared" si="838"/>
        <v>300</v>
      </c>
      <c r="DP293" s="70">
        <f t="shared" si="839"/>
        <v>11716.748502994013</v>
      </c>
      <c r="DQ293" s="70">
        <f t="shared" si="840"/>
        <v>11476.089820359281</v>
      </c>
      <c r="DR293" s="70">
        <f t="shared" si="841"/>
        <v>9717.6706586826349</v>
      </c>
      <c r="DS293" s="71">
        <f t="shared" si="842"/>
        <v>1758.4191616766468</v>
      </c>
      <c r="DT293" s="106">
        <f t="shared" si="843"/>
        <v>1.051219114102049</v>
      </c>
      <c r="DU293" s="92">
        <f t="shared" si="844"/>
        <v>1.4124648453194054E-3</v>
      </c>
      <c r="DV293" s="92" t="str">
        <f t="shared" si="845"/>
        <v/>
      </c>
      <c r="DW293" s="92">
        <f t="shared" si="846"/>
        <v>1</v>
      </c>
      <c r="DX293" s="92">
        <f t="shared" si="847"/>
        <v>4.0637136734967189E-2</v>
      </c>
      <c r="DY293" s="92">
        <f t="shared" si="848"/>
        <v>2.7781614102049015E-2</v>
      </c>
      <c r="DZ293" s="92">
        <f t="shared" si="849"/>
        <v>6.7294795014731484E-2</v>
      </c>
      <c r="EA293" s="92">
        <f t="shared" si="850"/>
        <v>9.0631853070175433E-2</v>
      </c>
      <c r="EB293" s="92">
        <f t="shared" si="851"/>
        <v>0.10518965740926745</v>
      </c>
      <c r="EC293" s="92">
        <f t="shared" si="852"/>
        <v>6.7575718578411673E-2</v>
      </c>
      <c r="ED293" s="92">
        <f t="shared" si="853"/>
        <v>9.9593157811035227E-2</v>
      </c>
      <c r="EE293" s="92">
        <f t="shared" si="854"/>
        <v>0.49870393272063746</v>
      </c>
      <c r="EF293" s="92">
        <f t="shared" si="855"/>
        <v>1.3104534953796706E-2</v>
      </c>
      <c r="EG293" s="92">
        <f t="shared" si="856"/>
        <v>0.51180846767443422</v>
      </c>
      <c r="EH293" s="92">
        <f t="shared" si="857"/>
        <v>0.50129606727936249</v>
      </c>
      <c r="EI293" s="92">
        <f t="shared" si="858"/>
        <v>0.42448518272063746</v>
      </c>
      <c r="EJ293" s="122">
        <f t="shared" si="859"/>
        <v>7.6810884558725062E-2</v>
      </c>
    </row>
    <row r="294" spans="2:140" ht="12" hidden="1" customHeight="1" outlineLevel="1">
      <c r="B294" s="121">
        <v>45687</v>
      </c>
      <c r="C294" s="117" t="s">
        <v>1384</v>
      </c>
      <c r="D294" s="50" t="s">
        <v>1385</v>
      </c>
      <c r="E294" s="50" t="s">
        <v>1386</v>
      </c>
      <c r="F294" s="50" t="s">
        <v>1387</v>
      </c>
      <c r="G294" s="50" t="s">
        <v>154</v>
      </c>
      <c r="H294" s="50" t="s">
        <v>608</v>
      </c>
      <c r="I294" s="50" t="s">
        <v>167</v>
      </c>
      <c r="J294" s="52" t="s">
        <v>1388</v>
      </c>
      <c r="K294" s="50" t="s">
        <v>456</v>
      </c>
      <c r="L294" s="49">
        <v>9</v>
      </c>
      <c r="M294" s="50" t="s">
        <v>283</v>
      </c>
      <c r="N294" s="50" t="s">
        <v>244</v>
      </c>
      <c r="O294" s="50" t="s">
        <v>160</v>
      </c>
      <c r="P294" s="50" t="s">
        <v>177</v>
      </c>
      <c r="Q294" s="53">
        <v>0.09</v>
      </c>
      <c r="R294" s="49">
        <v>36</v>
      </c>
      <c r="S294" s="49">
        <v>0</v>
      </c>
      <c r="T294" s="54">
        <f t="shared" si="860"/>
        <v>36</v>
      </c>
      <c r="U294" s="55">
        <v>30250</v>
      </c>
      <c r="V294" s="49">
        <v>2.17</v>
      </c>
      <c r="W294" s="56">
        <f t="shared" si="784"/>
        <v>16.589861751152075</v>
      </c>
      <c r="X294" s="49" t="s">
        <v>163</v>
      </c>
      <c r="Y294" s="57" t="s">
        <v>162</v>
      </c>
      <c r="Z294" s="58">
        <v>1410000</v>
      </c>
      <c r="AA294" s="114">
        <v>5.7500000000000002E-2</v>
      </c>
      <c r="AB294" s="59">
        <v>18</v>
      </c>
      <c r="AC294" s="60">
        <v>35</v>
      </c>
      <c r="AD294" s="61">
        <v>5.7500000000000002E-2</v>
      </c>
      <c r="AE294" s="62">
        <v>1410000</v>
      </c>
      <c r="AF294" s="63">
        <v>1.1499999999999999</v>
      </c>
      <c r="AG294" s="59"/>
      <c r="AH294" s="60"/>
      <c r="AI294" s="61"/>
      <c r="AJ294" s="64"/>
      <c r="AK294" s="65">
        <f t="shared" si="785"/>
        <v>1410000</v>
      </c>
      <c r="AL294" s="66">
        <v>500</v>
      </c>
      <c r="AM294" s="49" t="s">
        <v>1389</v>
      </c>
      <c r="AN294" s="67">
        <v>0.88</v>
      </c>
      <c r="AO294" s="62">
        <v>7918416</v>
      </c>
      <c r="AP294" s="62">
        <v>0</v>
      </c>
      <c r="AQ294" s="68">
        <v>78440</v>
      </c>
      <c r="AR294" s="69">
        <f t="shared" si="786"/>
        <v>39166.666666666664</v>
      </c>
      <c r="AS294" s="70">
        <f t="shared" si="787"/>
        <v>13.888888888888889</v>
      </c>
      <c r="AT294" s="70">
        <f t="shared" si="788"/>
        <v>219956</v>
      </c>
      <c r="AU294" s="70" t="str">
        <f t="shared" si="789"/>
        <v/>
      </c>
      <c r="AV294" s="71">
        <f t="shared" si="790"/>
        <v>2178.8888888888887</v>
      </c>
      <c r="AW294" s="115">
        <f t="shared" si="791"/>
        <v>140367.02777777778</v>
      </c>
      <c r="AX294" s="116">
        <f t="shared" si="792"/>
        <v>167.04836363636363</v>
      </c>
      <c r="AY294" s="72">
        <f t="shared" si="793"/>
        <v>169906.63888888888</v>
      </c>
      <c r="AZ294" s="73">
        <f t="shared" si="794"/>
        <v>202.20294214876034</v>
      </c>
      <c r="BA294" s="66">
        <v>700000</v>
      </c>
      <c r="BB294" s="62">
        <v>1245913</v>
      </c>
      <c r="BC294" s="62">
        <v>3807300</v>
      </c>
      <c r="BD294" s="62">
        <v>312261</v>
      </c>
      <c r="BE294" s="62">
        <v>751165</v>
      </c>
      <c r="BF294" s="62">
        <v>603050</v>
      </c>
      <c r="BG294" s="62">
        <v>496661</v>
      </c>
      <c r="BH294" s="62">
        <v>1404077</v>
      </c>
      <c r="BI294" s="62">
        <v>87039</v>
      </c>
      <c r="BJ294" s="47">
        <f t="shared" si="795"/>
        <v>9407466</v>
      </c>
      <c r="BK294" s="69">
        <f t="shared" si="796"/>
        <v>19444.444444444445</v>
      </c>
      <c r="BL294" s="70">
        <f t="shared" si="797"/>
        <v>34608.694444444445</v>
      </c>
      <c r="BM294" s="70">
        <f t="shared" si="798"/>
        <v>105758.33333333333</v>
      </c>
      <c r="BN294" s="70">
        <f t="shared" si="799"/>
        <v>8673.9166666666661</v>
      </c>
      <c r="BO294" s="70">
        <f t="shared" si="800"/>
        <v>20865.694444444445</v>
      </c>
      <c r="BP294" s="70">
        <f t="shared" si="801"/>
        <v>16751.388888888891</v>
      </c>
      <c r="BQ294" s="70">
        <f t="shared" si="802"/>
        <v>13796.138888888889</v>
      </c>
      <c r="BR294" s="70">
        <f t="shared" si="803"/>
        <v>39002.138888888891</v>
      </c>
      <c r="BS294" s="70">
        <f t="shared" si="804"/>
        <v>2417.75</v>
      </c>
      <c r="BT294" s="71">
        <f t="shared" si="805"/>
        <v>261318.5</v>
      </c>
      <c r="BU294" s="65">
        <f t="shared" si="806"/>
        <v>23.140495867768596</v>
      </c>
      <c r="BV294" s="48">
        <f t="shared" si="807"/>
        <v>41.187206611570247</v>
      </c>
      <c r="BW294" s="48">
        <f t="shared" si="808"/>
        <v>125.86115702479339</v>
      </c>
      <c r="BX294" s="48">
        <f t="shared" si="809"/>
        <v>10.322677685950413</v>
      </c>
      <c r="BY294" s="48">
        <f t="shared" si="810"/>
        <v>24.831900826446279</v>
      </c>
      <c r="BZ294" s="48">
        <f t="shared" si="811"/>
        <v>19.935537190082645</v>
      </c>
      <c r="CA294" s="48">
        <f t="shared" si="812"/>
        <v>16.418545454545455</v>
      </c>
      <c r="CB294" s="48">
        <f t="shared" si="813"/>
        <v>46.415768595041321</v>
      </c>
      <c r="CC294" s="48">
        <f t="shared" si="814"/>
        <v>2.8773223140495867</v>
      </c>
      <c r="CD294" s="47">
        <f t="shared" si="815"/>
        <v>310.99061157024795</v>
      </c>
      <c r="CE294" s="66">
        <v>317628</v>
      </c>
      <c r="CF294" s="62">
        <v>8640</v>
      </c>
      <c r="CG294" s="74">
        <v>-24470</v>
      </c>
      <c r="CH294" s="75">
        <f t="shared" si="816"/>
        <v>301798</v>
      </c>
      <c r="CI294" s="62">
        <f>17200+1440</f>
        <v>18640</v>
      </c>
      <c r="CJ294" s="62">
        <v>17280</v>
      </c>
      <c r="CK294" s="62">
        <v>44044</v>
      </c>
      <c r="CL294" s="62">
        <f>27620+600</f>
        <v>28220</v>
      </c>
      <c r="CM294" s="62">
        <f>600+8000+18000</f>
        <v>26600</v>
      </c>
      <c r="CN294" s="62">
        <v>23666</v>
      </c>
      <c r="CO294" s="62">
        <v>26294</v>
      </c>
      <c r="CP294" s="75">
        <f t="shared" si="861"/>
        <v>184744</v>
      </c>
      <c r="CQ294" s="62">
        <v>9000</v>
      </c>
      <c r="CR294" s="75">
        <f t="shared" si="862"/>
        <v>193744</v>
      </c>
      <c r="CS294" s="75">
        <f t="shared" si="817"/>
        <v>117054</v>
      </c>
      <c r="CT294" s="62">
        <v>93652</v>
      </c>
      <c r="CU294" s="47">
        <f t="shared" si="818"/>
        <v>23402</v>
      </c>
      <c r="CV294" s="76">
        <f t="shared" si="819"/>
        <v>0.38785545298510926</v>
      </c>
      <c r="CW294" s="75">
        <f t="shared" si="820"/>
        <v>5381.7777777777774</v>
      </c>
      <c r="CX294" s="77">
        <f t="shared" si="821"/>
        <v>0.64196581819627696</v>
      </c>
      <c r="CY294" s="75">
        <f t="shared" si="822"/>
        <v>650.05555555555554</v>
      </c>
      <c r="CZ294" s="77">
        <f t="shared" si="823"/>
        <v>7.75419320207556E-2</v>
      </c>
      <c r="DA294" s="77">
        <f t="shared" si="824"/>
        <v>0.31031352096435366</v>
      </c>
      <c r="DB294" s="47">
        <f t="shared" si="825"/>
        <v>39166.666666666664</v>
      </c>
      <c r="DC294" s="69">
        <f t="shared" si="826"/>
        <v>8823</v>
      </c>
      <c r="DD294" s="70">
        <f t="shared" si="827"/>
        <v>240</v>
      </c>
      <c r="DE294" s="70">
        <f t="shared" si="828"/>
        <v>-679.72222222222217</v>
      </c>
      <c r="DF294" s="70">
        <f t="shared" si="829"/>
        <v>8383.2777777777774</v>
      </c>
      <c r="DG294" s="70">
        <f t="shared" si="830"/>
        <v>517.77777777777783</v>
      </c>
      <c r="DH294" s="70">
        <f t="shared" si="831"/>
        <v>480</v>
      </c>
      <c r="DI294" s="70">
        <f t="shared" si="832"/>
        <v>1223.4444444444443</v>
      </c>
      <c r="DJ294" s="70">
        <f t="shared" si="833"/>
        <v>783.88888888888891</v>
      </c>
      <c r="DK294" s="70">
        <f t="shared" si="834"/>
        <v>738.88888888888891</v>
      </c>
      <c r="DL294" s="70">
        <f t="shared" si="835"/>
        <v>657.38888888888891</v>
      </c>
      <c r="DM294" s="70">
        <f t="shared" si="836"/>
        <v>730.38888888888891</v>
      </c>
      <c r="DN294" s="70">
        <f t="shared" si="837"/>
        <v>5131.7777777777774</v>
      </c>
      <c r="DO294" s="70">
        <f t="shared" si="838"/>
        <v>250</v>
      </c>
      <c r="DP294" s="70">
        <f t="shared" si="839"/>
        <v>5381.7777777777774</v>
      </c>
      <c r="DQ294" s="70">
        <f t="shared" si="840"/>
        <v>3251.5</v>
      </c>
      <c r="DR294" s="70">
        <f t="shared" si="841"/>
        <v>2601.4444444444443</v>
      </c>
      <c r="DS294" s="71">
        <f t="shared" si="842"/>
        <v>650.05555555555554</v>
      </c>
      <c r="DT294" s="106">
        <f t="shared" si="843"/>
        <v>1.0524523025334827</v>
      </c>
      <c r="DU294" s="92">
        <f t="shared" si="844"/>
        <v>2.8628420334130777E-2</v>
      </c>
      <c r="DV294" s="92" t="str">
        <f t="shared" si="845"/>
        <v/>
      </c>
      <c r="DW294" s="92">
        <f t="shared" si="846"/>
        <v>1</v>
      </c>
      <c r="DX294" s="92">
        <f t="shared" si="847"/>
        <v>6.1763166091226583E-2</v>
      </c>
      <c r="DY294" s="92">
        <f t="shared" si="848"/>
        <v>5.7256840668261554E-2</v>
      </c>
      <c r="DZ294" s="92">
        <f t="shared" si="849"/>
        <v>0.14593867421255277</v>
      </c>
      <c r="EA294" s="92">
        <f t="shared" si="850"/>
        <v>9.3506252526524364E-2</v>
      </c>
      <c r="EB294" s="92">
        <f t="shared" si="851"/>
        <v>8.8138423713874842E-2</v>
      </c>
      <c r="EC294" s="92">
        <f t="shared" si="852"/>
        <v>7.8416689308742932E-2</v>
      </c>
      <c r="ED294" s="92">
        <f t="shared" si="853"/>
        <v>8.7124500493707707E-2</v>
      </c>
      <c r="EE294" s="92">
        <f t="shared" si="854"/>
        <v>0.61214454701489074</v>
      </c>
      <c r="EF294" s="92">
        <f t="shared" si="855"/>
        <v>2.9821271181386225E-2</v>
      </c>
      <c r="EG294" s="92">
        <f t="shared" si="856"/>
        <v>0.64196581819627696</v>
      </c>
      <c r="EH294" s="92">
        <f t="shared" si="857"/>
        <v>0.38785545298510926</v>
      </c>
      <c r="EI294" s="92">
        <f t="shared" si="858"/>
        <v>0.31031352096435366</v>
      </c>
      <c r="EJ294" s="122">
        <f t="shared" si="859"/>
        <v>7.75419320207556E-2</v>
      </c>
    </row>
    <row r="295" spans="2:140" ht="12" hidden="1" customHeight="1" outlineLevel="1">
      <c r="B295" s="121">
        <v>45688</v>
      </c>
      <c r="C295" s="117" t="s">
        <v>1390</v>
      </c>
      <c r="D295" s="50" t="s">
        <v>1391</v>
      </c>
      <c r="E295" s="50" t="s">
        <v>1392</v>
      </c>
      <c r="F295" s="50" t="s">
        <v>1393</v>
      </c>
      <c r="G295" s="50" t="s">
        <v>154</v>
      </c>
      <c r="H295" s="50" t="s">
        <v>608</v>
      </c>
      <c r="I295" s="50" t="s">
        <v>167</v>
      </c>
      <c r="J295" s="52" t="s">
        <v>271</v>
      </c>
      <c r="K295" s="50" t="s">
        <v>728</v>
      </c>
      <c r="L295" s="49">
        <v>1</v>
      </c>
      <c r="M295" s="50" t="s">
        <v>159</v>
      </c>
      <c r="N295" s="50" t="s">
        <v>244</v>
      </c>
      <c r="O295" s="50" t="s">
        <v>160</v>
      </c>
      <c r="P295" s="50" t="s">
        <v>177</v>
      </c>
      <c r="Q295" s="53">
        <v>0.09</v>
      </c>
      <c r="R295" s="49">
        <v>46</v>
      </c>
      <c r="S295" s="49">
        <v>0</v>
      </c>
      <c r="T295" s="54">
        <f t="shared" si="860"/>
        <v>46</v>
      </c>
      <c r="U295" s="55">
        <v>38660</v>
      </c>
      <c r="V295" s="49">
        <v>1.51</v>
      </c>
      <c r="W295" s="56">
        <f t="shared" si="784"/>
        <v>30.463576158940398</v>
      </c>
      <c r="X295" s="49" t="s">
        <v>163</v>
      </c>
      <c r="Y295" s="57" t="s">
        <v>162</v>
      </c>
      <c r="Z295" s="58">
        <v>2100000</v>
      </c>
      <c r="AA295" s="114">
        <v>5.7500000000000002E-2</v>
      </c>
      <c r="AB295" s="59">
        <v>18</v>
      </c>
      <c r="AC295" s="60">
        <v>40</v>
      </c>
      <c r="AD295" s="61">
        <v>5.7500000000000002E-2</v>
      </c>
      <c r="AE295" s="62">
        <v>2100000</v>
      </c>
      <c r="AF295" s="63">
        <v>1.1499999999999999</v>
      </c>
      <c r="AG295" s="59"/>
      <c r="AH295" s="60"/>
      <c r="AI295" s="61"/>
      <c r="AJ295" s="64"/>
      <c r="AK295" s="65">
        <f t="shared" si="785"/>
        <v>2100000</v>
      </c>
      <c r="AL295" s="66">
        <v>110</v>
      </c>
      <c r="AM295" s="49" t="s">
        <v>1394</v>
      </c>
      <c r="AN295" s="67">
        <v>0.88</v>
      </c>
      <c r="AO295" s="62">
        <v>8032793</v>
      </c>
      <c r="AP295" s="62">
        <v>0</v>
      </c>
      <c r="AQ295" s="68">
        <v>190210</v>
      </c>
      <c r="AR295" s="69">
        <f t="shared" si="786"/>
        <v>45652.17391304348</v>
      </c>
      <c r="AS295" s="70">
        <f t="shared" si="787"/>
        <v>2.3913043478260869</v>
      </c>
      <c r="AT295" s="70">
        <f t="shared" si="788"/>
        <v>174625.9347826087</v>
      </c>
      <c r="AU295" s="70" t="str">
        <f t="shared" si="789"/>
        <v/>
      </c>
      <c r="AV295" s="71">
        <f t="shared" si="790"/>
        <v>4135</v>
      </c>
      <c r="AW295" s="115">
        <f t="shared" si="791"/>
        <v>123245.43478260869</v>
      </c>
      <c r="AX295" s="116">
        <f t="shared" si="792"/>
        <v>146.64485256078635</v>
      </c>
      <c r="AY295" s="72">
        <f t="shared" si="793"/>
        <v>148061.86956521741</v>
      </c>
      <c r="AZ295" s="73">
        <f t="shared" si="794"/>
        <v>176.17294361096742</v>
      </c>
      <c r="BA295" s="66">
        <v>522720</v>
      </c>
      <c r="BB295" s="62">
        <v>935000</v>
      </c>
      <c r="BC295" s="62">
        <v>4734290</v>
      </c>
      <c r="BD295" s="62">
        <v>305138</v>
      </c>
      <c r="BE295" s="62">
        <v>836418</v>
      </c>
      <c r="BF295" s="62">
        <v>716525</v>
      </c>
      <c r="BG295" s="62">
        <v>623465</v>
      </c>
      <c r="BH295" s="62">
        <v>1563139</v>
      </c>
      <c r="BI295" s="62">
        <v>86418</v>
      </c>
      <c r="BJ295" s="47">
        <f t="shared" si="795"/>
        <v>10323113</v>
      </c>
      <c r="BK295" s="69">
        <f t="shared" si="796"/>
        <v>11363.478260869566</v>
      </c>
      <c r="BL295" s="70">
        <f t="shared" si="797"/>
        <v>20326.08695652174</v>
      </c>
      <c r="BM295" s="70">
        <f t="shared" si="798"/>
        <v>102919.34782608696</v>
      </c>
      <c r="BN295" s="70">
        <f t="shared" si="799"/>
        <v>6633.434782608696</v>
      </c>
      <c r="BO295" s="70">
        <f t="shared" si="800"/>
        <v>18183</v>
      </c>
      <c r="BP295" s="70">
        <f t="shared" si="801"/>
        <v>15576.630434782608</v>
      </c>
      <c r="BQ295" s="70">
        <f t="shared" si="802"/>
        <v>13553.58695652174</v>
      </c>
      <c r="BR295" s="70">
        <f t="shared" si="803"/>
        <v>33981.282608695656</v>
      </c>
      <c r="BS295" s="70">
        <f t="shared" si="804"/>
        <v>1878.6521739130435</v>
      </c>
      <c r="BT295" s="71">
        <f t="shared" si="805"/>
        <v>224415.5</v>
      </c>
      <c r="BU295" s="65">
        <f t="shared" si="806"/>
        <v>13.520951888256596</v>
      </c>
      <c r="BV295" s="48">
        <f t="shared" si="807"/>
        <v>24.185204345576825</v>
      </c>
      <c r="BW295" s="48">
        <f t="shared" si="808"/>
        <v>122.45964821520951</v>
      </c>
      <c r="BX295" s="48">
        <f t="shared" si="809"/>
        <v>7.8928608380755305</v>
      </c>
      <c r="BY295" s="48">
        <f t="shared" si="810"/>
        <v>21.635230212105537</v>
      </c>
      <c r="BZ295" s="48">
        <f t="shared" si="811"/>
        <v>18.53401448525608</v>
      </c>
      <c r="CA295" s="48">
        <f t="shared" si="812"/>
        <v>16.12687532333161</v>
      </c>
      <c r="CB295" s="48">
        <f t="shared" si="813"/>
        <v>40.432979824107605</v>
      </c>
      <c r="CC295" s="48">
        <f t="shared" si="814"/>
        <v>2.2353336782203828</v>
      </c>
      <c r="CD295" s="47">
        <f t="shared" si="815"/>
        <v>267.02309881013969</v>
      </c>
      <c r="CE295" s="66">
        <v>421368</v>
      </c>
      <c r="CF295" s="62">
        <v>11040</v>
      </c>
      <c r="CG295" s="74">
        <v>-32431</v>
      </c>
      <c r="CH295" s="75">
        <f t="shared" si="816"/>
        <v>399977</v>
      </c>
      <c r="CI295" s="62">
        <f>21850+1840</f>
        <v>23690</v>
      </c>
      <c r="CJ295" s="62">
        <v>22080</v>
      </c>
      <c r="CK295" s="62">
        <v>53997</v>
      </c>
      <c r="CL295" s="62">
        <f>30500+600</f>
        <v>31100</v>
      </c>
      <c r="CM295" s="62">
        <f>800+9000+24100</f>
        <v>33900</v>
      </c>
      <c r="CN295" s="62">
        <v>29097</v>
      </c>
      <c r="CO295" s="62">
        <v>39600</v>
      </c>
      <c r="CP295" s="75">
        <f t="shared" si="861"/>
        <v>233464</v>
      </c>
      <c r="CQ295" s="62">
        <v>11500</v>
      </c>
      <c r="CR295" s="75">
        <f t="shared" si="862"/>
        <v>244964</v>
      </c>
      <c r="CS295" s="75">
        <f t="shared" si="817"/>
        <v>166513</v>
      </c>
      <c r="CT295" s="62">
        <v>134288</v>
      </c>
      <c r="CU295" s="47">
        <f t="shared" si="818"/>
        <v>32225</v>
      </c>
      <c r="CV295" s="76">
        <f t="shared" si="819"/>
        <v>0.41630643762016317</v>
      </c>
      <c r="CW295" s="75">
        <f t="shared" si="820"/>
        <v>5325.304347826087</v>
      </c>
      <c r="CX295" s="77">
        <f t="shared" si="821"/>
        <v>0.61244521559989695</v>
      </c>
      <c r="CY295" s="75">
        <f t="shared" si="822"/>
        <v>700.54347826086962</v>
      </c>
      <c r="CZ295" s="77">
        <f t="shared" si="823"/>
        <v>8.0567132610125089E-2</v>
      </c>
      <c r="DA295" s="77">
        <f t="shared" si="824"/>
        <v>0.33573930501003807</v>
      </c>
      <c r="DB295" s="47">
        <f t="shared" si="825"/>
        <v>45652.17391304348</v>
      </c>
      <c r="DC295" s="69">
        <f t="shared" si="826"/>
        <v>9160.173913043478</v>
      </c>
      <c r="DD295" s="70">
        <f t="shared" si="827"/>
        <v>240</v>
      </c>
      <c r="DE295" s="70">
        <f t="shared" si="828"/>
        <v>-705.02173913043475</v>
      </c>
      <c r="DF295" s="70">
        <f t="shared" si="829"/>
        <v>8695.152173913044</v>
      </c>
      <c r="DG295" s="70">
        <f t="shared" si="830"/>
        <v>515</v>
      </c>
      <c r="DH295" s="70">
        <f t="shared" si="831"/>
        <v>480</v>
      </c>
      <c r="DI295" s="70">
        <f t="shared" si="832"/>
        <v>1173.8478260869565</v>
      </c>
      <c r="DJ295" s="70">
        <f t="shared" si="833"/>
        <v>676.08695652173913</v>
      </c>
      <c r="DK295" s="70">
        <f t="shared" si="834"/>
        <v>736.95652173913038</v>
      </c>
      <c r="DL295" s="70">
        <f t="shared" si="835"/>
        <v>632.54347826086962</v>
      </c>
      <c r="DM295" s="70">
        <f t="shared" si="836"/>
        <v>860.86956521739125</v>
      </c>
      <c r="DN295" s="70">
        <f t="shared" si="837"/>
        <v>5075.304347826087</v>
      </c>
      <c r="DO295" s="70">
        <f t="shared" si="838"/>
        <v>250</v>
      </c>
      <c r="DP295" s="70">
        <f t="shared" si="839"/>
        <v>5325.304347826087</v>
      </c>
      <c r="DQ295" s="70">
        <f t="shared" si="840"/>
        <v>3619.8478260869565</v>
      </c>
      <c r="DR295" s="70">
        <f t="shared" si="841"/>
        <v>2919.304347826087</v>
      </c>
      <c r="DS295" s="71">
        <f t="shared" si="842"/>
        <v>700.54347826086962</v>
      </c>
      <c r="DT295" s="106">
        <f t="shared" si="843"/>
        <v>1.0534805751330703</v>
      </c>
      <c r="DU295" s="92">
        <f t="shared" si="844"/>
        <v>2.7601587091257748E-2</v>
      </c>
      <c r="DV295" s="92" t="str">
        <f t="shared" si="845"/>
        <v/>
      </c>
      <c r="DW295" s="92">
        <f t="shared" si="846"/>
        <v>1</v>
      </c>
      <c r="DX295" s="92">
        <f t="shared" si="847"/>
        <v>5.9228405633323919E-2</v>
      </c>
      <c r="DY295" s="92">
        <f t="shared" si="848"/>
        <v>5.5203174182515496E-2</v>
      </c>
      <c r="DZ295" s="92">
        <f t="shared" si="849"/>
        <v>0.13500026251509462</v>
      </c>
      <c r="EA295" s="92">
        <f t="shared" si="850"/>
        <v>7.7754470882075724E-2</v>
      </c>
      <c r="EB295" s="92">
        <f t="shared" si="851"/>
        <v>8.4754873405220796E-2</v>
      </c>
      <c r="EC295" s="92">
        <f t="shared" si="852"/>
        <v>7.2746682934268725E-2</v>
      </c>
      <c r="ED295" s="92">
        <f t="shared" si="853"/>
        <v>9.9005692827337566E-2</v>
      </c>
      <c r="EE295" s="92">
        <f t="shared" si="854"/>
        <v>0.58369356237983683</v>
      </c>
      <c r="EF295" s="92">
        <f t="shared" si="855"/>
        <v>2.8751653220060153E-2</v>
      </c>
      <c r="EG295" s="92">
        <f t="shared" si="856"/>
        <v>0.61244521559989695</v>
      </c>
      <c r="EH295" s="92">
        <f t="shared" si="857"/>
        <v>0.41630643762016317</v>
      </c>
      <c r="EI295" s="92">
        <f t="shared" si="858"/>
        <v>0.33573930501003807</v>
      </c>
      <c r="EJ295" s="122">
        <f t="shared" si="859"/>
        <v>8.0567132610125089E-2</v>
      </c>
    </row>
    <row r="296" spans="2:140" ht="12" hidden="1" customHeight="1" outlineLevel="1">
      <c r="B296" s="121">
        <v>45692</v>
      </c>
      <c r="C296" s="117">
        <v>24485</v>
      </c>
      <c r="D296" s="50" t="s">
        <v>1395</v>
      </c>
      <c r="E296" s="50" t="s">
        <v>1396</v>
      </c>
      <c r="F296" s="50" t="s">
        <v>959</v>
      </c>
      <c r="G296" s="50" t="s">
        <v>162</v>
      </c>
      <c r="H296" s="50" t="s">
        <v>694</v>
      </c>
      <c r="I296" s="50" t="s">
        <v>321</v>
      </c>
      <c r="J296" s="52" t="s">
        <v>230</v>
      </c>
      <c r="K296" s="50" t="s">
        <v>230</v>
      </c>
      <c r="L296" s="49">
        <v>3</v>
      </c>
      <c r="M296" s="50" t="s">
        <v>159</v>
      </c>
      <c r="N296" s="50" t="s">
        <v>160</v>
      </c>
      <c r="O296" s="50" t="s">
        <v>160</v>
      </c>
      <c r="P296" s="50" t="s">
        <v>177</v>
      </c>
      <c r="Q296" s="53">
        <v>0.04</v>
      </c>
      <c r="R296" s="49">
        <v>164</v>
      </c>
      <c r="S296" s="49">
        <v>0</v>
      </c>
      <c r="T296" s="54">
        <f t="shared" si="860"/>
        <v>164</v>
      </c>
      <c r="U296" s="55">
        <v>170452</v>
      </c>
      <c r="V296" s="49">
        <v>4.1079999999999997</v>
      </c>
      <c r="W296" s="56">
        <f t="shared" si="784"/>
        <v>39.922103213242458</v>
      </c>
      <c r="X296" s="49" t="s">
        <v>163</v>
      </c>
      <c r="Y296" s="57" t="s">
        <v>162</v>
      </c>
      <c r="Z296" s="58">
        <v>37728000</v>
      </c>
      <c r="AA296" s="114">
        <v>8.0500000000000002E-2</v>
      </c>
      <c r="AB296" s="59">
        <v>15</v>
      </c>
      <c r="AC296" s="60">
        <v>40</v>
      </c>
      <c r="AD296" s="61">
        <v>5.5E-2</v>
      </c>
      <c r="AE296" s="62">
        <v>24775000</v>
      </c>
      <c r="AF296" s="63">
        <v>1.1499999999999999</v>
      </c>
      <c r="AG296" s="59"/>
      <c r="AH296" s="60"/>
      <c r="AI296" s="61"/>
      <c r="AJ296" s="64"/>
      <c r="AK296" s="65">
        <f t="shared" si="785"/>
        <v>24775000</v>
      </c>
      <c r="AL296" s="66">
        <v>11000000</v>
      </c>
      <c r="AM296" s="49" t="s">
        <v>1397</v>
      </c>
      <c r="AN296" s="67">
        <v>0.87</v>
      </c>
      <c r="AO296" s="62">
        <v>17458248</v>
      </c>
      <c r="AP296" s="62">
        <f>3480250+247750</f>
        <v>3728000</v>
      </c>
      <c r="AQ296" s="68">
        <v>2285543</v>
      </c>
      <c r="AR296" s="69">
        <f t="shared" si="786"/>
        <v>151067.07317073172</v>
      </c>
      <c r="AS296" s="70">
        <f t="shared" si="787"/>
        <v>67073.170731707316</v>
      </c>
      <c r="AT296" s="70">
        <f t="shared" si="788"/>
        <v>106452.73170731707</v>
      </c>
      <c r="AU296" s="70">
        <f t="shared" si="789"/>
        <v>22731.707317073171</v>
      </c>
      <c r="AV296" s="71">
        <f t="shared" si="790"/>
        <v>13936.237804878048</v>
      </c>
      <c r="AW296" s="115">
        <f t="shared" si="791"/>
        <v>165627.63414634147</v>
      </c>
      <c r="AX296" s="116">
        <f t="shared" si="792"/>
        <v>159.35824748316242</v>
      </c>
      <c r="AY296" s="72">
        <f t="shared" si="793"/>
        <v>195773.03048780488</v>
      </c>
      <c r="AZ296" s="73">
        <f t="shared" si="794"/>
        <v>188.36257128106448</v>
      </c>
      <c r="BA296" s="66">
        <v>4650000</v>
      </c>
      <c r="BB296" s="62">
        <v>4219100</v>
      </c>
      <c r="BC296" s="62">
        <v>22943832</v>
      </c>
      <c r="BD296" s="62">
        <v>1400000</v>
      </c>
      <c r="BE296" s="62">
        <v>3543845</v>
      </c>
      <c r="BF296" s="62">
        <v>2765329</v>
      </c>
      <c r="BG296" s="62">
        <v>11919055</v>
      </c>
      <c r="BH296" s="62">
        <v>6605630</v>
      </c>
      <c r="BI296" s="62">
        <v>1200000</v>
      </c>
      <c r="BJ296" s="47">
        <f t="shared" si="795"/>
        <v>59246791</v>
      </c>
      <c r="BK296" s="69">
        <f t="shared" si="796"/>
        <v>28353.658536585364</v>
      </c>
      <c r="BL296" s="70">
        <f t="shared" si="797"/>
        <v>25726.219512195123</v>
      </c>
      <c r="BM296" s="70">
        <f t="shared" si="798"/>
        <v>139901.41463414635</v>
      </c>
      <c r="BN296" s="70">
        <f t="shared" si="799"/>
        <v>8536.585365853658</v>
      </c>
      <c r="BO296" s="70">
        <f t="shared" si="800"/>
        <v>21608.810975609755</v>
      </c>
      <c r="BP296" s="70">
        <f t="shared" si="801"/>
        <v>16861.762195121952</v>
      </c>
      <c r="BQ296" s="70">
        <f t="shared" si="802"/>
        <v>72677.164634146335</v>
      </c>
      <c r="BR296" s="70">
        <f t="shared" si="803"/>
        <v>40278.231707317071</v>
      </c>
      <c r="BS296" s="70">
        <f t="shared" si="804"/>
        <v>7317.0731707317073</v>
      </c>
      <c r="BT296" s="71">
        <f t="shared" si="805"/>
        <v>361260.9207317073</v>
      </c>
      <c r="BU296" s="65">
        <f t="shared" si="806"/>
        <v>27.280407387416986</v>
      </c>
      <c r="BV296" s="48">
        <f t="shared" si="807"/>
        <v>24.752422969516346</v>
      </c>
      <c r="BW296" s="48">
        <f t="shared" si="808"/>
        <v>134.60582451364607</v>
      </c>
      <c r="BX296" s="48">
        <f t="shared" si="809"/>
        <v>8.2134559876094144</v>
      </c>
      <c r="BY296" s="48">
        <f t="shared" si="810"/>
        <v>20.790867810292635</v>
      </c>
      <c r="BZ296" s="48">
        <f t="shared" si="811"/>
        <v>16.223505737685684</v>
      </c>
      <c r="CA296" s="48">
        <f t="shared" si="812"/>
        <v>69.926166897425674</v>
      </c>
      <c r="CB296" s="48">
        <f t="shared" si="813"/>
        <v>38.753608053880271</v>
      </c>
      <c r="CC296" s="48">
        <f t="shared" si="814"/>
        <v>7.0401051322366417</v>
      </c>
      <c r="CD296" s="47">
        <f t="shared" si="815"/>
        <v>347.58636448970969</v>
      </c>
      <c r="CE296" s="66">
        <v>2793792</v>
      </c>
      <c r="CF296" s="62">
        <v>45264</v>
      </c>
      <c r="CG296" s="74">
        <v>-212929</v>
      </c>
      <c r="CH296" s="75">
        <f t="shared" si="816"/>
        <v>2626127</v>
      </c>
      <c r="CI296" s="62">
        <f>90000+6560+5000+30000</f>
        <v>131560</v>
      </c>
      <c r="CJ296" s="62">
        <v>105045</v>
      </c>
      <c r="CK296" s="62">
        <v>254050</v>
      </c>
      <c r="CL296" s="62">
        <v>82000</v>
      </c>
      <c r="CM296" s="62">
        <f>40000+105000</f>
        <v>145000</v>
      </c>
      <c r="CN296" s="62">
        <v>101680</v>
      </c>
      <c r="CO296" s="62">
        <v>0</v>
      </c>
      <c r="CP296" s="75">
        <f t="shared" si="861"/>
        <v>819335</v>
      </c>
      <c r="CQ296" s="62">
        <v>41000</v>
      </c>
      <c r="CR296" s="75">
        <f t="shared" si="862"/>
        <v>860335</v>
      </c>
      <c r="CS296" s="75">
        <f t="shared" si="817"/>
        <v>1806792</v>
      </c>
      <c r="CT296" s="62">
        <v>1533385</v>
      </c>
      <c r="CU296" s="47">
        <f t="shared" si="818"/>
        <v>273407</v>
      </c>
      <c r="CV296" s="76">
        <f t="shared" si="819"/>
        <v>0.68800633023460023</v>
      </c>
      <c r="CW296" s="75">
        <f t="shared" si="820"/>
        <v>5245.9451219512193</v>
      </c>
      <c r="CX296" s="77">
        <f t="shared" si="821"/>
        <v>0.32760601448444798</v>
      </c>
      <c r="CY296" s="75">
        <f t="shared" si="822"/>
        <v>1667.1158536585365</v>
      </c>
      <c r="CZ296" s="77">
        <f t="shared" si="823"/>
        <v>0.10411034957562981</v>
      </c>
      <c r="DA296" s="77">
        <f t="shared" si="824"/>
        <v>0.58389598065897041</v>
      </c>
      <c r="DB296" s="47">
        <f t="shared" si="825"/>
        <v>151067.07317073172</v>
      </c>
      <c r="DC296" s="69">
        <f t="shared" si="826"/>
        <v>17035.317073170732</v>
      </c>
      <c r="DD296" s="70">
        <f t="shared" si="827"/>
        <v>276</v>
      </c>
      <c r="DE296" s="70">
        <f t="shared" si="828"/>
        <v>-1298.3475609756097</v>
      </c>
      <c r="DF296" s="70">
        <f t="shared" si="829"/>
        <v>16012.969512195123</v>
      </c>
      <c r="DG296" s="70">
        <f t="shared" si="830"/>
        <v>802.19512195121956</v>
      </c>
      <c r="DH296" s="70">
        <f t="shared" si="831"/>
        <v>640.51829268292681</v>
      </c>
      <c r="DI296" s="70">
        <f t="shared" si="832"/>
        <v>1549.0853658536585</v>
      </c>
      <c r="DJ296" s="70">
        <f t="shared" si="833"/>
        <v>500</v>
      </c>
      <c r="DK296" s="70">
        <f t="shared" si="834"/>
        <v>884.14634146341461</v>
      </c>
      <c r="DL296" s="70">
        <f t="shared" si="835"/>
        <v>620</v>
      </c>
      <c r="DM296" s="70" t="str">
        <f t="shared" si="836"/>
        <v/>
      </c>
      <c r="DN296" s="70">
        <f t="shared" si="837"/>
        <v>4995.9451219512193</v>
      </c>
      <c r="DO296" s="70">
        <f t="shared" si="838"/>
        <v>250</v>
      </c>
      <c r="DP296" s="70">
        <f t="shared" si="839"/>
        <v>5245.9451219512193</v>
      </c>
      <c r="DQ296" s="70">
        <f t="shared" si="840"/>
        <v>11017.024390243903</v>
      </c>
      <c r="DR296" s="70">
        <f t="shared" si="841"/>
        <v>9349.9085365853662</v>
      </c>
      <c r="DS296" s="71">
        <f t="shared" si="842"/>
        <v>1667.1158536585365</v>
      </c>
      <c r="DT296" s="106">
        <f t="shared" si="843"/>
        <v>1.0638449701785175</v>
      </c>
      <c r="DU296" s="92">
        <f t="shared" si="844"/>
        <v>1.7236028569829257E-2</v>
      </c>
      <c r="DV296" s="92" t="str">
        <f t="shared" si="845"/>
        <v/>
      </c>
      <c r="DW296" s="92">
        <f t="shared" si="846"/>
        <v>1</v>
      </c>
      <c r="DX296" s="92">
        <f t="shared" si="847"/>
        <v>5.0096587103365529E-2</v>
      </c>
      <c r="DY296" s="92">
        <f t="shared" si="848"/>
        <v>3.9999969536888356E-2</v>
      </c>
      <c r="DZ296" s="92">
        <f t="shared" si="849"/>
        <v>9.6739418923761117E-2</v>
      </c>
      <c r="EA296" s="92">
        <f t="shared" si="850"/>
        <v>3.1224689438096483E-2</v>
      </c>
      <c r="EB296" s="92">
        <f t="shared" si="851"/>
        <v>5.521438986004866E-2</v>
      </c>
      <c r="EC296" s="92">
        <f t="shared" si="852"/>
        <v>3.8718614903239634E-2</v>
      </c>
      <c r="ED296" s="92" t="str">
        <f t="shared" si="853"/>
        <v/>
      </c>
      <c r="EE296" s="92">
        <f t="shared" si="854"/>
        <v>0.31199366976539977</v>
      </c>
      <c r="EF296" s="92">
        <f t="shared" si="855"/>
        <v>1.5612344719048241E-2</v>
      </c>
      <c r="EG296" s="92">
        <f t="shared" si="856"/>
        <v>0.32760601448444798</v>
      </c>
      <c r="EH296" s="92">
        <f t="shared" si="857"/>
        <v>0.68800633023460023</v>
      </c>
      <c r="EI296" s="92">
        <f t="shared" si="858"/>
        <v>0.58389598065897041</v>
      </c>
      <c r="EJ296" s="122">
        <f t="shared" si="859"/>
        <v>0.10411034957562981</v>
      </c>
    </row>
    <row r="297" spans="2:140" ht="12" hidden="1" customHeight="1" outlineLevel="1">
      <c r="B297" s="121">
        <v>45695</v>
      </c>
      <c r="C297" s="117">
        <v>24496</v>
      </c>
      <c r="D297" s="50" t="s">
        <v>1398</v>
      </c>
      <c r="E297" s="50" t="s">
        <v>394</v>
      </c>
      <c r="F297" s="50" t="s">
        <v>394</v>
      </c>
      <c r="G297" s="50" t="s">
        <v>154</v>
      </c>
      <c r="H297" s="50" t="s">
        <v>1399</v>
      </c>
      <c r="I297" s="50" t="s">
        <v>1400</v>
      </c>
      <c r="J297" s="52" t="s">
        <v>183</v>
      </c>
      <c r="K297" s="50" t="s">
        <v>184</v>
      </c>
      <c r="L297" s="49">
        <v>9</v>
      </c>
      <c r="M297" s="50" t="s">
        <v>159</v>
      </c>
      <c r="N297" s="50" t="s">
        <v>160</v>
      </c>
      <c r="O297" s="50" t="s">
        <v>160</v>
      </c>
      <c r="P297" s="50" t="s">
        <v>177</v>
      </c>
      <c r="Q297" s="53">
        <v>0.04</v>
      </c>
      <c r="R297" s="49">
        <v>264</v>
      </c>
      <c r="S297" s="49">
        <v>0</v>
      </c>
      <c r="T297" s="54">
        <f t="shared" si="860"/>
        <v>264</v>
      </c>
      <c r="U297" s="55">
        <v>269844</v>
      </c>
      <c r="V297" s="49">
        <v>14</v>
      </c>
      <c r="W297" s="56">
        <f t="shared" si="784"/>
        <v>18.857142857142858</v>
      </c>
      <c r="X297" s="49" t="s">
        <v>163</v>
      </c>
      <c r="Y297" s="57" t="s">
        <v>162</v>
      </c>
      <c r="Z297" s="58">
        <v>49500000</v>
      </c>
      <c r="AA297" s="114">
        <f>(((40000000*0.0605)/(Table1[[#This Row],[Construction Loan Principal]]))+(((9500000*0.0605)/(Table1[[#This Row],[Construction Loan Principal]]))))</f>
        <v>6.0499999999999998E-2</v>
      </c>
      <c r="AB297" s="59">
        <v>15</v>
      </c>
      <c r="AC297" s="60">
        <v>40</v>
      </c>
      <c r="AD297" s="61">
        <v>5.5500000000000001E-2</v>
      </c>
      <c r="AE297" s="62">
        <v>30616654</v>
      </c>
      <c r="AF297" s="63">
        <v>1.19</v>
      </c>
      <c r="AG297" s="59"/>
      <c r="AH297" s="60"/>
      <c r="AI297" s="61"/>
      <c r="AJ297" s="64"/>
      <c r="AK297" s="65">
        <f t="shared" si="785"/>
        <v>30616654</v>
      </c>
      <c r="AL297" s="66">
        <v>0</v>
      </c>
      <c r="AM297" s="49" t="s">
        <v>163</v>
      </c>
      <c r="AN297" s="67">
        <v>0.85</v>
      </c>
      <c r="AO297" s="62">
        <v>26458125</v>
      </c>
      <c r="AP297" s="62">
        <v>6403589</v>
      </c>
      <c r="AQ297" s="68">
        <v>6697744</v>
      </c>
      <c r="AR297" s="69">
        <f t="shared" si="786"/>
        <v>115972.17424242424</v>
      </c>
      <c r="AS297" s="70" t="str">
        <f t="shared" si="787"/>
        <v/>
      </c>
      <c r="AT297" s="70">
        <f t="shared" si="788"/>
        <v>100220.17045454546</v>
      </c>
      <c r="AU297" s="70">
        <f t="shared" si="789"/>
        <v>24256.01893939394</v>
      </c>
      <c r="AV297" s="71">
        <f t="shared" si="790"/>
        <v>25370.242424242424</v>
      </c>
      <c r="AW297" s="115">
        <f t="shared" si="791"/>
        <v>132011.31818181818</v>
      </c>
      <c r="AX297" s="116">
        <f t="shared" si="792"/>
        <v>129.1523546938231</v>
      </c>
      <c r="AY297" s="72">
        <f t="shared" si="793"/>
        <v>157093.46590909091</v>
      </c>
      <c r="AZ297" s="73">
        <f t="shared" si="794"/>
        <v>153.69129941744117</v>
      </c>
      <c r="BA297" s="66">
        <v>2500000</v>
      </c>
      <c r="BB297" s="62">
        <v>6255859</v>
      </c>
      <c r="BC297" s="62">
        <v>28595129</v>
      </c>
      <c r="BD297" s="62">
        <v>1742549</v>
      </c>
      <c r="BE297" s="62">
        <v>4879138</v>
      </c>
      <c r="BF297" s="62">
        <v>3947307</v>
      </c>
      <c r="BG297" s="62">
        <v>13324361</v>
      </c>
      <c r="BH297" s="62">
        <v>7980000</v>
      </c>
      <c r="BI297" s="62">
        <v>951870</v>
      </c>
      <c r="BJ297" s="47">
        <f t="shared" si="795"/>
        <v>70176213</v>
      </c>
      <c r="BK297" s="69">
        <f t="shared" si="796"/>
        <v>9469.69696969697</v>
      </c>
      <c r="BL297" s="70">
        <f t="shared" si="797"/>
        <v>23696.435606060608</v>
      </c>
      <c r="BM297" s="70">
        <f t="shared" si="798"/>
        <v>108314.88257575757</v>
      </c>
      <c r="BN297" s="70">
        <f t="shared" si="799"/>
        <v>6600.564393939394</v>
      </c>
      <c r="BO297" s="70">
        <f t="shared" si="800"/>
        <v>18481.583333333332</v>
      </c>
      <c r="BP297" s="70">
        <f t="shared" si="801"/>
        <v>14951.920454545454</v>
      </c>
      <c r="BQ297" s="70">
        <f t="shared" si="802"/>
        <v>50471.064393939392</v>
      </c>
      <c r="BR297" s="70">
        <f t="shared" si="803"/>
        <v>30227.272727272728</v>
      </c>
      <c r="BS297" s="70">
        <f t="shared" si="804"/>
        <v>3605.568181818182</v>
      </c>
      <c r="BT297" s="71">
        <f t="shared" si="805"/>
        <v>265818.98863636365</v>
      </c>
      <c r="BU297" s="65">
        <f t="shared" si="806"/>
        <v>9.2646121462771074</v>
      </c>
      <c r="BV297" s="48">
        <f t="shared" si="807"/>
        <v>23.183242910718786</v>
      </c>
      <c r="BW297" s="48">
        <f t="shared" si="808"/>
        <v>105.96911178310431</v>
      </c>
      <c r="BX297" s="48">
        <f t="shared" si="809"/>
        <v>6.4576162523532119</v>
      </c>
      <c r="BY297" s="48">
        <f t="shared" si="810"/>
        <v>18.081328471264879</v>
      </c>
      <c r="BZ297" s="48">
        <f t="shared" si="811"/>
        <v>14.628107350913861</v>
      </c>
      <c r="CA297" s="48">
        <f t="shared" si="812"/>
        <v>49.378014704792399</v>
      </c>
      <c r="CB297" s="48">
        <f t="shared" si="813"/>
        <v>29.572641970916528</v>
      </c>
      <c r="CC297" s="48">
        <f t="shared" si="814"/>
        <v>3.5274825454707166</v>
      </c>
      <c r="CD297" s="47">
        <f t="shared" si="815"/>
        <v>260.06215813581179</v>
      </c>
      <c r="CE297" s="66">
        <v>3472128</v>
      </c>
      <c r="CF297" s="62">
        <f>19253+55440+20339</f>
        <v>95032</v>
      </c>
      <c r="CG297" s="74">
        <v>-267537</v>
      </c>
      <c r="CH297" s="75">
        <f t="shared" si="816"/>
        <v>3299623</v>
      </c>
      <c r="CI297" s="62">
        <f>76140+5000+10560+5000</f>
        <v>96700</v>
      </c>
      <c r="CJ297" s="62">
        <v>115434</v>
      </c>
      <c r="CK297" s="62">
        <v>338801</v>
      </c>
      <c r="CL297" s="62">
        <f>190480+3600</f>
        <v>194080</v>
      </c>
      <c r="CM297" s="62">
        <f>2500+33000+43824</f>
        <v>79324</v>
      </c>
      <c r="CN297" s="62">
        <v>123816</v>
      </c>
      <c r="CO297" s="62">
        <v>0</v>
      </c>
      <c r="CP297" s="75">
        <f t="shared" si="861"/>
        <v>948155</v>
      </c>
      <c r="CQ297" s="62">
        <v>66000</v>
      </c>
      <c r="CR297" s="75">
        <f t="shared" si="862"/>
        <v>1014155</v>
      </c>
      <c r="CS297" s="75">
        <f t="shared" si="817"/>
        <v>2351468</v>
      </c>
      <c r="CT297" s="62">
        <v>1920654</v>
      </c>
      <c r="CU297" s="47">
        <f t="shared" si="818"/>
        <v>430814</v>
      </c>
      <c r="CV297" s="76">
        <f t="shared" si="819"/>
        <v>0.7126474751812556</v>
      </c>
      <c r="CW297" s="75">
        <f t="shared" si="820"/>
        <v>3841.496212121212</v>
      </c>
      <c r="CX297" s="77">
        <f t="shared" si="821"/>
        <v>0.30735480992828573</v>
      </c>
      <c r="CY297" s="75">
        <f t="shared" si="822"/>
        <v>1631.871212121212</v>
      </c>
      <c r="CZ297" s="77">
        <f t="shared" si="823"/>
        <v>0.13056461298760494</v>
      </c>
      <c r="DA297" s="77">
        <f t="shared" si="824"/>
        <v>0.58208286219365057</v>
      </c>
      <c r="DB297" s="47">
        <f t="shared" si="825"/>
        <v>115972.17424242424</v>
      </c>
      <c r="DC297" s="69">
        <f t="shared" si="826"/>
        <v>13152</v>
      </c>
      <c r="DD297" s="70">
        <f t="shared" si="827"/>
        <v>359.969696969697</v>
      </c>
      <c r="DE297" s="70">
        <f t="shared" si="828"/>
        <v>-1013.3977272727273</v>
      </c>
      <c r="DF297" s="70">
        <f t="shared" si="829"/>
        <v>12498.57196969697</v>
      </c>
      <c r="DG297" s="70">
        <f t="shared" si="830"/>
        <v>366.28787878787881</v>
      </c>
      <c r="DH297" s="70">
        <f t="shared" si="831"/>
        <v>437.25</v>
      </c>
      <c r="DI297" s="70">
        <f t="shared" si="832"/>
        <v>1283.3371212121212</v>
      </c>
      <c r="DJ297" s="70">
        <f t="shared" si="833"/>
        <v>735.15151515151513</v>
      </c>
      <c r="DK297" s="70">
        <f t="shared" si="834"/>
        <v>300.469696969697</v>
      </c>
      <c r="DL297" s="70">
        <f t="shared" si="835"/>
        <v>469</v>
      </c>
      <c r="DM297" s="70" t="str">
        <f t="shared" si="836"/>
        <v/>
      </c>
      <c r="DN297" s="70">
        <f t="shared" si="837"/>
        <v>3591.496212121212</v>
      </c>
      <c r="DO297" s="70">
        <f t="shared" si="838"/>
        <v>250</v>
      </c>
      <c r="DP297" s="70">
        <f t="shared" si="839"/>
        <v>3841.496212121212</v>
      </c>
      <c r="DQ297" s="70">
        <f t="shared" si="840"/>
        <v>8907.075757575758</v>
      </c>
      <c r="DR297" s="70">
        <f t="shared" si="841"/>
        <v>7275.204545454545</v>
      </c>
      <c r="DS297" s="71">
        <f t="shared" si="842"/>
        <v>1631.871212121212</v>
      </c>
      <c r="DT297" s="106">
        <f t="shared" si="843"/>
        <v>1.0522802150427488</v>
      </c>
      <c r="DU297" s="92">
        <f t="shared" si="844"/>
        <v>2.8800866038332259E-2</v>
      </c>
      <c r="DV297" s="92" t="str">
        <f t="shared" si="845"/>
        <v/>
      </c>
      <c r="DW297" s="92">
        <f t="shared" si="846"/>
        <v>1</v>
      </c>
      <c r="DX297" s="92">
        <f t="shared" si="847"/>
        <v>2.9306378334737031E-2</v>
      </c>
      <c r="DY297" s="92">
        <f t="shared" si="848"/>
        <v>3.4983996656587739E-2</v>
      </c>
      <c r="DZ297" s="92">
        <f t="shared" si="849"/>
        <v>0.10267869996057126</v>
      </c>
      <c r="EA297" s="92">
        <f t="shared" si="850"/>
        <v>5.8818840819087517E-2</v>
      </c>
      <c r="EB297" s="92">
        <f t="shared" si="851"/>
        <v>2.4040322182261428E-2</v>
      </c>
      <c r="EC297" s="92">
        <f t="shared" si="852"/>
        <v>3.7524286865499482E-2</v>
      </c>
      <c r="ED297" s="92" t="str">
        <f t="shared" si="853"/>
        <v/>
      </c>
      <c r="EE297" s="92">
        <f t="shared" si="854"/>
        <v>0.28735252481874446</v>
      </c>
      <c r="EF297" s="92">
        <f t="shared" si="855"/>
        <v>2.0002285109541301E-2</v>
      </c>
      <c r="EG297" s="92">
        <f t="shared" si="856"/>
        <v>0.30735480992828573</v>
      </c>
      <c r="EH297" s="92">
        <f t="shared" si="857"/>
        <v>0.7126474751812556</v>
      </c>
      <c r="EI297" s="92">
        <f t="shared" si="858"/>
        <v>0.58208286219365057</v>
      </c>
      <c r="EJ297" s="122">
        <f t="shared" si="859"/>
        <v>0.13056461298760494</v>
      </c>
    </row>
    <row r="298" spans="2:140" ht="12" hidden="1" customHeight="1" outlineLevel="1">
      <c r="B298" s="121">
        <v>45706</v>
      </c>
      <c r="C298" s="117">
        <v>24703</v>
      </c>
      <c r="D298" s="50" t="s">
        <v>1401</v>
      </c>
      <c r="E298" s="50" t="s">
        <v>1402</v>
      </c>
      <c r="F298" s="50" t="s">
        <v>1403</v>
      </c>
      <c r="G298" s="50" t="s">
        <v>291</v>
      </c>
      <c r="H298" s="50" t="s">
        <v>1331</v>
      </c>
      <c r="I298" s="50" t="s">
        <v>419</v>
      </c>
      <c r="J298" s="52" t="s">
        <v>175</v>
      </c>
      <c r="K298" s="50" t="s">
        <v>176</v>
      </c>
      <c r="L298" s="49">
        <v>6</v>
      </c>
      <c r="M298" s="50" t="s">
        <v>159</v>
      </c>
      <c r="N298" s="50" t="s">
        <v>160</v>
      </c>
      <c r="O298" s="50" t="s">
        <v>160</v>
      </c>
      <c r="P298" s="50" t="s">
        <v>177</v>
      </c>
      <c r="Q298" s="53">
        <v>0.04</v>
      </c>
      <c r="R298" s="49">
        <f>221-9</f>
        <v>212</v>
      </c>
      <c r="S298" s="49">
        <v>9</v>
      </c>
      <c r="T298" s="54">
        <f t="shared" si="860"/>
        <v>221</v>
      </c>
      <c r="U298" s="55">
        <v>206513</v>
      </c>
      <c r="V298" s="49">
        <v>4.657</v>
      </c>
      <c r="W298" s="56">
        <f t="shared" si="784"/>
        <v>47.455443418509773</v>
      </c>
      <c r="X298" s="49" t="s">
        <v>163</v>
      </c>
      <c r="Y298" s="57" t="s">
        <v>162</v>
      </c>
      <c r="Z298" s="58">
        <v>35000000</v>
      </c>
      <c r="AA298" s="114">
        <v>7.4999999999999997E-2</v>
      </c>
      <c r="AB298" s="59">
        <v>16</v>
      </c>
      <c r="AC298" s="60">
        <v>40</v>
      </c>
      <c r="AD298" s="61">
        <v>6.8000000000000005E-2</v>
      </c>
      <c r="AE298" s="62">
        <v>15550000</v>
      </c>
      <c r="AF298" s="63">
        <v>1.1599999999999999</v>
      </c>
      <c r="AG298" s="59"/>
      <c r="AH298" s="60"/>
      <c r="AI298" s="61"/>
      <c r="AJ298" s="64"/>
      <c r="AK298" s="65">
        <f t="shared" si="785"/>
        <v>15550000</v>
      </c>
      <c r="AL298" s="66">
        <v>22698828</v>
      </c>
      <c r="AM298" s="49" t="s">
        <v>1404</v>
      </c>
      <c r="AN298" s="67">
        <v>0.89</v>
      </c>
      <c r="AO298" s="62">
        <v>30439184</v>
      </c>
      <c r="AP298" s="62">
        <v>3570000</v>
      </c>
      <c r="AQ298" s="68">
        <v>2246237</v>
      </c>
      <c r="AR298" s="69">
        <f t="shared" si="786"/>
        <v>70361.990950226245</v>
      </c>
      <c r="AS298" s="70">
        <f t="shared" si="787"/>
        <v>102709.62895927601</v>
      </c>
      <c r="AT298" s="70">
        <f t="shared" si="788"/>
        <v>137733.86425339367</v>
      </c>
      <c r="AU298" s="70">
        <f t="shared" si="789"/>
        <v>16153.846153846154</v>
      </c>
      <c r="AV298" s="71">
        <f t="shared" si="790"/>
        <v>10163.968325791855</v>
      </c>
      <c r="AW298" s="115">
        <f t="shared" si="791"/>
        <v>171561.08597285068</v>
      </c>
      <c r="AX298" s="116">
        <f t="shared" si="792"/>
        <v>183.59619007035877</v>
      </c>
      <c r="AY298" s="72">
        <f t="shared" si="793"/>
        <v>206766.92307692306</v>
      </c>
      <c r="AZ298" s="73">
        <f t="shared" si="794"/>
        <v>221.2717359197726</v>
      </c>
      <c r="BA298" s="66">
        <v>0</v>
      </c>
      <c r="BB298" s="62">
        <v>3499713</v>
      </c>
      <c r="BC298" s="62">
        <v>34415287</v>
      </c>
      <c r="BD298" s="62">
        <v>2436690</v>
      </c>
      <c r="BE298" s="62">
        <v>5343800</v>
      </c>
      <c r="BF298" s="62">
        <v>3680126</v>
      </c>
      <c r="BG298" s="62">
        <v>10976433</v>
      </c>
      <c r="BH298" s="62">
        <v>7000000</v>
      </c>
      <c r="BI298" s="62">
        <v>1677300</v>
      </c>
      <c r="BJ298" s="47">
        <f t="shared" si="795"/>
        <v>69029349</v>
      </c>
      <c r="BK298" s="69" t="str">
        <f t="shared" si="796"/>
        <v/>
      </c>
      <c r="BL298" s="70">
        <f t="shared" si="797"/>
        <v>15835.805429864253</v>
      </c>
      <c r="BM298" s="70">
        <f t="shared" si="798"/>
        <v>155725.28054298644</v>
      </c>
      <c r="BN298" s="70">
        <f t="shared" si="799"/>
        <v>11025.746606334842</v>
      </c>
      <c r="BO298" s="70">
        <f t="shared" si="800"/>
        <v>24180.090497737558</v>
      </c>
      <c r="BP298" s="70">
        <f t="shared" si="801"/>
        <v>16652.153846153848</v>
      </c>
      <c r="BQ298" s="70">
        <f t="shared" si="802"/>
        <v>49667.117647058825</v>
      </c>
      <c r="BR298" s="70">
        <f t="shared" si="803"/>
        <v>31674.208144796379</v>
      </c>
      <c r="BS298" s="70">
        <f t="shared" si="804"/>
        <v>7589.5927601809954</v>
      </c>
      <c r="BT298" s="71">
        <f t="shared" si="805"/>
        <v>312349.9954751131</v>
      </c>
      <c r="BU298" s="65" t="str">
        <f t="shared" si="806"/>
        <v/>
      </c>
      <c r="BV298" s="48">
        <f t="shared" si="807"/>
        <v>16.946695849655953</v>
      </c>
      <c r="BW298" s="48">
        <f t="shared" si="808"/>
        <v>166.64949422070282</v>
      </c>
      <c r="BX298" s="48">
        <f t="shared" si="809"/>
        <v>11.79920876651833</v>
      </c>
      <c r="BY298" s="48">
        <f t="shared" si="810"/>
        <v>25.876337082895507</v>
      </c>
      <c r="BZ298" s="48">
        <f t="shared" si="811"/>
        <v>17.820311554236294</v>
      </c>
      <c r="CA298" s="48">
        <f t="shared" si="812"/>
        <v>53.151293138930718</v>
      </c>
      <c r="CB298" s="48">
        <f t="shared" si="813"/>
        <v>33.896171185349104</v>
      </c>
      <c r="CC298" s="48">
        <f t="shared" si="814"/>
        <v>8.1220068470265794</v>
      </c>
      <c r="CD298" s="47">
        <f t="shared" si="815"/>
        <v>334.26151864531533</v>
      </c>
      <c r="CE298" s="66">
        <v>3411336</v>
      </c>
      <c r="CF298" s="62">
        <f>13248+27852+30000</f>
        <v>71100</v>
      </c>
      <c r="CG298" s="74">
        <v>-261183</v>
      </c>
      <c r="CH298" s="75">
        <f t="shared" si="816"/>
        <v>3221253</v>
      </c>
      <c r="CI298" s="62">
        <f>263000+8480+4000+4500</f>
        <v>279980</v>
      </c>
      <c r="CJ298" s="62">
        <v>193275</v>
      </c>
      <c r="CK298" s="62">
        <v>400000</v>
      </c>
      <c r="CL298" s="62">
        <f>347000+60000+10000</f>
        <v>417000</v>
      </c>
      <c r="CM298" s="62">
        <f>82500+177500</f>
        <v>260000</v>
      </c>
      <c r="CN298" s="62">
        <v>290000</v>
      </c>
      <c r="CO298" s="62">
        <v>0</v>
      </c>
      <c r="CP298" s="75">
        <f t="shared" si="861"/>
        <v>1840255</v>
      </c>
      <c r="CQ298" s="62">
        <v>66300</v>
      </c>
      <c r="CR298" s="75">
        <f t="shared" si="862"/>
        <v>1906555</v>
      </c>
      <c r="CS298" s="75">
        <f t="shared" si="817"/>
        <v>1380998</v>
      </c>
      <c r="CT298" s="62">
        <v>1132584</v>
      </c>
      <c r="CU298" s="47">
        <f t="shared" si="818"/>
        <v>248414</v>
      </c>
      <c r="CV298" s="76">
        <f t="shared" si="819"/>
        <v>0.42871454058405223</v>
      </c>
      <c r="CW298" s="75">
        <f t="shared" si="820"/>
        <v>8626.9457013574665</v>
      </c>
      <c r="CX298" s="77">
        <f t="shared" si="821"/>
        <v>0.59186751242451308</v>
      </c>
      <c r="CY298" s="75">
        <f t="shared" si="822"/>
        <v>1124.0452488687783</v>
      </c>
      <c r="CZ298" s="77">
        <f t="shared" si="823"/>
        <v>7.7117196320810572E-2</v>
      </c>
      <c r="DA298" s="77">
        <f t="shared" si="824"/>
        <v>0.35159734426324168</v>
      </c>
      <c r="DB298" s="47">
        <f t="shared" si="825"/>
        <v>70361.990950226245</v>
      </c>
      <c r="DC298" s="69">
        <f t="shared" si="826"/>
        <v>15435.909502262444</v>
      </c>
      <c r="DD298" s="70">
        <f t="shared" si="827"/>
        <v>321.71945701357464</v>
      </c>
      <c r="DE298" s="70">
        <f t="shared" si="828"/>
        <v>-1181.8235294117646</v>
      </c>
      <c r="DF298" s="70">
        <f t="shared" si="829"/>
        <v>14575.805429864253</v>
      </c>
      <c r="DG298" s="70">
        <f t="shared" si="830"/>
        <v>1266.8778280542986</v>
      </c>
      <c r="DH298" s="70">
        <f t="shared" si="831"/>
        <v>874.54751131221724</v>
      </c>
      <c r="DI298" s="70">
        <f t="shared" si="832"/>
        <v>1809.9547511312217</v>
      </c>
      <c r="DJ298" s="70">
        <f t="shared" si="833"/>
        <v>1886.8778280542986</v>
      </c>
      <c r="DK298" s="70">
        <f t="shared" si="834"/>
        <v>1176.4705882352941</v>
      </c>
      <c r="DL298" s="70">
        <f t="shared" si="835"/>
        <v>1312.2171945701357</v>
      </c>
      <c r="DM298" s="70" t="str">
        <f t="shared" si="836"/>
        <v/>
      </c>
      <c r="DN298" s="70">
        <f t="shared" si="837"/>
        <v>8326.9457013574665</v>
      </c>
      <c r="DO298" s="70">
        <f t="shared" si="838"/>
        <v>300</v>
      </c>
      <c r="DP298" s="70">
        <f t="shared" si="839"/>
        <v>8626.9457013574665</v>
      </c>
      <c r="DQ298" s="70">
        <f t="shared" si="840"/>
        <v>6248.8597285067872</v>
      </c>
      <c r="DR298" s="70">
        <f t="shared" si="841"/>
        <v>5124.8144796380093</v>
      </c>
      <c r="DS298" s="71">
        <f t="shared" si="842"/>
        <v>1124.0452488687783</v>
      </c>
      <c r="DT298" s="106">
        <f t="shared" si="843"/>
        <v>1.0590090253699413</v>
      </c>
      <c r="DU298" s="92">
        <f t="shared" si="844"/>
        <v>2.2072156393800797E-2</v>
      </c>
      <c r="DV298" s="92" t="str">
        <f t="shared" si="845"/>
        <v/>
      </c>
      <c r="DW298" s="92">
        <f t="shared" si="846"/>
        <v>1</v>
      </c>
      <c r="DX298" s="92">
        <f t="shared" si="847"/>
        <v>8.6916488707965506E-2</v>
      </c>
      <c r="DY298" s="92">
        <f t="shared" si="848"/>
        <v>5.9999944121123056E-2</v>
      </c>
      <c r="DZ298" s="92">
        <f t="shared" si="849"/>
        <v>0.12417528210295807</v>
      </c>
      <c r="EA298" s="92">
        <f t="shared" si="850"/>
        <v>0.12945273159233378</v>
      </c>
      <c r="EB298" s="92">
        <f t="shared" si="851"/>
        <v>8.0713933366922744E-2</v>
      </c>
      <c r="EC298" s="92">
        <f t="shared" si="852"/>
        <v>9.0027079524644602E-2</v>
      </c>
      <c r="ED298" s="92" t="str">
        <f t="shared" si="853"/>
        <v/>
      </c>
      <c r="EE298" s="92">
        <f t="shared" si="854"/>
        <v>0.57128545941594777</v>
      </c>
      <c r="EF298" s="92">
        <f t="shared" si="855"/>
        <v>2.0582053008565301E-2</v>
      </c>
      <c r="EG298" s="92">
        <f t="shared" si="856"/>
        <v>0.59186751242451308</v>
      </c>
      <c r="EH298" s="92">
        <f t="shared" si="857"/>
        <v>0.42871454058405223</v>
      </c>
      <c r="EI298" s="92">
        <f t="shared" si="858"/>
        <v>0.35159734426324168</v>
      </c>
      <c r="EJ298" s="122">
        <f t="shared" si="859"/>
        <v>7.7117196320810572E-2</v>
      </c>
    </row>
    <row r="299" spans="2:140" ht="12" hidden="1" customHeight="1" outlineLevel="1">
      <c r="B299" s="121">
        <v>45706</v>
      </c>
      <c r="C299" s="117">
        <v>24145</v>
      </c>
      <c r="D299" s="50" t="s">
        <v>1405</v>
      </c>
      <c r="E299" s="50" t="s">
        <v>1067</v>
      </c>
      <c r="F299" s="50" t="s">
        <v>646</v>
      </c>
      <c r="G299" s="50" t="s">
        <v>162</v>
      </c>
      <c r="H299" s="50" t="s">
        <v>619</v>
      </c>
      <c r="I299" s="50" t="s">
        <v>1213</v>
      </c>
      <c r="J299" s="52" t="s">
        <v>191</v>
      </c>
      <c r="K299" s="50" t="s">
        <v>192</v>
      </c>
      <c r="L299" s="49">
        <v>3</v>
      </c>
      <c r="M299" s="50" t="s">
        <v>159</v>
      </c>
      <c r="N299" s="50" t="s">
        <v>244</v>
      </c>
      <c r="O299" s="50" t="s">
        <v>160</v>
      </c>
      <c r="P299" s="50" t="s">
        <v>177</v>
      </c>
      <c r="Q299" s="53">
        <v>0.09</v>
      </c>
      <c r="R299" s="49">
        <v>95</v>
      </c>
      <c r="S299" s="49">
        <v>0</v>
      </c>
      <c r="T299" s="54">
        <f t="shared" si="860"/>
        <v>95</v>
      </c>
      <c r="U299" s="55">
        <v>68024</v>
      </c>
      <c r="V299" s="49">
        <v>0.67</v>
      </c>
      <c r="W299" s="56">
        <f t="shared" si="784"/>
        <v>141.79104477611941</v>
      </c>
      <c r="X299" s="49" t="s">
        <v>163</v>
      </c>
      <c r="Y299" s="57" t="s">
        <v>162</v>
      </c>
      <c r="Z299" s="58">
        <v>4400000</v>
      </c>
      <c r="AA299" s="114">
        <v>7.0000000000000007E-2</v>
      </c>
      <c r="AB299" s="59">
        <v>15</v>
      </c>
      <c r="AC299" s="60">
        <v>40</v>
      </c>
      <c r="AD299" s="61">
        <v>7.0000000000000007E-2</v>
      </c>
      <c r="AE299" s="62">
        <v>4400000</v>
      </c>
      <c r="AF299" s="63">
        <v>1.22</v>
      </c>
      <c r="AG299" s="59"/>
      <c r="AH299" s="60"/>
      <c r="AI299" s="61"/>
      <c r="AJ299" s="64"/>
      <c r="AK299" s="65">
        <f t="shared" si="785"/>
        <v>4400000</v>
      </c>
      <c r="AL299" s="66">
        <v>3000000</v>
      </c>
      <c r="AM299" s="49" t="s">
        <v>826</v>
      </c>
      <c r="AN299" s="67">
        <v>0.87</v>
      </c>
      <c r="AO299" s="62">
        <f>17398260+2071789+2589736</f>
        <v>22059785</v>
      </c>
      <c r="AP299" s="62">
        <v>0</v>
      </c>
      <c r="AQ299" s="68">
        <v>583041</v>
      </c>
      <c r="AR299" s="69">
        <f t="shared" si="786"/>
        <v>46315.789473684214</v>
      </c>
      <c r="AS299" s="70">
        <f t="shared" si="787"/>
        <v>31578.947368421053</v>
      </c>
      <c r="AT299" s="70">
        <f t="shared" si="788"/>
        <v>232208.26315789475</v>
      </c>
      <c r="AU299" s="70" t="str">
        <f t="shared" si="789"/>
        <v/>
      </c>
      <c r="AV299" s="71">
        <f t="shared" si="790"/>
        <v>6137.273684210526</v>
      </c>
      <c r="AW299" s="115">
        <f t="shared" si="791"/>
        <v>136122.10526315789</v>
      </c>
      <c r="AX299" s="116">
        <f t="shared" si="792"/>
        <v>190.10349288486415</v>
      </c>
      <c r="AY299" s="72">
        <f t="shared" si="793"/>
        <v>166041.74736842106</v>
      </c>
      <c r="AZ299" s="73">
        <f t="shared" si="794"/>
        <v>231.88824532517935</v>
      </c>
      <c r="BA299" s="66">
        <v>6300000</v>
      </c>
      <c r="BB299" s="62">
        <v>1412600</v>
      </c>
      <c r="BC299" s="62">
        <v>11519000</v>
      </c>
      <c r="BD299" s="62">
        <v>905212</v>
      </c>
      <c r="BE299" s="62">
        <v>1937154</v>
      </c>
      <c r="BF299" s="62">
        <v>2318925</v>
      </c>
      <c r="BG299" s="62">
        <v>2396699</v>
      </c>
      <c r="BH299" s="62">
        <v>2948563</v>
      </c>
      <c r="BI299" s="62">
        <v>304673</v>
      </c>
      <c r="BJ299" s="47">
        <f t="shared" si="795"/>
        <v>30042826</v>
      </c>
      <c r="BK299" s="69">
        <f t="shared" si="796"/>
        <v>66315.789473684214</v>
      </c>
      <c r="BL299" s="70">
        <f t="shared" si="797"/>
        <v>14869.473684210527</v>
      </c>
      <c r="BM299" s="70">
        <f t="shared" si="798"/>
        <v>121252.63157894737</v>
      </c>
      <c r="BN299" s="70">
        <f t="shared" si="799"/>
        <v>9528.5473684210519</v>
      </c>
      <c r="BO299" s="70">
        <f t="shared" si="800"/>
        <v>20391.094736842104</v>
      </c>
      <c r="BP299" s="70">
        <f t="shared" si="801"/>
        <v>24409.736842105263</v>
      </c>
      <c r="BQ299" s="70">
        <f t="shared" si="802"/>
        <v>25228.410526315791</v>
      </c>
      <c r="BR299" s="70">
        <f t="shared" si="803"/>
        <v>31037.505263157895</v>
      </c>
      <c r="BS299" s="70">
        <f t="shared" si="804"/>
        <v>3207.0842105263159</v>
      </c>
      <c r="BT299" s="71">
        <f t="shared" si="805"/>
        <v>316240.27368421055</v>
      </c>
      <c r="BU299" s="65">
        <f t="shared" si="806"/>
        <v>92.614371398330007</v>
      </c>
      <c r="BV299" s="48">
        <f t="shared" si="807"/>
        <v>20.766200164647771</v>
      </c>
      <c r="BW299" s="48">
        <f t="shared" si="808"/>
        <v>169.3372927202164</v>
      </c>
      <c r="BX299" s="48">
        <f t="shared" si="809"/>
        <v>13.307244501940492</v>
      </c>
      <c r="BY299" s="48">
        <f t="shared" si="810"/>
        <v>28.477507938374693</v>
      </c>
      <c r="BZ299" s="48">
        <f t="shared" si="811"/>
        <v>34.089806538868636</v>
      </c>
      <c r="CA299" s="48">
        <f t="shared" si="812"/>
        <v>35.233138304127955</v>
      </c>
      <c r="CB299" s="48">
        <f t="shared" si="813"/>
        <v>43.345922027519698</v>
      </c>
      <c r="CC299" s="48">
        <f t="shared" si="814"/>
        <v>4.4789045042926023</v>
      </c>
      <c r="CD299" s="47">
        <f t="shared" si="815"/>
        <v>441.65038809831822</v>
      </c>
      <c r="CE299" s="66">
        <v>1053336</v>
      </c>
      <c r="CF299" s="62">
        <v>17100</v>
      </c>
      <c r="CG299" s="74">
        <v>-80283</v>
      </c>
      <c r="CH299" s="75">
        <f t="shared" si="816"/>
        <v>990153</v>
      </c>
      <c r="CI299" s="62">
        <f>43750+3800</f>
        <v>47550</v>
      </c>
      <c r="CJ299" s="62">
        <v>49508</v>
      </c>
      <c r="CK299" s="62">
        <v>124600</v>
      </c>
      <c r="CL299" s="62">
        <f>63850+1580</f>
        <v>65430</v>
      </c>
      <c r="CM299" s="62">
        <f>18050+52200</f>
        <v>70250</v>
      </c>
      <c r="CN299" s="62">
        <v>75000</v>
      </c>
      <c r="CO299" s="62">
        <v>129000</v>
      </c>
      <c r="CP299" s="75">
        <f t="shared" si="861"/>
        <v>561338</v>
      </c>
      <c r="CQ299" s="62">
        <v>28500</v>
      </c>
      <c r="CR299" s="75">
        <f t="shared" si="862"/>
        <v>589838</v>
      </c>
      <c r="CS299" s="75">
        <f t="shared" si="817"/>
        <v>428815</v>
      </c>
      <c r="CT299" s="62">
        <v>328116</v>
      </c>
      <c r="CU299" s="47">
        <f t="shared" si="818"/>
        <v>100699</v>
      </c>
      <c r="CV299" s="76">
        <f t="shared" si="819"/>
        <v>0.43307953417300155</v>
      </c>
      <c r="CW299" s="75">
        <f t="shared" si="820"/>
        <v>6208.8210526315788</v>
      </c>
      <c r="CX299" s="77">
        <f t="shared" si="821"/>
        <v>0.59570389626653664</v>
      </c>
      <c r="CY299" s="75">
        <f t="shared" si="822"/>
        <v>1059.9894736842105</v>
      </c>
      <c r="CZ299" s="77">
        <f t="shared" si="823"/>
        <v>0.10170044427477369</v>
      </c>
      <c r="DA299" s="77">
        <f t="shared" si="824"/>
        <v>0.33137908989822784</v>
      </c>
      <c r="DB299" s="47">
        <f t="shared" si="825"/>
        <v>46315.789473684214</v>
      </c>
      <c r="DC299" s="69">
        <f t="shared" si="826"/>
        <v>11087.747368421053</v>
      </c>
      <c r="DD299" s="70">
        <f t="shared" si="827"/>
        <v>180</v>
      </c>
      <c r="DE299" s="70">
        <f t="shared" si="828"/>
        <v>-845.08421052631581</v>
      </c>
      <c r="DF299" s="70">
        <f t="shared" si="829"/>
        <v>10422.663157894736</v>
      </c>
      <c r="DG299" s="70">
        <f t="shared" si="830"/>
        <v>500.5263157894737</v>
      </c>
      <c r="DH299" s="70">
        <f t="shared" si="831"/>
        <v>521.13684210526321</v>
      </c>
      <c r="DI299" s="70">
        <f t="shared" si="832"/>
        <v>1311.578947368421</v>
      </c>
      <c r="DJ299" s="70">
        <f t="shared" si="833"/>
        <v>688.73684210526312</v>
      </c>
      <c r="DK299" s="70">
        <f t="shared" si="834"/>
        <v>739.47368421052636</v>
      </c>
      <c r="DL299" s="70">
        <f t="shared" si="835"/>
        <v>789.47368421052636</v>
      </c>
      <c r="DM299" s="70">
        <f t="shared" si="836"/>
        <v>1357.8947368421052</v>
      </c>
      <c r="DN299" s="70">
        <f t="shared" si="837"/>
        <v>5908.8210526315788</v>
      </c>
      <c r="DO299" s="70">
        <f t="shared" si="838"/>
        <v>300</v>
      </c>
      <c r="DP299" s="70">
        <f t="shared" si="839"/>
        <v>6208.8210526315788</v>
      </c>
      <c r="DQ299" s="70">
        <f t="shared" si="840"/>
        <v>4513.8421052631575</v>
      </c>
      <c r="DR299" s="70">
        <f t="shared" si="841"/>
        <v>3453.8526315789472</v>
      </c>
      <c r="DS299" s="71">
        <f t="shared" si="842"/>
        <v>1059.9894736842105</v>
      </c>
      <c r="DT299" s="106">
        <f t="shared" si="843"/>
        <v>1.0638113503670645</v>
      </c>
      <c r="DU299" s="92">
        <f t="shared" si="844"/>
        <v>1.7270058263722878E-2</v>
      </c>
      <c r="DV299" s="92" t="str">
        <f t="shared" si="845"/>
        <v/>
      </c>
      <c r="DW299" s="92">
        <f t="shared" si="846"/>
        <v>1</v>
      </c>
      <c r="DX299" s="92">
        <f t="shared" si="847"/>
        <v>4.8022881312282044E-2</v>
      </c>
      <c r="DY299" s="92">
        <f t="shared" si="848"/>
        <v>5.0000353480724694E-2</v>
      </c>
      <c r="DZ299" s="92">
        <f t="shared" si="849"/>
        <v>0.12583913799180529</v>
      </c>
      <c r="EA299" s="92">
        <f t="shared" si="850"/>
        <v>6.6080696619613327E-2</v>
      </c>
      <c r="EB299" s="92">
        <f t="shared" si="851"/>
        <v>7.0948631171142237E-2</v>
      </c>
      <c r="EC299" s="92">
        <f t="shared" si="852"/>
        <v>7.5745869577731925E-2</v>
      </c>
      <c r="ED299" s="92">
        <f t="shared" si="853"/>
        <v>0.13028289567369891</v>
      </c>
      <c r="EE299" s="92">
        <f t="shared" si="854"/>
        <v>0.5669204658269984</v>
      </c>
      <c r="EF299" s="92">
        <f t="shared" si="855"/>
        <v>2.878343043953813E-2</v>
      </c>
      <c r="EG299" s="92">
        <f t="shared" si="856"/>
        <v>0.59570389626653664</v>
      </c>
      <c r="EH299" s="92">
        <f t="shared" si="857"/>
        <v>0.43307953417300155</v>
      </c>
      <c r="EI299" s="92">
        <f t="shared" si="858"/>
        <v>0.33137908989822784</v>
      </c>
      <c r="EJ299" s="122">
        <f t="shared" si="859"/>
        <v>0.10170044427477369</v>
      </c>
    </row>
    <row r="300" spans="2:140" ht="12" hidden="1" customHeight="1" outlineLevel="1">
      <c r="B300" s="121">
        <v>45709</v>
      </c>
      <c r="C300" s="117">
        <v>25410</v>
      </c>
      <c r="D300" s="50" t="s">
        <v>1406</v>
      </c>
      <c r="E300" s="50" t="s">
        <v>1407</v>
      </c>
      <c r="F300" s="50" t="s">
        <v>1408</v>
      </c>
      <c r="G300" s="50" t="s">
        <v>291</v>
      </c>
      <c r="H300" s="50" t="s">
        <v>1331</v>
      </c>
      <c r="I300" s="50" t="s">
        <v>306</v>
      </c>
      <c r="J300" s="52" t="s">
        <v>175</v>
      </c>
      <c r="K300" s="50" t="s">
        <v>176</v>
      </c>
      <c r="L300" s="49">
        <v>6</v>
      </c>
      <c r="M300" s="50" t="s">
        <v>159</v>
      </c>
      <c r="N300" s="50" t="s">
        <v>160</v>
      </c>
      <c r="O300" s="50" t="s">
        <v>160</v>
      </c>
      <c r="P300" s="50" t="s">
        <v>1351</v>
      </c>
      <c r="Q300" s="53">
        <v>0.04</v>
      </c>
      <c r="R300" s="49">
        <v>252</v>
      </c>
      <c r="S300" s="49">
        <v>0</v>
      </c>
      <c r="T300" s="54">
        <f t="shared" si="860"/>
        <v>252</v>
      </c>
      <c r="U300" s="55">
        <v>278666</v>
      </c>
      <c r="V300" s="49">
        <v>12.4641</v>
      </c>
      <c r="W300" s="56">
        <f t="shared" si="784"/>
        <v>20.218066286374466</v>
      </c>
      <c r="X300" s="49">
        <v>2009</v>
      </c>
      <c r="Y300" s="57" t="s">
        <v>162</v>
      </c>
      <c r="Z300" s="58">
        <v>32215000</v>
      </c>
      <c r="AA300" s="114">
        <f>(((21620000*0.06)/(Table1[[#This Row],[Construction Loan Principal]]))+(((10595000*0.075)/(Table1[[#This Row],[Construction Loan Principal]]))))</f>
        <v>6.4933260903305909E-2</v>
      </c>
      <c r="AB300" s="59">
        <v>16</v>
      </c>
      <c r="AC300" s="60">
        <v>40</v>
      </c>
      <c r="AD300" s="61">
        <v>0.06</v>
      </c>
      <c r="AE300" s="62">
        <v>21620000</v>
      </c>
      <c r="AF300" s="63">
        <v>1.39</v>
      </c>
      <c r="AG300" s="59">
        <v>16</v>
      </c>
      <c r="AH300" s="60">
        <v>40</v>
      </c>
      <c r="AI300" s="61">
        <v>6.5000000000000002E-2</v>
      </c>
      <c r="AJ300" s="64">
        <v>4150000</v>
      </c>
      <c r="AK300" s="65">
        <f t="shared" si="785"/>
        <v>25770000</v>
      </c>
      <c r="AL300" s="66">
        <v>0</v>
      </c>
      <c r="AM300" s="49" t="s">
        <v>163</v>
      </c>
      <c r="AN300" s="67">
        <v>0.88</v>
      </c>
      <c r="AO300" s="62">
        <v>1292265</v>
      </c>
      <c r="AP300" s="62">
        <v>1243200</v>
      </c>
      <c r="AQ300" s="68">
        <v>2594854</v>
      </c>
      <c r="AR300" s="69">
        <f t="shared" si="786"/>
        <v>102261.90476190476</v>
      </c>
      <c r="AS300" s="70" t="str">
        <f t="shared" si="787"/>
        <v/>
      </c>
      <c r="AT300" s="70">
        <f t="shared" si="788"/>
        <v>5128.0357142857147</v>
      </c>
      <c r="AU300" s="70">
        <f t="shared" si="789"/>
        <v>4933.333333333333</v>
      </c>
      <c r="AV300" s="71">
        <f t="shared" si="790"/>
        <v>10297.039682539682</v>
      </c>
      <c r="AW300" s="115">
        <f t="shared" si="791"/>
        <v>25330</v>
      </c>
      <c r="AX300" s="116">
        <f t="shared" si="792"/>
        <v>22.90613135438123</v>
      </c>
      <c r="AY300" s="72">
        <f t="shared" si="793"/>
        <v>31763.813492063491</v>
      </c>
      <c r="AZ300" s="73">
        <f t="shared" si="794"/>
        <v>28.72428283321252</v>
      </c>
      <c r="BA300" s="66">
        <v>24430000</v>
      </c>
      <c r="BB300" s="62">
        <v>196560</v>
      </c>
      <c r="BC300" s="62">
        <v>6186600</v>
      </c>
      <c r="BD300" s="62">
        <v>638316</v>
      </c>
      <c r="BE300" s="62">
        <v>983005</v>
      </c>
      <c r="BF300" s="62">
        <v>797500</v>
      </c>
      <c r="BG300" s="62">
        <v>3025883</v>
      </c>
      <c r="BH300" s="62">
        <v>4592454</v>
      </c>
      <c r="BI300" s="62">
        <v>1150000</v>
      </c>
      <c r="BJ300" s="47">
        <f t="shared" si="795"/>
        <v>42000318</v>
      </c>
      <c r="BK300" s="69">
        <f t="shared" si="796"/>
        <v>96944.444444444438</v>
      </c>
      <c r="BL300" s="70">
        <f t="shared" si="797"/>
        <v>780</v>
      </c>
      <c r="BM300" s="70">
        <f t="shared" si="798"/>
        <v>24550</v>
      </c>
      <c r="BN300" s="70">
        <f t="shared" si="799"/>
        <v>2533</v>
      </c>
      <c r="BO300" s="70">
        <f t="shared" si="800"/>
        <v>3900.813492063492</v>
      </c>
      <c r="BP300" s="70">
        <f t="shared" si="801"/>
        <v>3164.6825396825398</v>
      </c>
      <c r="BQ300" s="70">
        <f t="shared" si="802"/>
        <v>12007.472222222223</v>
      </c>
      <c r="BR300" s="70">
        <f t="shared" si="803"/>
        <v>18224.023809523809</v>
      </c>
      <c r="BS300" s="70">
        <f t="shared" si="804"/>
        <v>4563.4920634920636</v>
      </c>
      <c r="BT300" s="71">
        <f t="shared" si="805"/>
        <v>166667.92857142858</v>
      </c>
      <c r="BU300" s="65">
        <f t="shared" si="806"/>
        <v>87.667673846109679</v>
      </c>
      <c r="BV300" s="48">
        <f t="shared" si="807"/>
        <v>0.70536053914004582</v>
      </c>
      <c r="BW300" s="48">
        <f t="shared" si="808"/>
        <v>22.200770815241185</v>
      </c>
      <c r="BX300" s="48">
        <f t="shared" si="809"/>
        <v>2.2906131354381229</v>
      </c>
      <c r="BY300" s="48">
        <f t="shared" si="810"/>
        <v>3.5275383433931662</v>
      </c>
      <c r="BZ300" s="48">
        <f t="shared" si="811"/>
        <v>2.8618489517917509</v>
      </c>
      <c r="CA300" s="48">
        <f t="shared" si="812"/>
        <v>10.858457795353578</v>
      </c>
      <c r="CB300" s="48">
        <f t="shared" si="813"/>
        <v>16.4801375122907</v>
      </c>
      <c r="CC300" s="48">
        <f t="shared" si="814"/>
        <v>4.1268041311103616</v>
      </c>
      <c r="CD300" s="47">
        <f t="shared" si="815"/>
        <v>150.71920506986859</v>
      </c>
      <c r="CE300" s="66">
        <v>3674112</v>
      </c>
      <c r="CF300" s="62">
        <v>75600</v>
      </c>
      <c r="CG300" s="74">
        <v>-281228</v>
      </c>
      <c r="CH300" s="75">
        <f t="shared" si="816"/>
        <v>3468484</v>
      </c>
      <c r="CI300" s="62">
        <f>85000+10080+4500</f>
        <v>99580</v>
      </c>
      <c r="CJ300" s="62">
        <v>138739</v>
      </c>
      <c r="CK300" s="62">
        <v>331200</v>
      </c>
      <c r="CL300" s="62">
        <f>155000</f>
        <v>155000</v>
      </c>
      <c r="CM300" s="62">
        <f>10000+25000+325000</f>
        <v>360000</v>
      </c>
      <c r="CN300" s="62">
        <v>300000</v>
      </c>
      <c r="CO300" s="62">
        <v>0</v>
      </c>
      <c r="CP300" s="75">
        <f t="shared" si="861"/>
        <v>1384519</v>
      </c>
      <c r="CQ300" s="62">
        <v>75600</v>
      </c>
      <c r="CR300" s="75">
        <f t="shared" si="862"/>
        <v>1460119</v>
      </c>
      <c r="CS300" s="75">
        <f t="shared" si="817"/>
        <v>2083965</v>
      </c>
      <c r="CT300" s="62">
        <f>1449094+291557</f>
        <v>1740651</v>
      </c>
      <c r="CU300" s="47">
        <f t="shared" si="818"/>
        <v>343314</v>
      </c>
      <c r="CV300" s="76">
        <f t="shared" si="819"/>
        <v>0.60082877706802162</v>
      </c>
      <c r="CW300" s="75">
        <f t="shared" si="820"/>
        <v>5794.1230158730159</v>
      </c>
      <c r="CX300" s="77">
        <f t="shared" si="821"/>
        <v>0.4209674889663611</v>
      </c>
      <c r="CY300" s="75">
        <f t="shared" si="822"/>
        <v>1362.3571428571429</v>
      </c>
      <c r="CZ300" s="77">
        <f t="shared" si="823"/>
        <v>9.8980995731852872E-2</v>
      </c>
      <c r="DA300" s="77">
        <f t="shared" si="824"/>
        <v>0.50184778133616881</v>
      </c>
      <c r="DB300" s="47">
        <f t="shared" si="825"/>
        <v>102261.90476190476</v>
      </c>
      <c r="DC300" s="69">
        <f t="shared" si="826"/>
        <v>14579.809523809523</v>
      </c>
      <c r="DD300" s="70">
        <f t="shared" si="827"/>
        <v>300</v>
      </c>
      <c r="DE300" s="70">
        <f t="shared" si="828"/>
        <v>-1115.984126984127</v>
      </c>
      <c r="DF300" s="70">
        <f t="shared" si="829"/>
        <v>13763.825396825398</v>
      </c>
      <c r="DG300" s="70">
        <f t="shared" si="830"/>
        <v>395.15873015873018</v>
      </c>
      <c r="DH300" s="70">
        <f t="shared" si="831"/>
        <v>550.55158730158735</v>
      </c>
      <c r="DI300" s="70">
        <f t="shared" si="832"/>
        <v>1314.2857142857142</v>
      </c>
      <c r="DJ300" s="70">
        <f t="shared" si="833"/>
        <v>615.07936507936506</v>
      </c>
      <c r="DK300" s="70">
        <f t="shared" si="834"/>
        <v>1428.5714285714287</v>
      </c>
      <c r="DL300" s="70">
        <f t="shared" si="835"/>
        <v>1190.4761904761904</v>
      </c>
      <c r="DM300" s="70" t="str">
        <f t="shared" si="836"/>
        <v/>
      </c>
      <c r="DN300" s="70">
        <f t="shared" si="837"/>
        <v>5494.1230158730159</v>
      </c>
      <c r="DO300" s="70">
        <f t="shared" si="838"/>
        <v>300</v>
      </c>
      <c r="DP300" s="70">
        <f t="shared" si="839"/>
        <v>5794.1230158730159</v>
      </c>
      <c r="DQ300" s="70">
        <f t="shared" si="840"/>
        <v>8269.7023809523816</v>
      </c>
      <c r="DR300" s="70">
        <f t="shared" si="841"/>
        <v>6907.3452380952385</v>
      </c>
      <c r="DS300" s="71">
        <f t="shared" si="842"/>
        <v>1362.3571428571429</v>
      </c>
      <c r="DT300" s="106">
        <f t="shared" si="843"/>
        <v>1.059284690371932</v>
      </c>
      <c r="DU300" s="92">
        <f t="shared" si="844"/>
        <v>2.1796266034382745E-2</v>
      </c>
      <c r="DV300" s="92" t="str">
        <f t="shared" si="845"/>
        <v/>
      </c>
      <c r="DW300" s="92">
        <f t="shared" si="846"/>
        <v>1</v>
      </c>
      <c r="DX300" s="92">
        <f t="shared" si="847"/>
        <v>2.8709949361161821E-2</v>
      </c>
      <c r="DY300" s="92">
        <f t="shared" si="848"/>
        <v>3.9999896208256981E-2</v>
      </c>
      <c r="DZ300" s="92">
        <f t="shared" si="849"/>
        <v>9.548840357920059E-2</v>
      </c>
      <c r="EA300" s="92">
        <f t="shared" si="850"/>
        <v>4.468811157843023E-2</v>
      </c>
      <c r="EB300" s="92">
        <f t="shared" si="851"/>
        <v>0.10379174302087021</v>
      </c>
      <c r="EC300" s="92">
        <f t="shared" si="852"/>
        <v>8.6493119184058512E-2</v>
      </c>
      <c r="ED300" s="92" t="str">
        <f t="shared" si="853"/>
        <v/>
      </c>
      <c r="EE300" s="92">
        <f t="shared" si="854"/>
        <v>0.39917122293197838</v>
      </c>
      <c r="EF300" s="92">
        <f t="shared" si="855"/>
        <v>2.1796266034382745E-2</v>
      </c>
      <c r="EG300" s="92">
        <f t="shared" si="856"/>
        <v>0.4209674889663611</v>
      </c>
      <c r="EH300" s="92">
        <f t="shared" si="857"/>
        <v>0.60082877706802162</v>
      </c>
      <c r="EI300" s="92">
        <f t="shared" si="858"/>
        <v>0.50184778133616881</v>
      </c>
      <c r="EJ300" s="122">
        <f t="shared" si="859"/>
        <v>9.8980995731852872E-2</v>
      </c>
    </row>
    <row r="301" spans="2:140" ht="12" hidden="1" customHeight="1" outlineLevel="1">
      <c r="B301" s="121">
        <v>45714</v>
      </c>
      <c r="C301" s="117">
        <v>24475</v>
      </c>
      <c r="D301" s="50" t="s">
        <v>1409</v>
      </c>
      <c r="E301" s="50" t="s">
        <v>413</v>
      </c>
      <c r="F301" s="50" t="s">
        <v>1410</v>
      </c>
      <c r="G301" s="50" t="s">
        <v>162</v>
      </c>
      <c r="H301" s="50" t="s">
        <v>1411</v>
      </c>
      <c r="I301" s="50" t="s">
        <v>1022</v>
      </c>
      <c r="J301" s="52" t="s">
        <v>191</v>
      </c>
      <c r="K301" s="50" t="s">
        <v>192</v>
      </c>
      <c r="L301" s="49">
        <v>3</v>
      </c>
      <c r="M301" s="50" t="s">
        <v>159</v>
      </c>
      <c r="N301" s="50" t="s">
        <v>160</v>
      </c>
      <c r="O301" s="50" t="s">
        <v>160</v>
      </c>
      <c r="P301" s="50" t="s">
        <v>177</v>
      </c>
      <c r="Q301" s="53">
        <v>0.04</v>
      </c>
      <c r="R301" s="49">
        <f>302-86</f>
        <v>216</v>
      </c>
      <c r="S301" s="49">
        <v>86</v>
      </c>
      <c r="T301" s="54">
        <f t="shared" si="860"/>
        <v>302</v>
      </c>
      <c r="U301" s="55">
        <v>336569</v>
      </c>
      <c r="V301" s="49">
        <v>14.96</v>
      </c>
      <c r="W301" s="56">
        <f t="shared" si="784"/>
        <v>20.18716577540107</v>
      </c>
      <c r="X301" s="49" t="s">
        <v>163</v>
      </c>
      <c r="Y301" s="57" t="s">
        <v>162</v>
      </c>
      <c r="Z301" s="58">
        <v>56000000</v>
      </c>
      <c r="AA301" s="114">
        <f>(((36350000*0.0502)/(Table1[[#This Row],[Construction Loan Principal]]))+(((15650000*0.0354)/(Table1[[#This Row],[Construction Loan Principal]])))+(((4000000*0.0499)/(Table1[[#This Row],[Construction Loan Principal]]))))</f>
        <v>4.60425E-2</v>
      </c>
      <c r="AB301" s="59">
        <v>19</v>
      </c>
      <c r="AC301" s="60">
        <v>40</v>
      </c>
      <c r="AD301" s="61">
        <v>5.0200000000000002E-2</v>
      </c>
      <c r="AE301" s="62">
        <v>36350000</v>
      </c>
      <c r="AF301" s="63">
        <v>1.57</v>
      </c>
      <c r="AG301" s="59">
        <v>40</v>
      </c>
      <c r="AH301" s="60">
        <v>40</v>
      </c>
      <c r="AI301" s="61">
        <v>0.02</v>
      </c>
      <c r="AJ301" s="64">
        <v>20000000</v>
      </c>
      <c r="AK301" s="65">
        <f t="shared" si="785"/>
        <v>56350000</v>
      </c>
      <c r="AL301" s="66">
        <v>4185000</v>
      </c>
      <c r="AM301" s="49" t="s">
        <v>1412</v>
      </c>
      <c r="AN301" s="67">
        <v>0.84</v>
      </c>
      <c r="AO301" s="62">
        <v>29467259</v>
      </c>
      <c r="AP301" s="62">
        <v>0</v>
      </c>
      <c r="AQ301" s="68">
        <v>1699505</v>
      </c>
      <c r="AR301" s="69">
        <f t="shared" si="786"/>
        <v>186589.40397350994</v>
      </c>
      <c r="AS301" s="70">
        <f t="shared" si="787"/>
        <v>13857.615894039734</v>
      </c>
      <c r="AT301" s="70">
        <f t="shared" si="788"/>
        <v>97573.705298013243</v>
      </c>
      <c r="AU301" s="70" t="str">
        <f t="shared" si="789"/>
        <v/>
      </c>
      <c r="AV301" s="71">
        <f t="shared" si="790"/>
        <v>5627.5</v>
      </c>
      <c r="AW301" s="115">
        <f t="shared" si="791"/>
        <v>194120.12582781457</v>
      </c>
      <c r="AX301" s="116">
        <f t="shared" si="792"/>
        <v>174.18204885179563</v>
      </c>
      <c r="AY301" s="72">
        <f t="shared" si="793"/>
        <v>232216.6655629139</v>
      </c>
      <c r="AZ301" s="73">
        <f t="shared" si="794"/>
        <v>208.36569321595277</v>
      </c>
      <c r="BA301" s="66">
        <v>1210000</v>
      </c>
      <c r="BB301" s="62">
        <v>11602914</v>
      </c>
      <c r="BC301" s="62">
        <v>47021364</v>
      </c>
      <c r="BD301" s="62">
        <v>3916235</v>
      </c>
      <c r="BE301" s="62">
        <v>7588920</v>
      </c>
      <c r="BF301" s="62">
        <v>7919204</v>
      </c>
      <c r="BG301" s="62">
        <v>8099151</v>
      </c>
      <c r="BH301" s="62">
        <v>12697512</v>
      </c>
      <c r="BI301" s="62">
        <v>4187742</v>
      </c>
      <c r="BJ301" s="47">
        <f t="shared" si="795"/>
        <v>104243042</v>
      </c>
      <c r="BK301" s="69">
        <f t="shared" si="796"/>
        <v>4006.6225165562914</v>
      </c>
      <c r="BL301" s="70">
        <f t="shared" si="797"/>
        <v>38420.24503311258</v>
      </c>
      <c r="BM301" s="70">
        <f t="shared" si="798"/>
        <v>155699.88079470198</v>
      </c>
      <c r="BN301" s="70">
        <f t="shared" si="799"/>
        <v>12967.665562913908</v>
      </c>
      <c r="BO301" s="70">
        <f t="shared" si="800"/>
        <v>25128.874172185431</v>
      </c>
      <c r="BP301" s="70">
        <f t="shared" si="801"/>
        <v>26222.529801324505</v>
      </c>
      <c r="BQ301" s="70">
        <f t="shared" si="802"/>
        <v>26818.380794701985</v>
      </c>
      <c r="BR301" s="70">
        <f t="shared" si="803"/>
        <v>42044.741721854305</v>
      </c>
      <c r="BS301" s="70">
        <f t="shared" si="804"/>
        <v>13866.695364238411</v>
      </c>
      <c r="BT301" s="71">
        <f t="shared" si="805"/>
        <v>345175.63576158939</v>
      </c>
      <c r="BU301" s="65">
        <f t="shared" si="806"/>
        <v>3.5951023415703762</v>
      </c>
      <c r="BV301" s="48">
        <f t="shared" si="807"/>
        <v>34.474101892925376</v>
      </c>
      <c r="BW301" s="48">
        <f t="shared" si="808"/>
        <v>139.70794695887025</v>
      </c>
      <c r="BX301" s="48">
        <f t="shared" si="809"/>
        <v>11.635756709619722</v>
      </c>
      <c r="BY301" s="48">
        <f t="shared" si="810"/>
        <v>22.547887654537405</v>
      </c>
      <c r="BZ301" s="48">
        <f t="shared" si="811"/>
        <v>23.529213920473961</v>
      </c>
      <c r="CA301" s="48">
        <f t="shared" si="812"/>
        <v>24.063865061844673</v>
      </c>
      <c r="CB301" s="48">
        <f t="shared" si="813"/>
        <v>37.726326548196653</v>
      </c>
      <c r="CC301" s="48">
        <f t="shared" si="814"/>
        <v>12.442447165365794</v>
      </c>
      <c r="CD301" s="47">
        <f t="shared" si="815"/>
        <v>309.7226482534042</v>
      </c>
      <c r="CE301" s="66">
        <v>6029136</v>
      </c>
      <c r="CF301" s="62">
        <v>39864</v>
      </c>
      <c r="CG301" s="74">
        <v>-455175</v>
      </c>
      <c r="CH301" s="75">
        <f t="shared" si="816"/>
        <v>5613825</v>
      </c>
      <c r="CI301" s="62">
        <f>163725+8640+3000+36350</f>
        <v>211715</v>
      </c>
      <c r="CJ301" s="62">
        <v>196484</v>
      </c>
      <c r="CK301" s="62">
        <v>582600</v>
      </c>
      <c r="CL301" s="62">
        <f>267000+60000</f>
        <v>327000</v>
      </c>
      <c r="CM301" s="62">
        <f>79000+317000</f>
        <v>396000</v>
      </c>
      <c r="CN301" s="62">
        <v>476184</v>
      </c>
      <c r="CO301" s="62">
        <v>0</v>
      </c>
      <c r="CP301" s="75">
        <f t="shared" si="861"/>
        <v>2189983</v>
      </c>
      <c r="CQ301" s="62">
        <v>105700</v>
      </c>
      <c r="CR301" s="75">
        <f t="shared" si="862"/>
        <v>2295683</v>
      </c>
      <c r="CS301" s="75">
        <f t="shared" si="817"/>
        <v>3423842</v>
      </c>
      <c r="CT301" s="62">
        <f>2109123+726782</f>
        <v>2835905</v>
      </c>
      <c r="CU301" s="47">
        <f t="shared" si="818"/>
        <v>587937</v>
      </c>
      <c r="CV301" s="76">
        <f t="shared" si="819"/>
        <v>0.60989467965246513</v>
      </c>
      <c r="CW301" s="75">
        <f t="shared" si="820"/>
        <v>7601.5993377483446</v>
      </c>
      <c r="CX301" s="77">
        <f t="shared" si="821"/>
        <v>0.40893383744594819</v>
      </c>
      <c r="CY301" s="75">
        <f t="shared" si="822"/>
        <v>1946.8112582781457</v>
      </c>
      <c r="CZ301" s="77">
        <f t="shared" si="823"/>
        <v>0.10473019732535303</v>
      </c>
      <c r="DA301" s="77">
        <f t="shared" si="824"/>
        <v>0.50516448232711209</v>
      </c>
      <c r="DB301" s="47">
        <f t="shared" si="825"/>
        <v>186589.40397350994</v>
      </c>
      <c r="DC301" s="69">
        <f t="shared" si="826"/>
        <v>19964.026490066226</v>
      </c>
      <c r="DD301" s="70">
        <f t="shared" si="827"/>
        <v>132</v>
      </c>
      <c r="DE301" s="70">
        <f t="shared" si="828"/>
        <v>-1507.2019867549668</v>
      </c>
      <c r="DF301" s="70">
        <f t="shared" si="829"/>
        <v>18588.824503311258</v>
      </c>
      <c r="DG301" s="70">
        <f t="shared" si="830"/>
        <v>701.04304635761594</v>
      </c>
      <c r="DH301" s="70">
        <f t="shared" si="831"/>
        <v>650.60927152317879</v>
      </c>
      <c r="DI301" s="70">
        <f t="shared" si="832"/>
        <v>1929.1390728476822</v>
      </c>
      <c r="DJ301" s="70">
        <f t="shared" si="833"/>
        <v>1082.7814569536424</v>
      </c>
      <c r="DK301" s="70">
        <f t="shared" si="834"/>
        <v>1311.2582781456954</v>
      </c>
      <c r="DL301" s="70">
        <f t="shared" si="835"/>
        <v>1576.7682119205299</v>
      </c>
      <c r="DM301" s="70" t="str">
        <f t="shared" si="836"/>
        <v/>
      </c>
      <c r="DN301" s="70">
        <f t="shared" si="837"/>
        <v>7251.5993377483446</v>
      </c>
      <c r="DO301" s="70">
        <f t="shared" si="838"/>
        <v>350</v>
      </c>
      <c r="DP301" s="70">
        <f t="shared" si="839"/>
        <v>7601.5993377483446</v>
      </c>
      <c r="DQ301" s="70">
        <f t="shared" si="840"/>
        <v>11337.225165562913</v>
      </c>
      <c r="DR301" s="70">
        <f t="shared" si="841"/>
        <v>9390.4139072847684</v>
      </c>
      <c r="DS301" s="71">
        <f t="shared" si="842"/>
        <v>1946.8112582781457</v>
      </c>
      <c r="DT301" s="106">
        <f t="shared" si="843"/>
        <v>1.0739800403468223</v>
      </c>
      <c r="DU301" s="92">
        <f t="shared" si="844"/>
        <v>7.101040734258727E-3</v>
      </c>
      <c r="DV301" s="92" t="str">
        <f t="shared" si="845"/>
        <v/>
      </c>
      <c r="DW301" s="92">
        <f t="shared" si="846"/>
        <v>1</v>
      </c>
      <c r="DX301" s="92">
        <f t="shared" si="847"/>
        <v>3.7713145671623177E-2</v>
      </c>
      <c r="DY301" s="92">
        <f t="shared" si="848"/>
        <v>3.500002226645825E-2</v>
      </c>
      <c r="DZ301" s="92">
        <f t="shared" si="849"/>
        <v>0.10377950862379928</v>
      </c>
      <c r="EA301" s="92">
        <f t="shared" si="850"/>
        <v>5.8249054788847177E-2</v>
      </c>
      <c r="EB301" s="92">
        <f t="shared" si="851"/>
        <v>7.0540139744291991E-2</v>
      </c>
      <c r="EC301" s="92">
        <f t="shared" si="852"/>
        <v>8.482344925251499E-2</v>
      </c>
      <c r="ED301" s="92" t="str">
        <f t="shared" si="853"/>
        <v/>
      </c>
      <c r="EE301" s="92">
        <f t="shared" si="854"/>
        <v>0.39010532034753487</v>
      </c>
      <c r="EF301" s="92">
        <f t="shared" si="855"/>
        <v>1.8828517098413291E-2</v>
      </c>
      <c r="EG301" s="92">
        <f t="shared" si="856"/>
        <v>0.40893383744594819</v>
      </c>
      <c r="EH301" s="92">
        <f t="shared" si="857"/>
        <v>0.60989467965246513</v>
      </c>
      <c r="EI301" s="92">
        <f t="shared" si="858"/>
        <v>0.50516448232711209</v>
      </c>
      <c r="EJ301" s="122">
        <f t="shared" si="859"/>
        <v>0.10473019732535303</v>
      </c>
    </row>
    <row r="302" spans="2:140" ht="12" hidden="1" customHeight="1" outlineLevel="1">
      <c r="B302" s="121">
        <v>45714</v>
      </c>
      <c r="C302" s="117">
        <v>25453</v>
      </c>
      <c r="D302" s="50" t="s">
        <v>1413</v>
      </c>
      <c r="E302" s="50" t="s">
        <v>1414</v>
      </c>
      <c r="F302" s="50" t="s">
        <v>1415</v>
      </c>
      <c r="G302" s="50" t="s">
        <v>162</v>
      </c>
      <c r="H302" s="50" t="s">
        <v>1416</v>
      </c>
      <c r="I302" s="50" t="s">
        <v>328</v>
      </c>
      <c r="J302" s="52" t="s">
        <v>360</v>
      </c>
      <c r="K302" s="50" t="s">
        <v>294</v>
      </c>
      <c r="L302" s="49">
        <v>7</v>
      </c>
      <c r="M302" s="50" t="s">
        <v>159</v>
      </c>
      <c r="N302" s="50" t="s">
        <v>160</v>
      </c>
      <c r="O302" s="50" t="s">
        <v>160</v>
      </c>
      <c r="P302" s="50" t="s">
        <v>177</v>
      </c>
      <c r="Q302" s="53">
        <v>0.04</v>
      </c>
      <c r="R302" s="49">
        <v>176</v>
      </c>
      <c r="S302" s="49">
        <v>0</v>
      </c>
      <c r="T302" s="54">
        <f t="shared" si="860"/>
        <v>176</v>
      </c>
      <c r="U302" s="55">
        <v>160703</v>
      </c>
      <c r="V302" s="49">
        <v>2.04</v>
      </c>
      <c r="W302" s="56">
        <f t="shared" si="784"/>
        <v>86.274509803921561</v>
      </c>
      <c r="X302" s="49" t="s">
        <v>163</v>
      </c>
      <c r="Y302" s="57" t="s">
        <v>162</v>
      </c>
      <c r="Z302" s="58">
        <v>54012679</v>
      </c>
      <c r="AA302" s="114">
        <f>(((34300000*0.058)/(Table1[[#This Row],[Construction Loan Principal]]))+(((19712679*0.0625)/(Table1[[#This Row],[Construction Loan Principal]]))))</f>
        <v>5.9642337635205989E-2</v>
      </c>
      <c r="AB302" s="59">
        <v>15</v>
      </c>
      <c r="AC302" s="60">
        <v>40</v>
      </c>
      <c r="AD302" s="61">
        <v>5.2999999999999999E-2</v>
      </c>
      <c r="AE302" s="62">
        <v>32800000</v>
      </c>
      <c r="AF302" s="63">
        <v>1.17</v>
      </c>
      <c r="AG302" s="59"/>
      <c r="AH302" s="60"/>
      <c r="AI302" s="61"/>
      <c r="AJ302" s="64"/>
      <c r="AK302" s="65">
        <f t="shared" si="785"/>
        <v>32800000</v>
      </c>
      <c r="AL302" s="66">
        <v>0</v>
      </c>
      <c r="AM302" s="49" t="s">
        <v>163</v>
      </c>
      <c r="AN302" s="67">
        <v>0.88</v>
      </c>
      <c r="AO302" s="62">
        <v>25599724</v>
      </c>
      <c r="AP302" s="62">
        <v>0</v>
      </c>
      <c r="AQ302" s="68">
        <v>7213875</v>
      </c>
      <c r="AR302" s="69">
        <f t="shared" si="786"/>
        <v>186363.63636363635</v>
      </c>
      <c r="AS302" s="70" t="str">
        <f t="shared" si="787"/>
        <v/>
      </c>
      <c r="AT302" s="70">
        <f t="shared" si="788"/>
        <v>145452.97727272726</v>
      </c>
      <c r="AU302" s="70" t="str">
        <f t="shared" si="789"/>
        <v/>
      </c>
      <c r="AV302" s="71">
        <f t="shared" si="790"/>
        <v>40987.92613636364</v>
      </c>
      <c r="AW302" s="115">
        <f t="shared" si="791"/>
        <v>184210.52840909091</v>
      </c>
      <c r="AX302" s="116">
        <f t="shared" si="792"/>
        <v>201.74516343814366</v>
      </c>
      <c r="AY302" s="72">
        <f t="shared" si="793"/>
        <v>222204.54545454544</v>
      </c>
      <c r="AZ302" s="73">
        <f t="shared" si="794"/>
        <v>243.35575564861887</v>
      </c>
      <c r="BA302" s="66">
        <v>6500000</v>
      </c>
      <c r="BB302" s="62">
        <v>2850000</v>
      </c>
      <c r="BC302" s="62">
        <v>29571053</v>
      </c>
      <c r="BD302" s="62">
        <v>2148000</v>
      </c>
      <c r="BE302" s="62">
        <v>4538947</v>
      </c>
      <c r="BF302" s="62">
        <v>4587116</v>
      </c>
      <c r="BG302" s="62">
        <v>7252639</v>
      </c>
      <c r="BH302" s="62">
        <v>7283930</v>
      </c>
      <c r="BI302" s="62">
        <v>881914</v>
      </c>
      <c r="BJ302" s="47">
        <f t="shared" si="795"/>
        <v>65613599</v>
      </c>
      <c r="BK302" s="69">
        <f t="shared" si="796"/>
        <v>36931.818181818184</v>
      </c>
      <c r="BL302" s="70">
        <f t="shared" si="797"/>
        <v>16193.181818181818</v>
      </c>
      <c r="BM302" s="70">
        <f t="shared" si="798"/>
        <v>168017.34659090909</v>
      </c>
      <c r="BN302" s="70">
        <f t="shared" si="799"/>
        <v>12204.545454545454</v>
      </c>
      <c r="BO302" s="70">
        <f t="shared" si="800"/>
        <v>25789.471590909092</v>
      </c>
      <c r="BP302" s="70">
        <f t="shared" si="801"/>
        <v>26063.159090909092</v>
      </c>
      <c r="BQ302" s="70">
        <f t="shared" si="802"/>
        <v>41208.17613636364</v>
      </c>
      <c r="BR302" s="70">
        <f t="shared" si="803"/>
        <v>41385.965909090912</v>
      </c>
      <c r="BS302" s="70">
        <f t="shared" si="804"/>
        <v>5010.875</v>
      </c>
      <c r="BT302" s="71">
        <f t="shared" si="805"/>
        <v>372804.53977272729</v>
      </c>
      <c r="BU302" s="65">
        <f t="shared" si="806"/>
        <v>40.447284742661928</v>
      </c>
      <c r="BV302" s="48">
        <f t="shared" si="807"/>
        <v>17.734578694859461</v>
      </c>
      <c r="BW302" s="48">
        <f t="shared" si="808"/>
        <v>184.0105847432842</v>
      </c>
      <c r="BX302" s="48">
        <f t="shared" si="809"/>
        <v>13.366271942651974</v>
      </c>
      <c r="BY302" s="48">
        <f t="shared" si="810"/>
        <v>28.244320267823252</v>
      </c>
      <c r="BZ302" s="48">
        <f t="shared" si="811"/>
        <v>28.54405953840314</v>
      </c>
      <c r="CA302" s="48">
        <f t="shared" si="812"/>
        <v>45.130700733651516</v>
      </c>
      <c r="CB302" s="48">
        <f t="shared" si="813"/>
        <v>45.325413962402692</v>
      </c>
      <c r="CC302" s="48">
        <f t="shared" si="814"/>
        <v>5.4878502579292237</v>
      </c>
      <c r="CD302" s="47">
        <f t="shared" si="815"/>
        <v>408.29106488366739</v>
      </c>
      <c r="CE302" s="66">
        <v>3444924</v>
      </c>
      <c r="CF302" s="62">
        <v>63360</v>
      </c>
      <c r="CG302" s="74">
        <v>-26321</v>
      </c>
      <c r="CH302" s="75">
        <f t="shared" si="816"/>
        <v>3481963</v>
      </c>
      <c r="CI302" s="62">
        <f>77400+40000+7040+4500+10000+30000</f>
        <v>168940</v>
      </c>
      <c r="CJ302" s="62">
        <v>96547</v>
      </c>
      <c r="CK302" s="62">
        <v>224000</v>
      </c>
      <c r="CL302" s="62">
        <f>107900+7000</f>
        <v>114900</v>
      </c>
      <c r="CM302" s="62">
        <f>46640+135000</f>
        <v>181640</v>
      </c>
      <c r="CN302" s="62">
        <v>70400</v>
      </c>
      <c r="CO302" s="62">
        <v>0</v>
      </c>
      <c r="CP302" s="75">
        <f t="shared" si="861"/>
        <v>856427</v>
      </c>
      <c r="CQ302" s="62">
        <v>44000</v>
      </c>
      <c r="CR302" s="75">
        <f t="shared" si="862"/>
        <v>900427</v>
      </c>
      <c r="CS302" s="75">
        <f t="shared" si="817"/>
        <v>2625536</v>
      </c>
      <c r="CT302" s="62">
        <v>2009587</v>
      </c>
      <c r="CU302" s="47">
        <f t="shared" si="818"/>
        <v>615949</v>
      </c>
      <c r="CV302" s="76">
        <f t="shared" si="819"/>
        <v>0.75403902913385357</v>
      </c>
      <c r="CW302" s="75">
        <f t="shared" si="820"/>
        <v>5116.0625</v>
      </c>
      <c r="CX302" s="77">
        <f t="shared" si="821"/>
        <v>0.25859752099605882</v>
      </c>
      <c r="CY302" s="75">
        <f t="shared" si="822"/>
        <v>3499.7102272727275</v>
      </c>
      <c r="CZ302" s="77">
        <f t="shared" si="823"/>
        <v>0.17689705490839505</v>
      </c>
      <c r="DA302" s="77">
        <f t="shared" si="824"/>
        <v>0.57714197422545843</v>
      </c>
      <c r="DB302" s="47">
        <f t="shared" si="825"/>
        <v>186363.63636363635</v>
      </c>
      <c r="DC302" s="69">
        <f t="shared" si="826"/>
        <v>19573.43181818182</v>
      </c>
      <c r="DD302" s="70">
        <f t="shared" si="827"/>
        <v>360</v>
      </c>
      <c r="DE302" s="70">
        <f t="shared" si="828"/>
        <v>-149.55113636363637</v>
      </c>
      <c r="DF302" s="70">
        <f t="shared" si="829"/>
        <v>19783.88068181818</v>
      </c>
      <c r="DG302" s="70">
        <f t="shared" si="830"/>
        <v>959.88636363636363</v>
      </c>
      <c r="DH302" s="70">
        <f t="shared" si="831"/>
        <v>548.5625</v>
      </c>
      <c r="DI302" s="70">
        <f t="shared" si="832"/>
        <v>1272.7272727272727</v>
      </c>
      <c r="DJ302" s="70">
        <f t="shared" si="833"/>
        <v>652.84090909090912</v>
      </c>
      <c r="DK302" s="70">
        <f t="shared" si="834"/>
        <v>1032.0454545454545</v>
      </c>
      <c r="DL302" s="70">
        <f t="shared" si="835"/>
        <v>400</v>
      </c>
      <c r="DM302" s="70" t="str">
        <f t="shared" si="836"/>
        <v/>
      </c>
      <c r="DN302" s="70">
        <f t="shared" si="837"/>
        <v>4866.0625</v>
      </c>
      <c r="DO302" s="70">
        <f t="shared" si="838"/>
        <v>250</v>
      </c>
      <c r="DP302" s="70">
        <f t="shared" si="839"/>
        <v>5116.0625</v>
      </c>
      <c r="DQ302" s="70">
        <f t="shared" si="840"/>
        <v>14917.818181818182</v>
      </c>
      <c r="DR302" s="70">
        <f t="shared" si="841"/>
        <v>11418.107954545454</v>
      </c>
      <c r="DS302" s="71">
        <f t="shared" si="842"/>
        <v>3499.7102272727275</v>
      </c>
      <c r="DT302" s="106">
        <f t="shared" si="843"/>
        <v>0.98936260953950406</v>
      </c>
      <c r="DU302" s="92">
        <f t="shared" si="844"/>
        <v>1.8196632187073784E-2</v>
      </c>
      <c r="DV302" s="92" t="str">
        <f t="shared" si="845"/>
        <v/>
      </c>
      <c r="DW302" s="92">
        <f t="shared" si="846"/>
        <v>1</v>
      </c>
      <c r="DX302" s="92">
        <f t="shared" si="847"/>
        <v>4.8518608612440742E-2</v>
      </c>
      <c r="DY302" s="92">
        <f t="shared" si="848"/>
        <v>2.7727750122560176E-2</v>
      </c>
      <c r="DZ302" s="92">
        <f t="shared" si="849"/>
        <v>6.4331527934099242E-2</v>
      </c>
      <c r="EA302" s="92">
        <f t="shared" si="850"/>
        <v>3.2998627498339296E-2</v>
      </c>
      <c r="EB302" s="92">
        <f t="shared" si="851"/>
        <v>5.2165976490847261E-2</v>
      </c>
      <c r="EC302" s="92">
        <f t="shared" si="852"/>
        <v>2.0218480207859761E-2</v>
      </c>
      <c r="ED302" s="92" t="str">
        <f t="shared" si="853"/>
        <v/>
      </c>
      <c r="EE302" s="92">
        <f t="shared" si="854"/>
        <v>0.24596097086614649</v>
      </c>
      <c r="EF302" s="92">
        <f t="shared" si="855"/>
        <v>1.2636550129912352E-2</v>
      </c>
      <c r="EG302" s="92">
        <f t="shared" si="856"/>
        <v>0.25859752099605882</v>
      </c>
      <c r="EH302" s="92">
        <f t="shared" si="857"/>
        <v>0.75403902913385357</v>
      </c>
      <c r="EI302" s="92">
        <f t="shared" si="858"/>
        <v>0.57714197422545843</v>
      </c>
      <c r="EJ302" s="122">
        <f t="shared" si="859"/>
        <v>0.17689705490839505</v>
      </c>
    </row>
    <row r="303" spans="2:140" ht="12" hidden="1" customHeight="1" outlineLevel="1">
      <c r="B303" s="121">
        <v>45716</v>
      </c>
      <c r="C303" s="117" t="s">
        <v>1417</v>
      </c>
      <c r="D303" s="50" t="s">
        <v>1418</v>
      </c>
      <c r="E303" s="50" t="s">
        <v>1392</v>
      </c>
      <c r="F303" s="50" t="s">
        <v>1393</v>
      </c>
      <c r="G303" s="50" t="s">
        <v>154</v>
      </c>
      <c r="H303" s="50" t="s">
        <v>608</v>
      </c>
      <c r="I303" s="50" t="s">
        <v>167</v>
      </c>
      <c r="J303" s="52" t="s">
        <v>1419</v>
      </c>
      <c r="K303" s="50" t="s">
        <v>1420</v>
      </c>
      <c r="L303" s="49">
        <v>4</v>
      </c>
      <c r="M303" s="50" t="s">
        <v>159</v>
      </c>
      <c r="N303" s="50" t="s">
        <v>244</v>
      </c>
      <c r="O303" s="50" t="s">
        <v>160</v>
      </c>
      <c r="P303" s="50" t="s">
        <v>177</v>
      </c>
      <c r="Q303" s="53">
        <v>0.09</v>
      </c>
      <c r="R303" s="49">
        <v>74</v>
      </c>
      <c r="S303" s="49">
        <v>0</v>
      </c>
      <c r="T303" s="54">
        <f t="shared" si="860"/>
        <v>74</v>
      </c>
      <c r="U303" s="55">
        <v>62000</v>
      </c>
      <c r="V303" s="49">
        <v>5.08</v>
      </c>
      <c r="W303" s="56">
        <f t="shared" si="784"/>
        <v>14.566929133858267</v>
      </c>
      <c r="X303" s="49" t="s">
        <v>163</v>
      </c>
      <c r="Y303" s="57" t="s">
        <v>162</v>
      </c>
      <c r="Z303" s="58">
        <v>3010000</v>
      </c>
      <c r="AA303" s="114">
        <v>5.7500000000000002E-2</v>
      </c>
      <c r="AB303" s="59">
        <v>18</v>
      </c>
      <c r="AC303" s="60">
        <v>35</v>
      </c>
      <c r="AD303" s="61">
        <v>5.7500000000000002E-2</v>
      </c>
      <c r="AE303" s="62">
        <v>3010000</v>
      </c>
      <c r="AF303" s="63">
        <v>1.1499999999999999</v>
      </c>
      <c r="AG303" s="59"/>
      <c r="AH303" s="60"/>
      <c r="AI303" s="61"/>
      <c r="AJ303" s="64"/>
      <c r="AK303" s="65">
        <f t="shared" si="785"/>
        <v>3010000</v>
      </c>
      <c r="AL303" s="66">
        <v>610</v>
      </c>
      <c r="AM303" s="49" t="s">
        <v>1421</v>
      </c>
      <c r="AN303" s="67">
        <v>0.87</v>
      </c>
      <c r="AO303" s="62">
        <v>13699760</v>
      </c>
      <c r="AP303" s="62">
        <v>0</v>
      </c>
      <c r="AQ303" s="68">
        <v>107111</v>
      </c>
      <c r="AR303" s="69">
        <f t="shared" si="786"/>
        <v>40675.675675675673</v>
      </c>
      <c r="AS303" s="70">
        <f t="shared" si="787"/>
        <v>8.2432432432432439</v>
      </c>
      <c r="AT303" s="70">
        <f t="shared" si="788"/>
        <v>185131.89189189189</v>
      </c>
      <c r="AU303" s="70" t="str">
        <f t="shared" si="789"/>
        <v/>
      </c>
      <c r="AV303" s="71">
        <f t="shared" si="790"/>
        <v>1447.4459459459461</v>
      </c>
      <c r="AW303" s="115">
        <f t="shared" si="791"/>
        <v>128523.06756756757</v>
      </c>
      <c r="AX303" s="116">
        <f t="shared" si="792"/>
        <v>153.39850000000001</v>
      </c>
      <c r="AY303" s="72">
        <f t="shared" si="793"/>
        <v>155484.74324324325</v>
      </c>
      <c r="AZ303" s="73">
        <f t="shared" si="794"/>
        <v>185.57856451612906</v>
      </c>
      <c r="BA303" s="66">
        <v>1285000</v>
      </c>
      <c r="BB303" s="62">
        <v>2022527</v>
      </c>
      <c r="BC303" s="62">
        <v>7488180</v>
      </c>
      <c r="BD303" s="62">
        <v>582163</v>
      </c>
      <c r="BE303" s="62">
        <v>1413001</v>
      </c>
      <c r="BF303" s="62">
        <v>849023</v>
      </c>
      <c r="BG303" s="62">
        <v>979414</v>
      </c>
      <c r="BH303" s="62">
        <v>1935345</v>
      </c>
      <c r="BI303" s="62">
        <v>262828</v>
      </c>
      <c r="BJ303" s="47">
        <f t="shared" si="795"/>
        <v>16817481</v>
      </c>
      <c r="BK303" s="69">
        <f t="shared" si="796"/>
        <v>17364.864864864863</v>
      </c>
      <c r="BL303" s="70">
        <f t="shared" si="797"/>
        <v>27331.445945945947</v>
      </c>
      <c r="BM303" s="70">
        <f t="shared" si="798"/>
        <v>101191.62162162163</v>
      </c>
      <c r="BN303" s="70">
        <f t="shared" si="799"/>
        <v>7867.0675675675675</v>
      </c>
      <c r="BO303" s="70">
        <f t="shared" si="800"/>
        <v>19094.608108108107</v>
      </c>
      <c r="BP303" s="70">
        <f t="shared" si="801"/>
        <v>11473.283783783783</v>
      </c>
      <c r="BQ303" s="70">
        <f t="shared" si="802"/>
        <v>13235.324324324325</v>
      </c>
      <c r="BR303" s="70">
        <f t="shared" si="803"/>
        <v>26153.31081081081</v>
      </c>
      <c r="BS303" s="70">
        <f t="shared" si="804"/>
        <v>3551.7297297297296</v>
      </c>
      <c r="BT303" s="71">
        <f t="shared" si="805"/>
        <v>227263.25675675675</v>
      </c>
      <c r="BU303" s="65">
        <f t="shared" si="806"/>
        <v>20.725806451612904</v>
      </c>
      <c r="BV303" s="48">
        <f t="shared" si="807"/>
        <v>32.621403225806453</v>
      </c>
      <c r="BW303" s="48">
        <f t="shared" si="808"/>
        <v>120.77709677419355</v>
      </c>
      <c r="BX303" s="48">
        <f t="shared" si="809"/>
        <v>9.3897258064516134</v>
      </c>
      <c r="BY303" s="48">
        <f t="shared" si="810"/>
        <v>22.790338709677421</v>
      </c>
      <c r="BZ303" s="48">
        <f t="shared" si="811"/>
        <v>13.693919354838709</v>
      </c>
      <c r="CA303" s="48">
        <f t="shared" si="812"/>
        <v>15.797000000000001</v>
      </c>
      <c r="CB303" s="48">
        <f t="shared" si="813"/>
        <v>31.215241935483871</v>
      </c>
      <c r="CC303" s="48">
        <f t="shared" si="814"/>
        <v>4.2391612903225804</v>
      </c>
      <c r="CD303" s="47">
        <f t="shared" si="815"/>
        <v>271.24969354838709</v>
      </c>
      <c r="CE303" s="66">
        <v>641964</v>
      </c>
      <c r="CF303" s="62">
        <v>17760</v>
      </c>
      <c r="CG303" s="74">
        <v>-49479</v>
      </c>
      <c r="CH303" s="75">
        <f t="shared" si="816"/>
        <v>610245</v>
      </c>
      <c r="CI303" s="62">
        <f>29900+2960</f>
        <v>32860</v>
      </c>
      <c r="CJ303" s="62">
        <v>35520</v>
      </c>
      <c r="CK303" s="62">
        <v>92650</v>
      </c>
      <c r="CL303" s="62">
        <f>600+48500</f>
        <v>49100</v>
      </c>
      <c r="CM303" s="62">
        <f>900+12000+37000</f>
        <v>49900</v>
      </c>
      <c r="CN303" s="62">
        <v>47220</v>
      </c>
      <c r="CO303" s="62">
        <v>54000</v>
      </c>
      <c r="CP303" s="75">
        <f t="shared" si="861"/>
        <v>361250</v>
      </c>
      <c r="CQ303" s="62">
        <v>18500</v>
      </c>
      <c r="CR303" s="75">
        <f t="shared" si="862"/>
        <v>379750</v>
      </c>
      <c r="CS303" s="75">
        <f t="shared" si="817"/>
        <v>248995</v>
      </c>
      <c r="CT303" s="62">
        <v>199924</v>
      </c>
      <c r="CU303" s="47">
        <f t="shared" si="818"/>
        <v>49071</v>
      </c>
      <c r="CV303" s="76">
        <f t="shared" si="819"/>
        <v>0.4080246458389663</v>
      </c>
      <c r="CW303" s="75">
        <f t="shared" si="820"/>
        <v>5131.7567567567567</v>
      </c>
      <c r="CX303" s="77">
        <f t="shared" si="821"/>
        <v>0.62229104703848459</v>
      </c>
      <c r="CY303" s="75">
        <f t="shared" si="822"/>
        <v>663.12162162162167</v>
      </c>
      <c r="CZ303" s="77">
        <f t="shared" si="823"/>
        <v>8.0411965685913037E-2</v>
      </c>
      <c r="DA303" s="77">
        <f t="shared" si="824"/>
        <v>0.32761268015305328</v>
      </c>
      <c r="DB303" s="47">
        <f t="shared" si="825"/>
        <v>40675.675675675673</v>
      </c>
      <c r="DC303" s="69">
        <f t="shared" si="826"/>
        <v>8675.1891891891901</v>
      </c>
      <c r="DD303" s="70">
        <f t="shared" si="827"/>
        <v>240</v>
      </c>
      <c r="DE303" s="70">
        <f t="shared" si="828"/>
        <v>-668.6351351351351</v>
      </c>
      <c r="DF303" s="70">
        <f t="shared" si="829"/>
        <v>8246.5540540540533</v>
      </c>
      <c r="DG303" s="70">
        <f t="shared" si="830"/>
        <v>444.05405405405406</v>
      </c>
      <c r="DH303" s="70">
        <f t="shared" si="831"/>
        <v>480</v>
      </c>
      <c r="DI303" s="70">
        <f t="shared" si="832"/>
        <v>1252.0270270270271</v>
      </c>
      <c r="DJ303" s="70">
        <f t="shared" si="833"/>
        <v>663.51351351351354</v>
      </c>
      <c r="DK303" s="70">
        <f t="shared" si="834"/>
        <v>674.32432432432438</v>
      </c>
      <c r="DL303" s="70">
        <f t="shared" si="835"/>
        <v>638.10810810810813</v>
      </c>
      <c r="DM303" s="70">
        <f t="shared" si="836"/>
        <v>729.72972972972968</v>
      </c>
      <c r="DN303" s="70">
        <f t="shared" si="837"/>
        <v>4881.7567567567567</v>
      </c>
      <c r="DO303" s="70">
        <f t="shared" si="838"/>
        <v>250</v>
      </c>
      <c r="DP303" s="70">
        <f t="shared" si="839"/>
        <v>5131.7567567567567</v>
      </c>
      <c r="DQ303" s="70">
        <f t="shared" si="840"/>
        <v>3364.7972972972975</v>
      </c>
      <c r="DR303" s="70">
        <f t="shared" si="841"/>
        <v>2701.6756756756758</v>
      </c>
      <c r="DS303" s="71">
        <f t="shared" si="842"/>
        <v>663.12162162162167</v>
      </c>
      <c r="DT303" s="106">
        <f t="shared" si="843"/>
        <v>1.0519774844529657</v>
      </c>
      <c r="DU303" s="92">
        <f t="shared" si="844"/>
        <v>2.9103065162352827E-2</v>
      </c>
      <c r="DV303" s="92" t="str">
        <f t="shared" si="845"/>
        <v/>
      </c>
      <c r="DW303" s="92">
        <f t="shared" si="846"/>
        <v>1</v>
      </c>
      <c r="DX303" s="92">
        <f t="shared" si="847"/>
        <v>5.384722529475866E-2</v>
      </c>
      <c r="DY303" s="92">
        <f t="shared" si="848"/>
        <v>5.8206130324705653E-2</v>
      </c>
      <c r="DZ303" s="92">
        <f t="shared" si="849"/>
        <v>0.15182426730247686</v>
      </c>
      <c r="EA303" s="92">
        <f t="shared" si="850"/>
        <v>8.0459487582856065E-2</v>
      </c>
      <c r="EB303" s="92">
        <f t="shared" si="851"/>
        <v>8.1770436464043125E-2</v>
      </c>
      <c r="EC303" s="92">
        <f t="shared" si="852"/>
        <v>7.7378757712066468E-2</v>
      </c>
      <c r="ED303" s="92">
        <f t="shared" si="853"/>
        <v>8.8489049480126841E-2</v>
      </c>
      <c r="EE303" s="92">
        <f t="shared" si="854"/>
        <v>0.59197535416103364</v>
      </c>
      <c r="EF303" s="92">
        <f t="shared" si="855"/>
        <v>3.031569287745086E-2</v>
      </c>
      <c r="EG303" s="92">
        <f t="shared" si="856"/>
        <v>0.62229104703848459</v>
      </c>
      <c r="EH303" s="92">
        <f t="shared" si="857"/>
        <v>0.4080246458389663</v>
      </c>
      <c r="EI303" s="92">
        <f t="shared" si="858"/>
        <v>0.32761268015305328</v>
      </c>
      <c r="EJ303" s="122">
        <f t="shared" si="859"/>
        <v>8.0411965685913037E-2</v>
      </c>
    </row>
    <row r="304" spans="2:140" ht="12" hidden="1" customHeight="1" outlineLevel="1">
      <c r="B304" s="121">
        <v>45719</v>
      </c>
      <c r="C304" s="117">
        <v>25411</v>
      </c>
      <c r="D304" s="50" t="s">
        <v>1422</v>
      </c>
      <c r="E304" s="50" t="s">
        <v>1407</v>
      </c>
      <c r="F304" s="50" t="s">
        <v>1350</v>
      </c>
      <c r="G304" s="50" t="s">
        <v>291</v>
      </c>
      <c r="H304" s="50" t="s">
        <v>619</v>
      </c>
      <c r="I304" s="50" t="s">
        <v>306</v>
      </c>
      <c r="J304" s="52" t="s">
        <v>175</v>
      </c>
      <c r="K304" s="50" t="s">
        <v>176</v>
      </c>
      <c r="L304" s="49">
        <v>6</v>
      </c>
      <c r="M304" s="50" t="s">
        <v>159</v>
      </c>
      <c r="N304" s="50" t="s">
        <v>160</v>
      </c>
      <c r="O304" s="50" t="s">
        <v>160</v>
      </c>
      <c r="P304" s="50" t="s">
        <v>1351</v>
      </c>
      <c r="Q304" s="53">
        <v>0.04</v>
      </c>
      <c r="R304" s="49">
        <v>240</v>
      </c>
      <c r="S304" s="49">
        <v>0</v>
      </c>
      <c r="T304" s="54">
        <f t="shared" si="860"/>
        <v>240</v>
      </c>
      <c r="U304" s="55">
        <v>224114</v>
      </c>
      <c r="V304" s="49">
        <v>12.1</v>
      </c>
      <c r="W304" s="56">
        <f t="shared" si="784"/>
        <v>19.834710743801654</v>
      </c>
      <c r="X304" s="49">
        <v>2002</v>
      </c>
      <c r="Y304" s="57" t="s">
        <v>162</v>
      </c>
      <c r="Z304" s="58">
        <v>30743000</v>
      </c>
      <c r="AA304" s="114">
        <f>(((21103000*0.06)/(Table1[[#This Row],[Construction Loan Principal]]))+(((9640000*0.075)/(Table1[[#This Row],[Construction Loan Principal]]))))</f>
        <v>6.4703509742055104E-2</v>
      </c>
      <c r="AB304" s="59">
        <v>18</v>
      </c>
      <c r="AC304" s="60">
        <v>40</v>
      </c>
      <c r="AD304" s="61">
        <v>0.06</v>
      </c>
      <c r="AE304" s="62">
        <v>21103000</v>
      </c>
      <c r="AF304" s="63">
        <v>1.32</v>
      </c>
      <c r="AG304" s="59">
        <v>18</v>
      </c>
      <c r="AH304" s="60">
        <v>40</v>
      </c>
      <c r="AI304" s="61">
        <v>6.5000000000000002E-2</v>
      </c>
      <c r="AJ304" s="64">
        <v>2900000</v>
      </c>
      <c r="AK304" s="65">
        <f t="shared" si="785"/>
        <v>24003000</v>
      </c>
      <c r="AL304" s="66">
        <v>0</v>
      </c>
      <c r="AM304" s="49" t="s">
        <v>163</v>
      </c>
      <c r="AN304" s="67">
        <v>0.88</v>
      </c>
      <c r="AO304" s="62">
        <v>12689412</v>
      </c>
      <c r="AP304" s="62">
        <v>1144800</v>
      </c>
      <c r="AQ304" s="68">
        <v>3717359</v>
      </c>
      <c r="AR304" s="69">
        <f t="shared" si="786"/>
        <v>100012.5</v>
      </c>
      <c r="AS304" s="70" t="str">
        <f t="shared" si="787"/>
        <v/>
      </c>
      <c r="AT304" s="70">
        <f t="shared" si="788"/>
        <v>52872.55</v>
      </c>
      <c r="AU304" s="70">
        <f t="shared" si="789"/>
        <v>4770</v>
      </c>
      <c r="AV304" s="71">
        <f t="shared" si="790"/>
        <v>15488.995833333332</v>
      </c>
      <c r="AW304" s="115">
        <f t="shared" si="791"/>
        <v>30000</v>
      </c>
      <c r="AX304" s="116">
        <f t="shared" si="792"/>
        <v>32.126507045521478</v>
      </c>
      <c r="AY304" s="72">
        <f t="shared" si="793"/>
        <v>37620</v>
      </c>
      <c r="AZ304" s="73">
        <f t="shared" si="794"/>
        <v>40.286639835083925</v>
      </c>
      <c r="BA304" s="66">
        <v>22850000</v>
      </c>
      <c r="BB304" s="62">
        <v>528000</v>
      </c>
      <c r="BC304" s="62">
        <v>6672000</v>
      </c>
      <c r="BD304" s="62">
        <v>720000</v>
      </c>
      <c r="BE304" s="62">
        <v>1108800</v>
      </c>
      <c r="BF304" s="62">
        <v>797500</v>
      </c>
      <c r="BG304" s="62">
        <v>3125697</v>
      </c>
      <c r="BH304" s="62">
        <v>4702574</v>
      </c>
      <c r="BI304" s="62">
        <v>1050000</v>
      </c>
      <c r="BJ304" s="47">
        <f t="shared" si="795"/>
        <v>41554571</v>
      </c>
      <c r="BK304" s="69">
        <f t="shared" si="796"/>
        <v>95208.333333333328</v>
      </c>
      <c r="BL304" s="70">
        <f t="shared" si="797"/>
        <v>2200</v>
      </c>
      <c r="BM304" s="70">
        <f t="shared" si="798"/>
        <v>27800</v>
      </c>
      <c r="BN304" s="70">
        <f t="shared" si="799"/>
        <v>3000</v>
      </c>
      <c r="BO304" s="70">
        <f t="shared" si="800"/>
        <v>4620</v>
      </c>
      <c r="BP304" s="70">
        <f t="shared" si="801"/>
        <v>3322.9166666666665</v>
      </c>
      <c r="BQ304" s="70">
        <f t="shared" si="802"/>
        <v>13023.737499999999</v>
      </c>
      <c r="BR304" s="70">
        <f t="shared" si="803"/>
        <v>19594.058333333334</v>
      </c>
      <c r="BS304" s="70">
        <f t="shared" si="804"/>
        <v>4375</v>
      </c>
      <c r="BT304" s="71">
        <f t="shared" si="805"/>
        <v>173144.04583333334</v>
      </c>
      <c r="BU304" s="65">
        <f t="shared" si="806"/>
        <v>101.95703972085634</v>
      </c>
      <c r="BV304" s="48">
        <f t="shared" si="807"/>
        <v>2.3559438500049081</v>
      </c>
      <c r="BW304" s="48">
        <f t="shared" si="808"/>
        <v>29.770563195516566</v>
      </c>
      <c r="BX304" s="48">
        <f t="shared" si="809"/>
        <v>3.2126507045521477</v>
      </c>
      <c r="BY304" s="48">
        <f t="shared" si="810"/>
        <v>4.9474820850103072</v>
      </c>
      <c r="BZ304" s="48">
        <f t="shared" si="811"/>
        <v>3.5584568567782466</v>
      </c>
      <c r="CA304" s="48">
        <f t="shared" si="812"/>
        <v>13.946906485092409</v>
      </c>
      <c r="CB304" s="48">
        <f t="shared" si="813"/>
        <v>20.982955103206404</v>
      </c>
      <c r="CC304" s="48">
        <f t="shared" si="814"/>
        <v>4.685115610805215</v>
      </c>
      <c r="CD304" s="47">
        <f t="shared" si="815"/>
        <v>185.41711361182254</v>
      </c>
      <c r="CE304" s="66">
        <v>3330048</v>
      </c>
      <c r="CF304" s="62">
        <v>72000</v>
      </c>
      <c r="CG304" s="74">
        <v>-255154</v>
      </c>
      <c r="CH304" s="75">
        <f t="shared" si="816"/>
        <v>3146894</v>
      </c>
      <c r="CI304" s="62">
        <f>85000+9600+4500</f>
        <v>99100</v>
      </c>
      <c r="CJ304" s="62">
        <v>125876</v>
      </c>
      <c r="CK304" s="62">
        <v>344000</v>
      </c>
      <c r="CL304" s="62">
        <f>170000+0</f>
        <v>170000</v>
      </c>
      <c r="CM304" s="62">
        <f>5000+40000+145000</f>
        <v>190000</v>
      </c>
      <c r="CN304" s="62">
        <v>280000</v>
      </c>
      <c r="CO304" s="62">
        <v>0</v>
      </c>
      <c r="CP304" s="75">
        <f t="shared" si="861"/>
        <v>1208976</v>
      </c>
      <c r="CQ304" s="62">
        <v>72000</v>
      </c>
      <c r="CR304" s="75">
        <f t="shared" si="862"/>
        <v>1280976</v>
      </c>
      <c r="CS304" s="75">
        <f t="shared" si="817"/>
        <v>1937918</v>
      </c>
      <c r="CT304" s="62">
        <f>1414442+203739</f>
        <v>1618181</v>
      </c>
      <c r="CU304" s="47">
        <f t="shared" si="818"/>
        <v>319737</v>
      </c>
      <c r="CV304" s="76">
        <f t="shared" si="819"/>
        <v>0.6158192808528028</v>
      </c>
      <c r="CW304" s="75">
        <f t="shared" si="820"/>
        <v>5337.4</v>
      </c>
      <c r="CX304" s="77">
        <f t="shared" si="821"/>
        <v>0.40706042211780885</v>
      </c>
      <c r="CY304" s="75">
        <f t="shared" si="822"/>
        <v>1332.2375</v>
      </c>
      <c r="CZ304" s="77">
        <f t="shared" si="823"/>
        <v>0.10160399428770082</v>
      </c>
      <c r="DA304" s="77">
        <f t="shared" si="824"/>
        <v>0.51421528656510196</v>
      </c>
      <c r="DB304" s="47">
        <f t="shared" si="825"/>
        <v>100012.5</v>
      </c>
      <c r="DC304" s="69">
        <f t="shared" si="826"/>
        <v>13875.2</v>
      </c>
      <c r="DD304" s="70">
        <f t="shared" si="827"/>
        <v>300</v>
      </c>
      <c r="DE304" s="70">
        <f t="shared" si="828"/>
        <v>-1063.1416666666667</v>
      </c>
      <c r="DF304" s="70">
        <f t="shared" si="829"/>
        <v>13112.058333333332</v>
      </c>
      <c r="DG304" s="70">
        <f t="shared" si="830"/>
        <v>412.91666666666669</v>
      </c>
      <c r="DH304" s="70">
        <f t="shared" si="831"/>
        <v>524.48333333333335</v>
      </c>
      <c r="DI304" s="70">
        <f t="shared" si="832"/>
        <v>1433.3333333333333</v>
      </c>
      <c r="DJ304" s="70">
        <f t="shared" si="833"/>
        <v>708.33333333333337</v>
      </c>
      <c r="DK304" s="70">
        <f t="shared" si="834"/>
        <v>791.66666666666663</v>
      </c>
      <c r="DL304" s="70">
        <f t="shared" si="835"/>
        <v>1166.6666666666667</v>
      </c>
      <c r="DM304" s="70" t="str">
        <f t="shared" si="836"/>
        <v/>
      </c>
      <c r="DN304" s="70">
        <f t="shared" si="837"/>
        <v>5037.3999999999996</v>
      </c>
      <c r="DO304" s="70">
        <f t="shared" si="838"/>
        <v>300</v>
      </c>
      <c r="DP304" s="70">
        <f t="shared" si="839"/>
        <v>5337.4</v>
      </c>
      <c r="DQ304" s="70">
        <f t="shared" si="840"/>
        <v>8074.6583333333338</v>
      </c>
      <c r="DR304" s="70">
        <f t="shared" si="841"/>
        <v>6742.4208333333336</v>
      </c>
      <c r="DS304" s="71">
        <f t="shared" si="842"/>
        <v>1332.2375</v>
      </c>
      <c r="DT304" s="106">
        <f t="shared" si="843"/>
        <v>1.0582015155261029</v>
      </c>
      <c r="DU304" s="92">
        <f t="shared" si="844"/>
        <v>2.2879702970611659E-2</v>
      </c>
      <c r="DV304" s="92" t="str">
        <f t="shared" si="845"/>
        <v/>
      </c>
      <c r="DW304" s="92">
        <f t="shared" si="846"/>
        <v>1</v>
      </c>
      <c r="DX304" s="92">
        <f t="shared" si="847"/>
        <v>3.1491368949827986E-2</v>
      </c>
      <c r="DY304" s="92">
        <f t="shared" si="848"/>
        <v>4.0000076265676567E-2</v>
      </c>
      <c r="DZ304" s="92">
        <f t="shared" si="849"/>
        <v>0.10931413641514458</v>
      </c>
      <c r="EA304" s="92">
        <f t="shared" si="850"/>
        <v>5.4021520902833083E-2</v>
      </c>
      <c r="EB304" s="92">
        <f t="shared" si="851"/>
        <v>6.0376993950225208E-2</v>
      </c>
      <c r="EC304" s="92">
        <f t="shared" si="852"/>
        <v>8.8976622663489782E-2</v>
      </c>
      <c r="ED304" s="92" t="str">
        <f t="shared" si="853"/>
        <v/>
      </c>
      <c r="EE304" s="92">
        <f t="shared" si="854"/>
        <v>0.3841807191471972</v>
      </c>
      <c r="EF304" s="92">
        <f t="shared" si="855"/>
        <v>2.2879702970611659E-2</v>
      </c>
      <c r="EG304" s="92">
        <f t="shared" si="856"/>
        <v>0.40706042211780885</v>
      </c>
      <c r="EH304" s="92">
        <f t="shared" si="857"/>
        <v>0.6158192808528028</v>
      </c>
      <c r="EI304" s="92">
        <f t="shared" si="858"/>
        <v>0.51421528656510196</v>
      </c>
      <c r="EJ304" s="122">
        <f t="shared" si="859"/>
        <v>0.10160399428770082</v>
      </c>
    </row>
    <row r="305" spans="2:140" ht="12" hidden="1" customHeight="1" outlineLevel="1">
      <c r="B305" s="121">
        <v>45720</v>
      </c>
      <c r="C305" s="117">
        <v>25405</v>
      </c>
      <c r="D305" s="50" t="s">
        <v>1423</v>
      </c>
      <c r="E305" s="50" t="s">
        <v>958</v>
      </c>
      <c r="F305" s="50" t="s">
        <v>1424</v>
      </c>
      <c r="G305" s="50" t="s">
        <v>162</v>
      </c>
      <c r="H305" s="50" t="s">
        <v>694</v>
      </c>
      <c r="I305" s="50" t="s">
        <v>1425</v>
      </c>
      <c r="J305" s="52" t="s">
        <v>230</v>
      </c>
      <c r="K305" s="50" t="s">
        <v>230</v>
      </c>
      <c r="L305" s="49">
        <v>3</v>
      </c>
      <c r="M305" s="50" t="s">
        <v>159</v>
      </c>
      <c r="N305" s="50" t="s">
        <v>160</v>
      </c>
      <c r="O305" s="50" t="s">
        <v>160</v>
      </c>
      <c r="P305" s="50" t="s">
        <v>177</v>
      </c>
      <c r="Q305" s="53">
        <v>0.04</v>
      </c>
      <c r="R305" s="49">
        <v>200</v>
      </c>
      <c r="S305" s="49">
        <v>0</v>
      </c>
      <c r="T305" s="54">
        <f t="shared" si="860"/>
        <v>200</v>
      </c>
      <c r="U305" s="55">
        <v>202020</v>
      </c>
      <c r="V305" s="49">
        <v>6.56</v>
      </c>
      <c r="W305" s="56">
        <f t="shared" si="784"/>
        <v>30.487804878048781</v>
      </c>
      <c r="X305" s="49" t="s">
        <v>163</v>
      </c>
      <c r="Y305" s="57" t="s">
        <v>162</v>
      </c>
      <c r="Z305" s="58">
        <v>36500000</v>
      </c>
      <c r="AA305" s="114">
        <v>7.4999999999999997E-2</v>
      </c>
      <c r="AB305" s="59">
        <v>18</v>
      </c>
      <c r="AC305" s="60">
        <v>40</v>
      </c>
      <c r="AD305" s="61">
        <v>0.06</v>
      </c>
      <c r="AE305" s="62">
        <v>25605900</v>
      </c>
      <c r="AF305" s="63">
        <v>1.1499999999999999</v>
      </c>
      <c r="AG305" s="59"/>
      <c r="AH305" s="60"/>
      <c r="AI305" s="61"/>
      <c r="AJ305" s="64"/>
      <c r="AK305" s="65">
        <f t="shared" si="785"/>
        <v>25605900</v>
      </c>
      <c r="AL305" s="66">
        <v>6950000</v>
      </c>
      <c r="AM305" s="49" t="s">
        <v>961</v>
      </c>
      <c r="AN305" s="67">
        <v>0.86</v>
      </c>
      <c r="AO305" s="62">
        <v>23937703</v>
      </c>
      <c r="AP305" s="62">
        <f>3915000+256059</f>
        <v>4171059</v>
      </c>
      <c r="AQ305" s="68">
        <v>2800315</v>
      </c>
      <c r="AR305" s="69">
        <f t="shared" si="786"/>
        <v>128029.5</v>
      </c>
      <c r="AS305" s="70">
        <f t="shared" si="787"/>
        <v>34750</v>
      </c>
      <c r="AT305" s="70">
        <f t="shared" si="788"/>
        <v>119688.515</v>
      </c>
      <c r="AU305" s="70">
        <f t="shared" si="789"/>
        <v>20855.294999999998</v>
      </c>
      <c r="AV305" s="71">
        <f t="shared" si="790"/>
        <v>14001.575000000001</v>
      </c>
      <c r="AW305" s="115">
        <f t="shared" si="791"/>
        <v>147187.84</v>
      </c>
      <c r="AX305" s="116">
        <f t="shared" si="792"/>
        <v>145.71610731610733</v>
      </c>
      <c r="AY305" s="72">
        <f t="shared" si="793"/>
        <v>174739.34</v>
      </c>
      <c r="AZ305" s="73">
        <f t="shared" si="794"/>
        <v>172.99211959211962</v>
      </c>
      <c r="BA305" s="66">
        <v>3970000</v>
      </c>
      <c r="BB305" s="62">
        <v>4218200</v>
      </c>
      <c r="BC305" s="62">
        <v>25219368</v>
      </c>
      <c r="BD305" s="62">
        <v>1594351</v>
      </c>
      <c r="BE305" s="62">
        <v>3915949</v>
      </c>
      <c r="BF305" s="62">
        <v>2720500</v>
      </c>
      <c r="BG305" s="62">
        <v>13406812</v>
      </c>
      <c r="BH305" s="62">
        <v>7044054</v>
      </c>
      <c r="BI305" s="62">
        <v>1375743</v>
      </c>
      <c r="BJ305" s="47">
        <f t="shared" si="795"/>
        <v>63464977</v>
      </c>
      <c r="BK305" s="69">
        <f t="shared" si="796"/>
        <v>19850</v>
      </c>
      <c r="BL305" s="70">
        <f t="shared" si="797"/>
        <v>21091</v>
      </c>
      <c r="BM305" s="70">
        <f t="shared" si="798"/>
        <v>126096.84</v>
      </c>
      <c r="BN305" s="70">
        <f t="shared" si="799"/>
        <v>7971.7550000000001</v>
      </c>
      <c r="BO305" s="70">
        <f t="shared" si="800"/>
        <v>19579.744999999999</v>
      </c>
      <c r="BP305" s="70">
        <f t="shared" si="801"/>
        <v>13602.5</v>
      </c>
      <c r="BQ305" s="70">
        <f t="shared" si="802"/>
        <v>67034.06</v>
      </c>
      <c r="BR305" s="70">
        <f t="shared" si="803"/>
        <v>35220.269999999997</v>
      </c>
      <c r="BS305" s="70">
        <f t="shared" si="804"/>
        <v>6878.7150000000001</v>
      </c>
      <c r="BT305" s="71">
        <f t="shared" si="805"/>
        <v>317324.88500000001</v>
      </c>
      <c r="BU305" s="65">
        <f t="shared" si="806"/>
        <v>19.651519651519653</v>
      </c>
      <c r="BV305" s="48">
        <f t="shared" si="807"/>
        <v>20.88011088011088</v>
      </c>
      <c r="BW305" s="48">
        <f t="shared" si="808"/>
        <v>124.83599643599644</v>
      </c>
      <c r="BX305" s="48">
        <f t="shared" si="809"/>
        <v>7.8920453420453418</v>
      </c>
      <c r="BY305" s="48">
        <f t="shared" si="810"/>
        <v>19.383966933966935</v>
      </c>
      <c r="BZ305" s="48">
        <f t="shared" si="811"/>
        <v>13.466488466488466</v>
      </c>
      <c r="CA305" s="48">
        <f t="shared" si="812"/>
        <v>66.363785763785771</v>
      </c>
      <c r="CB305" s="48">
        <f t="shared" si="813"/>
        <v>34.868102168102169</v>
      </c>
      <c r="CC305" s="48">
        <f t="shared" si="814"/>
        <v>6.80993465993466</v>
      </c>
      <c r="CD305" s="47">
        <f t="shared" si="815"/>
        <v>314.15195030195031</v>
      </c>
      <c r="CE305" s="66">
        <v>3308148</v>
      </c>
      <c r="CF305" s="62">
        <v>72000</v>
      </c>
      <c r="CG305" s="74">
        <v>-253511</v>
      </c>
      <c r="CH305" s="75">
        <f t="shared" si="816"/>
        <v>3126637</v>
      </c>
      <c r="CI305" s="62">
        <f>149560+8000+5000</f>
        <v>162560</v>
      </c>
      <c r="CJ305" s="62">
        <v>125065</v>
      </c>
      <c r="CK305" s="62">
        <v>330000</v>
      </c>
      <c r="CL305" s="62">
        <v>157000</v>
      </c>
      <c r="CM305" s="62">
        <f>40000+146000</f>
        <v>186000</v>
      </c>
      <c r="CN305" s="62">
        <v>130000</v>
      </c>
      <c r="CO305" s="62">
        <v>0</v>
      </c>
      <c r="CP305" s="75">
        <f t="shared" si="861"/>
        <v>1090625</v>
      </c>
      <c r="CQ305" s="62">
        <v>60000</v>
      </c>
      <c r="CR305" s="75">
        <f t="shared" si="862"/>
        <v>1150625</v>
      </c>
      <c r="CS305" s="75">
        <f t="shared" si="817"/>
        <v>2036012</v>
      </c>
      <c r="CT305" s="62">
        <v>1716252</v>
      </c>
      <c r="CU305" s="47">
        <f t="shared" si="818"/>
        <v>319760</v>
      </c>
      <c r="CV305" s="76">
        <f t="shared" si="819"/>
        <v>0.6511827244416285</v>
      </c>
      <c r="CW305" s="75">
        <f t="shared" si="820"/>
        <v>5753.125</v>
      </c>
      <c r="CX305" s="77">
        <f t="shared" si="821"/>
        <v>0.36800722309625328</v>
      </c>
      <c r="CY305" s="75">
        <f t="shared" si="822"/>
        <v>1598.8</v>
      </c>
      <c r="CZ305" s="77">
        <f t="shared" si="823"/>
        <v>0.10226962707855117</v>
      </c>
      <c r="DA305" s="77">
        <f t="shared" si="824"/>
        <v>0.54891309736307736</v>
      </c>
      <c r="DB305" s="47">
        <f t="shared" si="825"/>
        <v>128029.5</v>
      </c>
      <c r="DC305" s="69">
        <f t="shared" si="826"/>
        <v>16540.740000000002</v>
      </c>
      <c r="DD305" s="70">
        <f t="shared" si="827"/>
        <v>360</v>
      </c>
      <c r="DE305" s="70">
        <f t="shared" si="828"/>
        <v>-1267.5550000000001</v>
      </c>
      <c r="DF305" s="70">
        <f t="shared" si="829"/>
        <v>15633.184999999999</v>
      </c>
      <c r="DG305" s="70">
        <f t="shared" si="830"/>
        <v>812.8</v>
      </c>
      <c r="DH305" s="70">
        <f t="shared" si="831"/>
        <v>625.32500000000005</v>
      </c>
      <c r="DI305" s="70">
        <f t="shared" si="832"/>
        <v>1650</v>
      </c>
      <c r="DJ305" s="70">
        <f t="shared" si="833"/>
        <v>785</v>
      </c>
      <c r="DK305" s="70">
        <f t="shared" si="834"/>
        <v>930</v>
      </c>
      <c r="DL305" s="70">
        <f t="shared" si="835"/>
        <v>650</v>
      </c>
      <c r="DM305" s="70" t="str">
        <f t="shared" si="836"/>
        <v/>
      </c>
      <c r="DN305" s="70">
        <f t="shared" si="837"/>
        <v>5453.125</v>
      </c>
      <c r="DO305" s="70">
        <f t="shared" si="838"/>
        <v>300</v>
      </c>
      <c r="DP305" s="70">
        <f t="shared" si="839"/>
        <v>5753.125</v>
      </c>
      <c r="DQ305" s="70">
        <f t="shared" si="840"/>
        <v>10180.06</v>
      </c>
      <c r="DR305" s="70">
        <f t="shared" si="841"/>
        <v>8581.26</v>
      </c>
      <c r="DS305" s="71">
        <f t="shared" si="842"/>
        <v>1598.8</v>
      </c>
      <c r="DT305" s="106">
        <f t="shared" si="843"/>
        <v>1.058053109459141</v>
      </c>
      <c r="DU305" s="92">
        <f t="shared" si="844"/>
        <v>2.3027937045458108E-2</v>
      </c>
      <c r="DV305" s="92" t="str">
        <f t="shared" si="845"/>
        <v/>
      </c>
      <c r="DW305" s="92">
        <f t="shared" si="846"/>
        <v>1</v>
      </c>
      <c r="DX305" s="92">
        <f t="shared" si="847"/>
        <v>5.1991964529300973E-2</v>
      </c>
      <c r="DY305" s="92">
        <f t="shared" si="848"/>
        <v>3.9999846480419696E-2</v>
      </c>
      <c r="DZ305" s="92">
        <f t="shared" si="849"/>
        <v>0.10554471145834966</v>
      </c>
      <c r="EA305" s="92">
        <f t="shared" si="850"/>
        <v>5.0213696057457263E-2</v>
      </c>
      <c r="EB305" s="92">
        <f t="shared" si="851"/>
        <v>5.9488837367433441E-2</v>
      </c>
      <c r="EC305" s="92">
        <f t="shared" si="852"/>
        <v>4.1578219665410469E-2</v>
      </c>
      <c r="ED305" s="92" t="str">
        <f t="shared" si="853"/>
        <v/>
      </c>
      <c r="EE305" s="92">
        <f t="shared" si="854"/>
        <v>0.3488172755583715</v>
      </c>
      <c r="EF305" s="92">
        <f t="shared" si="855"/>
        <v>1.9189947537881755E-2</v>
      </c>
      <c r="EG305" s="92">
        <f t="shared" si="856"/>
        <v>0.36800722309625328</v>
      </c>
      <c r="EH305" s="92">
        <f t="shared" si="857"/>
        <v>0.6511827244416285</v>
      </c>
      <c r="EI305" s="92">
        <f t="shared" si="858"/>
        <v>0.54891309736307736</v>
      </c>
      <c r="EJ305" s="122">
        <f t="shared" si="859"/>
        <v>0.10226962707855117</v>
      </c>
    </row>
    <row r="306" spans="2:140" ht="12" hidden="1" customHeight="1" outlineLevel="1">
      <c r="B306" s="121">
        <v>45720</v>
      </c>
      <c r="C306" s="117">
        <v>25413</v>
      </c>
      <c r="D306" s="50" t="s">
        <v>1426</v>
      </c>
      <c r="E306" s="50" t="s">
        <v>1427</v>
      </c>
      <c r="F306" s="50" t="s">
        <v>1428</v>
      </c>
      <c r="G306" s="50" t="s">
        <v>154</v>
      </c>
      <c r="H306" s="50" t="s">
        <v>1429</v>
      </c>
      <c r="I306" s="50" t="s">
        <v>174</v>
      </c>
      <c r="J306" s="52" t="s">
        <v>175</v>
      </c>
      <c r="K306" s="50" t="s">
        <v>176</v>
      </c>
      <c r="L306" s="49">
        <v>6</v>
      </c>
      <c r="M306" s="50" t="s">
        <v>159</v>
      </c>
      <c r="N306" s="50" t="s">
        <v>160</v>
      </c>
      <c r="O306" s="50" t="s">
        <v>160</v>
      </c>
      <c r="P306" s="50" t="s">
        <v>1351</v>
      </c>
      <c r="Q306" s="53" t="s">
        <v>154</v>
      </c>
      <c r="R306" s="49">
        <v>160</v>
      </c>
      <c r="S306" s="49">
        <v>0</v>
      </c>
      <c r="T306" s="54">
        <f t="shared" si="860"/>
        <v>160</v>
      </c>
      <c r="U306" s="55">
        <v>148384</v>
      </c>
      <c r="V306" s="49">
        <v>7.35</v>
      </c>
      <c r="W306" s="56">
        <f t="shared" si="784"/>
        <v>21.768707482993197</v>
      </c>
      <c r="X306" s="49">
        <v>1970</v>
      </c>
      <c r="Y306" s="57" t="s">
        <v>162</v>
      </c>
      <c r="Z306" s="58">
        <v>27318673</v>
      </c>
      <c r="AA306" s="114">
        <v>5.7000000000000002E-2</v>
      </c>
      <c r="AB306" s="59">
        <v>17</v>
      </c>
      <c r="AC306" s="60">
        <v>40</v>
      </c>
      <c r="AD306" s="61">
        <v>5.7000000000000002E-2</v>
      </c>
      <c r="AE306" s="62">
        <v>27318673</v>
      </c>
      <c r="AF306" s="63">
        <v>1.2</v>
      </c>
      <c r="AG306" s="59"/>
      <c r="AH306" s="60"/>
      <c r="AI306" s="61"/>
      <c r="AJ306" s="64"/>
      <c r="AK306" s="65">
        <f t="shared" si="785"/>
        <v>27318673</v>
      </c>
      <c r="AL306" s="66">
        <v>0</v>
      </c>
      <c r="AM306" s="49" t="s">
        <v>163</v>
      </c>
      <c r="AN306" s="67">
        <v>0.83</v>
      </c>
      <c r="AO306" s="62">
        <v>16569264</v>
      </c>
      <c r="AP306" s="62">
        <v>2369098</v>
      </c>
      <c r="AQ306" s="68">
        <v>2113700</v>
      </c>
      <c r="AR306" s="69">
        <f t="shared" si="786"/>
        <v>170741.70624999999</v>
      </c>
      <c r="AS306" s="70" t="str">
        <f t="shared" si="787"/>
        <v/>
      </c>
      <c r="AT306" s="70">
        <f t="shared" si="788"/>
        <v>103557.9</v>
      </c>
      <c r="AU306" s="70">
        <f t="shared" si="789"/>
        <v>14806.862499999999</v>
      </c>
      <c r="AV306" s="71">
        <f t="shared" si="790"/>
        <v>13210.625</v>
      </c>
      <c r="AW306" s="115">
        <f t="shared" si="791"/>
        <v>85000</v>
      </c>
      <c r="AX306" s="116">
        <f t="shared" si="792"/>
        <v>91.654086693983174</v>
      </c>
      <c r="AY306" s="72">
        <f t="shared" si="793"/>
        <v>106590</v>
      </c>
      <c r="AZ306" s="73">
        <f t="shared" si="794"/>
        <v>114.9342247142549</v>
      </c>
      <c r="BA306" s="66">
        <v>18000000</v>
      </c>
      <c r="BB306" s="62">
        <v>1363000</v>
      </c>
      <c r="BC306" s="62">
        <v>12237000</v>
      </c>
      <c r="BD306" s="62">
        <v>1360000</v>
      </c>
      <c r="BE306" s="62">
        <v>2094400</v>
      </c>
      <c r="BF306" s="62">
        <v>3136421</v>
      </c>
      <c r="BG306" s="62">
        <v>4107577</v>
      </c>
      <c r="BH306" s="62">
        <v>5556090</v>
      </c>
      <c r="BI306" s="62">
        <v>1516247</v>
      </c>
      <c r="BJ306" s="47">
        <f t="shared" si="795"/>
        <v>49370735</v>
      </c>
      <c r="BK306" s="69">
        <f t="shared" si="796"/>
        <v>112500</v>
      </c>
      <c r="BL306" s="70">
        <f t="shared" si="797"/>
        <v>8518.75</v>
      </c>
      <c r="BM306" s="70">
        <f t="shared" si="798"/>
        <v>76481.25</v>
      </c>
      <c r="BN306" s="70">
        <f t="shared" si="799"/>
        <v>8500</v>
      </c>
      <c r="BO306" s="70">
        <f t="shared" si="800"/>
        <v>13090</v>
      </c>
      <c r="BP306" s="70">
        <f t="shared" si="801"/>
        <v>19602.631249999999</v>
      </c>
      <c r="BQ306" s="70">
        <f t="shared" si="802"/>
        <v>25672.356250000001</v>
      </c>
      <c r="BR306" s="70">
        <f t="shared" si="803"/>
        <v>34725.5625</v>
      </c>
      <c r="BS306" s="70">
        <f t="shared" si="804"/>
        <v>9476.5437500000007</v>
      </c>
      <c r="BT306" s="71">
        <f t="shared" si="805"/>
        <v>308567.09375</v>
      </c>
      <c r="BU306" s="65">
        <f t="shared" si="806"/>
        <v>121.30687944791892</v>
      </c>
      <c r="BV306" s="48">
        <f t="shared" si="807"/>
        <v>9.1856264826396377</v>
      </c>
      <c r="BW306" s="48">
        <f t="shared" si="808"/>
        <v>82.46846021134354</v>
      </c>
      <c r="BX306" s="48">
        <f t="shared" si="809"/>
        <v>9.1654086693983174</v>
      </c>
      <c r="BY306" s="48">
        <f t="shared" si="810"/>
        <v>14.114729350873409</v>
      </c>
      <c r="BZ306" s="48">
        <f t="shared" si="811"/>
        <v>21.137191341384515</v>
      </c>
      <c r="CA306" s="48">
        <f t="shared" si="812"/>
        <v>27.682074886780246</v>
      </c>
      <c r="CB306" s="48">
        <f t="shared" si="813"/>
        <v>37.443996657321541</v>
      </c>
      <c r="CC306" s="48">
        <f t="shared" si="814"/>
        <v>10.218399557903817</v>
      </c>
      <c r="CD306" s="47">
        <f t="shared" si="815"/>
        <v>332.72276660556395</v>
      </c>
      <c r="CE306" s="66">
        <v>4082880</v>
      </c>
      <c r="CF306" s="62">
        <v>8508</v>
      </c>
      <c r="CG306" s="74">
        <v>-204569</v>
      </c>
      <c r="CH306" s="75">
        <f t="shared" si="816"/>
        <v>3886819</v>
      </c>
      <c r="CI306" s="62">
        <f>102480+5750+6400+70000</f>
        <v>184630</v>
      </c>
      <c r="CJ306" s="62">
        <v>101760</v>
      </c>
      <c r="CK306" s="62">
        <v>417880</v>
      </c>
      <c r="CL306" s="62">
        <f>132000+150000</f>
        <v>282000</v>
      </c>
      <c r="CM306" s="62">
        <f>57600+51210+334667</f>
        <v>443477</v>
      </c>
      <c r="CN306" s="62">
        <v>295000</v>
      </c>
      <c r="CO306" s="62">
        <v>0</v>
      </c>
      <c r="CP306" s="75">
        <f t="shared" si="861"/>
        <v>1724747</v>
      </c>
      <c r="CQ306" s="62">
        <v>48000</v>
      </c>
      <c r="CR306" s="75">
        <f t="shared" si="862"/>
        <v>1772747</v>
      </c>
      <c r="CS306" s="75">
        <f t="shared" si="817"/>
        <v>2162072</v>
      </c>
      <c r="CT306" s="62">
        <v>1762974</v>
      </c>
      <c r="CU306" s="47">
        <f t="shared" si="818"/>
        <v>399098</v>
      </c>
      <c r="CV306" s="76">
        <f t="shared" si="819"/>
        <v>0.55625744342610239</v>
      </c>
      <c r="CW306" s="75">
        <f t="shared" si="820"/>
        <v>11079.668750000001</v>
      </c>
      <c r="CX306" s="77">
        <f t="shared" si="821"/>
        <v>0.45609198678919705</v>
      </c>
      <c r="CY306" s="75">
        <f t="shared" si="822"/>
        <v>2494.3625000000002</v>
      </c>
      <c r="CZ306" s="77">
        <f t="shared" si="823"/>
        <v>0.1026798520846996</v>
      </c>
      <c r="DA306" s="77">
        <f t="shared" si="824"/>
        <v>0.45357759134140285</v>
      </c>
      <c r="DB306" s="47">
        <f t="shared" si="825"/>
        <v>170741.70624999999</v>
      </c>
      <c r="DC306" s="69">
        <f t="shared" si="826"/>
        <v>25518</v>
      </c>
      <c r="DD306" s="70">
        <f t="shared" si="827"/>
        <v>53.174999999999997</v>
      </c>
      <c r="DE306" s="70">
        <f t="shared" si="828"/>
        <v>-1278.5562500000001</v>
      </c>
      <c r="DF306" s="70">
        <f t="shared" si="829"/>
        <v>24292.618750000001</v>
      </c>
      <c r="DG306" s="70">
        <f t="shared" si="830"/>
        <v>1153.9375</v>
      </c>
      <c r="DH306" s="70">
        <f t="shared" si="831"/>
        <v>636</v>
      </c>
      <c r="DI306" s="70">
        <f t="shared" si="832"/>
        <v>2611.75</v>
      </c>
      <c r="DJ306" s="70">
        <f t="shared" si="833"/>
        <v>1762.5</v>
      </c>
      <c r="DK306" s="70">
        <f t="shared" si="834"/>
        <v>2771.7312499999998</v>
      </c>
      <c r="DL306" s="70">
        <f t="shared" si="835"/>
        <v>1843.75</v>
      </c>
      <c r="DM306" s="70" t="str">
        <f t="shared" si="836"/>
        <v/>
      </c>
      <c r="DN306" s="70">
        <f t="shared" si="837"/>
        <v>10779.668750000001</v>
      </c>
      <c r="DO306" s="70">
        <f t="shared" si="838"/>
        <v>300</v>
      </c>
      <c r="DP306" s="70">
        <f t="shared" si="839"/>
        <v>11079.668750000001</v>
      </c>
      <c r="DQ306" s="70">
        <f t="shared" si="840"/>
        <v>13512.95</v>
      </c>
      <c r="DR306" s="70">
        <f t="shared" si="841"/>
        <v>11018.5875</v>
      </c>
      <c r="DS306" s="71">
        <f t="shared" si="842"/>
        <v>2494.3625000000002</v>
      </c>
      <c r="DT306" s="106">
        <f t="shared" si="843"/>
        <v>1.0504425341133714</v>
      </c>
      <c r="DU306" s="92">
        <f t="shared" si="844"/>
        <v>2.1889365056618278E-3</v>
      </c>
      <c r="DV306" s="92" t="str">
        <f t="shared" si="845"/>
        <v/>
      </c>
      <c r="DW306" s="92">
        <f t="shared" si="846"/>
        <v>1</v>
      </c>
      <c r="DX306" s="92">
        <f t="shared" si="847"/>
        <v>4.7501568763557038E-2</v>
      </c>
      <c r="DY306" s="92">
        <f t="shared" si="848"/>
        <v>2.6180792056434837E-2</v>
      </c>
      <c r="DZ306" s="92">
        <f t="shared" si="849"/>
        <v>0.10751208121602782</v>
      </c>
      <c r="EA306" s="92">
        <f t="shared" si="850"/>
        <v>7.2552902514884277E-2</v>
      </c>
      <c r="EB306" s="92">
        <f t="shared" si="851"/>
        <v>0.11409767215813239</v>
      </c>
      <c r="EC306" s="92">
        <f t="shared" si="852"/>
        <v>7.589753986486121E-2</v>
      </c>
      <c r="ED306" s="92" t="str">
        <f t="shared" si="853"/>
        <v/>
      </c>
      <c r="EE306" s="92">
        <f t="shared" si="854"/>
        <v>0.44374255657389755</v>
      </c>
      <c r="EF306" s="92">
        <f t="shared" si="855"/>
        <v>1.2349430215299452E-2</v>
      </c>
      <c r="EG306" s="92">
        <f t="shared" si="856"/>
        <v>0.45609198678919705</v>
      </c>
      <c r="EH306" s="92">
        <f t="shared" si="857"/>
        <v>0.55625744342610239</v>
      </c>
      <c r="EI306" s="92">
        <f t="shared" si="858"/>
        <v>0.45357759134140285</v>
      </c>
      <c r="EJ306" s="122">
        <f t="shared" si="859"/>
        <v>0.1026798520846996</v>
      </c>
    </row>
    <row r="307" spans="2:140" ht="12" hidden="1" customHeight="1" outlineLevel="1">
      <c r="B307" s="121">
        <v>45721</v>
      </c>
      <c r="C307" s="117">
        <v>25419</v>
      </c>
      <c r="D307" s="50" t="s">
        <v>1430</v>
      </c>
      <c r="E307" s="50" t="s">
        <v>368</v>
      </c>
      <c r="F307" s="50" t="s">
        <v>1431</v>
      </c>
      <c r="G307" s="50" t="s">
        <v>154</v>
      </c>
      <c r="H307" s="50" t="s">
        <v>155</v>
      </c>
      <c r="I307" s="50" t="s">
        <v>579</v>
      </c>
      <c r="J307" s="52" t="s">
        <v>360</v>
      </c>
      <c r="K307" s="50" t="s">
        <v>294</v>
      </c>
      <c r="L307" s="49">
        <v>7</v>
      </c>
      <c r="M307" s="50" t="s">
        <v>159</v>
      </c>
      <c r="N307" s="50" t="s">
        <v>160</v>
      </c>
      <c r="O307" s="50" t="s">
        <v>160</v>
      </c>
      <c r="P307" s="50" t="s">
        <v>177</v>
      </c>
      <c r="Q307" s="53" t="s">
        <v>154</v>
      </c>
      <c r="R307" s="49">
        <v>348</v>
      </c>
      <c r="S307" s="49">
        <v>0</v>
      </c>
      <c r="T307" s="54">
        <f t="shared" si="860"/>
        <v>348</v>
      </c>
      <c r="U307" s="55">
        <v>355164</v>
      </c>
      <c r="V307" s="49">
        <v>19.579999999999998</v>
      </c>
      <c r="W307" s="56">
        <f t="shared" si="784"/>
        <v>17.7732379979571</v>
      </c>
      <c r="X307" s="49" t="s">
        <v>163</v>
      </c>
      <c r="Y307" s="57" t="s">
        <v>162</v>
      </c>
      <c r="Z307" s="58">
        <v>74925000</v>
      </c>
      <c r="AA307" s="114">
        <v>7.5999999999999998E-2</v>
      </c>
      <c r="AB307" s="59">
        <v>15</v>
      </c>
      <c r="AC307" s="60">
        <v>40</v>
      </c>
      <c r="AD307" s="61">
        <v>5.9499999999999997E-2</v>
      </c>
      <c r="AE307" s="62">
        <v>45900000</v>
      </c>
      <c r="AF307" s="63">
        <v>1.45</v>
      </c>
      <c r="AG307" s="59">
        <v>15</v>
      </c>
      <c r="AH307" s="60">
        <v>40</v>
      </c>
      <c r="AI307" s="61">
        <v>6.7000000000000004E-2</v>
      </c>
      <c r="AJ307" s="64">
        <v>10600000</v>
      </c>
      <c r="AK307" s="65">
        <f t="shared" si="785"/>
        <v>56500000</v>
      </c>
      <c r="AL307" s="66">
        <v>1800000</v>
      </c>
      <c r="AM307" s="49" t="s">
        <v>1432</v>
      </c>
      <c r="AN307" s="67">
        <v>0.88</v>
      </c>
      <c r="AO307" s="62">
        <v>27064551</v>
      </c>
      <c r="AP307" s="62">
        <v>8325000</v>
      </c>
      <c r="AQ307" s="68">
        <v>7431674</v>
      </c>
      <c r="AR307" s="69">
        <f t="shared" si="786"/>
        <v>162356.32183908045</v>
      </c>
      <c r="AS307" s="70">
        <f t="shared" si="787"/>
        <v>5172.4137931034484</v>
      </c>
      <c r="AT307" s="70">
        <f t="shared" si="788"/>
        <v>77771.698275862072</v>
      </c>
      <c r="AU307" s="70">
        <f t="shared" si="789"/>
        <v>23922.413793103449</v>
      </c>
      <c r="AV307" s="71">
        <f t="shared" si="790"/>
        <v>21355.385057471263</v>
      </c>
      <c r="AW307" s="115">
        <f t="shared" si="791"/>
        <v>131723.72126436781</v>
      </c>
      <c r="AX307" s="116">
        <f t="shared" si="792"/>
        <v>129.06672692052123</v>
      </c>
      <c r="AY307" s="72">
        <f t="shared" si="793"/>
        <v>157540.88793103446</v>
      </c>
      <c r="AZ307" s="73">
        <f t="shared" si="794"/>
        <v>154.36313646653375</v>
      </c>
      <c r="BA307" s="66">
        <v>7624000</v>
      </c>
      <c r="BB307" s="62">
        <v>14143200</v>
      </c>
      <c r="BC307" s="62">
        <v>31696655</v>
      </c>
      <c r="BD307" s="62">
        <v>2295740</v>
      </c>
      <c r="BE307" s="62">
        <v>6688634</v>
      </c>
      <c r="BF307" s="62">
        <v>6454198</v>
      </c>
      <c r="BG307" s="62">
        <v>20021461</v>
      </c>
      <c r="BH307" s="62">
        <v>9973000</v>
      </c>
      <c r="BI307" s="62">
        <v>2424337</v>
      </c>
      <c r="BJ307" s="47">
        <f t="shared" si="795"/>
        <v>101321225</v>
      </c>
      <c r="BK307" s="69">
        <f t="shared" si="796"/>
        <v>21908.045977011494</v>
      </c>
      <c r="BL307" s="70">
        <f t="shared" si="797"/>
        <v>40641.379310344826</v>
      </c>
      <c r="BM307" s="70">
        <f t="shared" si="798"/>
        <v>91082.341954022995</v>
      </c>
      <c r="BN307" s="70">
        <f t="shared" si="799"/>
        <v>6596.954022988506</v>
      </c>
      <c r="BO307" s="70">
        <f t="shared" si="800"/>
        <v>19220.212643678162</v>
      </c>
      <c r="BP307" s="70">
        <f t="shared" si="801"/>
        <v>18546.545977011494</v>
      </c>
      <c r="BQ307" s="70">
        <f t="shared" si="802"/>
        <v>57532.933908045976</v>
      </c>
      <c r="BR307" s="70">
        <f t="shared" si="803"/>
        <v>28658.045977011494</v>
      </c>
      <c r="BS307" s="70">
        <f t="shared" si="804"/>
        <v>6966.4856321839079</v>
      </c>
      <c r="BT307" s="71">
        <f t="shared" si="805"/>
        <v>291152.94540229888</v>
      </c>
      <c r="BU307" s="65">
        <f t="shared" si="806"/>
        <v>21.466139586219324</v>
      </c>
      <c r="BV307" s="48">
        <f t="shared" si="807"/>
        <v>39.821603540899417</v>
      </c>
      <c r="BW307" s="48">
        <f t="shared" si="808"/>
        <v>89.245123379621802</v>
      </c>
      <c r="BX307" s="48">
        <f t="shared" si="809"/>
        <v>6.4638871056751244</v>
      </c>
      <c r="BY307" s="48">
        <f t="shared" si="810"/>
        <v>18.832522440337421</v>
      </c>
      <c r="BZ307" s="48">
        <f t="shared" si="811"/>
        <v>18.172444279262539</v>
      </c>
      <c r="CA307" s="48">
        <f t="shared" si="812"/>
        <v>56.372439211181316</v>
      </c>
      <c r="CB307" s="48">
        <f t="shared" si="813"/>
        <v>28.079985584124518</v>
      </c>
      <c r="CC307" s="48">
        <f t="shared" si="814"/>
        <v>6.8259649063531214</v>
      </c>
      <c r="CD307" s="47">
        <f t="shared" si="815"/>
        <v>285.28011003367459</v>
      </c>
      <c r="CE307" s="66">
        <v>6715836</v>
      </c>
      <c r="CF307" s="62">
        <v>62640</v>
      </c>
      <c r="CG307" s="74">
        <v>-508386</v>
      </c>
      <c r="CH307" s="75">
        <f t="shared" si="816"/>
        <v>6270090</v>
      </c>
      <c r="CI307" s="62">
        <f>168780+38760+13920+12000+9900</f>
        <v>243360</v>
      </c>
      <c r="CJ307" s="62">
        <v>250963</v>
      </c>
      <c r="CK307" s="62">
        <v>553320</v>
      </c>
      <c r="CL307" s="62">
        <v>348000</v>
      </c>
      <c r="CM307" s="62">
        <f>54850+93050</f>
        <v>147900</v>
      </c>
      <c r="CN307" s="62">
        <v>278400</v>
      </c>
      <c r="CO307" s="62">
        <v>0</v>
      </c>
      <c r="CP307" s="75">
        <f t="shared" si="861"/>
        <v>1821943</v>
      </c>
      <c r="CQ307" s="62">
        <v>87000</v>
      </c>
      <c r="CR307" s="75">
        <f t="shared" si="862"/>
        <v>1908943</v>
      </c>
      <c r="CS307" s="75">
        <f t="shared" si="817"/>
        <v>4448147</v>
      </c>
      <c r="CT307" s="62">
        <f>3011401+762898</f>
        <v>3774299</v>
      </c>
      <c r="CU307" s="47">
        <f t="shared" si="818"/>
        <v>673848</v>
      </c>
      <c r="CV307" s="76">
        <f t="shared" si="819"/>
        <v>0.70942315022591385</v>
      </c>
      <c r="CW307" s="75">
        <f t="shared" si="820"/>
        <v>5485.4683908045981</v>
      </c>
      <c r="CX307" s="77">
        <f t="shared" si="821"/>
        <v>0.30445224869180504</v>
      </c>
      <c r="CY307" s="75">
        <f t="shared" si="822"/>
        <v>1936.344827586207</v>
      </c>
      <c r="CZ307" s="77">
        <f t="shared" si="823"/>
        <v>0.10747022770008086</v>
      </c>
      <c r="DA307" s="77">
        <f t="shared" si="824"/>
        <v>0.60195292252583299</v>
      </c>
      <c r="DB307" s="47">
        <f t="shared" si="825"/>
        <v>162356.32183908045</v>
      </c>
      <c r="DC307" s="69">
        <f t="shared" si="826"/>
        <v>19298.379310344826</v>
      </c>
      <c r="DD307" s="70">
        <f t="shared" si="827"/>
        <v>180</v>
      </c>
      <c r="DE307" s="70">
        <f t="shared" si="828"/>
        <v>-1460.8793103448277</v>
      </c>
      <c r="DF307" s="70">
        <f t="shared" si="829"/>
        <v>18017.5</v>
      </c>
      <c r="DG307" s="70">
        <f t="shared" si="830"/>
        <v>699.31034482758616</v>
      </c>
      <c r="DH307" s="70">
        <f t="shared" si="831"/>
        <v>721.15804597701151</v>
      </c>
      <c r="DI307" s="70">
        <f t="shared" si="832"/>
        <v>1590</v>
      </c>
      <c r="DJ307" s="70">
        <f t="shared" si="833"/>
        <v>1000</v>
      </c>
      <c r="DK307" s="70">
        <f t="shared" si="834"/>
        <v>425</v>
      </c>
      <c r="DL307" s="70">
        <f t="shared" si="835"/>
        <v>800</v>
      </c>
      <c r="DM307" s="70" t="str">
        <f t="shared" si="836"/>
        <v/>
      </c>
      <c r="DN307" s="70">
        <f t="shared" si="837"/>
        <v>5235.4683908045981</v>
      </c>
      <c r="DO307" s="70">
        <f t="shared" si="838"/>
        <v>250</v>
      </c>
      <c r="DP307" s="70">
        <f t="shared" si="839"/>
        <v>5485.4683908045981</v>
      </c>
      <c r="DQ307" s="70">
        <f t="shared" si="840"/>
        <v>12782.031609195403</v>
      </c>
      <c r="DR307" s="70">
        <f t="shared" si="841"/>
        <v>10845.686781609196</v>
      </c>
      <c r="DS307" s="71">
        <f t="shared" si="842"/>
        <v>1936.344827586207</v>
      </c>
      <c r="DT307" s="106">
        <f t="shared" si="843"/>
        <v>1.0710908455859485</v>
      </c>
      <c r="DU307" s="92">
        <f t="shared" si="844"/>
        <v>9.9902872207575967E-3</v>
      </c>
      <c r="DV307" s="92" t="str">
        <f t="shared" si="845"/>
        <v/>
      </c>
      <c r="DW307" s="92">
        <f t="shared" si="846"/>
        <v>1</v>
      </c>
      <c r="DX307" s="92">
        <f t="shared" si="847"/>
        <v>3.881284000708124E-2</v>
      </c>
      <c r="DY307" s="92">
        <f t="shared" si="848"/>
        <v>4.0025422282614763E-2</v>
      </c>
      <c r="DZ307" s="92">
        <f t="shared" si="849"/>
        <v>8.8247537116692101E-2</v>
      </c>
      <c r="EA307" s="92">
        <f t="shared" si="850"/>
        <v>5.5501595670875536E-2</v>
      </c>
      <c r="EB307" s="92">
        <f t="shared" si="851"/>
        <v>2.3588178160122104E-2</v>
      </c>
      <c r="EC307" s="92">
        <f t="shared" si="852"/>
        <v>4.4401276536700431E-2</v>
      </c>
      <c r="ED307" s="92" t="str">
        <f t="shared" si="853"/>
        <v/>
      </c>
      <c r="EE307" s="92">
        <f t="shared" si="854"/>
        <v>0.29057684977408615</v>
      </c>
      <c r="EF307" s="92">
        <f t="shared" si="855"/>
        <v>1.3875398917718884E-2</v>
      </c>
      <c r="EG307" s="92">
        <f t="shared" si="856"/>
        <v>0.30445224869180504</v>
      </c>
      <c r="EH307" s="92">
        <f t="shared" si="857"/>
        <v>0.70942315022591385</v>
      </c>
      <c r="EI307" s="92">
        <f t="shared" si="858"/>
        <v>0.60195292252583299</v>
      </c>
      <c r="EJ307" s="122">
        <f t="shared" si="859"/>
        <v>0.10747022770008086</v>
      </c>
    </row>
    <row r="308" spans="2:140" ht="12" hidden="1" customHeight="1" outlineLevel="1">
      <c r="B308" s="121">
        <v>45727</v>
      </c>
      <c r="C308" s="117">
        <v>25447</v>
      </c>
      <c r="D308" s="50" t="s">
        <v>1433</v>
      </c>
      <c r="E308" s="50" t="s">
        <v>1434</v>
      </c>
      <c r="F308" s="50" t="s">
        <v>1435</v>
      </c>
      <c r="G308" s="50" t="s">
        <v>291</v>
      </c>
      <c r="H308" s="50" t="s">
        <v>220</v>
      </c>
      <c r="I308" s="50" t="s">
        <v>419</v>
      </c>
      <c r="J308" s="52" t="s">
        <v>191</v>
      </c>
      <c r="K308" s="50" t="s">
        <v>192</v>
      </c>
      <c r="L308" s="49">
        <v>3</v>
      </c>
      <c r="M308" s="50" t="s">
        <v>159</v>
      </c>
      <c r="N308" s="50" t="s">
        <v>160</v>
      </c>
      <c r="O308" s="50" t="s">
        <v>160</v>
      </c>
      <c r="P308" s="50" t="s">
        <v>177</v>
      </c>
      <c r="Q308" s="53" t="s">
        <v>154</v>
      </c>
      <c r="R308" s="49">
        <v>100</v>
      </c>
      <c r="S308" s="49">
        <v>0</v>
      </c>
      <c r="T308" s="54">
        <f t="shared" si="860"/>
        <v>100</v>
      </c>
      <c r="U308" s="55">
        <v>91000</v>
      </c>
      <c r="V308" s="49">
        <v>9.9489999999999998</v>
      </c>
      <c r="W308" s="56">
        <f t="shared" si="784"/>
        <v>10.051261433309881</v>
      </c>
      <c r="X308" s="49" t="s">
        <v>163</v>
      </c>
      <c r="Y308" s="57" t="s">
        <v>162</v>
      </c>
      <c r="Z308" s="58">
        <v>15500000</v>
      </c>
      <c r="AA308" s="114">
        <f>(((7650000*0.0651)/(Table1[[#This Row],[Construction Loan Principal]]))+(((7850000*0.0652)/(Table1[[#This Row],[Construction Loan Principal]]))))</f>
        <v>6.5150645161290321E-2</v>
      </c>
      <c r="AB308" s="59">
        <v>15.5</v>
      </c>
      <c r="AC308" s="60">
        <v>40</v>
      </c>
      <c r="AD308" s="61">
        <v>6.5100000000000005E-2</v>
      </c>
      <c r="AE308" s="62">
        <v>7650000</v>
      </c>
      <c r="AF308" s="63">
        <v>1.1599999999999999</v>
      </c>
      <c r="AG308" s="59"/>
      <c r="AH308" s="60"/>
      <c r="AI308" s="61"/>
      <c r="AJ308" s="64"/>
      <c r="AK308" s="65">
        <f t="shared" si="785"/>
        <v>7650000</v>
      </c>
      <c r="AL308" s="66">
        <f>8023257+1500000</f>
        <v>9523257</v>
      </c>
      <c r="AM308" s="49" t="s">
        <v>1436</v>
      </c>
      <c r="AN308" s="67">
        <v>0.88</v>
      </c>
      <c r="AO308" s="62">
        <v>13127290</v>
      </c>
      <c r="AP308" s="62">
        <v>523431</v>
      </c>
      <c r="AQ308" s="68">
        <v>1534069</v>
      </c>
      <c r="AR308" s="69">
        <f t="shared" si="786"/>
        <v>76500</v>
      </c>
      <c r="AS308" s="70">
        <f t="shared" si="787"/>
        <v>95232.57</v>
      </c>
      <c r="AT308" s="70">
        <f t="shared" si="788"/>
        <v>131272.9</v>
      </c>
      <c r="AU308" s="70">
        <f t="shared" si="789"/>
        <v>5234.3100000000004</v>
      </c>
      <c r="AV308" s="71">
        <f t="shared" si="790"/>
        <v>15340.69</v>
      </c>
      <c r="AW308" s="115">
        <f t="shared" si="791"/>
        <v>166707.35</v>
      </c>
      <c r="AX308" s="116">
        <f t="shared" si="792"/>
        <v>183.19489010989011</v>
      </c>
      <c r="AY308" s="72">
        <f t="shared" si="793"/>
        <v>200298.7</v>
      </c>
      <c r="AZ308" s="73">
        <f t="shared" si="794"/>
        <v>220.10846153846154</v>
      </c>
      <c r="BA308" s="66">
        <v>1500000</v>
      </c>
      <c r="BB308" s="62">
        <v>2248028</v>
      </c>
      <c r="BC308" s="62">
        <v>14422707</v>
      </c>
      <c r="BD308" s="62">
        <v>1025232</v>
      </c>
      <c r="BE308" s="62">
        <v>2333903</v>
      </c>
      <c r="BF308" s="62">
        <v>2922955</v>
      </c>
      <c r="BG308" s="62">
        <v>3285741</v>
      </c>
      <c r="BH308" s="62">
        <v>3676631</v>
      </c>
      <c r="BI308" s="62">
        <v>942850</v>
      </c>
      <c r="BJ308" s="47">
        <f t="shared" si="795"/>
        <v>32358047</v>
      </c>
      <c r="BK308" s="69">
        <f t="shared" si="796"/>
        <v>15000</v>
      </c>
      <c r="BL308" s="70">
        <f t="shared" si="797"/>
        <v>22480.28</v>
      </c>
      <c r="BM308" s="70">
        <f t="shared" si="798"/>
        <v>144227.07</v>
      </c>
      <c r="BN308" s="70">
        <f t="shared" si="799"/>
        <v>10252.32</v>
      </c>
      <c r="BO308" s="70">
        <f t="shared" si="800"/>
        <v>23339.03</v>
      </c>
      <c r="BP308" s="70">
        <f t="shared" si="801"/>
        <v>29229.55</v>
      </c>
      <c r="BQ308" s="70">
        <f t="shared" si="802"/>
        <v>32857.410000000003</v>
      </c>
      <c r="BR308" s="70">
        <f t="shared" si="803"/>
        <v>36766.31</v>
      </c>
      <c r="BS308" s="70">
        <f t="shared" si="804"/>
        <v>9428.5</v>
      </c>
      <c r="BT308" s="71">
        <f t="shared" si="805"/>
        <v>323580.46999999997</v>
      </c>
      <c r="BU308" s="65">
        <f t="shared" si="806"/>
        <v>16.483516483516482</v>
      </c>
      <c r="BV308" s="48">
        <f t="shared" si="807"/>
        <v>24.703604395604394</v>
      </c>
      <c r="BW308" s="48">
        <f t="shared" si="808"/>
        <v>158.49128571428571</v>
      </c>
      <c r="BX308" s="48">
        <f t="shared" si="809"/>
        <v>11.266285714285715</v>
      </c>
      <c r="BY308" s="48">
        <f t="shared" si="810"/>
        <v>25.647285714285715</v>
      </c>
      <c r="BZ308" s="48">
        <f t="shared" si="811"/>
        <v>32.120384615384616</v>
      </c>
      <c r="CA308" s="48">
        <f t="shared" si="812"/>
        <v>36.10704395604396</v>
      </c>
      <c r="CB308" s="48">
        <f t="shared" si="813"/>
        <v>40.402538461538462</v>
      </c>
      <c r="CC308" s="48">
        <f t="shared" si="814"/>
        <v>10.360989010989011</v>
      </c>
      <c r="CD308" s="47">
        <f t="shared" si="815"/>
        <v>355.58293406593407</v>
      </c>
      <c r="CE308" s="66">
        <v>1469880</v>
      </c>
      <c r="CF308" s="62">
        <f>1500+4500+24840</f>
        <v>30840</v>
      </c>
      <c r="CG308" s="74">
        <v>-112554</v>
      </c>
      <c r="CH308" s="75">
        <f t="shared" si="816"/>
        <v>1388166</v>
      </c>
      <c r="CI308" s="62">
        <f>65134+12561+4000+5000+19375</f>
        <v>106070</v>
      </c>
      <c r="CJ308" s="62">
        <v>83289</v>
      </c>
      <c r="CK308" s="62">
        <v>185820</v>
      </c>
      <c r="CL308" s="62">
        <f>10000+74203</f>
        <v>84203</v>
      </c>
      <c r="CM308" s="62">
        <f>45000+54100</f>
        <v>99100</v>
      </c>
      <c r="CN308" s="62">
        <v>77900</v>
      </c>
      <c r="CO308" s="62">
        <v>98623</v>
      </c>
      <c r="CP308" s="75">
        <f t="shared" si="861"/>
        <v>735005</v>
      </c>
      <c r="CQ308" s="62">
        <v>30000</v>
      </c>
      <c r="CR308" s="75">
        <f t="shared" si="862"/>
        <v>765005</v>
      </c>
      <c r="CS308" s="75">
        <f t="shared" si="817"/>
        <v>653161</v>
      </c>
      <c r="CT308" s="62">
        <v>538103</v>
      </c>
      <c r="CU308" s="47">
        <f t="shared" si="818"/>
        <v>115058</v>
      </c>
      <c r="CV308" s="76">
        <f t="shared" si="819"/>
        <v>0.47052081667466283</v>
      </c>
      <c r="CW308" s="75">
        <f t="shared" si="820"/>
        <v>7650.05</v>
      </c>
      <c r="CX308" s="77">
        <f t="shared" si="821"/>
        <v>0.55109043154781201</v>
      </c>
      <c r="CY308" s="75">
        <f t="shared" si="822"/>
        <v>1150.58</v>
      </c>
      <c r="CZ308" s="77">
        <f t="shared" si="823"/>
        <v>8.2884899932716985E-2</v>
      </c>
      <c r="DA308" s="77">
        <f t="shared" si="824"/>
        <v>0.38763591674194586</v>
      </c>
      <c r="DB308" s="47">
        <f t="shared" si="825"/>
        <v>76500</v>
      </c>
      <c r="DC308" s="69">
        <f t="shared" si="826"/>
        <v>14698.8</v>
      </c>
      <c r="DD308" s="70">
        <f t="shared" si="827"/>
        <v>308.39999999999998</v>
      </c>
      <c r="DE308" s="70">
        <f t="shared" si="828"/>
        <v>-1125.54</v>
      </c>
      <c r="DF308" s="70">
        <f t="shared" si="829"/>
        <v>13881.66</v>
      </c>
      <c r="DG308" s="70">
        <f t="shared" si="830"/>
        <v>1060.7</v>
      </c>
      <c r="DH308" s="70">
        <f t="shared" si="831"/>
        <v>832.89</v>
      </c>
      <c r="DI308" s="70">
        <f t="shared" si="832"/>
        <v>1858.2</v>
      </c>
      <c r="DJ308" s="70">
        <f t="shared" si="833"/>
        <v>842.03</v>
      </c>
      <c r="DK308" s="70">
        <f t="shared" si="834"/>
        <v>991</v>
      </c>
      <c r="DL308" s="70">
        <f t="shared" si="835"/>
        <v>779</v>
      </c>
      <c r="DM308" s="70">
        <f t="shared" si="836"/>
        <v>986.23</v>
      </c>
      <c r="DN308" s="70">
        <f t="shared" si="837"/>
        <v>7350.05</v>
      </c>
      <c r="DO308" s="70">
        <f t="shared" si="838"/>
        <v>300</v>
      </c>
      <c r="DP308" s="70">
        <f t="shared" si="839"/>
        <v>7650.05</v>
      </c>
      <c r="DQ308" s="70">
        <f t="shared" si="840"/>
        <v>6531.61</v>
      </c>
      <c r="DR308" s="70">
        <f t="shared" si="841"/>
        <v>5381.03</v>
      </c>
      <c r="DS308" s="71">
        <f t="shared" si="842"/>
        <v>1150.58</v>
      </c>
      <c r="DT308" s="106">
        <f t="shared" si="843"/>
        <v>1.058864717908377</v>
      </c>
      <c r="DU308" s="92">
        <f t="shared" si="844"/>
        <v>2.2216363172704128E-2</v>
      </c>
      <c r="DV308" s="92" t="str">
        <f t="shared" si="845"/>
        <v/>
      </c>
      <c r="DW308" s="92">
        <f t="shared" si="846"/>
        <v>1</v>
      </c>
      <c r="DX308" s="92">
        <f t="shared" si="847"/>
        <v>7.6410169965263522E-2</v>
      </c>
      <c r="DY308" s="92">
        <f t="shared" si="848"/>
        <v>5.9999308440056881E-2</v>
      </c>
      <c r="DZ308" s="92">
        <f t="shared" si="849"/>
        <v>0.13386007149000911</v>
      </c>
      <c r="EA308" s="92">
        <f t="shared" si="850"/>
        <v>6.0657731135901616E-2</v>
      </c>
      <c r="EB308" s="92">
        <f t="shared" si="851"/>
        <v>7.138915662824187E-2</v>
      </c>
      <c r="EC308" s="92">
        <f t="shared" si="852"/>
        <v>5.611720788435965E-2</v>
      </c>
      <c r="ED308" s="92">
        <f t="shared" si="853"/>
        <v>7.104553778150452E-2</v>
      </c>
      <c r="EE308" s="92">
        <f t="shared" si="854"/>
        <v>0.52947918332533717</v>
      </c>
      <c r="EF308" s="92">
        <f t="shared" si="855"/>
        <v>2.1611248222474833E-2</v>
      </c>
      <c r="EG308" s="92">
        <f t="shared" si="856"/>
        <v>0.55109043154781201</v>
      </c>
      <c r="EH308" s="92">
        <f t="shared" si="857"/>
        <v>0.47052081667466283</v>
      </c>
      <c r="EI308" s="92">
        <f t="shared" si="858"/>
        <v>0.38763591674194586</v>
      </c>
      <c r="EJ308" s="122">
        <f t="shared" si="859"/>
        <v>8.2884899932716985E-2</v>
      </c>
    </row>
    <row r="309" spans="2:140" ht="12" hidden="1" customHeight="1" outlineLevel="1">
      <c r="B309" s="121">
        <v>45728</v>
      </c>
      <c r="C309" s="117">
        <v>25409</v>
      </c>
      <c r="D309" s="50" t="s">
        <v>1437</v>
      </c>
      <c r="E309" s="50" t="s">
        <v>1407</v>
      </c>
      <c r="F309" s="50" t="s">
        <v>1350</v>
      </c>
      <c r="G309" s="50" t="s">
        <v>291</v>
      </c>
      <c r="H309" s="50" t="s">
        <v>619</v>
      </c>
      <c r="I309" s="50" t="s">
        <v>306</v>
      </c>
      <c r="J309" s="52" t="s">
        <v>1438</v>
      </c>
      <c r="K309" s="50" t="s">
        <v>176</v>
      </c>
      <c r="L309" s="49">
        <v>6</v>
      </c>
      <c r="M309" s="50" t="s">
        <v>159</v>
      </c>
      <c r="N309" s="50" t="s">
        <v>160</v>
      </c>
      <c r="O309" s="50" t="s">
        <v>160</v>
      </c>
      <c r="P309" s="50" t="s">
        <v>1351</v>
      </c>
      <c r="Q309" s="53">
        <v>0.04</v>
      </c>
      <c r="R309" s="49">
        <v>252</v>
      </c>
      <c r="S309" s="49">
        <v>0</v>
      </c>
      <c r="T309" s="54">
        <f t="shared" si="860"/>
        <v>252</v>
      </c>
      <c r="U309" s="55">
        <v>273704</v>
      </c>
      <c r="V309" s="49">
        <v>13.74</v>
      </c>
      <c r="W309" s="56">
        <f t="shared" si="784"/>
        <v>18.34061135371179</v>
      </c>
      <c r="X309" s="49">
        <v>2008</v>
      </c>
      <c r="Y309" s="57" t="s">
        <v>162</v>
      </c>
      <c r="Z309" s="58">
        <v>35370000</v>
      </c>
      <c r="AA309" s="114">
        <f>(((23880000*0.06)/(Table1[[#This Row],[Construction Loan Principal]]))+(((11490000*0.075)/(Table1[[#This Row],[Construction Loan Principal]]))))</f>
        <v>6.4872773536895675E-2</v>
      </c>
      <c r="AB309" s="59">
        <v>18</v>
      </c>
      <c r="AC309" s="60">
        <v>40</v>
      </c>
      <c r="AD309" s="61">
        <v>0.06</v>
      </c>
      <c r="AE309" s="62">
        <v>23880000</v>
      </c>
      <c r="AF309" s="63">
        <v>1.35</v>
      </c>
      <c r="AG309" s="59">
        <v>18</v>
      </c>
      <c r="AH309" s="60">
        <v>40</v>
      </c>
      <c r="AI309" s="61">
        <v>6.5000000000000002E-2</v>
      </c>
      <c r="AJ309" s="64">
        <v>3950000</v>
      </c>
      <c r="AK309" s="65">
        <f t="shared" si="785"/>
        <v>27830000</v>
      </c>
      <c r="AL309" s="66">
        <v>0</v>
      </c>
      <c r="AM309" s="49" t="s">
        <v>163</v>
      </c>
      <c r="AN309" s="67">
        <v>0.88</v>
      </c>
      <c r="AO309" s="62">
        <v>15047019</v>
      </c>
      <c r="AP309" s="62">
        <v>1334100</v>
      </c>
      <c r="AQ309" s="68">
        <v>1940792</v>
      </c>
      <c r="AR309" s="69">
        <f t="shared" si="786"/>
        <v>110436.50793650794</v>
      </c>
      <c r="AS309" s="70" t="str">
        <f t="shared" si="787"/>
        <v/>
      </c>
      <c r="AT309" s="70">
        <f t="shared" si="788"/>
        <v>59710.392857142855</v>
      </c>
      <c r="AU309" s="70">
        <f t="shared" si="789"/>
        <v>5294.0476190476193</v>
      </c>
      <c r="AV309" s="71">
        <f t="shared" si="790"/>
        <v>7701.5555555555557</v>
      </c>
      <c r="AW309" s="115">
        <f t="shared" si="791"/>
        <v>25330</v>
      </c>
      <c r="AX309" s="116">
        <f t="shared" si="792"/>
        <v>23.321398298892234</v>
      </c>
      <c r="AY309" s="72">
        <f t="shared" si="793"/>
        <v>31763.813492063491</v>
      </c>
      <c r="AZ309" s="73">
        <f t="shared" si="794"/>
        <v>29.245027474936425</v>
      </c>
      <c r="BA309" s="66">
        <v>27800000</v>
      </c>
      <c r="BB309" s="62">
        <v>196560</v>
      </c>
      <c r="BC309" s="62">
        <v>6186600</v>
      </c>
      <c r="BD309" s="62">
        <v>638316</v>
      </c>
      <c r="BE309" s="62">
        <v>983005</v>
      </c>
      <c r="BF309" s="62">
        <v>797500</v>
      </c>
      <c r="BG309" s="62">
        <v>3218141</v>
      </c>
      <c r="BH309" s="62">
        <v>5081793</v>
      </c>
      <c r="BI309" s="62">
        <v>1250000</v>
      </c>
      <c r="BJ309" s="47">
        <f t="shared" si="795"/>
        <v>46151915</v>
      </c>
      <c r="BK309" s="69">
        <f t="shared" si="796"/>
        <v>110317.46031746031</v>
      </c>
      <c r="BL309" s="70">
        <f t="shared" si="797"/>
        <v>780</v>
      </c>
      <c r="BM309" s="70">
        <f t="shared" si="798"/>
        <v>24550</v>
      </c>
      <c r="BN309" s="70">
        <f t="shared" si="799"/>
        <v>2533</v>
      </c>
      <c r="BO309" s="70">
        <f t="shared" si="800"/>
        <v>3900.813492063492</v>
      </c>
      <c r="BP309" s="70">
        <f t="shared" si="801"/>
        <v>3164.6825396825398</v>
      </c>
      <c r="BQ309" s="70">
        <f t="shared" si="802"/>
        <v>12770.400793650793</v>
      </c>
      <c r="BR309" s="70">
        <f t="shared" si="803"/>
        <v>20165.845238095237</v>
      </c>
      <c r="BS309" s="70">
        <f t="shared" si="804"/>
        <v>4960.3174603174602</v>
      </c>
      <c r="BT309" s="71">
        <f t="shared" si="805"/>
        <v>183142.51984126985</v>
      </c>
      <c r="BU309" s="65">
        <f t="shared" si="806"/>
        <v>101.5695788150703</v>
      </c>
      <c r="BV309" s="48">
        <f t="shared" si="807"/>
        <v>0.71814807237015166</v>
      </c>
      <c r="BW309" s="48">
        <f t="shared" si="808"/>
        <v>22.603250226522082</v>
      </c>
      <c r="BX309" s="48">
        <f t="shared" si="809"/>
        <v>2.3321398298892233</v>
      </c>
      <c r="BY309" s="48">
        <f t="shared" si="810"/>
        <v>3.5914893461549702</v>
      </c>
      <c r="BZ309" s="48">
        <f t="shared" si="811"/>
        <v>2.9137316224826821</v>
      </c>
      <c r="CA309" s="48">
        <f t="shared" si="812"/>
        <v>11.757741940198171</v>
      </c>
      <c r="CB309" s="48">
        <f t="shared" si="813"/>
        <v>18.566747289042176</v>
      </c>
      <c r="CC309" s="48">
        <f t="shared" si="814"/>
        <v>4.5669774647063983</v>
      </c>
      <c r="CD309" s="47">
        <f t="shared" si="815"/>
        <v>168.61980460643616</v>
      </c>
      <c r="CE309" s="66">
        <v>3674112</v>
      </c>
      <c r="CF309" s="62">
        <v>60480</v>
      </c>
      <c r="CG309" s="74">
        <v>-280094</v>
      </c>
      <c r="CH309" s="75">
        <f t="shared" si="816"/>
        <v>3454498</v>
      </c>
      <c r="CI309" s="62">
        <f>85000+10080+4500</f>
        <v>99580</v>
      </c>
      <c r="CJ309" s="62">
        <v>138180</v>
      </c>
      <c r="CK309" s="62">
        <v>331296</v>
      </c>
      <c r="CL309" s="62">
        <v>210000</v>
      </c>
      <c r="CM309" s="62">
        <f>20000+110000+5000</f>
        <v>135000</v>
      </c>
      <c r="CN309" s="62">
        <v>300000</v>
      </c>
      <c r="CO309" s="62">
        <v>0</v>
      </c>
      <c r="CP309" s="75">
        <f t="shared" si="861"/>
        <v>1214056</v>
      </c>
      <c r="CQ309" s="62">
        <v>75600</v>
      </c>
      <c r="CR309" s="75">
        <f t="shared" si="862"/>
        <v>1289656</v>
      </c>
      <c r="CS309" s="75">
        <f t="shared" si="817"/>
        <v>2240442</v>
      </c>
      <c r="CT309" s="62">
        <f>1600572+277507</f>
        <v>1878079</v>
      </c>
      <c r="CU309" s="47">
        <f t="shared" si="818"/>
        <v>362363</v>
      </c>
      <c r="CV309" s="76">
        <f t="shared" si="819"/>
        <v>0.64855790913759392</v>
      </c>
      <c r="CW309" s="75">
        <f t="shared" si="820"/>
        <v>5117.6825396825398</v>
      </c>
      <c r="CX309" s="77">
        <f t="shared" si="821"/>
        <v>0.37332660201279605</v>
      </c>
      <c r="CY309" s="75">
        <f t="shared" si="822"/>
        <v>1437.9484126984128</v>
      </c>
      <c r="CZ309" s="77">
        <f t="shared" si="823"/>
        <v>0.10489599357128011</v>
      </c>
      <c r="DA309" s="77">
        <f t="shared" si="824"/>
        <v>0.54366191556631382</v>
      </c>
      <c r="DB309" s="47">
        <f t="shared" si="825"/>
        <v>110436.50793650794</v>
      </c>
      <c r="DC309" s="69">
        <f t="shared" si="826"/>
        <v>14579.809523809523</v>
      </c>
      <c r="DD309" s="70">
        <f t="shared" si="827"/>
        <v>240</v>
      </c>
      <c r="DE309" s="70">
        <f t="shared" si="828"/>
        <v>-1111.484126984127</v>
      </c>
      <c r="DF309" s="70">
        <f t="shared" si="829"/>
        <v>13708.325396825398</v>
      </c>
      <c r="DG309" s="70">
        <f t="shared" si="830"/>
        <v>395.15873015873018</v>
      </c>
      <c r="DH309" s="70">
        <f t="shared" si="831"/>
        <v>548.33333333333337</v>
      </c>
      <c r="DI309" s="70">
        <f t="shared" si="832"/>
        <v>1314.6666666666667</v>
      </c>
      <c r="DJ309" s="70">
        <f t="shared" si="833"/>
        <v>833.33333333333337</v>
      </c>
      <c r="DK309" s="70">
        <f t="shared" si="834"/>
        <v>535.71428571428567</v>
      </c>
      <c r="DL309" s="70">
        <f t="shared" si="835"/>
        <v>1190.4761904761904</v>
      </c>
      <c r="DM309" s="70" t="str">
        <f t="shared" si="836"/>
        <v/>
      </c>
      <c r="DN309" s="70">
        <f t="shared" si="837"/>
        <v>4817.6825396825398</v>
      </c>
      <c r="DO309" s="70">
        <f t="shared" si="838"/>
        <v>300</v>
      </c>
      <c r="DP309" s="70">
        <f t="shared" si="839"/>
        <v>5117.6825396825398</v>
      </c>
      <c r="DQ309" s="70">
        <f t="shared" si="840"/>
        <v>8890.6428571428569</v>
      </c>
      <c r="DR309" s="70">
        <f t="shared" si="841"/>
        <v>7452.6944444444443</v>
      </c>
      <c r="DS309" s="71">
        <f t="shared" si="842"/>
        <v>1437.9484126984128</v>
      </c>
      <c r="DT309" s="106">
        <f t="shared" si="843"/>
        <v>1.0635733469812401</v>
      </c>
      <c r="DU309" s="92">
        <f t="shared" si="844"/>
        <v>1.7507608920312012E-2</v>
      </c>
      <c r="DV309" s="92" t="str">
        <f t="shared" si="845"/>
        <v/>
      </c>
      <c r="DW309" s="92">
        <f t="shared" si="846"/>
        <v>1</v>
      </c>
      <c r="DX309" s="92">
        <f t="shared" si="847"/>
        <v>2.8826185454442294E-2</v>
      </c>
      <c r="DY309" s="92">
        <f t="shared" si="848"/>
        <v>4.0000023158212855E-2</v>
      </c>
      <c r="DZ309" s="92">
        <f t="shared" si="849"/>
        <v>9.5902791085709121E-2</v>
      </c>
      <c r="EA309" s="92">
        <f t="shared" si="850"/>
        <v>6.079030875108337E-2</v>
      </c>
      <c r="EB309" s="92">
        <f t="shared" si="851"/>
        <v>3.9079484197125022E-2</v>
      </c>
      <c r="EC309" s="92">
        <f t="shared" si="852"/>
        <v>8.6843298215833392E-2</v>
      </c>
      <c r="ED309" s="92" t="str">
        <f t="shared" si="853"/>
        <v/>
      </c>
      <c r="EE309" s="92">
        <f t="shared" si="854"/>
        <v>0.35144209086240608</v>
      </c>
      <c r="EF309" s="92">
        <f t="shared" si="855"/>
        <v>2.1884511150390012E-2</v>
      </c>
      <c r="EG309" s="92">
        <f t="shared" si="856"/>
        <v>0.37332660201279605</v>
      </c>
      <c r="EH309" s="92">
        <f t="shared" si="857"/>
        <v>0.64855790913759392</v>
      </c>
      <c r="EI309" s="92">
        <f t="shared" si="858"/>
        <v>0.54366191556631382</v>
      </c>
      <c r="EJ309" s="122">
        <f t="shared" si="859"/>
        <v>0.10489599357128011</v>
      </c>
    </row>
    <row r="310" spans="2:140" ht="12" hidden="1" customHeight="1" outlineLevel="1">
      <c r="B310" s="121">
        <v>45736</v>
      </c>
      <c r="C310" s="117">
        <v>25406</v>
      </c>
      <c r="D310" s="50" t="s">
        <v>1439</v>
      </c>
      <c r="E310" s="50" t="s">
        <v>1439</v>
      </c>
      <c r="F310" s="50" t="s">
        <v>1220</v>
      </c>
      <c r="G310" s="50" t="s">
        <v>162</v>
      </c>
      <c r="H310" s="50" t="s">
        <v>1440</v>
      </c>
      <c r="I310" s="50" t="s">
        <v>182</v>
      </c>
      <c r="J310" s="52" t="s">
        <v>175</v>
      </c>
      <c r="K310" s="50" t="s">
        <v>176</v>
      </c>
      <c r="L310" s="49">
        <v>6</v>
      </c>
      <c r="M310" s="50" t="s">
        <v>159</v>
      </c>
      <c r="N310" s="50" t="s">
        <v>160</v>
      </c>
      <c r="O310" s="50" t="s">
        <v>160</v>
      </c>
      <c r="P310" s="50" t="s">
        <v>1351</v>
      </c>
      <c r="Q310" s="53" t="s">
        <v>154</v>
      </c>
      <c r="R310" s="49">
        <v>200</v>
      </c>
      <c r="S310" s="49">
        <v>0</v>
      </c>
      <c r="T310" s="54">
        <f t="shared" si="860"/>
        <v>200</v>
      </c>
      <c r="U310" s="55">
        <v>118144</v>
      </c>
      <c r="V310" s="49">
        <v>14.27</v>
      </c>
      <c r="W310" s="56">
        <f t="shared" si="784"/>
        <v>14.015416958654521</v>
      </c>
      <c r="X310" s="49">
        <v>2006</v>
      </c>
      <c r="Y310" s="57" t="s">
        <v>162</v>
      </c>
      <c r="Z310" s="58">
        <v>44170000</v>
      </c>
      <c r="AA310" s="114">
        <f>(((12015000*0.0641)/(Table1[[#This Row],[Construction Loan Principal]]))+(((13700000*0.0641)/(Table1[[#This Row],[Construction Loan Principal]])))+(((18455000*0.075)/(Table1[[#This Row],[Construction Loan Principal]]))))</f>
        <v>6.8654211002943166E-2</v>
      </c>
      <c r="AB310" s="59">
        <v>15</v>
      </c>
      <c r="AC310" s="60">
        <v>40</v>
      </c>
      <c r="AD310" s="61">
        <v>6.4100000000000004E-2</v>
      </c>
      <c r="AE310" s="62">
        <v>12015000</v>
      </c>
      <c r="AF310" s="63">
        <v>1.33</v>
      </c>
      <c r="AG310" s="59">
        <v>55</v>
      </c>
      <c r="AH310" s="60">
        <v>0</v>
      </c>
      <c r="AI310" s="61">
        <v>7.4999999999999997E-2</v>
      </c>
      <c r="AJ310" s="64">
        <v>18455000</v>
      </c>
      <c r="AK310" s="65">
        <f t="shared" si="785"/>
        <v>30470000</v>
      </c>
      <c r="AL310" s="66">
        <v>0</v>
      </c>
      <c r="AM310" s="49" t="s">
        <v>163</v>
      </c>
      <c r="AN310" s="67">
        <v>0.95</v>
      </c>
      <c r="AO310" s="62">
        <v>16022627</v>
      </c>
      <c r="AP310" s="62">
        <v>1299500</v>
      </c>
      <c r="AQ310" s="68">
        <v>2903819</v>
      </c>
      <c r="AR310" s="69">
        <f t="shared" si="786"/>
        <v>152350</v>
      </c>
      <c r="AS310" s="70" t="str">
        <f t="shared" si="787"/>
        <v/>
      </c>
      <c r="AT310" s="70">
        <f t="shared" si="788"/>
        <v>80113.134999999995</v>
      </c>
      <c r="AU310" s="70">
        <f t="shared" si="789"/>
        <v>6497.5</v>
      </c>
      <c r="AV310" s="71">
        <f t="shared" si="790"/>
        <v>14519.094999999999</v>
      </c>
      <c r="AW310" s="115">
        <f t="shared" si="791"/>
        <v>61918.39</v>
      </c>
      <c r="AX310" s="116">
        <f t="shared" si="792"/>
        <v>104.81850961538461</v>
      </c>
      <c r="AY310" s="72">
        <f t="shared" si="793"/>
        <v>77396.835000000006</v>
      </c>
      <c r="AZ310" s="73">
        <f t="shared" si="794"/>
        <v>131.02118601029252</v>
      </c>
      <c r="BA310" s="66">
        <v>18657000</v>
      </c>
      <c r="BB310" s="62">
        <v>1567550</v>
      </c>
      <c r="BC310" s="62">
        <v>10816128</v>
      </c>
      <c r="BD310" s="62">
        <v>1238367</v>
      </c>
      <c r="BE310" s="62">
        <v>1857322</v>
      </c>
      <c r="BF310" s="62">
        <v>2965000</v>
      </c>
      <c r="BG310" s="62">
        <v>7404225</v>
      </c>
      <c r="BH310" s="62">
        <v>5503607</v>
      </c>
      <c r="BI310" s="62">
        <v>686747</v>
      </c>
      <c r="BJ310" s="47">
        <f t="shared" si="795"/>
        <v>50695946</v>
      </c>
      <c r="BK310" s="69">
        <f t="shared" si="796"/>
        <v>93285</v>
      </c>
      <c r="BL310" s="70">
        <f t="shared" si="797"/>
        <v>7837.75</v>
      </c>
      <c r="BM310" s="70">
        <f t="shared" si="798"/>
        <v>54080.639999999999</v>
      </c>
      <c r="BN310" s="70">
        <f t="shared" si="799"/>
        <v>6191.835</v>
      </c>
      <c r="BO310" s="70">
        <f t="shared" si="800"/>
        <v>9286.61</v>
      </c>
      <c r="BP310" s="70">
        <f t="shared" si="801"/>
        <v>14825</v>
      </c>
      <c r="BQ310" s="70">
        <f t="shared" si="802"/>
        <v>37021.125</v>
      </c>
      <c r="BR310" s="70">
        <f t="shared" si="803"/>
        <v>27518.035</v>
      </c>
      <c r="BS310" s="70">
        <f t="shared" si="804"/>
        <v>3433.7350000000001</v>
      </c>
      <c r="BT310" s="71">
        <f t="shared" si="805"/>
        <v>253479.73</v>
      </c>
      <c r="BU310" s="65">
        <f t="shared" si="806"/>
        <v>157.91745666305525</v>
      </c>
      <c r="BV310" s="48">
        <f t="shared" si="807"/>
        <v>13.268130417118094</v>
      </c>
      <c r="BW310" s="48">
        <f t="shared" si="808"/>
        <v>91.550379198266526</v>
      </c>
      <c r="BX310" s="48">
        <f t="shared" si="809"/>
        <v>10.481844190140846</v>
      </c>
      <c r="BY310" s="48">
        <f t="shared" si="810"/>
        <v>15.720832204767063</v>
      </c>
      <c r="BZ310" s="48">
        <f t="shared" si="811"/>
        <v>25.096492416034671</v>
      </c>
      <c r="CA310" s="48">
        <f t="shared" si="812"/>
        <v>62.671189395991334</v>
      </c>
      <c r="CB310" s="48">
        <f t="shared" si="813"/>
        <v>46.583889152221019</v>
      </c>
      <c r="CC310" s="48">
        <f t="shared" si="814"/>
        <v>5.8127962486457205</v>
      </c>
      <c r="CD310" s="47">
        <f t="shared" si="815"/>
        <v>429.1030098862405</v>
      </c>
      <c r="CE310" s="66">
        <v>2730432</v>
      </c>
      <c r="CF310" s="62">
        <v>68712</v>
      </c>
      <c r="CG310" s="74">
        <v>-209936</v>
      </c>
      <c r="CH310" s="75">
        <f t="shared" si="816"/>
        <v>2589208</v>
      </c>
      <c r="CI310" s="62">
        <f>89637+8000+5000</f>
        <v>102637</v>
      </c>
      <c r="CJ310" s="62">
        <v>103568</v>
      </c>
      <c r="CK310" s="62">
        <v>371280</v>
      </c>
      <c r="CL310" s="62">
        <v>142980</v>
      </c>
      <c r="CM310" s="62">
        <f>27518+361226</f>
        <v>388744</v>
      </c>
      <c r="CN310" s="62">
        <v>294327</v>
      </c>
      <c r="CO310" s="62">
        <v>0</v>
      </c>
      <c r="CP310" s="75">
        <f t="shared" si="861"/>
        <v>1403536</v>
      </c>
      <c r="CQ310" s="62">
        <v>60000</v>
      </c>
      <c r="CR310" s="75">
        <f t="shared" si="862"/>
        <v>1463536</v>
      </c>
      <c r="CS310" s="75">
        <f t="shared" si="817"/>
        <v>1185672</v>
      </c>
      <c r="CT310" s="62">
        <v>846900</v>
      </c>
      <c r="CU310" s="47">
        <f t="shared" si="818"/>
        <v>338772</v>
      </c>
      <c r="CV310" s="76">
        <f t="shared" si="819"/>
        <v>0.45792844761795887</v>
      </c>
      <c r="CW310" s="75">
        <f t="shared" si="820"/>
        <v>7317.68</v>
      </c>
      <c r="CX310" s="77">
        <f t="shared" si="821"/>
        <v>0.56524466168805287</v>
      </c>
      <c r="CY310" s="75">
        <f t="shared" si="822"/>
        <v>1693.86</v>
      </c>
      <c r="CZ310" s="77">
        <f t="shared" si="823"/>
        <v>0.13084000976360338</v>
      </c>
      <c r="DA310" s="77">
        <f t="shared" si="824"/>
        <v>0.32708843785435548</v>
      </c>
      <c r="DB310" s="47">
        <f t="shared" si="825"/>
        <v>152350</v>
      </c>
      <c r="DC310" s="69">
        <f t="shared" si="826"/>
        <v>13652.16</v>
      </c>
      <c r="DD310" s="70">
        <f t="shared" si="827"/>
        <v>343.56</v>
      </c>
      <c r="DE310" s="70">
        <f t="shared" si="828"/>
        <v>-1049.68</v>
      </c>
      <c r="DF310" s="70">
        <f t="shared" si="829"/>
        <v>12946.04</v>
      </c>
      <c r="DG310" s="70">
        <f t="shared" si="830"/>
        <v>513.18499999999995</v>
      </c>
      <c r="DH310" s="70">
        <f t="shared" si="831"/>
        <v>517.84</v>
      </c>
      <c r="DI310" s="70">
        <f t="shared" si="832"/>
        <v>1856.4</v>
      </c>
      <c r="DJ310" s="70">
        <f t="shared" si="833"/>
        <v>714.9</v>
      </c>
      <c r="DK310" s="70">
        <f t="shared" si="834"/>
        <v>1943.72</v>
      </c>
      <c r="DL310" s="70">
        <f t="shared" si="835"/>
        <v>1471.635</v>
      </c>
      <c r="DM310" s="70" t="str">
        <f t="shared" si="836"/>
        <v/>
      </c>
      <c r="DN310" s="70">
        <f t="shared" si="837"/>
        <v>7017.68</v>
      </c>
      <c r="DO310" s="70">
        <f t="shared" si="838"/>
        <v>300</v>
      </c>
      <c r="DP310" s="70">
        <f t="shared" si="839"/>
        <v>7317.68</v>
      </c>
      <c r="DQ310" s="70">
        <f t="shared" si="840"/>
        <v>5928.36</v>
      </c>
      <c r="DR310" s="70">
        <f t="shared" si="841"/>
        <v>4234.5</v>
      </c>
      <c r="DS310" s="71">
        <f t="shared" si="842"/>
        <v>1693.86</v>
      </c>
      <c r="DT310" s="106">
        <f t="shared" si="843"/>
        <v>1.0545433198105367</v>
      </c>
      <c r="DU310" s="92">
        <f t="shared" si="844"/>
        <v>2.6537844777244624E-2</v>
      </c>
      <c r="DV310" s="92" t="str">
        <f t="shared" si="845"/>
        <v/>
      </c>
      <c r="DW310" s="92">
        <f t="shared" si="846"/>
        <v>1</v>
      </c>
      <c r="DX310" s="92">
        <f t="shared" si="847"/>
        <v>3.9640306997352083E-2</v>
      </c>
      <c r="DY310" s="92">
        <f t="shared" si="848"/>
        <v>3.99998764100837E-2</v>
      </c>
      <c r="DZ310" s="92">
        <f t="shared" si="849"/>
        <v>0.14339520038560055</v>
      </c>
      <c r="EA310" s="92">
        <f t="shared" si="850"/>
        <v>5.5221519476225937E-2</v>
      </c>
      <c r="EB310" s="92">
        <f t="shared" si="851"/>
        <v>0.15014012006760369</v>
      </c>
      <c r="EC310" s="92">
        <f t="shared" si="852"/>
        <v>0.11367452904517521</v>
      </c>
      <c r="ED310" s="92" t="str">
        <f t="shared" si="853"/>
        <v/>
      </c>
      <c r="EE310" s="92">
        <f t="shared" si="854"/>
        <v>0.54207155238204119</v>
      </c>
      <c r="EF310" s="92">
        <f t="shared" si="855"/>
        <v>2.3173109306011724E-2</v>
      </c>
      <c r="EG310" s="92">
        <f t="shared" si="856"/>
        <v>0.56524466168805287</v>
      </c>
      <c r="EH310" s="92">
        <f t="shared" si="857"/>
        <v>0.45792844761795887</v>
      </c>
      <c r="EI310" s="92">
        <f t="shared" si="858"/>
        <v>0.32708843785435548</v>
      </c>
      <c r="EJ310" s="122">
        <f t="shared" si="859"/>
        <v>0.13084000976360338</v>
      </c>
    </row>
    <row r="311" spans="2:140" ht="12" hidden="1" customHeight="1" outlineLevel="1">
      <c r="B311" s="121">
        <v>45743</v>
      </c>
      <c r="C311" s="117">
        <v>25429</v>
      </c>
      <c r="D311" s="50" t="s">
        <v>1441</v>
      </c>
      <c r="E311" s="50" t="s">
        <v>1442</v>
      </c>
      <c r="F311" s="50" t="s">
        <v>617</v>
      </c>
      <c r="G311" s="50" t="s">
        <v>1443</v>
      </c>
      <c r="H311" s="50" t="s">
        <v>1444</v>
      </c>
      <c r="I311" s="50" t="s">
        <v>248</v>
      </c>
      <c r="J311" s="52" t="s">
        <v>198</v>
      </c>
      <c r="K311" s="50" t="s">
        <v>199</v>
      </c>
      <c r="L311" s="49">
        <v>0</v>
      </c>
      <c r="M311" s="50"/>
      <c r="N311" s="50" t="s">
        <v>244</v>
      </c>
      <c r="O311" s="50" t="s">
        <v>160</v>
      </c>
      <c r="P311" s="50" t="s">
        <v>177</v>
      </c>
      <c r="Q311" s="53" t="s">
        <v>154</v>
      </c>
      <c r="R311" s="49">
        <v>198</v>
      </c>
      <c r="S311" s="49">
        <v>0</v>
      </c>
      <c r="T311" s="54">
        <f t="shared" si="860"/>
        <v>198</v>
      </c>
      <c r="U311" s="55">
        <v>152380</v>
      </c>
      <c r="V311" s="49">
        <v>5.12</v>
      </c>
      <c r="W311" s="56">
        <f t="shared" si="784"/>
        <v>38.671875</v>
      </c>
      <c r="X311" s="49" t="s">
        <v>163</v>
      </c>
      <c r="Y311" s="57" t="s">
        <v>162</v>
      </c>
      <c r="Z311" s="58">
        <v>33679773</v>
      </c>
      <c r="AA311" s="114">
        <f>(((20750019*0.0579)/(Table1[[#This Row],[Construction Loan Principal]]))+(((7680140*0.0781)/(Table1[[#This Row],[Construction Loan Principal]])))+(((4249614*0.0701)/(Table1[[#This Row],[Construction Loan Principal]])))+((1000000*0.0719)/(Table1[[#This Row],[Construction Loan Principal]])))</f>
        <v>6.4461330410392009E-2</v>
      </c>
      <c r="AB311" s="59">
        <v>35</v>
      </c>
      <c r="AC311" s="60">
        <v>35</v>
      </c>
      <c r="AD311" s="61">
        <v>5.3499999999999999E-2</v>
      </c>
      <c r="AE311" s="62">
        <v>20750019</v>
      </c>
      <c r="AF311" s="63">
        <v>1.44</v>
      </c>
      <c r="AG311" s="59">
        <v>35</v>
      </c>
      <c r="AH311" s="60">
        <v>35</v>
      </c>
      <c r="AI311" s="61">
        <v>7.0099999999999996E-2</v>
      </c>
      <c r="AJ311" s="64">
        <v>4249614</v>
      </c>
      <c r="AK311" s="65">
        <f t="shared" si="785"/>
        <v>24999633</v>
      </c>
      <c r="AL311" s="66">
        <v>0</v>
      </c>
      <c r="AM311" s="49" t="s">
        <v>163</v>
      </c>
      <c r="AN311" s="67">
        <v>0.84</v>
      </c>
      <c r="AO311" s="62">
        <v>16788818</v>
      </c>
      <c r="AP311" s="62">
        <v>0</v>
      </c>
      <c r="AQ311" s="68">
        <v>2155873</v>
      </c>
      <c r="AR311" s="69">
        <f t="shared" si="786"/>
        <v>126260.77272727272</v>
      </c>
      <c r="AS311" s="70" t="str">
        <f t="shared" si="787"/>
        <v/>
      </c>
      <c r="AT311" s="70">
        <f t="shared" si="788"/>
        <v>84792.010101010106</v>
      </c>
      <c r="AU311" s="70" t="str">
        <f t="shared" si="789"/>
        <v/>
      </c>
      <c r="AV311" s="71">
        <f t="shared" si="790"/>
        <v>10888.247474747475</v>
      </c>
      <c r="AW311" s="115">
        <f t="shared" si="791"/>
        <v>115187.14646464646</v>
      </c>
      <c r="AX311" s="116">
        <f t="shared" si="792"/>
        <v>149.67223388896181</v>
      </c>
      <c r="AY311" s="72">
        <f t="shared" si="793"/>
        <v>137072.70707070705</v>
      </c>
      <c r="AZ311" s="73">
        <f t="shared" si="794"/>
        <v>178.10996193726211</v>
      </c>
      <c r="BA311" s="66">
        <v>2232014</v>
      </c>
      <c r="BB311" s="62">
        <v>3600200</v>
      </c>
      <c r="BC311" s="62">
        <v>19206855</v>
      </c>
      <c r="BD311" s="62">
        <v>1140353</v>
      </c>
      <c r="BE311" s="62">
        <v>3192988</v>
      </c>
      <c r="BF311" s="62">
        <v>2096570</v>
      </c>
      <c r="BG311" s="62">
        <v>6911596</v>
      </c>
      <c r="BH311" s="62">
        <v>4984030</v>
      </c>
      <c r="BI311" s="62">
        <v>1579718</v>
      </c>
      <c r="BJ311" s="47">
        <f t="shared" si="795"/>
        <v>44944324</v>
      </c>
      <c r="BK311" s="69">
        <f t="shared" si="796"/>
        <v>11272.797979797981</v>
      </c>
      <c r="BL311" s="70">
        <f t="shared" si="797"/>
        <v>18182.828282828283</v>
      </c>
      <c r="BM311" s="70">
        <f t="shared" si="798"/>
        <v>97004.318181818177</v>
      </c>
      <c r="BN311" s="70">
        <f t="shared" si="799"/>
        <v>5759.3585858585857</v>
      </c>
      <c r="BO311" s="70">
        <f t="shared" si="800"/>
        <v>16126.202020202019</v>
      </c>
      <c r="BP311" s="70">
        <f t="shared" si="801"/>
        <v>10588.737373737375</v>
      </c>
      <c r="BQ311" s="70">
        <f t="shared" si="802"/>
        <v>34907.050505050502</v>
      </c>
      <c r="BR311" s="70">
        <f t="shared" si="803"/>
        <v>25171.868686868685</v>
      </c>
      <c r="BS311" s="70">
        <f t="shared" si="804"/>
        <v>7978.3737373737376</v>
      </c>
      <c r="BT311" s="71">
        <f t="shared" si="805"/>
        <v>226991.53535353535</v>
      </c>
      <c r="BU311" s="65">
        <f t="shared" si="806"/>
        <v>14.647683423021395</v>
      </c>
      <c r="BV311" s="48">
        <f t="shared" si="807"/>
        <v>23.626460165376034</v>
      </c>
      <c r="BW311" s="48">
        <f t="shared" si="808"/>
        <v>126.04577372358577</v>
      </c>
      <c r="BX311" s="48">
        <f t="shared" si="809"/>
        <v>7.4836133350833443</v>
      </c>
      <c r="BY311" s="48">
        <f t="shared" si="810"/>
        <v>20.954114713216956</v>
      </c>
      <c r="BZ311" s="48">
        <f t="shared" si="811"/>
        <v>13.75882661766636</v>
      </c>
      <c r="CA311" s="48">
        <f t="shared" si="812"/>
        <v>45.357632235201471</v>
      </c>
      <c r="CB311" s="48">
        <f t="shared" si="813"/>
        <v>32.707901299383124</v>
      </c>
      <c r="CC311" s="48">
        <f t="shared" si="814"/>
        <v>10.366964168526053</v>
      </c>
      <c r="CD311" s="47">
        <f t="shared" si="815"/>
        <v>294.94896968106053</v>
      </c>
      <c r="CE311" s="66">
        <v>3026376</v>
      </c>
      <c r="CF311" s="62">
        <v>59400</v>
      </c>
      <c r="CG311" s="74">
        <v>-231433</v>
      </c>
      <c r="CH311" s="75">
        <f t="shared" si="816"/>
        <v>2854343</v>
      </c>
      <c r="CI311" s="62">
        <f>99792+7920+4000+32500</f>
        <v>144212</v>
      </c>
      <c r="CJ311" s="62">
        <v>114174</v>
      </c>
      <c r="CK311" s="62">
        <v>227700</v>
      </c>
      <c r="CL311" s="62">
        <f>134244</f>
        <v>134244</v>
      </c>
      <c r="CM311" s="62">
        <f>32753+125647</f>
        <v>158400</v>
      </c>
      <c r="CN311" s="62">
        <v>137367</v>
      </c>
      <c r="CO311" s="62">
        <v>0</v>
      </c>
      <c r="CP311" s="75">
        <f t="shared" si="861"/>
        <v>916097</v>
      </c>
      <c r="CQ311" s="62">
        <v>49500</v>
      </c>
      <c r="CR311" s="75">
        <f t="shared" si="862"/>
        <v>965597</v>
      </c>
      <c r="CS311" s="75">
        <f t="shared" si="817"/>
        <v>1938246</v>
      </c>
      <c r="CT311" s="62">
        <f>1312795+326145</f>
        <v>1638940</v>
      </c>
      <c r="CU311" s="47">
        <f t="shared" si="818"/>
        <v>299306</v>
      </c>
      <c r="CV311" s="76">
        <f t="shared" si="819"/>
        <v>0.67905153655324535</v>
      </c>
      <c r="CW311" s="75">
        <f t="shared" si="820"/>
        <v>4876.7525252525256</v>
      </c>
      <c r="CX311" s="77">
        <f t="shared" si="821"/>
        <v>0.33829045773405647</v>
      </c>
      <c r="CY311" s="75">
        <f t="shared" si="822"/>
        <v>1511.6464646464647</v>
      </c>
      <c r="CZ311" s="77">
        <f t="shared" si="823"/>
        <v>0.10485985741727606</v>
      </c>
      <c r="DA311" s="77">
        <f t="shared" si="824"/>
        <v>0.57419167913596925</v>
      </c>
      <c r="DB311" s="47">
        <f t="shared" si="825"/>
        <v>126260.77272727272</v>
      </c>
      <c r="DC311" s="69">
        <f t="shared" si="826"/>
        <v>15284.727272727272</v>
      </c>
      <c r="DD311" s="70">
        <f t="shared" si="827"/>
        <v>300</v>
      </c>
      <c r="DE311" s="70">
        <f t="shared" si="828"/>
        <v>-1168.8535353535353</v>
      </c>
      <c r="DF311" s="70">
        <f t="shared" si="829"/>
        <v>14415.873737373737</v>
      </c>
      <c r="DG311" s="70">
        <f t="shared" si="830"/>
        <v>728.3434343434343</v>
      </c>
      <c r="DH311" s="70">
        <f t="shared" si="831"/>
        <v>576.63636363636363</v>
      </c>
      <c r="DI311" s="70">
        <f t="shared" si="832"/>
        <v>1150</v>
      </c>
      <c r="DJ311" s="70">
        <f t="shared" si="833"/>
        <v>678</v>
      </c>
      <c r="DK311" s="70">
        <f t="shared" si="834"/>
        <v>800</v>
      </c>
      <c r="DL311" s="70">
        <f t="shared" si="835"/>
        <v>693.77272727272725</v>
      </c>
      <c r="DM311" s="70" t="str">
        <f t="shared" si="836"/>
        <v/>
      </c>
      <c r="DN311" s="70">
        <f t="shared" si="837"/>
        <v>4626.7525252525256</v>
      </c>
      <c r="DO311" s="70">
        <f t="shared" si="838"/>
        <v>250</v>
      </c>
      <c r="DP311" s="70">
        <f t="shared" si="839"/>
        <v>4876.7525252525256</v>
      </c>
      <c r="DQ311" s="70">
        <f t="shared" si="840"/>
        <v>9789.121212121212</v>
      </c>
      <c r="DR311" s="70">
        <f t="shared" si="841"/>
        <v>8277.4747474747473</v>
      </c>
      <c r="DS311" s="71">
        <f t="shared" si="842"/>
        <v>1511.6464646464647</v>
      </c>
      <c r="DT311" s="106">
        <f t="shared" si="843"/>
        <v>1.0602706121864121</v>
      </c>
      <c r="DU311" s="92">
        <f t="shared" si="844"/>
        <v>2.0810393144762209E-2</v>
      </c>
      <c r="DV311" s="92" t="str">
        <f t="shared" si="845"/>
        <v/>
      </c>
      <c r="DW311" s="92">
        <f t="shared" si="846"/>
        <v>1</v>
      </c>
      <c r="DX311" s="92">
        <f t="shared" si="847"/>
        <v>5.0523710710310567E-2</v>
      </c>
      <c r="DY311" s="92">
        <f t="shared" si="848"/>
        <v>4.0000098096129304E-2</v>
      </c>
      <c r="DZ311" s="92">
        <f t="shared" si="849"/>
        <v>7.9773173721588472E-2</v>
      </c>
      <c r="EA311" s="92">
        <f t="shared" si="850"/>
        <v>4.7031488507162593E-2</v>
      </c>
      <c r="EB311" s="92">
        <f t="shared" si="851"/>
        <v>5.5494381719365896E-2</v>
      </c>
      <c r="EC311" s="92">
        <f t="shared" si="852"/>
        <v>4.8125610692197819E-2</v>
      </c>
      <c r="ED311" s="92" t="str">
        <f t="shared" si="853"/>
        <v/>
      </c>
      <c r="EE311" s="92">
        <f t="shared" si="854"/>
        <v>0.32094846344675465</v>
      </c>
      <c r="EF311" s="92">
        <f t="shared" si="855"/>
        <v>1.7341994287301842E-2</v>
      </c>
      <c r="EG311" s="92">
        <f t="shared" si="856"/>
        <v>0.33829045773405647</v>
      </c>
      <c r="EH311" s="92">
        <f t="shared" si="857"/>
        <v>0.67905153655324535</v>
      </c>
      <c r="EI311" s="92">
        <f t="shared" si="858"/>
        <v>0.57419167913596925</v>
      </c>
      <c r="EJ311" s="122">
        <f t="shared" si="859"/>
        <v>0.10485985741727606</v>
      </c>
    </row>
    <row r="312" spans="2:140" ht="12" hidden="1" customHeight="1" outlineLevel="1">
      <c r="B312" s="121">
        <v>45747</v>
      </c>
      <c r="C312" s="117">
        <v>25420</v>
      </c>
      <c r="D312" s="50" t="s">
        <v>1445</v>
      </c>
      <c r="E312" s="50" t="s">
        <v>357</v>
      </c>
      <c r="F312" s="50" t="s">
        <v>358</v>
      </c>
      <c r="G312" s="50" t="s">
        <v>162</v>
      </c>
      <c r="H312" s="50" t="s">
        <v>1446</v>
      </c>
      <c r="I312" s="50" t="s">
        <v>573</v>
      </c>
      <c r="J312" s="52" t="s">
        <v>360</v>
      </c>
      <c r="K312" s="50" t="s">
        <v>294</v>
      </c>
      <c r="L312" s="49">
        <v>7</v>
      </c>
      <c r="M312" s="50" t="s">
        <v>159</v>
      </c>
      <c r="N312" s="50" t="s">
        <v>361</v>
      </c>
      <c r="O312" s="50" t="s">
        <v>160</v>
      </c>
      <c r="P312" s="50" t="s">
        <v>177</v>
      </c>
      <c r="Q312" s="53">
        <v>0.04</v>
      </c>
      <c r="R312" s="49">
        <v>58</v>
      </c>
      <c r="S312" s="49">
        <v>0</v>
      </c>
      <c r="T312" s="54">
        <f t="shared" si="860"/>
        <v>58</v>
      </c>
      <c r="U312" s="55">
        <v>43685</v>
      </c>
      <c r="V312" s="49">
        <v>0.57969999999999999</v>
      </c>
      <c r="W312" s="56">
        <f t="shared" si="784"/>
        <v>100.05175090564084</v>
      </c>
      <c r="X312" s="49" t="s">
        <v>163</v>
      </c>
      <c r="Y312" s="57" t="s">
        <v>162</v>
      </c>
      <c r="Z312" s="58">
        <v>11000000</v>
      </c>
      <c r="AA312" s="114">
        <v>6.2899999999999998E-2</v>
      </c>
      <c r="AB312" s="59"/>
      <c r="AC312" s="60"/>
      <c r="AD312" s="61"/>
      <c r="AE312" s="62"/>
      <c r="AF312" s="63"/>
      <c r="AG312" s="59"/>
      <c r="AH312" s="60"/>
      <c r="AI312" s="61"/>
      <c r="AJ312" s="64"/>
      <c r="AK312" s="65" t="str">
        <f t="shared" si="785"/>
        <v/>
      </c>
      <c r="AL312" s="66">
        <v>11200000</v>
      </c>
      <c r="AM312" s="49" t="s">
        <v>1447</v>
      </c>
      <c r="AN312" s="67">
        <v>0.87</v>
      </c>
      <c r="AO312" s="62">
        <v>7861525</v>
      </c>
      <c r="AP312" s="62">
        <v>0</v>
      </c>
      <c r="AQ312" s="68">
        <v>1341796</v>
      </c>
      <c r="AR312" s="69" t="str">
        <f t="shared" si="786"/>
        <v/>
      </c>
      <c r="AS312" s="70">
        <f t="shared" si="787"/>
        <v>193103.44827586206</v>
      </c>
      <c r="AT312" s="70">
        <f t="shared" si="788"/>
        <v>135543.53448275861</v>
      </c>
      <c r="AU312" s="70" t="str">
        <f t="shared" si="789"/>
        <v/>
      </c>
      <c r="AV312" s="71">
        <f t="shared" si="790"/>
        <v>23134.413793103449</v>
      </c>
      <c r="AW312" s="115">
        <f t="shared" si="791"/>
        <v>243887.03448275861</v>
      </c>
      <c r="AX312" s="116">
        <f t="shared" si="792"/>
        <v>323.80560833237956</v>
      </c>
      <c r="AY312" s="72">
        <f t="shared" si="793"/>
        <v>294084.22413793101</v>
      </c>
      <c r="AZ312" s="73">
        <f t="shared" si="794"/>
        <v>390.4517568959597</v>
      </c>
      <c r="BA312" s="66">
        <v>2600000</v>
      </c>
      <c r="BB312" s="62">
        <v>776854</v>
      </c>
      <c r="BC312" s="62">
        <v>13368594</v>
      </c>
      <c r="BD312" s="62">
        <v>832056</v>
      </c>
      <c r="BE312" s="62">
        <v>2079381</v>
      </c>
      <c r="BF312" s="62">
        <v>1475425</v>
      </c>
      <c r="BG312" s="62">
        <v>1527635</v>
      </c>
      <c r="BH312" s="62">
        <v>2946176</v>
      </c>
      <c r="BI312" s="62">
        <v>404848</v>
      </c>
      <c r="BJ312" s="47">
        <f t="shared" si="795"/>
        <v>26010969</v>
      </c>
      <c r="BK312" s="69">
        <f t="shared" si="796"/>
        <v>44827.586206896551</v>
      </c>
      <c r="BL312" s="70">
        <f t="shared" si="797"/>
        <v>13394.034482758621</v>
      </c>
      <c r="BM312" s="70">
        <f t="shared" si="798"/>
        <v>230493</v>
      </c>
      <c r="BN312" s="70">
        <f t="shared" si="799"/>
        <v>14345.793103448275</v>
      </c>
      <c r="BO312" s="70">
        <f t="shared" si="800"/>
        <v>35851.396551724138</v>
      </c>
      <c r="BP312" s="70">
        <f t="shared" si="801"/>
        <v>25438.362068965518</v>
      </c>
      <c r="BQ312" s="70">
        <f t="shared" si="802"/>
        <v>26338.53448275862</v>
      </c>
      <c r="BR312" s="70">
        <f t="shared" si="803"/>
        <v>50796.137931034486</v>
      </c>
      <c r="BS312" s="70">
        <f t="shared" si="804"/>
        <v>6980.1379310344828</v>
      </c>
      <c r="BT312" s="71">
        <f t="shared" si="805"/>
        <v>448464.9827586207</v>
      </c>
      <c r="BU312" s="65">
        <f t="shared" si="806"/>
        <v>59.516996680782874</v>
      </c>
      <c r="BV312" s="48">
        <f t="shared" si="807"/>
        <v>17.783083438251115</v>
      </c>
      <c r="BW312" s="48">
        <f t="shared" si="808"/>
        <v>306.02252489412842</v>
      </c>
      <c r="BX312" s="48">
        <f t="shared" si="809"/>
        <v>19.046720842394414</v>
      </c>
      <c r="BY312" s="48">
        <f t="shared" si="810"/>
        <v>47.599427721185762</v>
      </c>
      <c r="BZ312" s="48">
        <f t="shared" si="811"/>
        <v>33.774178779901568</v>
      </c>
      <c r="CA312" s="48">
        <f t="shared" si="812"/>
        <v>34.969325855556825</v>
      </c>
      <c r="CB312" s="48">
        <f t="shared" si="813"/>
        <v>67.441364312693139</v>
      </c>
      <c r="CC312" s="48">
        <f t="shared" si="814"/>
        <v>9.2674373354698414</v>
      </c>
      <c r="CD312" s="47">
        <f t="shared" si="815"/>
        <v>595.42105986036393</v>
      </c>
      <c r="CE312" s="66">
        <v>587184</v>
      </c>
      <c r="CF312" s="62">
        <v>11193</v>
      </c>
      <c r="CG312" s="74">
        <v>-44878</v>
      </c>
      <c r="CH312" s="75">
        <f t="shared" si="816"/>
        <v>553499</v>
      </c>
      <c r="CI312" s="62">
        <f>38282+2320+4610+5000</f>
        <v>50212</v>
      </c>
      <c r="CJ312" s="62">
        <v>33261</v>
      </c>
      <c r="CK312" s="62">
        <v>81527</v>
      </c>
      <c r="CL312" s="62">
        <v>72606</v>
      </c>
      <c r="CM312" s="62">
        <f>18747+56359+6200</f>
        <v>81306</v>
      </c>
      <c r="CN312" s="62">
        <v>35311</v>
      </c>
      <c r="CO312" s="62">
        <v>30000</v>
      </c>
      <c r="CP312" s="75">
        <f t="shared" si="861"/>
        <v>384223</v>
      </c>
      <c r="CQ312" s="62">
        <v>14500</v>
      </c>
      <c r="CR312" s="75">
        <f t="shared" si="862"/>
        <v>398723</v>
      </c>
      <c r="CS312" s="75">
        <f t="shared" si="817"/>
        <v>169276</v>
      </c>
      <c r="CT312" s="62">
        <v>0</v>
      </c>
      <c r="CU312" s="47">
        <f t="shared" si="818"/>
        <v>169276</v>
      </c>
      <c r="CV312" s="76">
        <f t="shared" si="819"/>
        <v>0.30582891748675245</v>
      </c>
      <c r="CW312" s="75">
        <f t="shared" si="820"/>
        <v>6874.5344827586205</v>
      </c>
      <c r="CX312" s="77">
        <f t="shared" si="821"/>
        <v>0.72036805847887708</v>
      </c>
      <c r="CY312" s="75">
        <f t="shared" si="822"/>
        <v>2918.5517241379312</v>
      </c>
      <c r="CZ312" s="77">
        <f t="shared" si="823"/>
        <v>0.30582891748675245</v>
      </c>
      <c r="DA312" s="77" t="str">
        <f t="shared" si="824"/>
        <v/>
      </c>
      <c r="DB312" s="47" t="str">
        <f t="shared" si="825"/>
        <v/>
      </c>
      <c r="DC312" s="69">
        <f t="shared" si="826"/>
        <v>10123.862068965518</v>
      </c>
      <c r="DD312" s="70">
        <f t="shared" si="827"/>
        <v>192.98275862068965</v>
      </c>
      <c r="DE312" s="70">
        <f t="shared" si="828"/>
        <v>-773.75862068965512</v>
      </c>
      <c r="DF312" s="70">
        <f t="shared" si="829"/>
        <v>9543.0862068965525</v>
      </c>
      <c r="DG312" s="70">
        <f t="shared" si="830"/>
        <v>865.72413793103453</v>
      </c>
      <c r="DH312" s="70">
        <f t="shared" si="831"/>
        <v>573.4655172413793</v>
      </c>
      <c r="DI312" s="70">
        <f t="shared" si="832"/>
        <v>1405.6379310344828</v>
      </c>
      <c r="DJ312" s="70">
        <f t="shared" si="833"/>
        <v>1251.8275862068965</v>
      </c>
      <c r="DK312" s="70">
        <f t="shared" si="834"/>
        <v>1401.8275862068965</v>
      </c>
      <c r="DL312" s="70">
        <f t="shared" si="835"/>
        <v>608.81034482758616</v>
      </c>
      <c r="DM312" s="70">
        <f t="shared" si="836"/>
        <v>517.24137931034488</v>
      </c>
      <c r="DN312" s="70">
        <f t="shared" si="837"/>
        <v>6624.5344827586205</v>
      </c>
      <c r="DO312" s="70">
        <f t="shared" si="838"/>
        <v>250</v>
      </c>
      <c r="DP312" s="70">
        <f t="shared" si="839"/>
        <v>6874.5344827586205</v>
      </c>
      <c r="DQ312" s="70">
        <f t="shared" si="840"/>
        <v>2918.5517241379312</v>
      </c>
      <c r="DR312" s="70" t="str">
        <f t="shared" si="841"/>
        <v/>
      </c>
      <c r="DS312" s="71">
        <f t="shared" si="842"/>
        <v>2918.5517241379312</v>
      </c>
      <c r="DT312" s="106">
        <f t="shared" si="843"/>
        <v>1.060858285200154</v>
      </c>
      <c r="DU312" s="92">
        <f t="shared" si="844"/>
        <v>2.0222258757468397E-2</v>
      </c>
      <c r="DV312" s="92" t="str">
        <f t="shared" si="845"/>
        <v/>
      </c>
      <c r="DW312" s="92">
        <f t="shared" si="846"/>
        <v>1</v>
      </c>
      <c r="DX312" s="92">
        <f t="shared" si="847"/>
        <v>9.071741773697875E-2</v>
      </c>
      <c r="DY312" s="92">
        <f t="shared" si="848"/>
        <v>6.0092249489158971E-2</v>
      </c>
      <c r="DZ312" s="92">
        <f t="shared" si="849"/>
        <v>0.14729385238275047</v>
      </c>
      <c r="EA312" s="92">
        <f t="shared" si="850"/>
        <v>0.13117638875589657</v>
      </c>
      <c r="EB312" s="92">
        <f t="shared" si="851"/>
        <v>0.14689457433527431</v>
      </c>
      <c r="EC312" s="92">
        <f t="shared" si="852"/>
        <v>6.3795959884299702E-2</v>
      </c>
      <c r="ED312" s="92">
        <f t="shared" si="853"/>
        <v>5.4200639928888759E-2</v>
      </c>
      <c r="EE312" s="92">
        <f t="shared" si="854"/>
        <v>0.69417108251324755</v>
      </c>
      <c r="EF312" s="92">
        <f t="shared" si="855"/>
        <v>2.6196975965629567E-2</v>
      </c>
      <c r="EG312" s="92">
        <f t="shared" si="856"/>
        <v>0.72036805847887708</v>
      </c>
      <c r="EH312" s="92">
        <f t="shared" si="857"/>
        <v>0.30582891748675245</v>
      </c>
      <c r="EI312" s="92" t="str">
        <f t="shared" si="858"/>
        <v/>
      </c>
      <c r="EJ312" s="122">
        <f t="shared" si="859"/>
        <v>0.30582891748675245</v>
      </c>
    </row>
    <row r="313" spans="2:140" ht="12" hidden="1" customHeight="1" outlineLevel="1">
      <c r="B313" s="121">
        <v>45748</v>
      </c>
      <c r="C313" s="117">
        <v>25422</v>
      </c>
      <c r="D313" s="50" t="s">
        <v>1448</v>
      </c>
      <c r="E313" s="50" t="s">
        <v>332</v>
      </c>
      <c r="F313" s="50" t="s">
        <v>1449</v>
      </c>
      <c r="G313" s="50" t="s">
        <v>154</v>
      </c>
      <c r="H313" s="50" t="s">
        <v>1334</v>
      </c>
      <c r="I313" s="50" t="s">
        <v>379</v>
      </c>
      <c r="J313" s="52" t="s">
        <v>624</v>
      </c>
      <c r="K313" s="50" t="s">
        <v>625</v>
      </c>
      <c r="L313" s="49">
        <v>3</v>
      </c>
      <c r="M313" s="50" t="s">
        <v>159</v>
      </c>
      <c r="N313" s="50" t="s">
        <v>160</v>
      </c>
      <c r="O313" s="50" t="s">
        <v>160</v>
      </c>
      <c r="P313" s="50" t="s">
        <v>177</v>
      </c>
      <c r="Q313" s="53" t="s">
        <v>154</v>
      </c>
      <c r="R313" s="49">
        <v>252</v>
      </c>
      <c r="S313" s="49">
        <v>0</v>
      </c>
      <c r="T313" s="54">
        <f t="shared" si="860"/>
        <v>252</v>
      </c>
      <c r="U313" s="55">
        <v>253962</v>
      </c>
      <c r="V313" s="49">
        <v>21.812200000000001</v>
      </c>
      <c r="W313" s="56">
        <f t="shared" si="784"/>
        <v>11.553167493421112</v>
      </c>
      <c r="X313" s="49" t="s">
        <v>163</v>
      </c>
      <c r="Y313" s="57" t="s">
        <v>162</v>
      </c>
      <c r="Z313" s="58">
        <v>47000000</v>
      </c>
      <c r="AA313" s="114">
        <v>6.8000000000000005E-2</v>
      </c>
      <c r="AB313" s="59">
        <v>16</v>
      </c>
      <c r="AC313" s="60">
        <v>35</v>
      </c>
      <c r="AD313" s="61">
        <v>5.6500000000000002E-2</v>
      </c>
      <c r="AE313" s="62">
        <v>32000000</v>
      </c>
      <c r="AF313" s="63">
        <v>1.27</v>
      </c>
      <c r="AG313" s="59">
        <v>16</v>
      </c>
      <c r="AH313" s="60">
        <v>35</v>
      </c>
      <c r="AI313" s="61">
        <v>6.8000000000000005E-2</v>
      </c>
      <c r="AJ313" s="64">
        <v>1270399</v>
      </c>
      <c r="AK313" s="65">
        <f t="shared" si="785"/>
        <v>33270399</v>
      </c>
      <c r="AL313" s="66">
        <v>0</v>
      </c>
      <c r="AM313" s="49" t="s">
        <v>163</v>
      </c>
      <c r="AN313" s="67">
        <v>0.85</v>
      </c>
      <c r="AO313" s="62">
        <v>24690453</v>
      </c>
      <c r="AP313" s="62">
        <v>5864704</v>
      </c>
      <c r="AQ313" s="68">
        <v>1689774</v>
      </c>
      <c r="AR313" s="69">
        <f t="shared" si="786"/>
        <v>132025.39285714287</v>
      </c>
      <c r="AS313" s="70" t="str">
        <f t="shared" si="787"/>
        <v/>
      </c>
      <c r="AT313" s="70">
        <f t="shared" si="788"/>
        <v>97977.988095238092</v>
      </c>
      <c r="AU313" s="70">
        <f t="shared" si="789"/>
        <v>23272.634920634922</v>
      </c>
      <c r="AV313" s="71">
        <f t="shared" si="790"/>
        <v>6705.4523809523807</v>
      </c>
      <c r="AW313" s="115">
        <f t="shared" si="791"/>
        <v>128500</v>
      </c>
      <c r="AX313" s="116">
        <f t="shared" si="792"/>
        <v>127.50726486639734</v>
      </c>
      <c r="AY313" s="72">
        <f t="shared" si="793"/>
        <v>152915</v>
      </c>
      <c r="AZ313" s="73">
        <f t="shared" si="794"/>
        <v>151.73364519101281</v>
      </c>
      <c r="BA313" s="66">
        <v>1600000</v>
      </c>
      <c r="BB313" s="62">
        <v>4940646</v>
      </c>
      <c r="BC313" s="62">
        <v>27441354</v>
      </c>
      <c r="BD313" s="62">
        <v>1619100</v>
      </c>
      <c r="BE313" s="62">
        <v>4533480</v>
      </c>
      <c r="BF313" s="62">
        <v>3227899</v>
      </c>
      <c r="BG313" s="62">
        <v>13772170</v>
      </c>
      <c r="BH313" s="62">
        <v>7340816</v>
      </c>
      <c r="BI313" s="62">
        <v>1039865</v>
      </c>
      <c r="BJ313" s="47">
        <f t="shared" si="795"/>
        <v>65515330</v>
      </c>
      <c r="BK313" s="69">
        <f t="shared" si="796"/>
        <v>6349.2063492063489</v>
      </c>
      <c r="BL313" s="70">
        <f t="shared" si="797"/>
        <v>19605.738095238095</v>
      </c>
      <c r="BM313" s="70">
        <f t="shared" si="798"/>
        <v>108894.26190476191</v>
      </c>
      <c r="BN313" s="70">
        <f t="shared" si="799"/>
        <v>6425</v>
      </c>
      <c r="BO313" s="70">
        <f t="shared" si="800"/>
        <v>17990</v>
      </c>
      <c r="BP313" s="70">
        <f t="shared" si="801"/>
        <v>12809.123015873016</v>
      </c>
      <c r="BQ313" s="70">
        <f t="shared" si="802"/>
        <v>54651.468253968254</v>
      </c>
      <c r="BR313" s="70">
        <f t="shared" si="803"/>
        <v>29130.222222222223</v>
      </c>
      <c r="BS313" s="70">
        <f t="shared" si="804"/>
        <v>4126.4484126984125</v>
      </c>
      <c r="BT313" s="71">
        <f t="shared" si="805"/>
        <v>259981.46825396825</v>
      </c>
      <c r="BU313" s="65">
        <f t="shared" si="806"/>
        <v>6.3001551413203547</v>
      </c>
      <c r="BV313" s="48">
        <f t="shared" si="807"/>
        <v>19.454272686464904</v>
      </c>
      <c r="BW313" s="48">
        <f t="shared" si="808"/>
        <v>108.05299217993243</v>
      </c>
      <c r="BX313" s="48">
        <f t="shared" si="809"/>
        <v>6.3753632433198666</v>
      </c>
      <c r="BY313" s="48">
        <f t="shared" si="810"/>
        <v>17.851017081295627</v>
      </c>
      <c r="BZ313" s="48">
        <f t="shared" si="811"/>
        <v>12.71016530032052</v>
      </c>
      <c r="CA313" s="48">
        <f t="shared" si="812"/>
        <v>54.229254770398718</v>
      </c>
      <c r="CB313" s="48">
        <f t="shared" si="813"/>
        <v>28.905174789929202</v>
      </c>
      <c r="CC313" s="48">
        <f t="shared" si="814"/>
        <v>4.0945692662681816</v>
      </c>
      <c r="CD313" s="47">
        <f t="shared" si="815"/>
        <v>257.97296445924979</v>
      </c>
      <c r="CE313" s="66">
        <v>3866616</v>
      </c>
      <c r="CF313" s="62">
        <f>52500+19414+18809</f>
        <v>90723</v>
      </c>
      <c r="CG313" s="74">
        <v>-296800</v>
      </c>
      <c r="CH313" s="75">
        <f t="shared" si="816"/>
        <v>3660539</v>
      </c>
      <c r="CI313" s="62">
        <f>72340+10080+5000+15000</f>
        <v>102420</v>
      </c>
      <c r="CJ313" s="62">
        <v>128119</v>
      </c>
      <c r="CK313" s="62">
        <v>305206</v>
      </c>
      <c r="CL313" s="62">
        <f>3600+161980</f>
        <v>165580</v>
      </c>
      <c r="CM313" s="62">
        <f>2500+56700+16632</f>
        <v>75832</v>
      </c>
      <c r="CN313" s="62">
        <v>118188</v>
      </c>
      <c r="CO313" s="62">
        <v>44000</v>
      </c>
      <c r="CP313" s="75">
        <f t="shared" si="861"/>
        <v>939345</v>
      </c>
      <c r="CQ313" s="62">
        <v>63000</v>
      </c>
      <c r="CR313" s="75">
        <f t="shared" si="862"/>
        <v>1002345</v>
      </c>
      <c r="CS313" s="75">
        <f t="shared" si="817"/>
        <v>2721194</v>
      </c>
      <c r="CT313" s="62">
        <f>2100027+95263</f>
        <v>2195290</v>
      </c>
      <c r="CU313" s="47">
        <f t="shared" si="818"/>
        <v>525904</v>
      </c>
      <c r="CV313" s="76">
        <f t="shared" si="819"/>
        <v>0.74338615160226407</v>
      </c>
      <c r="CW313" s="75">
        <f t="shared" si="820"/>
        <v>3977.5595238095239</v>
      </c>
      <c r="CX313" s="77">
        <f t="shared" si="821"/>
        <v>0.2738244285882489</v>
      </c>
      <c r="CY313" s="75">
        <f t="shared" si="822"/>
        <v>2086.9206349206347</v>
      </c>
      <c r="CZ313" s="77">
        <f t="shared" si="823"/>
        <v>0.14366845975415096</v>
      </c>
      <c r="DA313" s="77">
        <f t="shared" si="824"/>
        <v>0.59971769184811308</v>
      </c>
      <c r="DB313" s="47">
        <f t="shared" si="825"/>
        <v>132025.39285714287</v>
      </c>
      <c r="DC313" s="69">
        <f t="shared" si="826"/>
        <v>15343.714285714286</v>
      </c>
      <c r="DD313" s="70">
        <f t="shared" si="827"/>
        <v>360.01190476190476</v>
      </c>
      <c r="DE313" s="70">
        <f t="shared" si="828"/>
        <v>-1177.7777777777778</v>
      </c>
      <c r="DF313" s="70">
        <f t="shared" si="829"/>
        <v>14525.948412698413</v>
      </c>
      <c r="DG313" s="70">
        <f t="shared" si="830"/>
        <v>406.42857142857144</v>
      </c>
      <c r="DH313" s="70">
        <f t="shared" si="831"/>
        <v>508.40873015873018</v>
      </c>
      <c r="DI313" s="70">
        <f t="shared" si="832"/>
        <v>1211.1349206349207</v>
      </c>
      <c r="DJ313" s="70">
        <f t="shared" si="833"/>
        <v>657.06349206349205</v>
      </c>
      <c r="DK313" s="70">
        <f t="shared" si="834"/>
        <v>300.92063492063494</v>
      </c>
      <c r="DL313" s="70">
        <f t="shared" si="835"/>
        <v>469</v>
      </c>
      <c r="DM313" s="70">
        <f t="shared" si="836"/>
        <v>174.60317460317461</v>
      </c>
      <c r="DN313" s="70">
        <f t="shared" si="837"/>
        <v>3727.5595238095239</v>
      </c>
      <c r="DO313" s="70">
        <f t="shared" si="838"/>
        <v>250</v>
      </c>
      <c r="DP313" s="70">
        <f t="shared" si="839"/>
        <v>3977.5595238095239</v>
      </c>
      <c r="DQ313" s="70">
        <f t="shared" si="840"/>
        <v>10798.388888888889</v>
      </c>
      <c r="DR313" s="70">
        <f t="shared" si="841"/>
        <v>8711.4682539682544</v>
      </c>
      <c r="DS313" s="71">
        <f t="shared" si="842"/>
        <v>2086.9206349206347</v>
      </c>
      <c r="DT313" s="106">
        <f t="shared" si="843"/>
        <v>1.056296900538418</v>
      </c>
      <c r="DU313" s="92">
        <f t="shared" si="844"/>
        <v>2.4784055025776259E-2</v>
      </c>
      <c r="DV313" s="92" t="str">
        <f t="shared" si="845"/>
        <v/>
      </c>
      <c r="DW313" s="92">
        <f t="shared" si="846"/>
        <v>1</v>
      </c>
      <c r="DX313" s="92">
        <f t="shared" si="847"/>
        <v>2.7979486081148159E-2</v>
      </c>
      <c r="DY313" s="92">
        <f t="shared" si="848"/>
        <v>3.5000036879814692E-2</v>
      </c>
      <c r="DZ313" s="92">
        <f t="shared" si="849"/>
        <v>8.3377338692471242E-2</v>
      </c>
      <c r="EA313" s="92">
        <f t="shared" si="850"/>
        <v>4.5233775681668739E-2</v>
      </c>
      <c r="EB313" s="92">
        <f t="shared" si="851"/>
        <v>2.0716074873126607E-2</v>
      </c>
      <c r="EC313" s="92">
        <f t="shared" si="852"/>
        <v>3.2287048437402252E-2</v>
      </c>
      <c r="ED313" s="92">
        <f t="shared" si="853"/>
        <v>1.2020087752104266E-2</v>
      </c>
      <c r="EE313" s="92">
        <f t="shared" si="854"/>
        <v>0.25661384839773599</v>
      </c>
      <c r="EF313" s="92">
        <f t="shared" si="855"/>
        <v>1.7210580190512928E-2</v>
      </c>
      <c r="EG313" s="92">
        <f t="shared" si="856"/>
        <v>0.2738244285882489</v>
      </c>
      <c r="EH313" s="92">
        <f t="shared" si="857"/>
        <v>0.74338615160226407</v>
      </c>
      <c r="EI313" s="92">
        <f t="shared" si="858"/>
        <v>0.59971769184811308</v>
      </c>
      <c r="EJ313" s="122">
        <f t="shared" si="859"/>
        <v>0.14366845975415096</v>
      </c>
    </row>
    <row r="314" spans="2:140" ht="12" hidden="1" customHeight="1" outlineLevel="1">
      <c r="B314" s="121">
        <v>45756</v>
      </c>
      <c r="C314" s="117">
        <v>25442</v>
      </c>
      <c r="D314" s="50" t="s">
        <v>1450</v>
      </c>
      <c r="E314" s="50" t="s">
        <v>1451</v>
      </c>
      <c r="F314" s="50" t="s">
        <v>1452</v>
      </c>
      <c r="G314" s="50" t="s">
        <v>162</v>
      </c>
      <c r="H314" s="50" t="s">
        <v>438</v>
      </c>
      <c r="I314" s="50" t="s">
        <v>438</v>
      </c>
      <c r="J314" s="52" t="s">
        <v>230</v>
      </c>
      <c r="K314" s="50" t="s">
        <v>230</v>
      </c>
      <c r="L314" s="49">
        <v>3</v>
      </c>
      <c r="M314" s="50" t="s">
        <v>159</v>
      </c>
      <c r="N314" s="50" t="s">
        <v>160</v>
      </c>
      <c r="O314" s="50" t="s">
        <v>160</v>
      </c>
      <c r="P314" s="50" t="s">
        <v>177</v>
      </c>
      <c r="Q314" s="53">
        <v>0.04</v>
      </c>
      <c r="R314" s="49">
        <f>304-60</f>
        <v>244</v>
      </c>
      <c r="S314" s="49">
        <v>60</v>
      </c>
      <c r="T314" s="54">
        <f t="shared" si="860"/>
        <v>304</v>
      </c>
      <c r="U314" s="55">
        <v>295165</v>
      </c>
      <c r="V314" s="49">
        <v>5.88</v>
      </c>
      <c r="W314" s="56">
        <f t="shared" si="784"/>
        <v>51.700680272108848</v>
      </c>
      <c r="X314" s="49" t="s">
        <v>163</v>
      </c>
      <c r="Y314" s="57" t="s">
        <v>162</v>
      </c>
      <c r="Z314" s="58">
        <v>66554296</v>
      </c>
      <c r="AA314" s="114">
        <f>(((43207872*0.0195)/(Table1[[#This Row],[Construction Loan Principal]]))+(((23346424*0.0697)/(Table1[[#This Row],[Construction Loan Principal]]))))</f>
        <v>3.7109539206905594E-2</v>
      </c>
      <c r="AB314" s="59">
        <v>40</v>
      </c>
      <c r="AC314" s="60">
        <v>40</v>
      </c>
      <c r="AD314" s="61">
        <v>0.06</v>
      </c>
      <c r="AE314" s="62">
        <v>43207872</v>
      </c>
      <c r="AF314" s="63">
        <v>1.1499999999999999</v>
      </c>
      <c r="AG314" s="59"/>
      <c r="AH314" s="60"/>
      <c r="AI314" s="61"/>
      <c r="AJ314" s="64"/>
      <c r="AK314" s="65">
        <f t="shared" si="785"/>
        <v>43207872</v>
      </c>
      <c r="AL314" s="66">
        <v>11000000</v>
      </c>
      <c r="AM314" s="49" t="s">
        <v>1453</v>
      </c>
      <c r="AN314" s="67">
        <v>0.88</v>
      </c>
      <c r="AO314" s="62">
        <v>29728693</v>
      </c>
      <c r="AP314" s="62">
        <v>0</v>
      </c>
      <c r="AQ314" s="68">
        <v>9020472</v>
      </c>
      <c r="AR314" s="69">
        <f t="shared" si="786"/>
        <v>142131.15789473685</v>
      </c>
      <c r="AS314" s="70">
        <f t="shared" si="787"/>
        <v>36184.210526315786</v>
      </c>
      <c r="AT314" s="70">
        <f t="shared" si="788"/>
        <v>97791.75328947368</v>
      </c>
      <c r="AU314" s="70" t="str">
        <f t="shared" si="789"/>
        <v/>
      </c>
      <c r="AV314" s="71">
        <f t="shared" si="790"/>
        <v>29672.605263157893</v>
      </c>
      <c r="AW314" s="115">
        <f t="shared" si="791"/>
        <v>170610.61184210525</v>
      </c>
      <c r="AX314" s="116">
        <f t="shared" si="792"/>
        <v>175.7173987430759</v>
      </c>
      <c r="AY314" s="72">
        <f t="shared" si="793"/>
        <v>201378.2763157895</v>
      </c>
      <c r="AZ314" s="73">
        <f t="shared" si="794"/>
        <v>207.40601358562159</v>
      </c>
      <c r="BA314" s="66">
        <v>3090000</v>
      </c>
      <c r="BB314" s="62">
        <v>14348502</v>
      </c>
      <c r="BC314" s="62">
        <v>37517124</v>
      </c>
      <c r="BD314" s="62">
        <v>2092181</v>
      </c>
      <c r="BE314" s="62">
        <v>7261189</v>
      </c>
      <c r="BF314" s="62">
        <v>3938361</v>
      </c>
      <c r="BG314" s="62">
        <v>9653080</v>
      </c>
      <c r="BH314" s="62">
        <v>10993699</v>
      </c>
      <c r="BI314" s="62">
        <v>4063001</v>
      </c>
      <c r="BJ314" s="47">
        <f t="shared" si="795"/>
        <v>92957137</v>
      </c>
      <c r="BK314" s="69">
        <f t="shared" si="796"/>
        <v>10164.473684210527</v>
      </c>
      <c r="BL314" s="70">
        <f t="shared" si="797"/>
        <v>47199.019736842107</v>
      </c>
      <c r="BM314" s="70">
        <f t="shared" si="798"/>
        <v>123411.59210526316</v>
      </c>
      <c r="BN314" s="70">
        <f t="shared" si="799"/>
        <v>6882.1743421052633</v>
      </c>
      <c r="BO314" s="70">
        <f t="shared" si="800"/>
        <v>23885.490131578947</v>
      </c>
      <c r="BP314" s="70">
        <f t="shared" si="801"/>
        <v>12955.134868421053</v>
      </c>
      <c r="BQ314" s="70">
        <f t="shared" si="802"/>
        <v>31753.552631578947</v>
      </c>
      <c r="BR314" s="70">
        <f t="shared" si="803"/>
        <v>36163.48355263158</v>
      </c>
      <c r="BS314" s="70">
        <f t="shared" si="804"/>
        <v>13365.134868421053</v>
      </c>
      <c r="BT314" s="71">
        <f t="shared" si="805"/>
        <v>305780.05592105264</v>
      </c>
      <c r="BU314" s="65">
        <f t="shared" si="806"/>
        <v>10.468720884928768</v>
      </c>
      <c r="BV314" s="48">
        <f t="shared" si="807"/>
        <v>48.611800179560582</v>
      </c>
      <c r="BW314" s="48">
        <f t="shared" si="808"/>
        <v>127.10559856351531</v>
      </c>
      <c r="BX314" s="48">
        <f t="shared" si="809"/>
        <v>7.0881744109227043</v>
      </c>
      <c r="BY314" s="48">
        <f t="shared" si="810"/>
        <v>24.600440431622989</v>
      </c>
      <c r="BZ314" s="48">
        <f t="shared" si="811"/>
        <v>13.342913285789304</v>
      </c>
      <c r="CA314" s="48">
        <f t="shared" si="812"/>
        <v>32.704013009672558</v>
      </c>
      <c r="CB314" s="48">
        <f t="shared" si="813"/>
        <v>37.245943794149035</v>
      </c>
      <c r="CC314" s="48">
        <f t="shared" si="814"/>
        <v>13.765185574170379</v>
      </c>
      <c r="CD314" s="47">
        <f t="shared" si="815"/>
        <v>314.93279013433164</v>
      </c>
      <c r="CE314" s="66">
        <v>5372280</v>
      </c>
      <c r="CF314" s="62">
        <v>91200</v>
      </c>
      <c r="CG314" s="74">
        <v>-409761</v>
      </c>
      <c r="CH314" s="75">
        <f t="shared" si="816"/>
        <v>5053719</v>
      </c>
      <c r="CI314" s="62">
        <f>200078+9760+6100+14400</f>
        <v>230338</v>
      </c>
      <c r="CJ314" s="62">
        <v>202140</v>
      </c>
      <c r="CK314" s="62">
        <v>440945</v>
      </c>
      <c r="CL314" s="62">
        <f>188960</f>
        <v>188960</v>
      </c>
      <c r="CM314" s="62">
        <f>54691+242651</f>
        <v>297342</v>
      </c>
      <c r="CN314" s="62">
        <v>212800</v>
      </c>
      <c r="CO314" s="62">
        <v>0</v>
      </c>
      <c r="CP314" s="75">
        <f t="shared" si="861"/>
        <v>1572525</v>
      </c>
      <c r="CQ314" s="62">
        <v>76000</v>
      </c>
      <c r="CR314" s="75">
        <f t="shared" si="862"/>
        <v>1648525</v>
      </c>
      <c r="CS314" s="75">
        <f t="shared" si="817"/>
        <v>3481194</v>
      </c>
      <c r="CT314" s="62">
        <v>2960847</v>
      </c>
      <c r="CU314" s="47">
        <f t="shared" si="818"/>
        <v>520347</v>
      </c>
      <c r="CV314" s="76">
        <f t="shared" si="819"/>
        <v>0.68883806163342287</v>
      </c>
      <c r="CW314" s="75">
        <f t="shared" si="820"/>
        <v>5422.7796052631575</v>
      </c>
      <c r="CX314" s="77">
        <f t="shared" si="821"/>
        <v>0.32620036848111261</v>
      </c>
      <c r="CY314" s="75">
        <f t="shared" si="822"/>
        <v>1711.6677631578948</v>
      </c>
      <c r="CZ314" s="77">
        <f t="shared" si="823"/>
        <v>0.10296318414221289</v>
      </c>
      <c r="DA314" s="77">
        <f t="shared" si="824"/>
        <v>0.58587487749120992</v>
      </c>
      <c r="DB314" s="47">
        <f t="shared" si="825"/>
        <v>142131.15789473685</v>
      </c>
      <c r="DC314" s="69">
        <f t="shared" si="826"/>
        <v>17671.973684210527</v>
      </c>
      <c r="DD314" s="70">
        <f t="shared" si="827"/>
        <v>300</v>
      </c>
      <c r="DE314" s="70">
        <f t="shared" si="828"/>
        <v>-1347.8980263157894</v>
      </c>
      <c r="DF314" s="70">
        <f t="shared" si="829"/>
        <v>16624.075657894737</v>
      </c>
      <c r="DG314" s="70">
        <f t="shared" si="830"/>
        <v>757.69078947368416</v>
      </c>
      <c r="DH314" s="70">
        <f t="shared" si="831"/>
        <v>664.93421052631584</v>
      </c>
      <c r="DI314" s="70">
        <f t="shared" si="832"/>
        <v>1450.4769736842106</v>
      </c>
      <c r="DJ314" s="70">
        <f t="shared" si="833"/>
        <v>621.57894736842104</v>
      </c>
      <c r="DK314" s="70">
        <f t="shared" si="834"/>
        <v>978.09868421052636</v>
      </c>
      <c r="DL314" s="70">
        <f t="shared" si="835"/>
        <v>700</v>
      </c>
      <c r="DM314" s="70" t="str">
        <f t="shared" si="836"/>
        <v/>
      </c>
      <c r="DN314" s="70">
        <f t="shared" si="837"/>
        <v>5172.7796052631575</v>
      </c>
      <c r="DO314" s="70">
        <f t="shared" si="838"/>
        <v>250</v>
      </c>
      <c r="DP314" s="70">
        <f t="shared" si="839"/>
        <v>5422.7796052631575</v>
      </c>
      <c r="DQ314" s="70">
        <f t="shared" si="840"/>
        <v>11451.296052631578</v>
      </c>
      <c r="DR314" s="70">
        <f t="shared" si="841"/>
        <v>9739.6282894736851</v>
      </c>
      <c r="DS314" s="71">
        <f t="shared" si="842"/>
        <v>1711.6677631578948</v>
      </c>
      <c r="DT314" s="106">
        <f t="shared" si="843"/>
        <v>1.0630349649436386</v>
      </c>
      <c r="DU314" s="92">
        <f t="shared" si="844"/>
        <v>1.8046116137442544E-2</v>
      </c>
      <c r="DV314" s="92" t="str">
        <f t="shared" si="845"/>
        <v/>
      </c>
      <c r="DW314" s="92">
        <f t="shared" si="846"/>
        <v>1</v>
      </c>
      <c r="DX314" s="92">
        <f t="shared" si="847"/>
        <v>4.5577919943708779E-2</v>
      </c>
      <c r="DY314" s="92">
        <f t="shared" si="848"/>
        <v>3.9998266623055216E-2</v>
      </c>
      <c r="DZ314" s="92">
        <f t="shared" si="849"/>
        <v>8.7251586405971526E-2</v>
      </c>
      <c r="EA314" s="92">
        <f t="shared" si="850"/>
        <v>3.7390286242666042E-2</v>
      </c>
      <c r="EB314" s="92">
        <f t="shared" si="851"/>
        <v>5.8836274830476328E-2</v>
      </c>
      <c r="EC314" s="92">
        <f t="shared" si="852"/>
        <v>4.2107604320699273E-2</v>
      </c>
      <c r="ED314" s="92" t="str">
        <f t="shared" si="853"/>
        <v/>
      </c>
      <c r="EE314" s="92">
        <f t="shared" si="854"/>
        <v>0.31116193836657718</v>
      </c>
      <c r="EF314" s="92">
        <f t="shared" si="855"/>
        <v>1.5038430114535454E-2</v>
      </c>
      <c r="EG314" s="92">
        <f t="shared" si="856"/>
        <v>0.32620036848111261</v>
      </c>
      <c r="EH314" s="92">
        <f t="shared" si="857"/>
        <v>0.68883806163342287</v>
      </c>
      <c r="EI314" s="92">
        <f t="shared" si="858"/>
        <v>0.58587487749120992</v>
      </c>
      <c r="EJ314" s="122">
        <f t="shared" si="859"/>
        <v>0.10296318414221289</v>
      </c>
    </row>
    <row r="315" spans="2:140" ht="12" hidden="1" customHeight="1" outlineLevel="1">
      <c r="B315" s="121">
        <v>45770</v>
      </c>
      <c r="C315" s="117">
        <v>25425</v>
      </c>
      <c r="D315" s="50" t="s">
        <v>1454</v>
      </c>
      <c r="E315" s="50" t="s">
        <v>1455</v>
      </c>
      <c r="F315" s="50" t="s">
        <v>1456</v>
      </c>
      <c r="G315" s="50" t="s">
        <v>154</v>
      </c>
      <c r="H315" s="50" t="s">
        <v>438</v>
      </c>
      <c r="I315" s="50" t="s">
        <v>438</v>
      </c>
      <c r="J315" s="52" t="s">
        <v>360</v>
      </c>
      <c r="K315" s="50" t="s">
        <v>294</v>
      </c>
      <c r="L315" s="49">
        <v>7</v>
      </c>
      <c r="M315" s="50" t="s">
        <v>159</v>
      </c>
      <c r="N315" s="50" t="s">
        <v>160</v>
      </c>
      <c r="O315" s="50" t="s">
        <v>160</v>
      </c>
      <c r="P315" s="50" t="s">
        <v>177</v>
      </c>
      <c r="Q315" s="53">
        <v>0.04</v>
      </c>
      <c r="R315" s="49">
        <v>330</v>
      </c>
      <c r="S315" s="49">
        <v>0</v>
      </c>
      <c r="T315" s="54">
        <f t="shared" si="860"/>
        <v>330</v>
      </c>
      <c r="U315" s="55">
        <v>266325</v>
      </c>
      <c r="V315" s="49">
        <v>11.33</v>
      </c>
      <c r="W315" s="56">
        <f t="shared" si="784"/>
        <v>29.126213592233011</v>
      </c>
      <c r="X315" s="49" t="s">
        <v>163</v>
      </c>
      <c r="Y315" s="57" t="s">
        <v>162</v>
      </c>
      <c r="Z315" s="58">
        <v>61179235</v>
      </c>
      <c r="AA315" s="114">
        <f>(((47250000*0.06)/(Table1[[#This Row],[Construction Loan Principal]]))+(((13929235*0.0771)/(Table1[[#This Row],[Construction Loan Principal]]))))</f>
        <v>6.3893313123317086E-2</v>
      </c>
      <c r="AB315" s="59">
        <v>40</v>
      </c>
      <c r="AC315" s="60">
        <v>40</v>
      </c>
      <c r="AD315" s="61">
        <v>0.06</v>
      </c>
      <c r="AE315" s="62">
        <v>47250000</v>
      </c>
      <c r="AF315" s="63">
        <v>1.1499999999999999</v>
      </c>
      <c r="AG315" s="59"/>
      <c r="AH315" s="60"/>
      <c r="AI315" s="61"/>
      <c r="AJ315" s="64"/>
      <c r="AK315" s="65">
        <f t="shared" si="785"/>
        <v>47250000</v>
      </c>
      <c r="AL315" s="66">
        <v>0</v>
      </c>
      <c r="AM315" s="49" t="s">
        <v>163</v>
      </c>
      <c r="AN315" s="67">
        <v>0.85</v>
      </c>
      <c r="AO315" s="62">
        <v>21429353</v>
      </c>
      <c r="AP315" s="62">
        <v>0</v>
      </c>
      <c r="AQ315" s="68">
        <v>6741630</v>
      </c>
      <c r="AR315" s="69">
        <f t="shared" si="786"/>
        <v>143181.81818181818</v>
      </c>
      <c r="AS315" s="70" t="str">
        <f t="shared" si="787"/>
        <v/>
      </c>
      <c r="AT315" s="70">
        <f t="shared" si="788"/>
        <v>64937.433333333334</v>
      </c>
      <c r="AU315" s="70" t="str">
        <f t="shared" si="789"/>
        <v/>
      </c>
      <c r="AV315" s="71">
        <f t="shared" si="790"/>
        <v>20429.18181818182</v>
      </c>
      <c r="AW315" s="115">
        <f t="shared" si="791"/>
        <v>112366.66666666667</v>
      </c>
      <c r="AX315" s="116">
        <f t="shared" si="792"/>
        <v>139.23214118088802</v>
      </c>
      <c r="AY315" s="72">
        <f t="shared" si="793"/>
        <v>131552.54545454544</v>
      </c>
      <c r="AZ315" s="73">
        <f t="shared" si="794"/>
        <v>163.00512531681218</v>
      </c>
      <c r="BA315" s="66">
        <v>8000000</v>
      </c>
      <c r="BB315" s="62">
        <v>7335226</v>
      </c>
      <c r="BC315" s="62">
        <v>29745774</v>
      </c>
      <c r="BD315" s="62">
        <v>1000000</v>
      </c>
      <c r="BE315" s="62">
        <v>5331340</v>
      </c>
      <c r="BF315" s="62">
        <v>3991600</v>
      </c>
      <c r="BG315" s="62">
        <v>9849712</v>
      </c>
      <c r="BH315" s="62">
        <v>8174000</v>
      </c>
      <c r="BI315" s="62">
        <v>1993331</v>
      </c>
      <c r="BJ315" s="47">
        <f t="shared" si="795"/>
        <v>75420983</v>
      </c>
      <c r="BK315" s="69">
        <f t="shared" si="796"/>
        <v>24242.424242424244</v>
      </c>
      <c r="BL315" s="70">
        <f t="shared" si="797"/>
        <v>22227.957575757577</v>
      </c>
      <c r="BM315" s="70">
        <f t="shared" si="798"/>
        <v>90138.709090909091</v>
      </c>
      <c r="BN315" s="70">
        <f t="shared" si="799"/>
        <v>3030.3030303030305</v>
      </c>
      <c r="BO315" s="70">
        <f t="shared" si="800"/>
        <v>16155.575757575758</v>
      </c>
      <c r="BP315" s="70">
        <f t="shared" si="801"/>
        <v>12095.757575757576</v>
      </c>
      <c r="BQ315" s="70">
        <f t="shared" si="802"/>
        <v>29847.612121212122</v>
      </c>
      <c r="BR315" s="70">
        <f t="shared" si="803"/>
        <v>24769.696969696968</v>
      </c>
      <c r="BS315" s="70">
        <f t="shared" si="804"/>
        <v>6040.3969696969698</v>
      </c>
      <c r="BT315" s="71">
        <f t="shared" si="805"/>
        <v>228548.43333333332</v>
      </c>
      <c r="BU315" s="65">
        <f t="shared" si="806"/>
        <v>30.038486811226885</v>
      </c>
      <c r="BV315" s="48">
        <f t="shared" si="807"/>
        <v>27.542386182296067</v>
      </c>
      <c r="BW315" s="48">
        <f t="shared" si="808"/>
        <v>111.68975499859195</v>
      </c>
      <c r="BX315" s="48">
        <f t="shared" si="809"/>
        <v>3.7548108514033607</v>
      </c>
      <c r="BY315" s="48">
        <f t="shared" si="810"/>
        <v>20.018173284520792</v>
      </c>
      <c r="BZ315" s="48">
        <f t="shared" si="811"/>
        <v>14.987702994461655</v>
      </c>
      <c r="CA315" s="48">
        <f t="shared" si="812"/>
        <v>36.983805500797899</v>
      </c>
      <c r="CB315" s="48">
        <f t="shared" si="813"/>
        <v>30.691823899371069</v>
      </c>
      <c r="CC315" s="48">
        <f t="shared" si="814"/>
        <v>7.4845808692387124</v>
      </c>
      <c r="CD315" s="47">
        <f t="shared" si="815"/>
        <v>283.19152539190839</v>
      </c>
      <c r="CE315" s="66">
        <v>5905152</v>
      </c>
      <c r="CF315" s="62">
        <v>118800</v>
      </c>
      <c r="CG315" s="74">
        <v>-451796</v>
      </c>
      <c r="CH315" s="75">
        <f t="shared" si="816"/>
        <v>5572156</v>
      </c>
      <c r="CI315" s="62">
        <f>210000+13200+20000</f>
        <v>243200</v>
      </c>
      <c r="CJ315" s="62">
        <v>222886</v>
      </c>
      <c r="CK315" s="62">
        <v>520000</v>
      </c>
      <c r="CL315" s="62">
        <v>210000</v>
      </c>
      <c r="CM315" s="62">
        <f>150000+180000</f>
        <v>330000</v>
      </c>
      <c r="CN315" s="62">
        <v>225000</v>
      </c>
      <c r="CO315" s="62">
        <v>0</v>
      </c>
      <c r="CP315" s="75">
        <f t="shared" si="861"/>
        <v>1751086</v>
      </c>
      <c r="CQ315" s="62">
        <v>82500</v>
      </c>
      <c r="CR315" s="75">
        <f t="shared" si="862"/>
        <v>1833586</v>
      </c>
      <c r="CS315" s="75">
        <f t="shared" si="817"/>
        <v>3821070</v>
      </c>
      <c r="CT315" s="62">
        <v>3237836</v>
      </c>
      <c r="CU315" s="47">
        <f t="shared" si="818"/>
        <v>583234</v>
      </c>
      <c r="CV315" s="76">
        <f t="shared" si="819"/>
        <v>0.68574354343273947</v>
      </c>
      <c r="CW315" s="75">
        <f t="shared" si="820"/>
        <v>5556.3212121212118</v>
      </c>
      <c r="CX315" s="77">
        <f t="shared" si="821"/>
        <v>0.32906221577428918</v>
      </c>
      <c r="CY315" s="75">
        <f t="shared" si="822"/>
        <v>1767.3757575757577</v>
      </c>
      <c r="CZ315" s="77">
        <f t="shared" si="823"/>
        <v>0.10466935958002611</v>
      </c>
      <c r="DA315" s="77">
        <f t="shared" si="824"/>
        <v>0.58107418385271337</v>
      </c>
      <c r="DB315" s="47">
        <f t="shared" si="825"/>
        <v>143181.81818181818</v>
      </c>
      <c r="DC315" s="69">
        <f t="shared" si="826"/>
        <v>17894.400000000001</v>
      </c>
      <c r="DD315" s="70">
        <f t="shared" si="827"/>
        <v>360</v>
      </c>
      <c r="DE315" s="70">
        <f t="shared" si="828"/>
        <v>-1369.0787878787878</v>
      </c>
      <c r="DF315" s="70">
        <f t="shared" si="829"/>
        <v>16885.321212121213</v>
      </c>
      <c r="DG315" s="70">
        <f t="shared" si="830"/>
        <v>736.969696969697</v>
      </c>
      <c r="DH315" s="70">
        <f t="shared" si="831"/>
        <v>675.41212121212118</v>
      </c>
      <c r="DI315" s="70">
        <f t="shared" si="832"/>
        <v>1575.7575757575758</v>
      </c>
      <c r="DJ315" s="70">
        <f t="shared" si="833"/>
        <v>636.36363636363637</v>
      </c>
      <c r="DK315" s="70">
        <f t="shared" si="834"/>
        <v>1000</v>
      </c>
      <c r="DL315" s="70">
        <f t="shared" si="835"/>
        <v>681.81818181818187</v>
      </c>
      <c r="DM315" s="70" t="str">
        <f t="shared" si="836"/>
        <v/>
      </c>
      <c r="DN315" s="70">
        <f t="shared" si="837"/>
        <v>5306.3212121212118</v>
      </c>
      <c r="DO315" s="70">
        <f t="shared" si="838"/>
        <v>250</v>
      </c>
      <c r="DP315" s="70">
        <f t="shared" si="839"/>
        <v>5556.3212121212118</v>
      </c>
      <c r="DQ315" s="70">
        <f t="shared" si="840"/>
        <v>11579</v>
      </c>
      <c r="DR315" s="70">
        <f t="shared" si="841"/>
        <v>9811.6242424242428</v>
      </c>
      <c r="DS315" s="71">
        <f t="shared" si="842"/>
        <v>1767.3757575757577</v>
      </c>
      <c r="DT315" s="106">
        <f t="shared" si="843"/>
        <v>1.0597607102170148</v>
      </c>
      <c r="DU315" s="92">
        <f t="shared" si="844"/>
        <v>2.1320293258121271E-2</v>
      </c>
      <c r="DV315" s="92" t="str">
        <f t="shared" si="845"/>
        <v/>
      </c>
      <c r="DW315" s="92">
        <f t="shared" si="846"/>
        <v>1</v>
      </c>
      <c r="DX315" s="92">
        <f t="shared" si="847"/>
        <v>4.3645583504840858E-2</v>
      </c>
      <c r="DY315" s="92">
        <f t="shared" si="848"/>
        <v>3.9999956928700488E-2</v>
      </c>
      <c r="DZ315" s="92">
        <f t="shared" si="849"/>
        <v>9.3321148941271567E-2</v>
      </c>
      <c r="EA315" s="92">
        <f t="shared" si="850"/>
        <v>3.7687387072436594E-2</v>
      </c>
      <c r="EB315" s="92">
        <f t="shared" si="851"/>
        <v>5.9223036828114646E-2</v>
      </c>
      <c r="EC315" s="92">
        <f t="shared" si="852"/>
        <v>4.0379343291896352E-2</v>
      </c>
      <c r="ED315" s="92" t="str">
        <f t="shared" si="853"/>
        <v/>
      </c>
      <c r="EE315" s="92">
        <f t="shared" si="854"/>
        <v>0.31425645656726048</v>
      </c>
      <c r="EF315" s="92">
        <f t="shared" si="855"/>
        <v>1.4805759207028662E-2</v>
      </c>
      <c r="EG315" s="92">
        <f t="shared" si="856"/>
        <v>0.32906221577428918</v>
      </c>
      <c r="EH315" s="92">
        <f t="shared" si="857"/>
        <v>0.68574354343273947</v>
      </c>
      <c r="EI315" s="92">
        <f t="shared" si="858"/>
        <v>0.58107418385271337</v>
      </c>
      <c r="EJ315" s="122">
        <f t="shared" si="859"/>
        <v>0.10466935958002611</v>
      </c>
    </row>
    <row r="316" spans="2:140" ht="12" hidden="1" customHeight="1" outlineLevel="1">
      <c r="B316" s="121">
        <v>45776</v>
      </c>
      <c r="C316" s="117">
        <v>25412</v>
      </c>
      <c r="D316" s="50" t="s">
        <v>1457</v>
      </c>
      <c r="E316" s="50" t="s">
        <v>1407</v>
      </c>
      <c r="F316" s="50" t="s">
        <v>998</v>
      </c>
      <c r="G316" s="50" t="s">
        <v>291</v>
      </c>
      <c r="H316" s="50" t="s">
        <v>619</v>
      </c>
      <c r="I316" s="50" t="s">
        <v>306</v>
      </c>
      <c r="J316" s="52" t="s">
        <v>263</v>
      </c>
      <c r="K316" s="50" t="s">
        <v>176</v>
      </c>
      <c r="L316" s="49">
        <v>6</v>
      </c>
      <c r="M316" s="50" t="s">
        <v>159</v>
      </c>
      <c r="N316" s="50" t="s">
        <v>244</v>
      </c>
      <c r="O316" s="50" t="s">
        <v>318</v>
      </c>
      <c r="P316" s="50" t="s">
        <v>161</v>
      </c>
      <c r="Q316" s="53">
        <v>0.04</v>
      </c>
      <c r="R316" s="49">
        <v>184</v>
      </c>
      <c r="S316" s="49">
        <v>0</v>
      </c>
      <c r="T316" s="54">
        <f t="shared" si="860"/>
        <v>184</v>
      </c>
      <c r="U316" s="55">
        <v>160925</v>
      </c>
      <c r="V316" s="49">
        <v>14.146000000000001</v>
      </c>
      <c r="W316" s="56">
        <f t="shared" si="784"/>
        <v>13.007210518874594</v>
      </c>
      <c r="X316" s="49">
        <v>2009</v>
      </c>
      <c r="Y316" s="57" t="s">
        <v>162</v>
      </c>
      <c r="Z316" s="58">
        <v>22150000</v>
      </c>
      <c r="AA316" s="114">
        <f>(((14761000*0.06)/(Table1[[#This Row],[Construction Loan Principal]]))+(((7389000*0.075)/(Table1[[#This Row],[Construction Loan Principal]]))))</f>
        <v>6.5003837471783288E-2</v>
      </c>
      <c r="AB316" s="59">
        <v>18</v>
      </c>
      <c r="AC316" s="60">
        <v>40</v>
      </c>
      <c r="AD316" s="61">
        <v>0.06</v>
      </c>
      <c r="AE316" s="62">
        <v>14761000</v>
      </c>
      <c r="AF316" s="63">
        <v>1.42</v>
      </c>
      <c r="AG316" s="59">
        <v>18</v>
      </c>
      <c r="AH316" s="60">
        <v>40</v>
      </c>
      <c r="AI316" s="61">
        <v>6.5000000000000002E-2</v>
      </c>
      <c r="AJ316" s="64">
        <v>3200000</v>
      </c>
      <c r="AK316" s="65">
        <f t="shared" si="785"/>
        <v>17961000</v>
      </c>
      <c r="AL316" s="66">
        <v>0</v>
      </c>
      <c r="AM316" s="49" t="s">
        <v>163</v>
      </c>
      <c r="AN316" s="67">
        <v>0.88</v>
      </c>
      <c r="AO316" s="62">
        <v>8679603</v>
      </c>
      <c r="AP316" s="62">
        <v>858500</v>
      </c>
      <c r="AQ316" s="68">
        <v>1152825</v>
      </c>
      <c r="AR316" s="69">
        <f t="shared" si="786"/>
        <v>97614.130434782608</v>
      </c>
      <c r="AS316" s="70" t="str">
        <f t="shared" si="787"/>
        <v/>
      </c>
      <c r="AT316" s="70">
        <f t="shared" si="788"/>
        <v>47171.755434782608</v>
      </c>
      <c r="AU316" s="70">
        <f t="shared" si="789"/>
        <v>4665.760869565217</v>
      </c>
      <c r="AV316" s="71">
        <f t="shared" si="790"/>
        <v>6265.353260869565</v>
      </c>
      <c r="AW316" s="115">
        <f t="shared" si="791"/>
        <v>25000</v>
      </c>
      <c r="AX316" s="116">
        <f t="shared" si="792"/>
        <v>28.584744446170575</v>
      </c>
      <c r="AY316" s="72">
        <f t="shared" si="793"/>
        <v>31350</v>
      </c>
      <c r="AZ316" s="73">
        <f t="shared" si="794"/>
        <v>35.845269535497906</v>
      </c>
      <c r="BA316" s="66">
        <v>15820000</v>
      </c>
      <c r="BB316" s="62">
        <v>404800</v>
      </c>
      <c r="BC316" s="62">
        <v>4195200</v>
      </c>
      <c r="BD316" s="62">
        <v>460000</v>
      </c>
      <c r="BE316" s="62">
        <v>708400</v>
      </c>
      <c r="BF316" s="62">
        <v>747500</v>
      </c>
      <c r="BG316" s="62">
        <v>2399451</v>
      </c>
      <c r="BH316" s="62">
        <v>3216577</v>
      </c>
      <c r="BI316" s="62">
        <v>700000</v>
      </c>
      <c r="BJ316" s="47">
        <f t="shared" si="795"/>
        <v>28651928</v>
      </c>
      <c r="BK316" s="69">
        <f t="shared" si="796"/>
        <v>85978.260869565216</v>
      </c>
      <c r="BL316" s="70">
        <f t="shared" si="797"/>
        <v>2200</v>
      </c>
      <c r="BM316" s="70">
        <f t="shared" si="798"/>
        <v>22800</v>
      </c>
      <c r="BN316" s="70">
        <f t="shared" si="799"/>
        <v>2500</v>
      </c>
      <c r="BO316" s="70">
        <f t="shared" si="800"/>
        <v>3850</v>
      </c>
      <c r="BP316" s="70">
        <f t="shared" si="801"/>
        <v>4062.5</v>
      </c>
      <c r="BQ316" s="70">
        <f t="shared" si="802"/>
        <v>13040.494565217392</v>
      </c>
      <c r="BR316" s="70">
        <f t="shared" si="803"/>
        <v>17481.396739130436</v>
      </c>
      <c r="BS316" s="70">
        <f t="shared" si="804"/>
        <v>3804.3478260869565</v>
      </c>
      <c r="BT316" s="71">
        <f t="shared" si="805"/>
        <v>155717</v>
      </c>
      <c r="BU316" s="65">
        <f t="shared" si="806"/>
        <v>98.306664595308376</v>
      </c>
      <c r="BV316" s="48">
        <f t="shared" si="807"/>
        <v>2.5154575112630106</v>
      </c>
      <c r="BW316" s="48">
        <f t="shared" si="808"/>
        <v>26.069286934907566</v>
      </c>
      <c r="BX316" s="48">
        <f t="shared" si="809"/>
        <v>2.8584744446170576</v>
      </c>
      <c r="BY316" s="48">
        <f t="shared" si="810"/>
        <v>4.4020506447102692</v>
      </c>
      <c r="BZ316" s="48">
        <f t="shared" si="811"/>
        <v>4.6450209725027189</v>
      </c>
      <c r="CA316" s="48">
        <f t="shared" si="812"/>
        <v>14.910368183936617</v>
      </c>
      <c r="CB316" s="48">
        <f t="shared" si="813"/>
        <v>19.988050334006523</v>
      </c>
      <c r="CC316" s="48">
        <f t="shared" si="814"/>
        <v>4.3498524157216094</v>
      </c>
      <c r="CD316" s="47">
        <f t="shared" si="815"/>
        <v>178.04522603697376</v>
      </c>
      <c r="CE316" s="66">
        <v>2447136</v>
      </c>
      <c r="CF316" s="62">
        <v>55200</v>
      </c>
      <c r="CG316" s="74">
        <v>-187675</v>
      </c>
      <c r="CH316" s="75">
        <f t="shared" si="816"/>
        <v>2314661</v>
      </c>
      <c r="CI316" s="62">
        <f>64000+7360+4500</f>
        <v>75860</v>
      </c>
      <c r="CJ316" s="62">
        <v>92586</v>
      </c>
      <c r="CK316" s="62">
        <v>249400</v>
      </c>
      <c r="CL316" s="62">
        <v>88000</v>
      </c>
      <c r="CM316" s="62">
        <f>5000+40000+92000</f>
        <v>137000</v>
      </c>
      <c r="CN316" s="62">
        <v>215000</v>
      </c>
      <c r="CO316" s="62">
        <v>0</v>
      </c>
      <c r="CP316" s="75">
        <f t="shared" si="861"/>
        <v>857846</v>
      </c>
      <c r="CQ316" s="62">
        <v>55200</v>
      </c>
      <c r="CR316" s="75">
        <f t="shared" si="862"/>
        <v>913046</v>
      </c>
      <c r="CS316" s="75">
        <f t="shared" si="817"/>
        <v>1456815</v>
      </c>
      <c r="CT316" s="62">
        <f>989365+224815</f>
        <v>1214180</v>
      </c>
      <c r="CU316" s="47">
        <f t="shared" si="818"/>
        <v>242635</v>
      </c>
      <c r="CV316" s="76">
        <f t="shared" si="819"/>
        <v>0.62938590143437856</v>
      </c>
      <c r="CW316" s="75">
        <f t="shared" si="820"/>
        <v>4962.20652173913</v>
      </c>
      <c r="CX316" s="77">
        <f t="shared" si="821"/>
        <v>0.39446208321650555</v>
      </c>
      <c r="CY316" s="75">
        <f t="shared" si="822"/>
        <v>1318.6684782608695</v>
      </c>
      <c r="CZ316" s="77">
        <f t="shared" si="823"/>
        <v>0.1048252854305663</v>
      </c>
      <c r="DA316" s="77">
        <f t="shared" si="824"/>
        <v>0.52456061600381221</v>
      </c>
      <c r="DB316" s="47">
        <f t="shared" si="825"/>
        <v>97614.130434782608</v>
      </c>
      <c r="DC316" s="69">
        <f t="shared" si="826"/>
        <v>13299.652173913044</v>
      </c>
      <c r="DD316" s="70">
        <f t="shared" si="827"/>
        <v>300</v>
      </c>
      <c r="DE316" s="70">
        <f t="shared" si="828"/>
        <v>-1019.9728260869565</v>
      </c>
      <c r="DF316" s="70">
        <f t="shared" si="829"/>
        <v>12579.679347826086</v>
      </c>
      <c r="DG316" s="70">
        <f t="shared" si="830"/>
        <v>412.28260869565219</v>
      </c>
      <c r="DH316" s="70">
        <f t="shared" si="831"/>
        <v>503.18478260869563</v>
      </c>
      <c r="DI316" s="70">
        <f t="shared" si="832"/>
        <v>1355.4347826086957</v>
      </c>
      <c r="DJ316" s="70">
        <f t="shared" si="833"/>
        <v>478.26086956521738</v>
      </c>
      <c r="DK316" s="70">
        <f t="shared" si="834"/>
        <v>744.56521739130437</v>
      </c>
      <c r="DL316" s="70">
        <f t="shared" si="835"/>
        <v>1168.4782608695652</v>
      </c>
      <c r="DM316" s="70" t="str">
        <f t="shared" si="836"/>
        <v/>
      </c>
      <c r="DN316" s="70">
        <f t="shared" si="837"/>
        <v>4662.20652173913</v>
      </c>
      <c r="DO316" s="70">
        <f t="shared" si="838"/>
        <v>300</v>
      </c>
      <c r="DP316" s="70">
        <f t="shared" si="839"/>
        <v>4962.20652173913</v>
      </c>
      <c r="DQ316" s="70">
        <f t="shared" si="840"/>
        <v>7917.472826086957</v>
      </c>
      <c r="DR316" s="70">
        <f t="shared" si="841"/>
        <v>6598.804347826087</v>
      </c>
      <c r="DS316" s="71">
        <f t="shared" si="842"/>
        <v>1318.6684782608695</v>
      </c>
      <c r="DT316" s="106">
        <f t="shared" si="843"/>
        <v>1.0572330030185846</v>
      </c>
      <c r="DU316" s="92">
        <f t="shared" si="844"/>
        <v>2.3847984650884082E-2</v>
      </c>
      <c r="DV316" s="92" t="str">
        <f t="shared" si="845"/>
        <v/>
      </c>
      <c r="DW316" s="92">
        <f t="shared" si="846"/>
        <v>1</v>
      </c>
      <c r="DX316" s="92">
        <f t="shared" si="847"/>
        <v>3.2773697746667871E-2</v>
      </c>
      <c r="DY316" s="92">
        <f t="shared" si="848"/>
        <v>3.9999809907368726E-2</v>
      </c>
      <c r="DZ316" s="92">
        <f t="shared" si="849"/>
        <v>0.10774795963642192</v>
      </c>
      <c r="EA316" s="92">
        <f t="shared" si="850"/>
        <v>3.8018526255032596E-2</v>
      </c>
      <c r="EB316" s="92">
        <f t="shared" si="851"/>
        <v>5.918793291976665E-2</v>
      </c>
      <c r="EC316" s="92">
        <f t="shared" si="852"/>
        <v>9.288617210036372E-2</v>
      </c>
      <c r="ED316" s="92" t="str">
        <f t="shared" si="853"/>
        <v/>
      </c>
      <c r="EE316" s="92">
        <f t="shared" si="854"/>
        <v>0.3706140985656215</v>
      </c>
      <c r="EF316" s="92">
        <f t="shared" si="855"/>
        <v>2.3847984650884082E-2</v>
      </c>
      <c r="EG316" s="92">
        <f t="shared" si="856"/>
        <v>0.39446208321650555</v>
      </c>
      <c r="EH316" s="92">
        <f t="shared" si="857"/>
        <v>0.62938590143437856</v>
      </c>
      <c r="EI316" s="92">
        <f t="shared" si="858"/>
        <v>0.52456061600381221</v>
      </c>
      <c r="EJ316" s="122">
        <f t="shared" si="859"/>
        <v>0.1048252854305663</v>
      </c>
    </row>
    <row r="317" spans="2:140" ht="12" hidden="1" customHeight="1" outlineLevel="1">
      <c r="B317" s="121">
        <v>45776</v>
      </c>
      <c r="C317" s="117">
        <v>25437</v>
      </c>
      <c r="D317" s="50" t="s">
        <v>1458</v>
      </c>
      <c r="E317" s="50" t="s">
        <v>1459</v>
      </c>
      <c r="F317" s="50" t="s">
        <v>1267</v>
      </c>
      <c r="G317" s="50" t="s">
        <v>154</v>
      </c>
      <c r="H317" s="50" t="s">
        <v>619</v>
      </c>
      <c r="I317" s="50" t="s">
        <v>1460</v>
      </c>
      <c r="J317" s="52" t="s">
        <v>360</v>
      </c>
      <c r="K317" s="50" t="s">
        <v>294</v>
      </c>
      <c r="L317" s="49">
        <v>7</v>
      </c>
      <c r="M317" s="50" t="s">
        <v>159</v>
      </c>
      <c r="N317" s="50" t="s">
        <v>160</v>
      </c>
      <c r="O317" s="50" t="s">
        <v>160</v>
      </c>
      <c r="P317" s="50" t="s">
        <v>177</v>
      </c>
      <c r="Q317" s="53">
        <v>0.04</v>
      </c>
      <c r="R317" s="49">
        <v>179</v>
      </c>
      <c r="S317" s="49">
        <v>2</v>
      </c>
      <c r="T317" s="54">
        <f t="shared" si="860"/>
        <v>181</v>
      </c>
      <c r="U317" s="55">
        <v>171108</v>
      </c>
      <c r="V317" s="49">
        <v>4.9520999999999997</v>
      </c>
      <c r="W317" s="56">
        <f t="shared" si="784"/>
        <v>36.550150441226954</v>
      </c>
      <c r="X317" s="49" t="s">
        <v>163</v>
      </c>
      <c r="Y317" s="57" t="s">
        <v>162</v>
      </c>
      <c r="Z317" s="58">
        <v>39505612</v>
      </c>
      <c r="AA317" s="114">
        <f>(((30000000*0.06)/(Table1[[#This Row],[Construction Loan Principal]]))+(((9505612*0.0675)/(Table1[[#This Row],[Construction Loan Principal]]))))</f>
        <v>6.1804606646772106E-2</v>
      </c>
      <c r="AB317" s="59">
        <v>16</v>
      </c>
      <c r="AC317" s="60">
        <v>40</v>
      </c>
      <c r="AD317" s="61">
        <v>0.06</v>
      </c>
      <c r="AE317" s="62">
        <v>24919094</v>
      </c>
      <c r="AF317" s="63">
        <v>1.3</v>
      </c>
      <c r="AG317" s="59"/>
      <c r="AH317" s="60"/>
      <c r="AI317" s="61"/>
      <c r="AJ317" s="64"/>
      <c r="AK317" s="65">
        <f t="shared" si="785"/>
        <v>24919094</v>
      </c>
      <c r="AL317" s="66">
        <v>5754000</v>
      </c>
      <c r="AM317" s="49" t="s">
        <v>1461</v>
      </c>
      <c r="AN317" s="67">
        <v>0.88</v>
      </c>
      <c r="AO317" s="62">
        <v>25541848</v>
      </c>
      <c r="AP317" s="62">
        <f>2214953+946047</f>
        <v>3161000</v>
      </c>
      <c r="AQ317" s="68">
        <v>5515177</v>
      </c>
      <c r="AR317" s="69">
        <f t="shared" si="786"/>
        <v>137674.55248618784</v>
      </c>
      <c r="AS317" s="70">
        <f t="shared" si="787"/>
        <v>31790.055248618784</v>
      </c>
      <c r="AT317" s="70">
        <f t="shared" si="788"/>
        <v>141115.18232044199</v>
      </c>
      <c r="AU317" s="70">
        <f t="shared" si="789"/>
        <v>17464.088397790056</v>
      </c>
      <c r="AV317" s="71">
        <f t="shared" si="790"/>
        <v>30470.591160220996</v>
      </c>
      <c r="AW317" s="115">
        <f t="shared" si="791"/>
        <v>177424.30939226519</v>
      </c>
      <c r="AX317" s="116">
        <f t="shared" si="792"/>
        <v>187.68146433831265</v>
      </c>
      <c r="AY317" s="72">
        <f t="shared" si="793"/>
        <v>213504.88950276244</v>
      </c>
      <c r="AZ317" s="73">
        <f t="shared" si="794"/>
        <v>225.84791476728151</v>
      </c>
      <c r="BA317" s="66">
        <v>2175000</v>
      </c>
      <c r="BB317" s="62">
        <v>4823572</v>
      </c>
      <c r="BC317" s="62">
        <v>27290228</v>
      </c>
      <c r="BD317" s="62">
        <v>1718575</v>
      </c>
      <c r="BE317" s="62">
        <v>4812010</v>
      </c>
      <c r="BF317" s="62">
        <v>3293488</v>
      </c>
      <c r="BG317" s="62">
        <v>7276572</v>
      </c>
      <c r="BH317" s="62">
        <v>6650958</v>
      </c>
      <c r="BI317" s="62">
        <v>1375581</v>
      </c>
      <c r="BJ317" s="47">
        <f t="shared" si="795"/>
        <v>59415984</v>
      </c>
      <c r="BK317" s="69">
        <f t="shared" si="796"/>
        <v>12016.574585635359</v>
      </c>
      <c r="BL317" s="70">
        <f t="shared" si="797"/>
        <v>26649.56906077348</v>
      </c>
      <c r="BM317" s="70">
        <f t="shared" si="798"/>
        <v>150774.74033149172</v>
      </c>
      <c r="BN317" s="70">
        <f t="shared" si="799"/>
        <v>9494.8895027624312</v>
      </c>
      <c r="BO317" s="70">
        <f t="shared" si="800"/>
        <v>26585.690607734807</v>
      </c>
      <c r="BP317" s="70">
        <f t="shared" si="801"/>
        <v>18196.066298342543</v>
      </c>
      <c r="BQ317" s="70">
        <f t="shared" si="802"/>
        <v>40202.055248618788</v>
      </c>
      <c r="BR317" s="70">
        <f t="shared" si="803"/>
        <v>36745.624309392268</v>
      </c>
      <c r="BS317" s="70">
        <f t="shared" si="804"/>
        <v>7599.8950276243095</v>
      </c>
      <c r="BT317" s="71">
        <f t="shared" si="805"/>
        <v>328265.10497237567</v>
      </c>
      <c r="BU317" s="65">
        <f t="shared" si="806"/>
        <v>12.711270075040325</v>
      </c>
      <c r="BV317" s="48">
        <f t="shared" si="807"/>
        <v>28.190219042943639</v>
      </c>
      <c r="BW317" s="48">
        <f t="shared" si="808"/>
        <v>159.491245295369</v>
      </c>
      <c r="BX317" s="48">
        <f t="shared" si="809"/>
        <v>10.043802744465484</v>
      </c>
      <c r="BY317" s="48">
        <f t="shared" si="810"/>
        <v>28.122647684503356</v>
      </c>
      <c r="BZ317" s="48">
        <f t="shared" si="811"/>
        <v>19.248007106622719</v>
      </c>
      <c r="CA317" s="48">
        <f t="shared" si="812"/>
        <v>42.526193982747735</v>
      </c>
      <c r="CB317" s="48">
        <f t="shared" si="813"/>
        <v>38.869941791149451</v>
      </c>
      <c r="CC317" s="48">
        <f t="shared" si="814"/>
        <v>8.0392559085489861</v>
      </c>
      <c r="CD317" s="47">
        <f t="shared" si="815"/>
        <v>347.24258363139069</v>
      </c>
      <c r="CE317" s="66">
        <v>3161940</v>
      </c>
      <c r="CF317" s="62">
        <f>21720+43440</f>
        <v>65160</v>
      </c>
      <c r="CG317" s="74">
        <v>-242033</v>
      </c>
      <c r="CH317" s="75">
        <f t="shared" si="816"/>
        <v>2985067</v>
      </c>
      <c r="CI317" s="62">
        <f>53817+14138+7160+5500</f>
        <v>80615</v>
      </c>
      <c r="CJ317" s="62">
        <v>104477</v>
      </c>
      <c r="CK317" s="62">
        <v>199740</v>
      </c>
      <c r="CL317" s="62">
        <f>63750</f>
        <v>63750</v>
      </c>
      <c r="CM317" s="62">
        <f>30240+110640</f>
        <v>140880</v>
      </c>
      <c r="CN317" s="62">
        <v>180000</v>
      </c>
      <c r="CO317" s="62">
        <v>0</v>
      </c>
      <c r="CP317" s="75">
        <f t="shared" si="861"/>
        <v>769462</v>
      </c>
      <c r="CQ317" s="62">
        <v>45250</v>
      </c>
      <c r="CR317" s="75">
        <f t="shared" si="862"/>
        <v>814712</v>
      </c>
      <c r="CS317" s="75">
        <f t="shared" si="817"/>
        <v>2215605</v>
      </c>
      <c r="CT317" s="62">
        <v>1670218</v>
      </c>
      <c r="CU317" s="47">
        <f t="shared" si="818"/>
        <v>545387</v>
      </c>
      <c r="CV317" s="76">
        <f t="shared" si="819"/>
        <v>0.74222957139655488</v>
      </c>
      <c r="CW317" s="75">
        <f t="shared" si="820"/>
        <v>4501.1712707182323</v>
      </c>
      <c r="CX317" s="77">
        <f t="shared" si="821"/>
        <v>0.27292921733415026</v>
      </c>
      <c r="CY317" s="75">
        <f t="shared" si="822"/>
        <v>3013.1878453038676</v>
      </c>
      <c r="CZ317" s="77">
        <f t="shared" si="823"/>
        <v>0.18270511181156068</v>
      </c>
      <c r="DA317" s="77">
        <f t="shared" si="824"/>
        <v>0.55952445958499419</v>
      </c>
      <c r="DB317" s="47">
        <f t="shared" si="825"/>
        <v>137674.55248618784</v>
      </c>
      <c r="DC317" s="69">
        <f t="shared" si="826"/>
        <v>17469.281767955799</v>
      </c>
      <c r="DD317" s="70">
        <f t="shared" si="827"/>
        <v>360</v>
      </c>
      <c r="DE317" s="70">
        <f t="shared" si="828"/>
        <v>-1337.1988950276243</v>
      </c>
      <c r="DF317" s="70">
        <f t="shared" si="829"/>
        <v>16492.082872928178</v>
      </c>
      <c r="DG317" s="70">
        <f t="shared" si="830"/>
        <v>445.38674033149169</v>
      </c>
      <c r="DH317" s="70">
        <f t="shared" si="831"/>
        <v>577.22099447513813</v>
      </c>
      <c r="DI317" s="70">
        <f t="shared" si="832"/>
        <v>1103.53591160221</v>
      </c>
      <c r="DJ317" s="70">
        <f t="shared" si="833"/>
        <v>352.20994475138122</v>
      </c>
      <c r="DK317" s="70">
        <f t="shared" si="834"/>
        <v>778.3425414364641</v>
      </c>
      <c r="DL317" s="70">
        <f t="shared" si="835"/>
        <v>994.47513812154693</v>
      </c>
      <c r="DM317" s="70" t="str">
        <f t="shared" si="836"/>
        <v/>
      </c>
      <c r="DN317" s="70">
        <f t="shared" si="837"/>
        <v>4251.1712707182323</v>
      </c>
      <c r="DO317" s="70">
        <f t="shared" si="838"/>
        <v>250</v>
      </c>
      <c r="DP317" s="70">
        <f t="shared" si="839"/>
        <v>4501.1712707182323</v>
      </c>
      <c r="DQ317" s="70">
        <f t="shared" si="840"/>
        <v>12240.911602209944</v>
      </c>
      <c r="DR317" s="70">
        <f t="shared" si="841"/>
        <v>9227.7237569060781</v>
      </c>
      <c r="DS317" s="71">
        <f t="shared" si="842"/>
        <v>3013.1878453038676</v>
      </c>
      <c r="DT317" s="106">
        <f t="shared" si="843"/>
        <v>1.0592526063904093</v>
      </c>
      <c r="DU317" s="92">
        <f t="shared" si="844"/>
        <v>2.1828655772215499E-2</v>
      </c>
      <c r="DV317" s="92" t="str">
        <f t="shared" si="845"/>
        <v/>
      </c>
      <c r="DW317" s="92">
        <f t="shared" si="846"/>
        <v>1</v>
      </c>
      <c r="DX317" s="92">
        <f t="shared" si="847"/>
        <v>2.700609400057017E-2</v>
      </c>
      <c r="DY317" s="92">
        <f t="shared" si="848"/>
        <v>3.4999884424704704E-2</v>
      </c>
      <c r="DZ317" s="92">
        <f t="shared" si="849"/>
        <v>6.6913070962896309E-2</v>
      </c>
      <c r="EA317" s="92">
        <f t="shared" si="850"/>
        <v>2.1356304565358166E-2</v>
      </c>
      <c r="EB317" s="92">
        <f t="shared" si="851"/>
        <v>4.719492058302209E-2</v>
      </c>
      <c r="EC317" s="92">
        <f t="shared" si="852"/>
        <v>6.0300154066893638E-2</v>
      </c>
      <c r="ED317" s="92" t="str">
        <f t="shared" si="853"/>
        <v/>
      </c>
      <c r="EE317" s="92">
        <f t="shared" si="854"/>
        <v>0.25777042860344507</v>
      </c>
      <c r="EF317" s="92">
        <f t="shared" si="855"/>
        <v>1.5158788730705208E-2</v>
      </c>
      <c r="EG317" s="92">
        <f t="shared" si="856"/>
        <v>0.27292921733415026</v>
      </c>
      <c r="EH317" s="92">
        <f t="shared" si="857"/>
        <v>0.74222957139655488</v>
      </c>
      <c r="EI317" s="92">
        <f t="shared" si="858"/>
        <v>0.55952445958499419</v>
      </c>
      <c r="EJ317" s="122">
        <f t="shared" si="859"/>
        <v>0.18270511181156068</v>
      </c>
    </row>
    <row r="318" spans="2:140" ht="12" hidden="1" customHeight="1" outlineLevel="1">
      <c r="B318" s="121">
        <v>45778</v>
      </c>
      <c r="C318" s="117">
        <v>25403</v>
      </c>
      <c r="D318" s="50" t="s">
        <v>1462</v>
      </c>
      <c r="E318" s="50" t="s">
        <v>1463</v>
      </c>
      <c r="F318" s="50" t="s">
        <v>1464</v>
      </c>
      <c r="G318" s="50" t="s">
        <v>162</v>
      </c>
      <c r="H318" s="50" t="s">
        <v>731</v>
      </c>
      <c r="I318" s="50" t="s">
        <v>1465</v>
      </c>
      <c r="J318" s="52" t="s">
        <v>1027</v>
      </c>
      <c r="K318" s="50" t="s">
        <v>199</v>
      </c>
      <c r="L318" s="49">
        <v>3</v>
      </c>
      <c r="M318" s="50" t="s">
        <v>159</v>
      </c>
      <c r="N318" s="50" t="s">
        <v>160</v>
      </c>
      <c r="O318" s="50" t="s">
        <v>160</v>
      </c>
      <c r="P318" s="50" t="s">
        <v>161</v>
      </c>
      <c r="Q318" s="53" t="s">
        <v>154</v>
      </c>
      <c r="R318" s="49">
        <v>199</v>
      </c>
      <c r="S318" s="49">
        <v>9</v>
      </c>
      <c r="T318" s="54">
        <f t="shared" si="860"/>
        <v>208</v>
      </c>
      <c r="U318" s="55">
        <v>136310</v>
      </c>
      <c r="V318" s="49">
        <v>8.7200000000000006</v>
      </c>
      <c r="W318" s="56">
        <f t="shared" si="784"/>
        <v>23.853211009174309</v>
      </c>
      <c r="X318" s="49">
        <v>1984</v>
      </c>
      <c r="Y318" s="57" t="s">
        <v>162</v>
      </c>
      <c r="Z318" s="58">
        <v>23903000</v>
      </c>
      <c r="AA318" s="114">
        <v>6.7500000000000004E-2</v>
      </c>
      <c r="AB318" s="59">
        <v>15</v>
      </c>
      <c r="AC318" s="60">
        <v>35</v>
      </c>
      <c r="AD318" s="61">
        <v>5.9400000000000001E-2</v>
      </c>
      <c r="AE318" s="62">
        <v>21000000</v>
      </c>
      <c r="AF318" s="63">
        <v>1.1499999999999999</v>
      </c>
      <c r="AG318" s="59"/>
      <c r="AH318" s="60"/>
      <c r="AI318" s="61"/>
      <c r="AJ318" s="64"/>
      <c r="AK318" s="65">
        <f t="shared" si="785"/>
        <v>21000000</v>
      </c>
      <c r="AL318" s="66">
        <v>12600000</v>
      </c>
      <c r="AM318" s="49" t="s">
        <v>1144</v>
      </c>
      <c r="AN318" s="67">
        <v>0.87</v>
      </c>
      <c r="AO318" s="62">
        <v>19259201</v>
      </c>
      <c r="AP318" s="62">
        <v>0</v>
      </c>
      <c r="AQ318" s="68">
        <v>3459893</v>
      </c>
      <c r="AR318" s="69">
        <f t="shared" si="786"/>
        <v>100961.53846153847</v>
      </c>
      <c r="AS318" s="70">
        <f t="shared" si="787"/>
        <v>60576.923076923078</v>
      </c>
      <c r="AT318" s="70">
        <f t="shared" si="788"/>
        <v>92592.3125</v>
      </c>
      <c r="AU318" s="70" t="str">
        <f t="shared" si="789"/>
        <v/>
      </c>
      <c r="AV318" s="71">
        <f t="shared" si="790"/>
        <v>16634.100961538461</v>
      </c>
      <c r="AW318" s="115">
        <f t="shared" si="791"/>
        <v>63376.788461538461</v>
      </c>
      <c r="AX318" s="116">
        <f t="shared" si="792"/>
        <v>96.708766781600758</v>
      </c>
      <c r="AY318" s="72">
        <f t="shared" si="793"/>
        <v>79474.490384615376</v>
      </c>
      <c r="AZ318" s="73">
        <f t="shared" si="794"/>
        <v>121.27278996405252</v>
      </c>
      <c r="BA318" s="66">
        <v>27800000</v>
      </c>
      <c r="BB318" s="62">
        <v>917355</v>
      </c>
      <c r="BC318" s="62">
        <v>12265017</v>
      </c>
      <c r="BD318" s="62">
        <v>1318237</v>
      </c>
      <c r="BE318" s="62">
        <v>2030085</v>
      </c>
      <c r="BF318" s="62">
        <v>1313525</v>
      </c>
      <c r="BG318" s="62">
        <v>3126476</v>
      </c>
      <c r="BH318" s="62">
        <v>6359856</v>
      </c>
      <c r="BI318" s="62">
        <v>1188543</v>
      </c>
      <c r="BJ318" s="47">
        <f t="shared" si="795"/>
        <v>56319094</v>
      </c>
      <c r="BK318" s="69">
        <f t="shared" si="796"/>
        <v>133653.84615384616</v>
      </c>
      <c r="BL318" s="70">
        <f t="shared" si="797"/>
        <v>4410.3605769230771</v>
      </c>
      <c r="BM318" s="70">
        <f t="shared" si="798"/>
        <v>58966.427884615383</v>
      </c>
      <c r="BN318" s="70">
        <f t="shared" si="799"/>
        <v>6337.6778846153848</v>
      </c>
      <c r="BO318" s="70">
        <f t="shared" si="800"/>
        <v>9760.024038461539</v>
      </c>
      <c r="BP318" s="70">
        <f t="shared" si="801"/>
        <v>6315.0240384615381</v>
      </c>
      <c r="BQ318" s="70">
        <f t="shared" si="802"/>
        <v>15031.134615384615</v>
      </c>
      <c r="BR318" s="70">
        <f t="shared" si="803"/>
        <v>30576.23076923077</v>
      </c>
      <c r="BS318" s="70">
        <f t="shared" si="804"/>
        <v>5714.1490384615381</v>
      </c>
      <c r="BT318" s="71">
        <f t="shared" si="805"/>
        <v>270764.875</v>
      </c>
      <c r="BU318" s="65">
        <f t="shared" si="806"/>
        <v>203.94688577507154</v>
      </c>
      <c r="BV318" s="48">
        <f t="shared" si="807"/>
        <v>6.7299171007262855</v>
      </c>
      <c r="BW318" s="48">
        <f t="shared" si="808"/>
        <v>89.978849680874475</v>
      </c>
      <c r="BX318" s="48">
        <f t="shared" si="809"/>
        <v>9.670875210916293</v>
      </c>
      <c r="BY318" s="48">
        <f t="shared" si="810"/>
        <v>14.89314797153547</v>
      </c>
      <c r="BZ318" s="48">
        <f t="shared" si="811"/>
        <v>9.6363069473993104</v>
      </c>
      <c r="CA318" s="48">
        <f t="shared" si="812"/>
        <v>22.93651236152887</v>
      </c>
      <c r="CB318" s="48">
        <f t="shared" si="813"/>
        <v>46.657295869708754</v>
      </c>
      <c r="CC318" s="48">
        <f t="shared" si="814"/>
        <v>8.7194116352431958</v>
      </c>
      <c r="CD318" s="47">
        <f t="shared" si="815"/>
        <v>413.1692025530042</v>
      </c>
      <c r="CE318" s="66">
        <v>2772000</v>
      </c>
      <c r="CF318" s="62">
        <v>71640</v>
      </c>
      <c r="CG318" s="74">
        <v>-213273</v>
      </c>
      <c r="CH318" s="75">
        <f t="shared" si="816"/>
        <v>2630367</v>
      </c>
      <c r="CI318" s="62">
        <f>72040+7960+5000</f>
        <v>85000</v>
      </c>
      <c r="CJ318" s="62">
        <v>105215</v>
      </c>
      <c r="CK318" s="62">
        <v>314995</v>
      </c>
      <c r="CL318" s="62">
        <f>152645+10000</f>
        <v>162645</v>
      </c>
      <c r="CM318" s="62">
        <f>20256+76446</f>
        <v>96702</v>
      </c>
      <c r="CN318" s="62">
        <v>140183</v>
      </c>
      <c r="CO318" s="62">
        <v>0</v>
      </c>
      <c r="CP318" s="75">
        <f t="shared" si="861"/>
        <v>904740</v>
      </c>
      <c r="CQ318" s="62">
        <v>59700</v>
      </c>
      <c r="CR318" s="75">
        <f t="shared" si="862"/>
        <v>964440</v>
      </c>
      <c r="CS318" s="75">
        <f t="shared" si="817"/>
        <v>1725627</v>
      </c>
      <c r="CT318" s="62">
        <v>1447738</v>
      </c>
      <c r="CU318" s="47">
        <f t="shared" si="818"/>
        <v>277889</v>
      </c>
      <c r="CV318" s="76">
        <f t="shared" si="819"/>
        <v>0.65604039284251969</v>
      </c>
      <c r="CW318" s="75">
        <f t="shared" si="820"/>
        <v>4636.7307692307695</v>
      </c>
      <c r="CX318" s="77">
        <f t="shared" si="821"/>
        <v>0.3666560597817719</v>
      </c>
      <c r="CY318" s="75">
        <f t="shared" si="822"/>
        <v>1336.0048076923076</v>
      </c>
      <c r="CZ318" s="77">
        <f t="shared" si="823"/>
        <v>0.10564647442733277</v>
      </c>
      <c r="DA318" s="77">
        <f t="shared" si="824"/>
        <v>0.55039391841518692</v>
      </c>
      <c r="DB318" s="47">
        <f t="shared" si="825"/>
        <v>100961.53846153847</v>
      </c>
      <c r="DC318" s="69">
        <f t="shared" si="826"/>
        <v>13326.923076923076</v>
      </c>
      <c r="DD318" s="70">
        <f t="shared" si="827"/>
        <v>344.42307692307691</v>
      </c>
      <c r="DE318" s="70">
        <f t="shared" si="828"/>
        <v>-1025.3509615384614</v>
      </c>
      <c r="DF318" s="70">
        <f t="shared" si="829"/>
        <v>12645.995192307691</v>
      </c>
      <c r="DG318" s="70">
        <f t="shared" si="830"/>
        <v>408.65384615384613</v>
      </c>
      <c r="DH318" s="70">
        <f t="shared" si="831"/>
        <v>505.84134615384613</v>
      </c>
      <c r="DI318" s="70">
        <f t="shared" si="832"/>
        <v>1514.3990384615386</v>
      </c>
      <c r="DJ318" s="70">
        <f t="shared" si="833"/>
        <v>781.94711538461536</v>
      </c>
      <c r="DK318" s="70">
        <f t="shared" si="834"/>
        <v>464.91346153846155</v>
      </c>
      <c r="DL318" s="70">
        <f t="shared" si="835"/>
        <v>673.95673076923072</v>
      </c>
      <c r="DM318" s="70" t="str">
        <f t="shared" si="836"/>
        <v/>
      </c>
      <c r="DN318" s="70">
        <f t="shared" si="837"/>
        <v>4349.7115384615381</v>
      </c>
      <c r="DO318" s="70">
        <f t="shared" si="838"/>
        <v>287.01923076923077</v>
      </c>
      <c r="DP318" s="70">
        <f t="shared" si="839"/>
        <v>4636.7307692307695</v>
      </c>
      <c r="DQ318" s="70">
        <f t="shared" si="840"/>
        <v>8296.2836538461543</v>
      </c>
      <c r="DR318" s="70">
        <f t="shared" si="841"/>
        <v>6960.2788461538457</v>
      </c>
      <c r="DS318" s="71">
        <f t="shared" si="842"/>
        <v>1336.0048076923076</v>
      </c>
      <c r="DT318" s="106">
        <f t="shared" si="843"/>
        <v>1.0538453379319312</v>
      </c>
      <c r="DU318" s="92">
        <f t="shared" si="844"/>
        <v>2.7235743149149911E-2</v>
      </c>
      <c r="DV318" s="92" t="str">
        <f t="shared" si="845"/>
        <v/>
      </c>
      <c r="DW318" s="92">
        <f t="shared" si="846"/>
        <v>1</v>
      </c>
      <c r="DX318" s="92">
        <f t="shared" si="847"/>
        <v>3.231488229589255E-2</v>
      </c>
      <c r="DY318" s="92">
        <f t="shared" si="848"/>
        <v>4.0000121656027468E-2</v>
      </c>
      <c r="DZ318" s="92">
        <f t="shared" si="849"/>
        <v>0.11975325116229028</v>
      </c>
      <c r="EA318" s="92">
        <f t="shared" si="850"/>
        <v>6.1833576835475808E-2</v>
      </c>
      <c r="EB318" s="92">
        <f t="shared" si="851"/>
        <v>3.6763691150322367E-2</v>
      </c>
      <c r="EC318" s="92">
        <f t="shared" si="852"/>
        <v>5.3294084057471831E-2</v>
      </c>
      <c r="ED318" s="92" t="str">
        <f t="shared" si="853"/>
        <v/>
      </c>
      <c r="EE318" s="92">
        <f t="shared" si="854"/>
        <v>0.34395960715748031</v>
      </c>
      <c r="EF318" s="92">
        <f t="shared" si="855"/>
        <v>2.269645262429159E-2</v>
      </c>
      <c r="EG318" s="92">
        <f t="shared" si="856"/>
        <v>0.3666560597817719</v>
      </c>
      <c r="EH318" s="92">
        <f t="shared" si="857"/>
        <v>0.65604039284251969</v>
      </c>
      <c r="EI318" s="92">
        <f t="shared" si="858"/>
        <v>0.55039391841518692</v>
      </c>
      <c r="EJ318" s="122">
        <f t="shared" si="859"/>
        <v>0.10564647442733277</v>
      </c>
    </row>
    <row r="319" spans="2:140" ht="12" hidden="1" customHeight="1" outlineLevel="1">
      <c r="B319" s="121">
        <v>45784</v>
      </c>
      <c r="C319" s="117">
        <v>25415</v>
      </c>
      <c r="D319" s="50" t="s">
        <v>1466</v>
      </c>
      <c r="E319" s="50" t="s">
        <v>868</v>
      </c>
      <c r="F319" s="50" t="s">
        <v>1467</v>
      </c>
      <c r="G319" s="50" t="s">
        <v>162</v>
      </c>
      <c r="H319" s="50" t="s">
        <v>1468</v>
      </c>
      <c r="I319" s="50" t="s">
        <v>248</v>
      </c>
      <c r="J319" s="52" t="s">
        <v>1306</v>
      </c>
      <c r="K319" s="50" t="s">
        <v>1307</v>
      </c>
      <c r="L319" s="49">
        <v>10</v>
      </c>
      <c r="M319" s="50" t="s">
        <v>159</v>
      </c>
      <c r="N319" s="50" t="s">
        <v>185</v>
      </c>
      <c r="O319" s="50" t="s">
        <v>160</v>
      </c>
      <c r="P319" s="50" t="s">
        <v>161</v>
      </c>
      <c r="Q319" s="53">
        <v>0.04</v>
      </c>
      <c r="R319" s="49">
        <v>90</v>
      </c>
      <c r="S319" s="49">
        <v>0</v>
      </c>
      <c r="T319" s="54">
        <f t="shared" si="860"/>
        <v>90</v>
      </c>
      <c r="U319" s="55">
        <v>52962</v>
      </c>
      <c r="V319" s="49">
        <v>2.4700000000000002</v>
      </c>
      <c r="W319" s="56">
        <f t="shared" si="784"/>
        <v>36.43724696356275</v>
      </c>
      <c r="X319" s="49">
        <v>1980</v>
      </c>
      <c r="Y319" s="57" t="s">
        <v>162</v>
      </c>
      <c r="Z319" s="58">
        <v>9400000</v>
      </c>
      <c r="AA319" s="114">
        <f>(((9000000*0.0615)/(Table1[[#This Row],[Construction Loan Principal]]))+(((400000*0.076)/(Table1[[#This Row],[Construction Loan Principal]]))))</f>
        <v>6.2117021276595748E-2</v>
      </c>
      <c r="AB319" s="59">
        <v>17</v>
      </c>
      <c r="AC319" s="60">
        <v>42</v>
      </c>
      <c r="AD319" s="61">
        <v>6.1499999999999999E-2</v>
      </c>
      <c r="AE319" s="62">
        <v>9000000</v>
      </c>
      <c r="AF319" s="63">
        <v>1.32</v>
      </c>
      <c r="AG319" s="59">
        <v>17</v>
      </c>
      <c r="AH319" s="60">
        <v>42</v>
      </c>
      <c r="AI319" s="61">
        <v>7.5999999999999998E-2</v>
      </c>
      <c r="AJ319" s="64">
        <v>400000</v>
      </c>
      <c r="AK319" s="65">
        <f t="shared" si="785"/>
        <v>9400000</v>
      </c>
      <c r="AL319" s="66">
        <v>2288238</v>
      </c>
      <c r="AM319" s="49" t="s">
        <v>1469</v>
      </c>
      <c r="AN319" s="67">
        <v>0.83</v>
      </c>
      <c r="AO319" s="62">
        <v>5354159</v>
      </c>
      <c r="AP319" s="62">
        <v>0</v>
      </c>
      <c r="AQ319" s="68">
        <v>197521</v>
      </c>
      <c r="AR319" s="69">
        <f t="shared" si="786"/>
        <v>104444.44444444444</v>
      </c>
      <c r="AS319" s="70">
        <f t="shared" si="787"/>
        <v>25424.866666666665</v>
      </c>
      <c r="AT319" s="70">
        <f t="shared" si="788"/>
        <v>59490.655555555553</v>
      </c>
      <c r="AU319" s="70" t="str">
        <f t="shared" si="789"/>
        <v/>
      </c>
      <c r="AV319" s="71">
        <f t="shared" si="790"/>
        <v>2194.6777777777779</v>
      </c>
      <c r="AW319" s="115">
        <f t="shared" si="791"/>
        <v>48658.066666666666</v>
      </c>
      <c r="AX319" s="116">
        <f t="shared" si="792"/>
        <v>82.686190098561227</v>
      </c>
      <c r="AY319" s="72">
        <f t="shared" si="793"/>
        <v>60394.400000000001</v>
      </c>
      <c r="AZ319" s="73">
        <f t="shared" si="794"/>
        <v>102.63011215588534</v>
      </c>
      <c r="BA319" s="66">
        <v>7288238</v>
      </c>
      <c r="BB319" s="62">
        <v>180324</v>
      </c>
      <c r="BC319" s="62">
        <v>4198902</v>
      </c>
      <c r="BD319" s="62">
        <v>437923</v>
      </c>
      <c r="BE319" s="62">
        <v>618347</v>
      </c>
      <c r="BF319" s="62">
        <v>1098700</v>
      </c>
      <c r="BG319" s="62">
        <v>1366758</v>
      </c>
      <c r="BH319" s="62">
        <v>1785273</v>
      </c>
      <c r="BI319" s="62">
        <v>265454</v>
      </c>
      <c r="BJ319" s="47">
        <f t="shared" si="795"/>
        <v>17239919</v>
      </c>
      <c r="BK319" s="69">
        <f t="shared" si="796"/>
        <v>80980.422222222216</v>
      </c>
      <c r="BL319" s="70">
        <f t="shared" si="797"/>
        <v>2003.6</v>
      </c>
      <c r="BM319" s="70">
        <f t="shared" si="798"/>
        <v>46654.466666666667</v>
      </c>
      <c r="BN319" s="70">
        <f t="shared" si="799"/>
        <v>4865.8111111111111</v>
      </c>
      <c r="BO319" s="70">
        <f t="shared" si="800"/>
        <v>6870.5222222222219</v>
      </c>
      <c r="BP319" s="70">
        <f t="shared" si="801"/>
        <v>12207.777777777777</v>
      </c>
      <c r="BQ319" s="70">
        <f t="shared" si="802"/>
        <v>15186.2</v>
      </c>
      <c r="BR319" s="70">
        <f t="shared" si="803"/>
        <v>19836.366666666665</v>
      </c>
      <c r="BS319" s="70">
        <f t="shared" si="804"/>
        <v>2949.4888888888891</v>
      </c>
      <c r="BT319" s="71">
        <f t="shared" si="805"/>
        <v>191554.65555555557</v>
      </c>
      <c r="BU319" s="65">
        <f t="shared" si="806"/>
        <v>137.6125901589819</v>
      </c>
      <c r="BV319" s="48">
        <f t="shared" si="807"/>
        <v>3.4047807862240851</v>
      </c>
      <c r="BW319" s="48">
        <f t="shared" si="808"/>
        <v>79.281409312337146</v>
      </c>
      <c r="BX319" s="48">
        <f t="shared" si="809"/>
        <v>8.2686265624409963</v>
      </c>
      <c r="BY319" s="48">
        <f t="shared" si="810"/>
        <v>11.675295494883123</v>
      </c>
      <c r="BZ319" s="48">
        <f t="shared" si="811"/>
        <v>20.745062497639818</v>
      </c>
      <c r="CA319" s="48">
        <f t="shared" si="812"/>
        <v>25.806389486801859</v>
      </c>
      <c r="CB319" s="48">
        <f t="shared" si="813"/>
        <v>33.708564631245046</v>
      </c>
      <c r="CC319" s="48">
        <f t="shared" si="814"/>
        <v>5.0121596616441977</v>
      </c>
      <c r="CD319" s="47">
        <f t="shared" si="815"/>
        <v>325.51487859219816</v>
      </c>
      <c r="CE319" s="66">
        <v>1357200</v>
      </c>
      <c r="CF319" s="62">
        <v>0</v>
      </c>
      <c r="CG319" s="74">
        <v>-67860</v>
      </c>
      <c r="CH319" s="75">
        <f t="shared" si="816"/>
        <v>1289340</v>
      </c>
      <c r="CI319" s="62">
        <f>42621+3600+2500+11250</f>
        <v>59971</v>
      </c>
      <c r="CJ319" s="62">
        <v>53892</v>
      </c>
      <c r="CK319" s="62">
        <v>143328</v>
      </c>
      <c r="CL319" s="62">
        <v>40000</v>
      </c>
      <c r="CM319" s="62">
        <f>26500+58500</f>
        <v>85000</v>
      </c>
      <c r="CN319" s="62">
        <v>90000</v>
      </c>
      <c r="CO319" s="62">
        <v>0</v>
      </c>
      <c r="CP319" s="75">
        <f t="shared" si="861"/>
        <v>472191</v>
      </c>
      <c r="CQ319" s="62">
        <v>27000</v>
      </c>
      <c r="CR319" s="75">
        <f t="shared" si="862"/>
        <v>499191</v>
      </c>
      <c r="CS319" s="75">
        <f t="shared" si="817"/>
        <v>817149</v>
      </c>
      <c r="CT319" s="62">
        <f>599056+31716</f>
        <v>630772</v>
      </c>
      <c r="CU319" s="47">
        <f t="shared" si="818"/>
        <v>186377</v>
      </c>
      <c r="CV319" s="76">
        <f t="shared" si="819"/>
        <v>0.63377309321047981</v>
      </c>
      <c r="CW319" s="75">
        <f t="shared" si="820"/>
        <v>5546.5666666666666</v>
      </c>
      <c r="CX319" s="77">
        <f t="shared" si="821"/>
        <v>0.3871678533203034</v>
      </c>
      <c r="CY319" s="75">
        <f t="shared" si="822"/>
        <v>2070.8555555555554</v>
      </c>
      <c r="CZ319" s="77">
        <f t="shared" si="823"/>
        <v>0.14455225153954737</v>
      </c>
      <c r="DA319" s="77">
        <f t="shared" si="824"/>
        <v>0.48922084167093244</v>
      </c>
      <c r="DB319" s="47">
        <f t="shared" si="825"/>
        <v>104444.44444444444</v>
      </c>
      <c r="DC319" s="69">
        <f t="shared" si="826"/>
        <v>15080</v>
      </c>
      <c r="DD319" s="70" t="str">
        <f t="shared" si="827"/>
        <v/>
      </c>
      <c r="DE319" s="70">
        <f t="shared" si="828"/>
        <v>-754</v>
      </c>
      <c r="DF319" s="70">
        <f t="shared" si="829"/>
        <v>14326</v>
      </c>
      <c r="DG319" s="70">
        <f t="shared" si="830"/>
        <v>666.34444444444443</v>
      </c>
      <c r="DH319" s="70">
        <f t="shared" si="831"/>
        <v>598.79999999999995</v>
      </c>
      <c r="DI319" s="70">
        <f t="shared" si="832"/>
        <v>1592.5333333333333</v>
      </c>
      <c r="DJ319" s="70">
        <f t="shared" si="833"/>
        <v>444.44444444444446</v>
      </c>
      <c r="DK319" s="70">
        <f t="shared" si="834"/>
        <v>944.44444444444446</v>
      </c>
      <c r="DL319" s="70">
        <f t="shared" si="835"/>
        <v>1000</v>
      </c>
      <c r="DM319" s="70" t="str">
        <f t="shared" si="836"/>
        <v/>
      </c>
      <c r="DN319" s="70">
        <f t="shared" si="837"/>
        <v>5246.5666666666666</v>
      </c>
      <c r="DO319" s="70">
        <f t="shared" si="838"/>
        <v>300</v>
      </c>
      <c r="DP319" s="70">
        <f t="shared" si="839"/>
        <v>5546.5666666666666</v>
      </c>
      <c r="DQ319" s="70">
        <f t="shared" si="840"/>
        <v>9079.4333333333325</v>
      </c>
      <c r="DR319" s="70">
        <f t="shared" si="841"/>
        <v>7008.5777777777776</v>
      </c>
      <c r="DS319" s="71">
        <f t="shared" si="842"/>
        <v>2070.8555555555554</v>
      </c>
      <c r="DT319" s="106">
        <f t="shared" si="843"/>
        <v>1.0526315789473684</v>
      </c>
      <c r="DU319" s="92" t="str">
        <f t="shared" si="844"/>
        <v/>
      </c>
      <c r="DV319" s="92" t="str">
        <f t="shared" si="845"/>
        <v/>
      </c>
      <c r="DW319" s="92">
        <f t="shared" si="846"/>
        <v>1</v>
      </c>
      <c r="DX319" s="92">
        <f t="shared" si="847"/>
        <v>4.6512944607318474E-2</v>
      </c>
      <c r="DY319" s="92">
        <f t="shared" si="848"/>
        <v>4.1798129275443248E-2</v>
      </c>
      <c r="DZ319" s="92">
        <f t="shared" si="849"/>
        <v>0.1111638512727442</v>
      </c>
      <c r="EA319" s="92">
        <f t="shared" si="850"/>
        <v>3.1023624490049171E-2</v>
      </c>
      <c r="EB319" s="92">
        <f t="shared" si="851"/>
        <v>6.5925202041354491E-2</v>
      </c>
      <c r="EC319" s="92">
        <f t="shared" si="852"/>
        <v>6.9803155102610634E-2</v>
      </c>
      <c r="ED319" s="92" t="str">
        <f t="shared" si="853"/>
        <v/>
      </c>
      <c r="EE319" s="92">
        <f t="shared" si="854"/>
        <v>0.36622690678952025</v>
      </c>
      <c r="EF319" s="92">
        <f t="shared" si="855"/>
        <v>2.094094653078319E-2</v>
      </c>
      <c r="EG319" s="92">
        <f t="shared" si="856"/>
        <v>0.3871678533203034</v>
      </c>
      <c r="EH319" s="92">
        <f t="shared" si="857"/>
        <v>0.63377309321047981</v>
      </c>
      <c r="EI319" s="92">
        <f t="shared" si="858"/>
        <v>0.48922084167093244</v>
      </c>
      <c r="EJ319" s="122">
        <f t="shared" si="859"/>
        <v>0.14455225153954737</v>
      </c>
    </row>
    <row r="320" spans="2:140" ht="12" hidden="1" customHeight="1" outlineLevel="1">
      <c r="B320" s="121">
        <v>45786</v>
      </c>
      <c r="C320" s="117">
        <v>25404</v>
      </c>
      <c r="D320" s="50" t="s">
        <v>1470</v>
      </c>
      <c r="E320" s="50" t="s">
        <v>1471</v>
      </c>
      <c r="F320" s="50" t="s">
        <v>1472</v>
      </c>
      <c r="G320" s="50" t="s">
        <v>154</v>
      </c>
      <c r="H320" s="50" t="s">
        <v>561</v>
      </c>
      <c r="I320" s="50" t="s">
        <v>561</v>
      </c>
      <c r="J320" s="52" t="s">
        <v>1140</v>
      </c>
      <c r="K320" s="50" t="s">
        <v>230</v>
      </c>
      <c r="L320" s="49">
        <v>3</v>
      </c>
      <c r="M320" s="50" t="s">
        <v>159</v>
      </c>
      <c r="N320" s="50" t="s">
        <v>160</v>
      </c>
      <c r="O320" s="50" t="s">
        <v>160</v>
      </c>
      <c r="P320" s="50" t="s">
        <v>177</v>
      </c>
      <c r="Q320" s="53">
        <v>0.04</v>
      </c>
      <c r="R320" s="49">
        <v>313</v>
      </c>
      <c r="S320" s="49">
        <v>0</v>
      </c>
      <c r="T320" s="54">
        <f t="shared" si="860"/>
        <v>313</v>
      </c>
      <c r="U320" s="55">
        <v>310688</v>
      </c>
      <c r="V320" s="49">
        <v>14.93</v>
      </c>
      <c r="W320" s="56">
        <f t="shared" si="784"/>
        <v>20.964501004688547</v>
      </c>
      <c r="X320" s="49" t="s">
        <v>163</v>
      </c>
      <c r="Y320" s="57" t="s">
        <v>162</v>
      </c>
      <c r="Z320" s="58">
        <v>69724328</v>
      </c>
      <c r="AA320" s="114">
        <v>5.8000000000000003E-2</v>
      </c>
      <c r="AB320" s="59">
        <v>15</v>
      </c>
      <c r="AC320" s="60">
        <v>40</v>
      </c>
      <c r="AD320" s="61">
        <v>5.8000000000000003E-2</v>
      </c>
      <c r="AE320" s="62">
        <v>44020464</v>
      </c>
      <c r="AF320" s="63">
        <v>1.1599999999999999</v>
      </c>
      <c r="AG320" s="59"/>
      <c r="AH320" s="60"/>
      <c r="AI320" s="61"/>
      <c r="AJ320" s="64"/>
      <c r="AK320" s="65">
        <f t="shared" si="785"/>
        <v>44020464</v>
      </c>
      <c r="AL320" s="66">
        <v>0</v>
      </c>
      <c r="AM320" s="49" t="s">
        <v>163</v>
      </c>
      <c r="AN320" s="67">
        <v>0.88</v>
      </c>
      <c r="AO320" s="62">
        <v>38117141</v>
      </c>
      <c r="AP320" s="62">
        <v>500000</v>
      </c>
      <c r="AQ320" s="68">
        <v>9344364</v>
      </c>
      <c r="AR320" s="69">
        <f t="shared" si="786"/>
        <v>140640.46006389777</v>
      </c>
      <c r="AS320" s="70" t="str">
        <f t="shared" si="787"/>
        <v/>
      </c>
      <c r="AT320" s="70">
        <f t="shared" si="788"/>
        <v>121780.00319488818</v>
      </c>
      <c r="AU320" s="70">
        <f t="shared" si="789"/>
        <v>1597.4440894568691</v>
      </c>
      <c r="AV320" s="71">
        <f t="shared" si="790"/>
        <v>29854.198083067091</v>
      </c>
      <c r="AW320" s="115">
        <f t="shared" si="791"/>
        <v>154915.14376996804</v>
      </c>
      <c r="AX320" s="116">
        <f t="shared" si="792"/>
        <v>156.06795241528479</v>
      </c>
      <c r="AY320" s="72">
        <f t="shared" si="793"/>
        <v>188098.97444089456</v>
      </c>
      <c r="AZ320" s="73">
        <f t="shared" si="794"/>
        <v>189.49872219075084</v>
      </c>
      <c r="BA320" s="66">
        <v>2426900</v>
      </c>
      <c r="BB320" s="62">
        <v>11130779</v>
      </c>
      <c r="BC320" s="62">
        <v>37357661</v>
      </c>
      <c r="BD320" s="62">
        <v>3394191</v>
      </c>
      <c r="BE320" s="62">
        <v>6992348</v>
      </c>
      <c r="BF320" s="62">
        <v>6343509</v>
      </c>
      <c r="BG320" s="62">
        <v>11538137</v>
      </c>
      <c r="BH320" s="62">
        <v>10960443</v>
      </c>
      <c r="BI320" s="62">
        <v>1838000</v>
      </c>
      <c r="BJ320" s="47">
        <f t="shared" si="795"/>
        <v>91981968</v>
      </c>
      <c r="BK320" s="69">
        <f t="shared" si="796"/>
        <v>7753.6741214057511</v>
      </c>
      <c r="BL320" s="70">
        <f t="shared" si="797"/>
        <v>35561.594249201276</v>
      </c>
      <c r="BM320" s="70">
        <f t="shared" si="798"/>
        <v>119353.54952076677</v>
      </c>
      <c r="BN320" s="70">
        <f t="shared" si="799"/>
        <v>10844.0607028754</v>
      </c>
      <c r="BO320" s="70">
        <f t="shared" si="800"/>
        <v>22339.769968051118</v>
      </c>
      <c r="BP320" s="70">
        <f t="shared" si="801"/>
        <v>20266.801916932909</v>
      </c>
      <c r="BQ320" s="70">
        <f t="shared" si="802"/>
        <v>36863.057507987221</v>
      </c>
      <c r="BR320" s="70">
        <f t="shared" si="803"/>
        <v>35017.389776357828</v>
      </c>
      <c r="BS320" s="70">
        <f t="shared" si="804"/>
        <v>5872.2044728434503</v>
      </c>
      <c r="BT320" s="71">
        <f t="shared" si="805"/>
        <v>293872.10223642172</v>
      </c>
      <c r="BU320" s="65">
        <f t="shared" si="806"/>
        <v>7.8113734679163667</v>
      </c>
      <c r="BV320" s="48">
        <f t="shared" si="807"/>
        <v>35.82622759810485</v>
      </c>
      <c r="BW320" s="48">
        <f t="shared" si="808"/>
        <v>120.24172481717994</v>
      </c>
      <c r="BX320" s="48">
        <f t="shared" si="809"/>
        <v>10.924757312802555</v>
      </c>
      <c r="BY320" s="48">
        <f t="shared" si="810"/>
        <v>22.506012462663509</v>
      </c>
      <c r="BZ320" s="48">
        <f t="shared" si="811"/>
        <v>20.417618318055414</v>
      </c>
      <c r="CA320" s="48">
        <f t="shared" si="812"/>
        <v>37.137375759604488</v>
      </c>
      <c r="CB320" s="48">
        <f t="shared" si="813"/>
        <v>35.277973400968172</v>
      </c>
      <c r="CC320" s="48">
        <f t="shared" si="814"/>
        <v>5.915902770625193</v>
      </c>
      <c r="CD320" s="47">
        <f t="shared" si="815"/>
        <v>296.05896590792048</v>
      </c>
      <c r="CE320" s="66">
        <v>5345400</v>
      </c>
      <c r="CF320" s="62">
        <v>75120</v>
      </c>
      <c r="CG320" s="74">
        <v>-406539</v>
      </c>
      <c r="CH320" s="75">
        <f t="shared" si="816"/>
        <v>5013981</v>
      </c>
      <c r="CI320" s="62">
        <f>117564+7200+12520+4500+50000</f>
        <v>191784</v>
      </c>
      <c r="CJ320" s="62">
        <v>204296</v>
      </c>
      <c r="CK320" s="62">
        <v>317489</v>
      </c>
      <c r="CL320" s="62">
        <f>287000+15000</f>
        <v>302000</v>
      </c>
      <c r="CM320" s="62">
        <f>160000+165000</f>
        <v>325000</v>
      </c>
      <c r="CN320" s="62">
        <v>313000</v>
      </c>
      <c r="CO320" s="62">
        <v>0</v>
      </c>
      <c r="CP320" s="75">
        <f t="shared" si="861"/>
        <v>1653569</v>
      </c>
      <c r="CQ320" s="62">
        <v>78250</v>
      </c>
      <c r="CR320" s="75">
        <f t="shared" si="862"/>
        <v>1731819</v>
      </c>
      <c r="CS320" s="75">
        <f t="shared" si="817"/>
        <v>3360412</v>
      </c>
      <c r="CT320" s="62">
        <v>2833173</v>
      </c>
      <c r="CU320" s="47">
        <f t="shared" si="818"/>
        <v>527239</v>
      </c>
      <c r="CV320" s="76">
        <f t="shared" si="819"/>
        <v>0.67020836337433265</v>
      </c>
      <c r="CW320" s="75">
        <f t="shared" si="820"/>
        <v>5532.9680511182105</v>
      </c>
      <c r="CX320" s="77">
        <f t="shared" si="821"/>
        <v>0.34539799811766336</v>
      </c>
      <c r="CY320" s="75">
        <f t="shared" si="822"/>
        <v>1684.4696485623003</v>
      </c>
      <c r="CZ320" s="77">
        <f t="shared" si="823"/>
        <v>0.10515376903103542</v>
      </c>
      <c r="DA320" s="77">
        <f t="shared" si="824"/>
        <v>0.5650545943432973</v>
      </c>
      <c r="DB320" s="47">
        <f t="shared" si="825"/>
        <v>140640.46006389777</v>
      </c>
      <c r="DC320" s="69">
        <f t="shared" si="826"/>
        <v>17077.955271565494</v>
      </c>
      <c r="DD320" s="70">
        <f t="shared" si="827"/>
        <v>240</v>
      </c>
      <c r="DE320" s="70">
        <f t="shared" si="828"/>
        <v>-1298.8466453674121</v>
      </c>
      <c r="DF320" s="70">
        <f t="shared" si="829"/>
        <v>16019.108626198084</v>
      </c>
      <c r="DG320" s="70">
        <f t="shared" si="830"/>
        <v>612.72843450479229</v>
      </c>
      <c r="DH320" s="70">
        <f t="shared" si="831"/>
        <v>652.70287539936101</v>
      </c>
      <c r="DI320" s="70">
        <f t="shared" si="832"/>
        <v>1014.3418530351438</v>
      </c>
      <c r="DJ320" s="70">
        <f t="shared" si="833"/>
        <v>964.85623003194883</v>
      </c>
      <c r="DK320" s="70">
        <f t="shared" si="834"/>
        <v>1038.3386581469649</v>
      </c>
      <c r="DL320" s="70">
        <f t="shared" si="835"/>
        <v>1000</v>
      </c>
      <c r="DM320" s="70" t="str">
        <f t="shared" si="836"/>
        <v/>
      </c>
      <c r="DN320" s="70">
        <f t="shared" si="837"/>
        <v>5282.9680511182105</v>
      </c>
      <c r="DO320" s="70">
        <f t="shared" si="838"/>
        <v>250</v>
      </c>
      <c r="DP320" s="70">
        <f t="shared" si="839"/>
        <v>5532.9680511182105</v>
      </c>
      <c r="DQ320" s="70">
        <f t="shared" si="840"/>
        <v>10736.140575079873</v>
      </c>
      <c r="DR320" s="70">
        <f t="shared" si="841"/>
        <v>9051.6709265175723</v>
      </c>
      <c r="DS320" s="71">
        <f t="shared" si="842"/>
        <v>1684.4696485623003</v>
      </c>
      <c r="DT320" s="106">
        <f t="shared" si="843"/>
        <v>1.0660989740487647</v>
      </c>
      <c r="DU320" s="92">
        <f t="shared" si="844"/>
        <v>1.4982107032316238E-2</v>
      </c>
      <c r="DV320" s="92" t="str">
        <f t="shared" si="845"/>
        <v/>
      </c>
      <c r="DW320" s="92">
        <f t="shared" si="846"/>
        <v>1</v>
      </c>
      <c r="DX320" s="92">
        <f t="shared" si="847"/>
        <v>3.8249845781226532E-2</v>
      </c>
      <c r="DY320" s="92">
        <f t="shared" si="848"/>
        <v>4.0745268081390812E-2</v>
      </c>
      <c r="DZ320" s="92">
        <f t="shared" si="849"/>
        <v>6.3320742539710456E-2</v>
      </c>
      <c r="EA320" s="92">
        <f t="shared" si="850"/>
        <v>6.0231580454732474E-2</v>
      </c>
      <c r="EB320" s="92">
        <f t="shared" si="851"/>
        <v>6.48187538006227E-2</v>
      </c>
      <c r="EC320" s="92">
        <f t="shared" si="852"/>
        <v>6.2425445967984321E-2</v>
      </c>
      <c r="ED320" s="92" t="str">
        <f t="shared" si="853"/>
        <v/>
      </c>
      <c r="EE320" s="92">
        <f t="shared" si="854"/>
        <v>0.32979163662566729</v>
      </c>
      <c r="EF320" s="92">
        <f t="shared" si="855"/>
        <v>1.560636149199608E-2</v>
      </c>
      <c r="EG320" s="92">
        <f t="shared" si="856"/>
        <v>0.34539799811766336</v>
      </c>
      <c r="EH320" s="92">
        <f t="shared" si="857"/>
        <v>0.67020836337433265</v>
      </c>
      <c r="EI320" s="92">
        <f t="shared" si="858"/>
        <v>0.5650545943432973</v>
      </c>
      <c r="EJ320" s="122">
        <f t="shared" si="859"/>
        <v>0.10515376903103542</v>
      </c>
    </row>
    <row r="321" spans="2:140" ht="12" hidden="1" customHeight="1" outlineLevel="1">
      <c r="B321" s="121">
        <v>45789</v>
      </c>
      <c r="C321" s="117">
        <v>25439</v>
      </c>
      <c r="D321" s="50" t="s">
        <v>1473</v>
      </c>
      <c r="E321" s="50" t="s">
        <v>1402</v>
      </c>
      <c r="F321" s="50" t="s">
        <v>1474</v>
      </c>
      <c r="G321" s="50" t="s">
        <v>162</v>
      </c>
      <c r="H321" s="50" t="s">
        <v>1475</v>
      </c>
      <c r="I321" s="50" t="s">
        <v>182</v>
      </c>
      <c r="J321" s="52" t="s">
        <v>175</v>
      </c>
      <c r="K321" s="50" t="s">
        <v>176</v>
      </c>
      <c r="L321" s="49">
        <v>6</v>
      </c>
      <c r="M321" s="50" t="s">
        <v>159</v>
      </c>
      <c r="N321" s="50" t="s">
        <v>244</v>
      </c>
      <c r="O321" s="50" t="s">
        <v>160</v>
      </c>
      <c r="P321" s="50" t="s">
        <v>161</v>
      </c>
      <c r="Q321" s="53">
        <v>0.04</v>
      </c>
      <c r="R321" s="49">
        <v>165</v>
      </c>
      <c r="S321" s="49">
        <v>0</v>
      </c>
      <c r="T321" s="54">
        <f t="shared" si="860"/>
        <v>165</v>
      </c>
      <c r="U321" s="55">
        <v>87679</v>
      </c>
      <c r="V321" s="49">
        <v>2.2000000000000002</v>
      </c>
      <c r="W321" s="56">
        <f t="shared" si="784"/>
        <v>75</v>
      </c>
      <c r="X321" s="49">
        <v>1997</v>
      </c>
      <c r="Y321" s="57" t="s">
        <v>162</v>
      </c>
      <c r="Z321" s="58">
        <v>16050000</v>
      </c>
      <c r="AA321" s="114">
        <f>(((9300000*0.0605)/(Table1[[#This Row],[Construction Loan Principal]]))+(((6750000*0.0716)/(Table1[[#This Row],[Construction Loan Principal]]))))</f>
        <v>6.5168224299065422E-2</v>
      </c>
      <c r="AB321" s="59">
        <v>40</v>
      </c>
      <c r="AC321" s="60">
        <v>40</v>
      </c>
      <c r="AD321" s="61">
        <v>6.0499999999999998E-2</v>
      </c>
      <c r="AE321" s="62">
        <v>9300000</v>
      </c>
      <c r="AF321" s="63">
        <v>1.1499999999999999</v>
      </c>
      <c r="AG321" s="59"/>
      <c r="AH321" s="60"/>
      <c r="AI321" s="61"/>
      <c r="AJ321" s="64"/>
      <c r="AK321" s="65">
        <f t="shared" si="785"/>
        <v>9300000</v>
      </c>
      <c r="AL321" s="66">
        <v>8500000</v>
      </c>
      <c r="AM321" s="49" t="s">
        <v>1144</v>
      </c>
      <c r="AN321" s="67">
        <v>0.81</v>
      </c>
      <c r="AO321" s="62">
        <v>9524738</v>
      </c>
      <c r="AP321" s="62">
        <v>0</v>
      </c>
      <c r="AQ321" s="68">
        <v>1296071</v>
      </c>
      <c r="AR321" s="69">
        <f t="shared" si="786"/>
        <v>56363.63636363636</v>
      </c>
      <c r="AS321" s="70">
        <f t="shared" si="787"/>
        <v>51515.151515151512</v>
      </c>
      <c r="AT321" s="70">
        <f t="shared" si="788"/>
        <v>57725.684848484845</v>
      </c>
      <c r="AU321" s="70" t="str">
        <f t="shared" si="789"/>
        <v/>
      </c>
      <c r="AV321" s="71">
        <f t="shared" si="790"/>
        <v>7854.9757575757576</v>
      </c>
      <c r="AW321" s="115">
        <f t="shared" si="791"/>
        <v>48228.454545454544</v>
      </c>
      <c r="AX321" s="116">
        <f t="shared" si="792"/>
        <v>90.759417876572499</v>
      </c>
      <c r="AY321" s="72">
        <f t="shared" si="793"/>
        <v>59803.260606060605</v>
      </c>
      <c r="AZ321" s="73">
        <f t="shared" si="794"/>
        <v>112.54163482703953</v>
      </c>
      <c r="BA321" s="66">
        <v>11700000</v>
      </c>
      <c r="BB321" s="62">
        <v>620629</v>
      </c>
      <c r="BC321" s="62">
        <v>7337066</v>
      </c>
      <c r="BD321" s="62">
        <v>795770</v>
      </c>
      <c r="BE321" s="62">
        <v>1114073</v>
      </c>
      <c r="BF321" s="62">
        <v>880000</v>
      </c>
      <c r="BG321" s="62">
        <v>1958089</v>
      </c>
      <c r="BH321" s="62">
        <v>3316785</v>
      </c>
      <c r="BI321" s="62">
        <v>898397</v>
      </c>
      <c r="BJ321" s="47">
        <f t="shared" si="795"/>
        <v>28620809</v>
      </c>
      <c r="BK321" s="69">
        <f t="shared" si="796"/>
        <v>70909.090909090912</v>
      </c>
      <c r="BL321" s="70">
        <f t="shared" si="797"/>
        <v>3761.3878787878789</v>
      </c>
      <c r="BM321" s="70">
        <f t="shared" si="798"/>
        <v>44467.066666666666</v>
      </c>
      <c r="BN321" s="70">
        <f t="shared" si="799"/>
        <v>4822.848484848485</v>
      </c>
      <c r="BO321" s="70">
        <f t="shared" si="800"/>
        <v>6751.9575757575758</v>
      </c>
      <c r="BP321" s="70">
        <f t="shared" si="801"/>
        <v>5333.333333333333</v>
      </c>
      <c r="BQ321" s="70">
        <f t="shared" si="802"/>
        <v>11867.20606060606</v>
      </c>
      <c r="BR321" s="70">
        <f t="shared" si="803"/>
        <v>20101.727272727272</v>
      </c>
      <c r="BS321" s="70">
        <f t="shared" si="804"/>
        <v>5444.8303030303032</v>
      </c>
      <c r="BT321" s="71">
        <f t="shared" si="805"/>
        <v>173459.44848484849</v>
      </c>
      <c r="BU321" s="65">
        <f t="shared" si="806"/>
        <v>133.44130293456814</v>
      </c>
      <c r="BV321" s="48">
        <f t="shared" si="807"/>
        <v>7.0784224272630842</v>
      </c>
      <c r="BW321" s="48">
        <f t="shared" si="808"/>
        <v>83.680995449309407</v>
      </c>
      <c r="BX321" s="48">
        <f t="shared" si="809"/>
        <v>9.0759474902770325</v>
      </c>
      <c r="BY321" s="48">
        <f t="shared" si="810"/>
        <v>12.706269460190011</v>
      </c>
      <c r="BZ321" s="48">
        <f t="shared" si="811"/>
        <v>10.036610819010253</v>
      </c>
      <c r="CA321" s="48">
        <f t="shared" si="812"/>
        <v>22.332474138619283</v>
      </c>
      <c r="CB321" s="48">
        <f t="shared" si="813"/>
        <v>37.828727517421505</v>
      </c>
      <c r="CC321" s="48">
        <f t="shared" si="814"/>
        <v>10.246433011325403</v>
      </c>
      <c r="CD321" s="47">
        <f t="shared" si="815"/>
        <v>326.42718324798415</v>
      </c>
      <c r="CE321" s="66">
        <v>2028792</v>
      </c>
      <c r="CF321" s="62">
        <v>19800</v>
      </c>
      <c r="CG321" s="74">
        <v>-153644</v>
      </c>
      <c r="CH321" s="75">
        <f t="shared" si="816"/>
        <v>1894948</v>
      </c>
      <c r="CI321" s="62">
        <f>52291+6600+5000</f>
        <v>63891</v>
      </c>
      <c r="CJ321" s="62">
        <v>75798</v>
      </c>
      <c r="CK321" s="62">
        <v>265627</v>
      </c>
      <c r="CL321" s="62">
        <v>152875</v>
      </c>
      <c r="CM321" s="62">
        <f>118646+289975</f>
        <v>408621</v>
      </c>
      <c r="CN321" s="62">
        <v>130000</v>
      </c>
      <c r="CO321" s="62">
        <v>0</v>
      </c>
      <c r="CP321" s="75">
        <f t="shared" si="861"/>
        <v>1096812</v>
      </c>
      <c r="CQ321" s="62">
        <v>49500</v>
      </c>
      <c r="CR321" s="75">
        <f t="shared" si="862"/>
        <v>1146312</v>
      </c>
      <c r="CS321" s="75">
        <f t="shared" si="817"/>
        <v>798136</v>
      </c>
      <c r="CT321" s="62">
        <v>650483</v>
      </c>
      <c r="CU321" s="47">
        <f t="shared" si="818"/>
        <v>147653</v>
      </c>
      <c r="CV321" s="76">
        <f t="shared" si="819"/>
        <v>0.42119150499116598</v>
      </c>
      <c r="CW321" s="75">
        <f t="shared" si="820"/>
        <v>6947.3454545454542</v>
      </c>
      <c r="CX321" s="77">
        <f t="shared" si="821"/>
        <v>0.6049305838471557</v>
      </c>
      <c r="CY321" s="75">
        <f t="shared" si="822"/>
        <v>894.86666666666667</v>
      </c>
      <c r="CZ321" s="77">
        <f t="shared" si="823"/>
        <v>7.7919288550398216E-2</v>
      </c>
      <c r="DA321" s="77">
        <f t="shared" si="824"/>
        <v>0.34327221644076777</v>
      </c>
      <c r="DB321" s="47">
        <f t="shared" si="825"/>
        <v>56363.63636363636</v>
      </c>
      <c r="DC321" s="69">
        <f t="shared" si="826"/>
        <v>12295.709090909091</v>
      </c>
      <c r="DD321" s="70">
        <f t="shared" si="827"/>
        <v>120</v>
      </c>
      <c r="DE321" s="70">
        <f t="shared" si="828"/>
        <v>-931.17575757575753</v>
      </c>
      <c r="DF321" s="70">
        <f t="shared" si="829"/>
        <v>11484.533333333333</v>
      </c>
      <c r="DG321" s="70">
        <f t="shared" si="830"/>
        <v>387.21818181818179</v>
      </c>
      <c r="DH321" s="70">
        <f t="shared" si="831"/>
        <v>459.38181818181818</v>
      </c>
      <c r="DI321" s="70">
        <f t="shared" si="832"/>
        <v>1609.860606060606</v>
      </c>
      <c r="DJ321" s="70">
        <f t="shared" si="833"/>
        <v>926.5151515151515</v>
      </c>
      <c r="DK321" s="70">
        <f t="shared" si="834"/>
        <v>2476.4909090909091</v>
      </c>
      <c r="DL321" s="70">
        <f t="shared" si="835"/>
        <v>787.87878787878788</v>
      </c>
      <c r="DM321" s="70" t="str">
        <f t="shared" si="836"/>
        <v/>
      </c>
      <c r="DN321" s="70">
        <f t="shared" si="837"/>
        <v>6647.3454545454542</v>
      </c>
      <c r="DO321" s="70">
        <f t="shared" si="838"/>
        <v>300</v>
      </c>
      <c r="DP321" s="70">
        <f t="shared" si="839"/>
        <v>6947.3454545454542</v>
      </c>
      <c r="DQ321" s="70">
        <f t="shared" si="840"/>
        <v>4837.1878787878786</v>
      </c>
      <c r="DR321" s="70">
        <f t="shared" si="841"/>
        <v>3942.3212121212123</v>
      </c>
      <c r="DS321" s="71">
        <f t="shared" si="842"/>
        <v>894.86666666666667</v>
      </c>
      <c r="DT321" s="106">
        <f t="shared" si="843"/>
        <v>1.0706320173429562</v>
      </c>
      <c r="DU321" s="92">
        <f t="shared" si="844"/>
        <v>1.0448835535328674E-2</v>
      </c>
      <c r="DV321" s="92" t="str">
        <f t="shared" si="845"/>
        <v/>
      </c>
      <c r="DW321" s="92">
        <f t="shared" si="846"/>
        <v>1</v>
      </c>
      <c r="DX321" s="92">
        <f t="shared" si="847"/>
        <v>3.3716492484226479E-2</v>
      </c>
      <c r="DY321" s="92">
        <f t="shared" si="848"/>
        <v>4.0000042217517316E-2</v>
      </c>
      <c r="DZ321" s="92">
        <f t="shared" si="849"/>
        <v>0.14017640589609848</v>
      </c>
      <c r="EA321" s="92">
        <f t="shared" si="850"/>
        <v>8.0675036993099553E-2</v>
      </c>
      <c r="EB321" s="92">
        <f t="shared" si="851"/>
        <v>0.21563705178189585</v>
      </c>
      <c r="EC321" s="92">
        <f t="shared" si="852"/>
        <v>6.8603465635996341E-2</v>
      </c>
      <c r="ED321" s="92" t="str">
        <f t="shared" si="853"/>
        <v/>
      </c>
      <c r="EE321" s="92">
        <f t="shared" si="854"/>
        <v>0.57880849500883402</v>
      </c>
      <c r="EF321" s="92">
        <f t="shared" si="855"/>
        <v>2.6122088838321685E-2</v>
      </c>
      <c r="EG321" s="92">
        <f t="shared" si="856"/>
        <v>0.6049305838471557</v>
      </c>
      <c r="EH321" s="92">
        <f t="shared" si="857"/>
        <v>0.42119150499116598</v>
      </c>
      <c r="EI321" s="92">
        <f t="shared" si="858"/>
        <v>0.34327221644076777</v>
      </c>
      <c r="EJ321" s="122">
        <f t="shared" si="859"/>
        <v>7.7919288550398216E-2</v>
      </c>
    </row>
    <row r="322" spans="2:140" ht="12" hidden="1" customHeight="1" outlineLevel="1">
      <c r="B322" s="121">
        <v>45796</v>
      </c>
      <c r="C322" s="117">
        <v>25414</v>
      </c>
      <c r="D322" s="50" t="s">
        <v>1476</v>
      </c>
      <c r="E322" s="50" t="s">
        <v>1477</v>
      </c>
      <c r="F322" s="50" t="s">
        <v>1478</v>
      </c>
      <c r="G322" s="50" t="s">
        <v>162</v>
      </c>
      <c r="H322" s="50" t="s">
        <v>1479</v>
      </c>
      <c r="I322" s="50" t="s">
        <v>1244</v>
      </c>
      <c r="J322" s="52" t="s">
        <v>1480</v>
      </c>
      <c r="K322" s="50" t="s">
        <v>176</v>
      </c>
      <c r="L322" s="49">
        <v>6</v>
      </c>
      <c r="M322" s="50" t="s">
        <v>159</v>
      </c>
      <c r="N322" s="50" t="s">
        <v>160</v>
      </c>
      <c r="O322" s="50" t="s">
        <v>160</v>
      </c>
      <c r="P322" s="50" t="s">
        <v>177</v>
      </c>
      <c r="Q322" s="53">
        <v>0.04</v>
      </c>
      <c r="R322" s="49">
        <v>366</v>
      </c>
      <c r="S322" s="49">
        <v>0</v>
      </c>
      <c r="T322" s="54">
        <f t="shared" si="860"/>
        <v>366</v>
      </c>
      <c r="U322" s="55">
        <v>350208</v>
      </c>
      <c r="V322" s="49">
        <v>36.369999999999997</v>
      </c>
      <c r="W322" s="56">
        <f t="shared" si="784"/>
        <v>10.063238933186692</v>
      </c>
      <c r="X322" s="49" t="s">
        <v>163</v>
      </c>
      <c r="Y322" s="57" t="s">
        <v>162</v>
      </c>
      <c r="Z322" s="58">
        <v>42500000</v>
      </c>
      <c r="AA322" s="114">
        <v>6.2799999999999995E-2</v>
      </c>
      <c r="AB322" s="59">
        <v>18</v>
      </c>
      <c r="AC322" s="60">
        <v>45</v>
      </c>
      <c r="AD322" s="61">
        <v>6.2799999999999995E-2</v>
      </c>
      <c r="AE322" s="62">
        <v>42500000</v>
      </c>
      <c r="AF322" s="63">
        <v>1.1499999999999999</v>
      </c>
      <c r="AG322" s="59"/>
      <c r="AH322" s="60"/>
      <c r="AI322" s="61"/>
      <c r="AJ322" s="64"/>
      <c r="AK322" s="65">
        <f t="shared" si="785"/>
        <v>42500000</v>
      </c>
      <c r="AL322" s="66">
        <v>0</v>
      </c>
      <c r="AM322" s="49" t="s">
        <v>163</v>
      </c>
      <c r="AN322" s="67">
        <v>0.84</v>
      </c>
      <c r="AO322" s="62">
        <v>31086136</v>
      </c>
      <c r="AP322" s="62">
        <v>0</v>
      </c>
      <c r="AQ322" s="68">
        <v>3535986</v>
      </c>
      <c r="AR322" s="69">
        <f t="shared" si="786"/>
        <v>116120.21857923498</v>
      </c>
      <c r="AS322" s="70" t="str">
        <f t="shared" si="787"/>
        <v/>
      </c>
      <c r="AT322" s="70">
        <f t="shared" si="788"/>
        <v>84934.797814207646</v>
      </c>
      <c r="AU322" s="70" t="str">
        <f t="shared" si="789"/>
        <v/>
      </c>
      <c r="AV322" s="71">
        <f t="shared" si="790"/>
        <v>9661.1639344262294</v>
      </c>
      <c r="AW322" s="115">
        <f t="shared" si="791"/>
        <v>113393.16939890711</v>
      </c>
      <c r="AX322" s="116">
        <f t="shared" si="792"/>
        <v>118.50643046418129</v>
      </c>
      <c r="AY322" s="72">
        <f t="shared" si="793"/>
        <v>138316.98907103826</v>
      </c>
      <c r="AZ322" s="73">
        <f t="shared" si="794"/>
        <v>144.55414496527777</v>
      </c>
      <c r="BA322" s="66">
        <v>3200000</v>
      </c>
      <c r="BB322" s="62">
        <v>9575000</v>
      </c>
      <c r="BC322" s="62">
        <v>31926900</v>
      </c>
      <c r="BD322" s="62">
        <v>2905133</v>
      </c>
      <c r="BE322" s="62">
        <v>6216985</v>
      </c>
      <c r="BF322" s="62">
        <v>4155000</v>
      </c>
      <c r="BG322" s="62">
        <v>8858480</v>
      </c>
      <c r="BH322" s="62">
        <v>9284625</v>
      </c>
      <c r="BI322" s="62">
        <v>1000000</v>
      </c>
      <c r="BJ322" s="47">
        <f t="shared" si="795"/>
        <v>77122123</v>
      </c>
      <c r="BK322" s="69">
        <f t="shared" si="796"/>
        <v>8743.1693989071046</v>
      </c>
      <c r="BL322" s="70">
        <f t="shared" si="797"/>
        <v>26161.20218579235</v>
      </c>
      <c r="BM322" s="70">
        <f t="shared" si="798"/>
        <v>87231.967213114753</v>
      </c>
      <c r="BN322" s="70">
        <f t="shared" si="799"/>
        <v>7937.521857923497</v>
      </c>
      <c r="BO322" s="70">
        <f t="shared" si="800"/>
        <v>16986.29781420765</v>
      </c>
      <c r="BP322" s="70">
        <f t="shared" si="801"/>
        <v>11352.459016393443</v>
      </c>
      <c r="BQ322" s="70">
        <f t="shared" si="802"/>
        <v>24203.497267759562</v>
      </c>
      <c r="BR322" s="70">
        <f t="shared" si="803"/>
        <v>25367.827868852459</v>
      </c>
      <c r="BS322" s="70">
        <f t="shared" si="804"/>
        <v>2732.2404371584698</v>
      </c>
      <c r="BT322" s="71">
        <f t="shared" si="805"/>
        <v>210716.1830601093</v>
      </c>
      <c r="BU322" s="65">
        <f t="shared" si="806"/>
        <v>9.1374269005847957</v>
      </c>
      <c r="BV322" s="48">
        <f t="shared" si="807"/>
        <v>27.340894554093566</v>
      </c>
      <c r="BW322" s="48">
        <f t="shared" si="808"/>
        <v>91.165535910087726</v>
      </c>
      <c r="BX322" s="48">
        <f t="shared" si="809"/>
        <v>8.2954501324926895</v>
      </c>
      <c r="BY322" s="48">
        <f t="shared" si="810"/>
        <v>17.7522643686038</v>
      </c>
      <c r="BZ322" s="48">
        <f t="shared" si="811"/>
        <v>11.86437774122807</v>
      </c>
      <c r="CA322" s="48">
        <f t="shared" si="812"/>
        <v>25.294910453216374</v>
      </c>
      <c r="CB322" s="48">
        <f t="shared" si="813"/>
        <v>26.511744449013158</v>
      </c>
      <c r="CC322" s="48">
        <f t="shared" si="814"/>
        <v>2.8554459064327484</v>
      </c>
      <c r="CD322" s="47">
        <f t="shared" si="815"/>
        <v>220.21805041575291</v>
      </c>
      <c r="CE322" s="66">
        <v>5320368</v>
      </c>
      <c r="CF322" s="62">
        <v>131760</v>
      </c>
      <c r="CG322" s="74">
        <v>-408910</v>
      </c>
      <c r="CH322" s="75">
        <f t="shared" si="816"/>
        <v>5043218</v>
      </c>
      <c r="CI322" s="62">
        <f>160000+14640+8500</f>
        <v>183140</v>
      </c>
      <c r="CJ322" s="62">
        <v>201729</v>
      </c>
      <c r="CK322" s="62">
        <v>425000</v>
      </c>
      <c r="CL322" s="62">
        <v>100000</v>
      </c>
      <c r="CM322" s="62">
        <f>125000+253000</f>
        <v>378000</v>
      </c>
      <c r="CN322" s="62">
        <v>400000</v>
      </c>
      <c r="CO322" s="62">
        <v>0</v>
      </c>
      <c r="CP322" s="75">
        <f t="shared" si="861"/>
        <v>1687869</v>
      </c>
      <c r="CQ322" s="62">
        <v>91500</v>
      </c>
      <c r="CR322" s="75">
        <f t="shared" si="862"/>
        <v>1779369</v>
      </c>
      <c r="CS322" s="75">
        <f t="shared" si="817"/>
        <v>3355349</v>
      </c>
      <c r="CT322" s="62">
        <v>2838418</v>
      </c>
      <c r="CU322" s="47">
        <f t="shared" si="818"/>
        <v>516931</v>
      </c>
      <c r="CV322" s="76">
        <f t="shared" si="819"/>
        <v>0.66531904827433597</v>
      </c>
      <c r="CW322" s="75">
        <f t="shared" si="820"/>
        <v>4861.6639344262294</v>
      </c>
      <c r="CX322" s="77">
        <f t="shared" si="821"/>
        <v>0.35282412935550278</v>
      </c>
      <c r="CY322" s="75">
        <f t="shared" si="822"/>
        <v>1412.3797814207651</v>
      </c>
      <c r="CZ322" s="77">
        <f t="shared" si="823"/>
        <v>0.10250022902043894</v>
      </c>
      <c r="DA322" s="77">
        <f t="shared" si="824"/>
        <v>0.56281881925389698</v>
      </c>
      <c r="DB322" s="47">
        <f t="shared" si="825"/>
        <v>116120.21857923498</v>
      </c>
      <c r="DC322" s="69">
        <f t="shared" si="826"/>
        <v>14536.524590163934</v>
      </c>
      <c r="DD322" s="70">
        <f t="shared" si="827"/>
        <v>360</v>
      </c>
      <c r="DE322" s="70">
        <f t="shared" si="828"/>
        <v>-1117.2404371584701</v>
      </c>
      <c r="DF322" s="70">
        <f t="shared" si="829"/>
        <v>13779.284153005465</v>
      </c>
      <c r="DG322" s="70">
        <f t="shared" si="830"/>
        <v>500.38251366120221</v>
      </c>
      <c r="DH322" s="70">
        <f t="shared" si="831"/>
        <v>551.17213114754099</v>
      </c>
      <c r="DI322" s="70">
        <f t="shared" si="832"/>
        <v>1161.2021857923498</v>
      </c>
      <c r="DJ322" s="70">
        <f t="shared" si="833"/>
        <v>273.22404371584702</v>
      </c>
      <c r="DK322" s="70">
        <f t="shared" si="834"/>
        <v>1032.7868852459017</v>
      </c>
      <c r="DL322" s="70">
        <f t="shared" si="835"/>
        <v>1092.8961748633881</v>
      </c>
      <c r="DM322" s="70" t="str">
        <f t="shared" si="836"/>
        <v/>
      </c>
      <c r="DN322" s="70">
        <f t="shared" si="837"/>
        <v>4611.6639344262294</v>
      </c>
      <c r="DO322" s="70">
        <f t="shared" si="838"/>
        <v>250</v>
      </c>
      <c r="DP322" s="70">
        <f t="shared" si="839"/>
        <v>4861.6639344262294</v>
      </c>
      <c r="DQ322" s="70">
        <f t="shared" si="840"/>
        <v>9167.6202185792354</v>
      </c>
      <c r="DR322" s="70">
        <f t="shared" si="841"/>
        <v>7755.2404371584698</v>
      </c>
      <c r="DS322" s="71">
        <f t="shared" si="842"/>
        <v>1412.3797814207651</v>
      </c>
      <c r="DT322" s="106">
        <f t="shared" si="843"/>
        <v>1.0549549910394513</v>
      </c>
      <c r="DU322" s="92">
        <f t="shared" si="844"/>
        <v>2.6126175786967767E-2</v>
      </c>
      <c r="DV322" s="92" t="str">
        <f t="shared" si="845"/>
        <v/>
      </c>
      <c r="DW322" s="92">
        <f t="shared" si="846"/>
        <v>1</v>
      </c>
      <c r="DX322" s="92">
        <f t="shared" si="847"/>
        <v>3.6314115312881576E-2</v>
      </c>
      <c r="DY322" s="92">
        <f t="shared" si="848"/>
        <v>4.0000055520106409E-2</v>
      </c>
      <c r="DZ322" s="92">
        <f t="shared" si="849"/>
        <v>8.4271590083950368E-2</v>
      </c>
      <c r="EA322" s="92">
        <f t="shared" si="850"/>
        <v>1.9828609431517732E-2</v>
      </c>
      <c r="EB322" s="92">
        <f t="shared" si="851"/>
        <v>7.4952143651137032E-2</v>
      </c>
      <c r="EC322" s="92">
        <f t="shared" si="852"/>
        <v>7.9314437726070927E-2</v>
      </c>
      <c r="ED322" s="92" t="str">
        <f t="shared" si="853"/>
        <v/>
      </c>
      <c r="EE322" s="92">
        <f t="shared" si="854"/>
        <v>0.33468095172566403</v>
      </c>
      <c r="EF322" s="92">
        <f t="shared" si="855"/>
        <v>1.8143177629838726E-2</v>
      </c>
      <c r="EG322" s="92">
        <f t="shared" si="856"/>
        <v>0.35282412935550278</v>
      </c>
      <c r="EH322" s="92">
        <f t="shared" si="857"/>
        <v>0.66531904827433597</v>
      </c>
      <c r="EI322" s="92">
        <f t="shared" si="858"/>
        <v>0.56281881925389698</v>
      </c>
      <c r="EJ322" s="122">
        <f t="shared" si="859"/>
        <v>0.10250022902043894</v>
      </c>
    </row>
    <row r="323" spans="2:140" ht="12" hidden="1" customHeight="1" outlineLevel="1">
      <c r="B323" s="121">
        <v>45798</v>
      </c>
      <c r="C323" s="117">
        <v>25438</v>
      </c>
      <c r="D323" s="50" t="s">
        <v>1481</v>
      </c>
      <c r="E323" s="50" t="s">
        <v>1482</v>
      </c>
      <c r="F323" s="50" t="s">
        <v>1483</v>
      </c>
      <c r="G323" s="50" t="s">
        <v>162</v>
      </c>
      <c r="H323" s="50" t="s">
        <v>182</v>
      </c>
      <c r="I323" s="50" t="s">
        <v>1484</v>
      </c>
      <c r="J323" s="52" t="s">
        <v>175</v>
      </c>
      <c r="K323" s="50" t="s">
        <v>176</v>
      </c>
      <c r="L323" s="49">
        <v>6</v>
      </c>
      <c r="M323" s="50" t="s">
        <v>159</v>
      </c>
      <c r="N323" s="50" t="s">
        <v>160</v>
      </c>
      <c r="O323" s="50" t="s">
        <v>160</v>
      </c>
      <c r="P323" s="50" t="s">
        <v>161</v>
      </c>
      <c r="Q323" s="53">
        <v>0.04</v>
      </c>
      <c r="R323" s="49">
        <v>48</v>
      </c>
      <c r="S323" s="49">
        <v>0</v>
      </c>
      <c r="T323" s="54">
        <f t="shared" ref="T323:T415" si="867">IFERROR(IF(SUM(R323:S323)&gt;0,SUM(R323:S323),""),"")</f>
        <v>48</v>
      </c>
      <c r="U323" s="55">
        <v>41580</v>
      </c>
      <c r="V323" s="49">
        <v>1.03</v>
      </c>
      <c r="W323" s="56">
        <f t="shared" si="784"/>
        <v>46.601941747572816</v>
      </c>
      <c r="X323" s="49">
        <v>2000</v>
      </c>
      <c r="Y323" s="57" t="s">
        <v>1485</v>
      </c>
      <c r="Z323" s="58">
        <v>5975000</v>
      </c>
      <c r="AA323" s="114">
        <f>(((3675000*0.0605)/(Table1[[#This Row],[Construction Loan Principal]]))+(((2300000*0.0716)/(Table1[[#This Row],[Construction Loan Principal]]))))</f>
        <v>6.4772803347280333E-2</v>
      </c>
      <c r="AB323" s="59">
        <v>40</v>
      </c>
      <c r="AC323" s="60">
        <v>40</v>
      </c>
      <c r="AD323" s="61">
        <v>6.0499999999999998E-2</v>
      </c>
      <c r="AE323" s="62">
        <v>3675000</v>
      </c>
      <c r="AF323" s="63">
        <v>1.1499999999999999</v>
      </c>
      <c r="AG323" s="59"/>
      <c r="AH323" s="60"/>
      <c r="AI323" s="61"/>
      <c r="AJ323" s="64"/>
      <c r="AK323" s="65">
        <f t="shared" si="785"/>
        <v>3675000</v>
      </c>
      <c r="AL323" s="66">
        <v>3650000</v>
      </c>
      <c r="AM323" s="49" t="s">
        <v>1486</v>
      </c>
      <c r="AN323" s="67">
        <v>0.79</v>
      </c>
      <c r="AO323" s="62">
        <v>3684616</v>
      </c>
      <c r="AP323" s="62">
        <v>3650000</v>
      </c>
      <c r="AQ323" s="68">
        <v>786492</v>
      </c>
      <c r="AR323" s="69">
        <f t="shared" si="786"/>
        <v>76562.5</v>
      </c>
      <c r="AS323" s="70">
        <f t="shared" si="787"/>
        <v>76041.666666666672</v>
      </c>
      <c r="AT323" s="70">
        <f t="shared" si="788"/>
        <v>76762.833333333328</v>
      </c>
      <c r="AU323" s="70">
        <f t="shared" si="789"/>
        <v>76041.666666666672</v>
      </c>
      <c r="AV323" s="71">
        <f t="shared" si="790"/>
        <v>16385.25</v>
      </c>
      <c r="AW323" s="115">
        <f t="shared" si="791"/>
        <v>54087.625</v>
      </c>
      <c r="AX323" s="116">
        <f t="shared" si="792"/>
        <v>62.43881673881674</v>
      </c>
      <c r="AY323" s="72">
        <f t="shared" si="793"/>
        <v>67068.25</v>
      </c>
      <c r="AZ323" s="73">
        <f t="shared" si="794"/>
        <v>77.423665223665211</v>
      </c>
      <c r="BA323" s="66">
        <v>4900000</v>
      </c>
      <c r="BB323" s="62">
        <v>148449</v>
      </c>
      <c r="BC323" s="62">
        <v>2447757</v>
      </c>
      <c r="BD323" s="62">
        <v>259602</v>
      </c>
      <c r="BE323" s="62">
        <v>363468</v>
      </c>
      <c r="BF323" s="62">
        <v>336750</v>
      </c>
      <c r="BG323" s="62">
        <v>469946</v>
      </c>
      <c r="BH323" s="62">
        <v>1691198</v>
      </c>
      <c r="BI323" s="62">
        <v>299630</v>
      </c>
      <c r="BJ323" s="47">
        <f t="shared" si="795"/>
        <v>10916800</v>
      </c>
      <c r="BK323" s="69">
        <f t="shared" si="796"/>
        <v>102083.33333333333</v>
      </c>
      <c r="BL323" s="70">
        <f t="shared" si="797"/>
        <v>3092.6875</v>
      </c>
      <c r="BM323" s="70">
        <f t="shared" si="798"/>
        <v>50994.9375</v>
      </c>
      <c r="BN323" s="70">
        <f t="shared" si="799"/>
        <v>5408.375</v>
      </c>
      <c r="BO323" s="70">
        <f t="shared" si="800"/>
        <v>7572.25</v>
      </c>
      <c r="BP323" s="70">
        <f t="shared" si="801"/>
        <v>7015.625</v>
      </c>
      <c r="BQ323" s="70">
        <f t="shared" si="802"/>
        <v>9790.5416666666661</v>
      </c>
      <c r="BR323" s="70">
        <f t="shared" si="803"/>
        <v>35233.291666666664</v>
      </c>
      <c r="BS323" s="70">
        <f t="shared" si="804"/>
        <v>6242.291666666667</v>
      </c>
      <c r="BT323" s="71">
        <f t="shared" si="805"/>
        <v>227433.33333333334</v>
      </c>
      <c r="BU323" s="65">
        <f t="shared" si="806"/>
        <v>117.84511784511784</v>
      </c>
      <c r="BV323" s="48">
        <f t="shared" si="807"/>
        <v>3.5702020202020202</v>
      </c>
      <c r="BW323" s="48">
        <f t="shared" si="808"/>
        <v>58.868614718614715</v>
      </c>
      <c r="BX323" s="48">
        <f t="shared" si="809"/>
        <v>6.2434343434343438</v>
      </c>
      <c r="BY323" s="48">
        <f t="shared" si="810"/>
        <v>8.7414141414141415</v>
      </c>
      <c r="BZ323" s="48">
        <f t="shared" si="811"/>
        <v>8.0988455988455996</v>
      </c>
      <c r="CA323" s="48">
        <f t="shared" si="812"/>
        <v>11.302212602212602</v>
      </c>
      <c r="CB323" s="48">
        <f t="shared" si="813"/>
        <v>40.673352573352574</v>
      </c>
      <c r="CC323" s="48">
        <f t="shared" si="814"/>
        <v>7.2061087061087061</v>
      </c>
      <c r="CD323" s="47">
        <f t="shared" si="815"/>
        <v>262.54930254930252</v>
      </c>
      <c r="CE323" s="66">
        <v>672252</v>
      </c>
      <c r="CF323" s="62">
        <v>17280</v>
      </c>
      <c r="CG323" s="74">
        <v>-51715</v>
      </c>
      <c r="CH323" s="75">
        <f t="shared" si="816"/>
        <v>637817</v>
      </c>
      <c r="CI323" s="62">
        <f>19099+1920+5000</f>
        <v>26019</v>
      </c>
      <c r="CJ323" s="62">
        <v>25379</v>
      </c>
      <c r="CK323" s="62">
        <v>70000</v>
      </c>
      <c r="CL323" s="62">
        <v>39832</v>
      </c>
      <c r="CM323" s="62">
        <f>108125+8326</f>
        <v>116451</v>
      </c>
      <c r="CN323" s="62">
        <v>50000</v>
      </c>
      <c r="CO323" s="62">
        <v>0</v>
      </c>
      <c r="CP323" s="75">
        <f t="shared" ref="CP323:CP415" si="868">IFERROR(IF(SUM(CI323:CO323)&gt;0,SUM(CI323:CO323),""),"")</f>
        <v>327681</v>
      </c>
      <c r="CQ323" s="62">
        <v>14400</v>
      </c>
      <c r="CR323" s="75">
        <f t="shared" ref="CR323:CR345" si="869">IFERROR(IF(SUM(CP323:CQ323)&gt;0,SUM(CP323:CQ323),""),"")</f>
        <v>342081</v>
      </c>
      <c r="CS323" s="75">
        <f t="shared" si="817"/>
        <v>310136</v>
      </c>
      <c r="CT323" s="62">
        <v>253372</v>
      </c>
      <c r="CU323" s="47">
        <f t="shared" si="818"/>
        <v>56764</v>
      </c>
      <c r="CV323" s="76">
        <f t="shared" si="819"/>
        <v>0.48624605490289535</v>
      </c>
      <c r="CW323" s="75">
        <f t="shared" si="820"/>
        <v>7126.6875</v>
      </c>
      <c r="CX323" s="77">
        <f t="shared" si="821"/>
        <v>0.53633095386294183</v>
      </c>
      <c r="CY323" s="75">
        <f t="shared" si="822"/>
        <v>1182.5833333333333</v>
      </c>
      <c r="CZ323" s="77">
        <f t="shared" si="823"/>
        <v>8.8997314276665559E-2</v>
      </c>
      <c r="DA323" s="77">
        <f t="shared" si="824"/>
        <v>0.39724874062622978</v>
      </c>
      <c r="DB323" s="47">
        <f t="shared" si="825"/>
        <v>76562.5</v>
      </c>
      <c r="DC323" s="69">
        <f t="shared" si="826"/>
        <v>14005.25</v>
      </c>
      <c r="DD323" s="70">
        <f t="shared" si="827"/>
        <v>360</v>
      </c>
      <c r="DE323" s="70">
        <f t="shared" si="828"/>
        <v>-1077.3958333333333</v>
      </c>
      <c r="DF323" s="70">
        <f t="shared" si="829"/>
        <v>13287.854166666666</v>
      </c>
      <c r="DG323" s="70">
        <f t="shared" si="830"/>
        <v>542.0625</v>
      </c>
      <c r="DH323" s="70">
        <f t="shared" si="831"/>
        <v>528.72916666666663</v>
      </c>
      <c r="DI323" s="70">
        <f t="shared" si="832"/>
        <v>1458.3333333333333</v>
      </c>
      <c r="DJ323" s="70">
        <f t="shared" si="833"/>
        <v>829.83333333333337</v>
      </c>
      <c r="DK323" s="70">
        <f t="shared" si="834"/>
        <v>2426.0625</v>
      </c>
      <c r="DL323" s="70">
        <f t="shared" si="835"/>
        <v>1041.6666666666667</v>
      </c>
      <c r="DM323" s="70" t="str">
        <f t="shared" si="836"/>
        <v/>
      </c>
      <c r="DN323" s="70">
        <f t="shared" si="837"/>
        <v>6826.6875</v>
      </c>
      <c r="DO323" s="70">
        <f t="shared" si="838"/>
        <v>300</v>
      </c>
      <c r="DP323" s="70">
        <f t="shared" si="839"/>
        <v>7126.6875</v>
      </c>
      <c r="DQ323" s="70">
        <f t="shared" si="840"/>
        <v>6461.166666666667</v>
      </c>
      <c r="DR323" s="70">
        <f t="shared" si="841"/>
        <v>5278.583333333333</v>
      </c>
      <c r="DS323" s="71">
        <f t="shared" si="842"/>
        <v>1182.5833333333333</v>
      </c>
      <c r="DT323" s="106">
        <f t="shared" si="843"/>
        <v>1.0539888400591393</v>
      </c>
      <c r="DU323" s="92">
        <f t="shared" si="844"/>
        <v>2.7092410519004666E-2</v>
      </c>
      <c r="DV323" s="92" t="str">
        <f t="shared" si="845"/>
        <v/>
      </c>
      <c r="DW323" s="92">
        <f t="shared" si="846"/>
        <v>1</v>
      </c>
      <c r="DX323" s="92">
        <f t="shared" si="847"/>
        <v>4.0793832713772134E-2</v>
      </c>
      <c r="DY323" s="92">
        <f t="shared" si="848"/>
        <v>3.9790410101957142E-2</v>
      </c>
      <c r="DZ323" s="92">
        <f t="shared" si="849"/>
        <v>0.10974934816726428</v>
      </c>
      <c r="EA323" s="92">
        <f t="shared" si="850"/>
        <v>6.2450514802835297E-2</v>
      </c>
      <c r="EB323" s="92">
        <f t="shared" si="851"/>
        <v>0.1825774477632299</v>
      </c>
      <c r="EC323" s="92">
        <f t="shared" si="852"/>
        <v>7.8392391548045906E-2</v>
      </c>
      <c r="ED323" s="92" t="str">
        <f t="shared" si="853"/>
        <v/>
      </c>
      <c r="EE323" s="92">
        <f t="shared" si="854"/>
        <v>0.5137539450971047</v>
      </c>
      <c r="EF323" s="92">
        <f t="shared" si="855"/>
        <v>2.2577008765837223E-2</v>
      </c>
      <c r="EG323" s="92">
        <f t="shared" si="856"/>
        <v>0.53633095386294183</v>
      </c>
      <c r="EH323" s="92">
        <f t="shared" si="857"/>
        <v>0.48624605490289535</v>
      </c>
      <c r="EI323" s="92">
        <f t="shared" si="858"/>
        <v>0.39724874062622978</v>
      </c>
      <c r="EJ323" s="122">
        <f t="shared" si="859"/>
        <v>8.8997314276665559E-2</v>
      </c>
    </row>
    <row r="324" spans="2:140" ht="12" hidden="1" customHeight="1" outlineLevel="1">
      <c r="B324" s="121">
        <v>45810</v>
      </c>
      <c r="C324" s="117">
        <v>24420</v>
      </c>
      <c r="D324" s="50" t="s">
        <v>1445</v>
      </c>
      <c r="E324" s="50" t="s">
        <v>357</v>
      </c>
      <c r="F324" s="50" t="s">
        <v>358</v>
      </c>
      <c r="G324" s="50" t="s">
        <v>162</v>
      </c>
      <c r="H324" s="50" t="s">
        <v>1446</v>
      </c>
      <c r="I324" s="50" t="s">
        <v>573</v>
      </c>
      <c r="J324" s="52" t="s">
        <v>360</v>
      </c>
      <c r="K324" s="50" t="s">
        <v>294</v>
      </c>
      <c r="L324" s="49">
        <v>7</v>
      </c>
      <c r="M324" s="50" t="s">
        <v>159</v>
      </c>
      <c r="N324" s="50" t="s">
        <v>1487</v>
      </c>
      <c r="O324" s="50" t="s">
        <v>160</v>
      </c>
      <c r="P324" s="50" t="s">
        <v>177</v>
      </c>
      <c r="Q324" s="53">
        <v>0.04</v>
      </c>
      <c r="R324" s="49">
        <v>58</v>
      </c>
      <c r="S324" s="49">
        <v>0</v>
      </c>
      <c r="T324" s="54">
        <f t="shared" si="867"/>
        <v>58</v>
      </c>
      <c r="U324" s="55">
        <v>43658</v>
      </c>
      <c r="V324" s="49">
        <v>0.57969999999999999</v>
      </c>
      <c r="W324" s="56">
        <f t="shared" si="784"/>
        <v>100.05175090564084</v>
      </c>
      <c r="X324" s="49" t="s">
        <v>163</v>
      </c>
      <c r="Y324" s="57" t="s">
        <v>162</v>
      </c>
      <c r="Z324" s="58">
        <v>11000000</v>
      </c>
      <c r="AA324" s="114">
        <v>6.2899999999999998E-2</v>
      </c>
      <c r="AB324" s="59"/>
      <c r="AC324" s="60"/>
      <c r="AD324" s="61"/>
      <c r="AE324" s="62"/>
      <c r="AF324" s="63"/>
      <c r="AG324" s="59"/>
      <c r="AH324" s="60"/>
      <c r="AI324" s="61"/>
      <c r="AJ324" s="64"/>
      <c r="AK324" s="65" t="str">
        <f t="shared" si="785"/>
        <v/>
      </c>
      <c r="AL324" s="66">
        <v>16807648</v>
      </c>
      <c r="AM324" s="49" t="s">
        <v>1488</v>
      </c>
      <c r="AN324" s="67">
        <v>0.87</v>
      </c>
      <c r="AO324" s="62">
        <v>7861525</v>
      </c>
      <c r="AP324" s="62">
        <v>0</v>
      </c>
      <c r="AQ324" s="68">
        <v>1341796</v>
      </c>
      <c r="AR324" s="69" t="str">
        <f t="shared" si="786"/>
        <v/>
      </c>
      <c r="AS324" s="70">
        <f t="shared" si="787"/>
        <v>289787.03448275861</v>
      </c>
      <c r="AT324" s="70">
        <f t="shared" si="788"/>
        <v>135543.53448275861</v>
      </c>
      <c r="AU324" s="70" t="str">
        <f t="shared" si="789"/>
        <v/>
      </c>
      <c r="AV324" s="71">
        <f t="shared" si="790"/>
        <v>23134.413793103449</v>
      </c>
      <c r="AW324" s="115">
        <f t="shared" si="791"/>
        <v>243887.03448275861</v>
      </c>
      <c r="AX324" s="116">
        <f t="shared" si="792"/>
        <v>324.00586375921938</v>
      </c>
      <c r="AY324" s="72">
        <f t="shared" si="793"/>
        <v>294084.22413793101</v>
      </c>
      <c r="AZ324" s="73">
        <f t="shared" si="794"/>
        <v>390.69322919052638</v>
      </c>
      <c r="BA324" s="66">
        <v>2500000</v>
      </c>
      <c r="BB324" s="62">
        <v>776854</v>
      </c>
      <c r="BC324" s="62">
        <v>13368594</v>
      </c>
      <c r="BD324" s="62">
        <v>832056</v>
      </c>
      <c r="BE324" s="62">
        <v>2079381</v>
      </c>
      <c r="BF324" s="62">
        <v>1376675</v>
      </c>
      <c r="BG324" s="62">
        <v>1247528</v>
      </c>
      <c r="BH324" s="62">
        <v>2946176</v>
      </c>
      <c r="BI324" s="62">
        <v>404848</v>
      </c>
      <c r="BJ324" s="47">
        <f t="shared" si="795"/>
        <v>25532112</v>
      </c>
      <c r="BK324" s="69">
        <f t="shared" si="796"/>
        <v>43103.448275862072</v>
      </c>
      <c r="BL324" s="70">
        <f t="shared" si="797"/>
        <v>13394.034482758621</v>
      </c>
      <c r="BM324" s="70">
        <f t="shared" si="798"/>
        <v>230493</v>
      </c>
      <c r="BN324" s="70">
        <f t="shared" si="799"/>
        <v>14345.793103448275</v>
      </c>
      <c r="BO324" s="70">
        <f t="shared" si="800"/>
        <v>35851.396551724138</v>
      </c>
      <c r="BP324" s="70">
        <f t="shared" si="801"/>
        <v>23735.775862068964</v>
      </c>
      <c r="BQ324" s="70">
        <f t="shared" si="802"/>
        <v>21509.103448275862</v>
      </c>
      <c r="BR324" s="70">
        <f t="shared" si="803"/>
        <v>50796.137931034486</v>
      </c>
      <c r="BS324" s="70">
        <f t="shared" si="804"/>
        <v>6980.1379310344828</v>
      </c>
      <c r="BT324" s="71">
        <f t="shared" si="805"/>
        <v>440208.8275862069</v>
      </c>
      <c r="BU324" s="65">
        <f t="shared" si="806"/>
        <v>57.263273626826695</v>
      </c>
      <c r="BV324" s="48">
        <f t="shared" si="807"/>
        <v>17.794081268037932</v>
      </c>
      <c r="BW324" s="48">
        <f t="shared" si="808"/>
        <v>306.21178249118145</v>
      </c>
      <c r="BX324" s="48">
        <f t="shared" si="809"/>
        <v>19.058500160337164</v>
      </c>
      <c r="BY324" s="48">
        <f t="shared" si="810"/>
        <v>47.628865270969811</v>
      </c>
      <c r="BZ324" s="48">
        <f t="shared" si="811"/>
        <v>31.533166888084658</v>
      </c>
      <c r="CA324" s="48">
        <f t="shared" si="812"/>
        <v>28.575014888451143</v>
      </c>
      <c r="CB324" s="48">
        <f t="shared" si="813"/>
        <v>67.48307297631591</v>
      </c>
      <c r="CC324" s="48">
        <f t="shared" si="814"/>
        <v>9.273168720509414</v>
      </c>
      <c r="CD324" s="47">
        <f t="shared" si="815"/>
        <v>584.82092629071417</v>
      </c>
      <c r="CE324" s="66">
        <v>587184</v>
      </c>
      <c r="CF324" s="62">
        <v>11193</v>
      </c>
      <c r="CG324" s="74">
        <v>-44878</v>
      </c>
      <c r="CH324" s="75">
        <f t="shared" si="816"/>
        <v>553499</v>
      </c>
      <c r="CI324" s="62">
        <f>38282+5000+2320+2000+2610+6200</f>
        <v>56412</v>
      </c>
      <c r="CJ324" s="62">
        <v>33261</v>
      </c>
      <c r="CK324" s="62">
        <v>81527</v>
      </c>
      <c r="CL324" s="62">
        <f>72606+6125</f>
        <v>78731</v>
      </c>
      <c r="CM324" s="62">
        <f>18747+56359</f>
        <v>75106</v>
      </c>
      <c r="CN324" s="62">
        <v>35311</v>
      </c>
      <c r="CO324" s="62">
        <v>30000</v>
      </c>
      <c r="CP324" s="75">
        <f t="shared" si="868"/>
        <v>390348</v>
      </c>
      <c r="CQ324" s="62">
        <v>14500</v>
      </c>
      <c r="CR324" s="75">
        <f t="shared" si="869"/>
        <v>404848</v>
      </c>
      <c r="CS324" s="75">
        <f t="shared" si="817"/>
        <v>163151</v>
      </c>
      <c r="CT324" s="62">
        <v>0</v>
      </c>
      <c r="CU324" s="47">
        <f t="shared" si="818"/>
        <v>163151</v>
      </c>
      <c r="CV324" s="76">
        <f t="shared" si="819"/>
        <v>0.29476295350127102</v>
      </c>
      <c r="CW324" s="75">
        <f t="shared" si="820"/>
        <v>6980.1379310344828</v>
      </c>
      <c r="CX324" s="77">
        <f t="shared" si="821"/>
        <v>0.73143402246435851</v>
      </c>
      <c r="CY324" s="75">
        <f t="shared" si="822"/>
        <v>2812.9482758620688</v>
      </c>
      <c r="CZ324" s="77">
        <f t="shared" si="823"/>
        <v>0.29476295350127102</v>
      </c>
      <c r="DA324" s="77" t="str">
        <f t="shared" si="824"/>
        <v/>
      </c>
      <c r="DB324" s="47" t="str">
        <f t="shared" si="825"/>
        <v/>
      </c>
      <c r="DC324" s="69">
        <f t="shared" si="826"/>
        <v>10123.862068965518</v>
      </c>
      <c r="DD324" s="70">
        <f t="shared" si="827"/>
        <v>192.98275862068965</v>
      </c>
      <c r="DE324" s="70">
        <f t="shared" si="828"/>
        <v>-773.75862068965512</v>
      </c>
      <c r="DF324" s="70">
        <f t="shared" si="829"/>
        <v>9543.0862068965525</v>
      </c>
      <c r="DG324" s="70">
        <f t="shared" si="830"/>
        <v>972.62068965517244</v>
      </c>
      <c r="DH324" s="70">
        <f t="shared" si="831"/>
        <v>573.4655172413793</v>
      </c>
      <c r="DI324" s="70">
        <f t="shared" si="832"/>
        <v>1405.6379310344828</v>
      </c>
      <c r="DJ324" s="70">
        <f t="shared" si="833"/>
        <v>1357.4310344827586</v>
      </c>
      <c r="DK324" s="70">
        <f t="shared" si="834"/>
        <v>1294.9310344827586</v>
      </c>
      <c r="DL324" s="70">
        <f t="shared" si="835"/>
        <v>608.81034482758616</v>
      </c>
      <c r="DM324" s="70">
        <f t="shared" si="836"/>
        <v>517.24137931034488</v>
      </c>
      <c r="DN324" s="70">
        <f t="shared" si="837"/>
        <v>6730.1379310344828</v>
      </c>
      <c r="DO324" s="70">
        <f t="shared" si="838"/>
        <v>250</v>
      </c>
      <c r="DP324" s="70">
        <f t="shared" si="839"/>
        <v>6980.1379310344828</v>
      </c>
      <c r="DQ324" s="70">
        <f t="shared" si="840"/>
        <v>2812.9482758620688</v>
      </c>
      <c r="DR324" s="70" t="str">
        <f t="shared" si="841"/>
        <v/>
      </c>
      <c r="DS324" s="71">
        <f t="shared" si="842"/>
        <v>2812.9482758620688</v>
      </c>
      <c r="DT324" s="106">
        <f t="shared" si="843"/>
        <v>1.060858285200154</v>
      </c>
      <c r="DU324" s="92">
        <f t="shared" si="844"/>
        <v>2.0222258757468397E-2</v>
      </c>
      <c r="DV324" s="92" t="str">
        <f t="shared" si="845"/>
        <v/>
      </c>
      <c r="DW324" s="92">
        <f t="shared" si="846"/>
        <v>1</v>
      </c>
      <c r="DX324" s="92">
        <f t="shared" si="847"/>
        <v>0.10191888332228242</v>
      </c>
      <c r="DY324" s="92">
        <f t="shared" si="848"/>
        <v>6.0092249489158971E-2</v>
      </c>
      <c r="DZ324" s="92">
        <f t="shared" si="849"/>
        <v>0.14729385238275047</v>
      </c>
      <c r="EA324" s="92">
        <f t="shared" si="850"/>
        <v>0.14224235274137803</v>
      </c>
      <c r="EB324" s="92">
        <f t="shared" si="851"/>
        <v>0.13569310874997065</v>
      </c>
      <c r="EC324" s="92">
        <f t="shared" si="852"/>
        <v>6.3795959884299702E-2</v>
      </c>
      <c r="ED324" s="92">
        <f t="shared" si="853"/>
        <v>5.4200639928888759E-2</v>
      </c>
      <c r="EE324" s="92">
        <f t="shared" si="854"/>
        <v>0.70523704649872898</v>
      </c>
      <c r="EF324" s="92">
        <f t="shared" si="855"/>
        <v>2.6196975965629567E-2</v>
      </c>
      <c r="EG324" s="92">
        <f t="shared" si="856"/>
        <v>0.73143402246435851</v>
      </c>
      <c r="EH324" s="92">
        <f t="shared" si="857"/>
        <v>0.29476295350127102</v>
      </c>
      <c r="EI324" s="92" t="str">
        <f t="shared" si="858"/>
        <v/>
      </c>
      <c r="EJ324" s="122">
        <f t="shared" si="859"/>
        <v>0.29476295350127102</v>
      </c>
    </row>
    <row r="325" spans="2:140" ht="12.95" hidden="1" customHeight="1" outlineLevel="1">
      <c r="B325" s="121">
        <v>45814</v>
      </c>
      <c r="C325" s="117">
        <v>25459</v>
      </c>
      <c r="D325" s="50" t="s">
        <v>1489</v>
      </c>
      <c r="E325" s="50" t="s">
        <v>1490</v>
      </c>
      <c r="F325" s="50" t="s">
        <v>1491</v>
      </c>
      <c r="G325" s="50" t="s">
        <v>162</v>
      </c>
      <c r="H325" s="50" t="s">
        <v>220</v>
      </c>
      <c r="I325" s="50" t="s">
        <v>1492</v>
      </c>
      <c r="J325" s="52" t="s">
        <v>595</v>
      </c>
      <c r="K325" s="50" t="s">
        <v>529</v>
      </c>
      <c r="L325" s="49">
        <v>7</v>
      </c>
      <c r="M325" s="50" t="s">
        <v>159</v>
      </c>
      <c r="N325" s="50" t="s">
        <v>160</v>
      </c>
      <c r="O325" s="50" t="s">
        <v>160</v>
      </c>
      <c r="P325" s="50" t="s">
        <v>177</v>
      </c>
      <c r="Q325" s="53">
        <v>0.04</v>
      </c>
      <c r="R325" s="49">
        <v>321</v>
      </c>
      <c r="S325" s="49">
        <v>0</v>
      </c>
      <c r="T325" s="54">
        <f t="shared" si="867"/>
        <v>321</v>
      </c>
      <c r="U325" s="55">
        <v>320958</v>
      </c>
      <c r="V325" s="49">
        <v>10.69</v>
      </c>
      <c r="W325" s="56">
        <f t="shared" si="784"/>
        <v>30.028063610851266</v>
      </c>
      <c r="X325" s="49" t="s">
        <v>163</v>
      </c>
      <c r="Y325" s="57" t="s">
        <v>162</v>
      </c>
      <c r="Z325" s="58">
        <v>50000000</v>
      </c>
      <c r="AA325" s="212">
        <f>(((45000000*0.055)/(Table1[[#This Row],[Construction Loan Principal]]))+(((5000000*0.065)/(Table1[[#This Row],[Construction Loan Principal]]))))</f>
        <v>5.6000000000000001E-2</v>
      </c>
      <c r="AB325" s="59">
        <v>16.5</v>
      </c>
      <c r="AC325" s="60">
        <v>40</v>
      </c>
      <c r="AD325" s="61">
        <v>5.5E-2</v>
      </c>
      <c r="AE325" s="62">
        <v>45000000</v>
      </c>
      <c r="AF325" s="63">
        <v>1.37</v>
      </c>
      <c r="AG325" s="59">
        <v>16.5</v>
      </c>
      <c r="AH325" s="60">
        <v>40</v>
      </c>
      <c r="AI325" s="61">
        <v>6.5000000000000002E-2</v>
      </c>
      <c r="AJ325" s="64">
        <v>5000000</v>
      </c>
      <c r="AK325" s="65">
        <f t="shared" si="785"/>
        <v>50000000</v>
      </c>
      <c r="AL325" s="66">
        <v>0</v>
      </c>
      <c r="AM325" s="49" t="s">
        <v>163</v>
      </c>
      <c r="AN325" s="67">
        <v>0</v>
      </c>
      <c r="AO325" s="62">
        <v>0</v>
      </c>
      <c r="AP325" s="62">
        <v>0</v>
      </c>
      <c r="AQ325" s="68">
        <v>0</v>
      </c>
      <c r="AR325" s="69">
        <f t="shared" si="786"/>
        <v>155763.23987538941</v>
      </c>
      <c r="AS325" s="70" t="str">
        <f t="shared" si="787"/>
        <v/>
      </c>
      <c r="AT325" s="70" t="str">
        <f t="shared" si="788"/>
        <v/>
      </c>
      <c r="AU325" s="70" t="str">
        <f t="shared" si="789"/>
        <v/>
      </c>
      <c r="AV325" s="71" t="str">
        <f t="shared" si="790"/>
        <v/>
      </c>
      <c r="AW325" s="115">
        <f t="shared" si="791"/>
        <v>149387.9937694704</v>
      </c>
      <c r="AX325" s="116">
        <f t="shared" si="792"/>
        <v>149.40754241988049</v>
      </c>
      <c r="AY325" s="72">
        <f t="shared" si="793"/>
        <v>180673.95638629282</v>
      </c>
      <c r="AZ325" s="73">
        <f t="shared" si="794"/>
        <v>180.69759906280575</v>
      </c>
      <c r="BA325" s="66">
        <v>3750000</v>
      </c>
      <c r="BB325" s="62">
        <v>12223796</v>
      </c>
      <c r="BC325" s="62">
        <v>35729750</v>
      </c>
      <c r="BD325" s="62">
        <v>2397677</v>
      </c>
      <c r="BE325" s="62">
        <v>7645117</v>
      </c>
      <c r="BF325" s="62">
        <v>6218500</v>
      </c>
      <c r="BG325" s="62">
        <v>10705422</v>
      </c>
      <c r="BH325" s="62">
        <v>10953297</v>
      </c>
      <c r="BI325" s="62">
        <v>1900000</v>
      </c>
      <c r="BJ325" s="47">
        <f t="shared" si="795"/>
        <v>91523559</v>
      </c>
      <c r="BK325" s="69">
        <f t="shared" si="796"/>
        <v>11682.242990654206</v>
      </c>
      <c r="BL325" s="70">
        <f t="shared" si="797"/>
        <v>38080.361370716513</v>
      </c>
      <c r="BM325" s="70">
        <f t="shared" si="798"/>
        <v>111307.63239875389</v>
      </c>
      <c r="BN325" s="70">
        <f t="shared" si="799"/>
        <v>7469.398753894081</v>
      </c>
      <c r="BO325" s="70">
        <f t="shared" si="800"/>
        <v>23816.563862928349</v>
      </c>
      <c r="BP325" s="70">
        <f t="shared" si="801"/>
        <v>19372.27414330218</v>
      </c>
      <c r="BQ325" s="70">
        <f t="shared" si="802"/>
        <v>33350.224299065419</v>
      </c>
      <c r="BR325" s="70">
        <f t="shared" si="803"/>
        <v>34122.420560747662</v>
      </c>
      <c r="BS325" s="70">
        <f t="shared" si="804"/>
        <v>5919.0031152647971</v>
      </c>
      <c r="BT325" s="71">
        <f t="shared" si="805"/>
        <v>285120.1214953271</v>
      </c>
      <c r="BU325" s="65">
        <f t="shared" si="806"/>
        <v>11.683771708447834</v>
      </c>
      <c r="BV325" s="48">
        <f t="shared" si="807"/>
        <v>38.085344499903414</v>
      </c>
      <c r="BW325" s="48">
        <f t="shared" si="808"/>
        <v>111.32219791997707</v>
      </c>
      <c r="BX325" s="48">
        <f t="shared" si="809"/>
        <v>7.4703761862922873</v>
      </c>
      <c r="BY325" s="48">
        <f t="shared" si="810"/>
        <v>23.819680456632955</v>
      </c>
      <c r="BZ325" s="48">
        <f t="shared" si="811"/>
        <v>19.374809165062096</v>
      </c>
      <c r="CA325" s="48">
        <f t="shared" si="812"/>
        <v>33.354588450825339</v>
      </c>
      <c r="CB325" s="48">
        <f t="shared" si="813"/>
        <v>34.126885760753744</v>
      </c>
      <c r="CC325" s="48">
        <f t="shared" si="814"/>
        <v>5.9197776656135694</v>
      </c>
      <c r="CD325" s="47">
        <f t="shared" si="815"/>
        <v>285.15743181350831</v>
      </c>
      <c r="CE325" s="66">
        <v>5978532</v>
      </c>
      <c r="CF325" s="62">
        <v>115560</v>
      </c>
      <c r="CG325" s="74">
        <v>-457057</v>
      </c>
      <c r="CH325" s="75">
        <f t="shared" si="816"/>
        <v>5637035</v>
      </c>
      <c r="CI325" s="62">
        <f>210000+12840+25000</f>
        <v>247840</v>
      </c>
      <c r="CJ325" s="62">
        <v>225481</v>
      </c>
      <c r="CK325" s="62">
        <v>425000</v>
      </c>
      <c r="CL325" s="62">
        <f>225000+0</f>
        <v>225000</v>
      </c>
      <c r="CM325" s="62">
        <f>125000+286000</f>
        <v>411000</v>
      </c>
      <c r="CN325" s="62">
        <v>200000</v>
      </c>
      <c r="CO325" s="62">
        <v>0</v>
      </c>
      <c r="CP325" s="75">
        <f t="shared" si="868"/>
        <v>1734321</v>
      </c>
      <c r="CQ325" s="62">
        <v>80250</v>
      </c>
      <c r="CR325" s="75">
        <f t="shared" si="869"/>
        <v>1814571</v>
      </c>
      <c r="CS325" s="75">
        <f t="shared" si="817"/>
        <v>3902714</v>
      </c>
      <c r="CT325" s="62">
        <v>3822464</v>
      </c>
      <c r="CU325" s="47">
        <f t="shared" si="818"/>
        <v>80250</v>
      </c>
      <c r="CV325" s="76">
        <f t="shared" si="819"/>
        <v>0.69233453402364897</v>
      </c>
      <c r="CW325" s="75">
        <f t="shared" si="820"/>
        <v>5652.869158878505</v>
      </c>
      <c r="CX325" s="77">
        <f t="shared" si="821"/>
        <v>0.32190167348615006</v>
      </c>
      <c r="CY325" s="75">
        <f t="shared" si="822"/>
        <v>250</v>
      </c>
      <c r="CZ325" s="77">
        <f t="shared" si="823"/>
        <v>1.4236207509799034E-2</v>
      </c>
      <c r="DA325" s="77">
        <f t="shared" si="824"/>
        <v>0.67809832651384994</v>
      </c>
      <c r="DB325" s="47">
        <f t="shared" si="825"/>
        <v>155763.23987538941</v>
      </c>
      <c r="DC325" s="69">
        <f t="shared" si="826"/>
        <v>18624.710280373831</v>
      </c>
      <c r="DD325" s="70">
        <f t="shared" si="827"/>
        <v>360</v>
      </c>
      <c r="DE325" s="70">
        <f t="shared" si="828"/>
        <v>-1423.8535825545171</v>
      </c>
      <c r="DF325" s="70">
        <f t="shared" si="829"/>
        <v>17560.856697819316</v>
      </c>
      <c r="DG325" s="70">
        <f t="shared" si="830"/>
        <v>772.08722741433019</v>
      </c>
      <c r="DH325" s="70">
        <f t="shared" si="831"/>
        <v>702.43302180685362</v>
      </c>
      <c r="DI325" s="70">
        <f t="shared" si="832"/>
        <v>1323.9875389408101</v>
      </c>
      <c r="DJ325" s="70">
        <f t="shared" si="833"/>
        <v>700.93457943925239</v>
      </c>
      <c r="DK325" s="70">
        <f t="shared" si="834"/>
        <v>1280.3738317757009</v>
      </c>
      <c r="DL325" s="70">
        <f t="shared" si="835"/>
        <v>623.05295950155767</v>
      </c>
      <c r="DM325" s="70" t="str">
        <f t="shared" si="836"/>
        <v/>
      </c>
      <c r="DN325" s="70">
        <f t="shared" si="837"/>
        <v>5402.869158878505</v>
      </c>
      <c r="DO325" s="70">
        <f t="shared" si="838"/>
        <v>250</v>
      </c>
      <c r="DP325" s="70">
        <f t="shared" si="839"/>
        <v>5652.869158878505</v>
      </c>
      <c r="DQ325" s="70">
        <f t="shared" si="840"/>
        <v>12157.98753894081</v>
      </c>
      <c r="DR325" s="70">
        <f t="shared" si="841"/>
        <v>11907.98753894081</v>
      </c>
      <c r="DS325" s="71">
        <f t="shared" si="842"/>
        <v>250</v>
      </c>
      <c r="DT325" s="106">
        <f t="shared" si="843"/>
        <v>1.0605809614451569</v>
      </c>
      <c r="DU325" s="92">
        <f t="shared" si="844"/>
        <v>2.050013881411061E-2</v>
      </c>
      <c r="DV325" s="92" t="str">
        <f t="shared" si="845"/>
        <v/>
      </c>
      <c r="DW325" s="92">
        <f t="shared" si="846"/>
        <v>1</v>
      </c>
      <c r="DX325" s="92">
        <f t="shared" si="847"/>
        <v>4.3966375940543208E-2</v>
      </c>
      <c r="DY325" s="92">
        <f t="shared" si="848"/>
        <v>3.999992904071023E-2</v>
      </c>
      <c r="DZ325" s="92">
        <f t="shared" si="849"/>
        <v>7.5394245378997998E-2</v>
      </c>
      <c r="EA325" s="92">
        <f t="shared" si="850"/>
        <v>3.9914600494763648E-2</v>
      </c>
      <c r="EB325" s="92">
        <f t="shared" si="851"/>
        <v>7.2910670237101599E-2</v>
      </c>
      <c r="EC325" s="92">
        <f t="shared" si="852"/>
        <v>3.5479644884234357E-2</v>
      </c>
      <c r="ED325" s="92" t="str">
        <f t="shared" si="853"/>
        <v/>
      </c>
      <c r="EE325" s="92">
        <f t="shared" si="854"/>
        <v>0.30766546597635103</v>
      </c>
      <c r="EF325" s="92">
        <f t="shared" si="855"/>
        <v>1.4236207509799034E-2</v>
      </c>
      <c r="EG325" s="92">
        <f t="shared" si="856"/>
        <v>0.32190167348615006</v>
      </c>
      <c r="EH325" s="92">
        <f t="shared" si="857"/>
        <v>0.69233453402364897</v>
      </c>
      <c r="EI325" s="92">
        <f t="shared" si="858"/>
        <v>0.67809832651384994</v>
      </c>
      <c r="EJ325" s="122">
        <f t="shared" si="859"/>
        <v>1.4236207509799034E-2</v>
      </c>
    </row>
    <row r="326" spans="2:140" ht="12" hidden="1" customHeight="1" outlineLevel="1">
      <c r="B326" s="121">
        <v>45824</v>
      </c>
      <c r="C326" s="117">
        <v>25451</v>
      </c>
      <c r="D326" s="50" t="s">
        <v>1493</v>
      </c>
      <c r="E326" s="50" t="s">
        <v>1494</v>
      </c>
      <c r="F326" s="50" t="s">
        <v>1495</v>
      </c>
      <c r="G326" s="50" t="s">
        <v>249</v>
      </c>
      <c r="H326" s="50" t="s">
        <v>253</v>
      </c>
      <c r="I326" s="50" t="s">
        <v>215</v>
      </c>
      <c r="J326" s="52" t="s">
        <v>481</v>
      </c>
      <c r="K326" s="50" t="s">
        <v>481</v>
      </c>
      <c r="L326" s="49">
        <v>13</v>
      </c>
      <c r="M326" s="50" t="s">
        <v>159</v>
      </c>
      <c r="N326" s="50" t="s">
        <v>160</v>
      </c>
      <c r="O326" s="50" t="s">
        <v>160</v>
      </c>
      <c r="P326" s="50" t="s">
        <v>177</v>
      </c>
      <c r="Q326" s="53">
        <v>0.04</v>
      </c>
      <c r="R326" s="49">
        <v>64</v>
      </c>
      <c r="S326" s="49">
        <v>0</v>
      </c>
      <c r="T326" s="54">
        <f t="shared" si="867"/>
        <v>64</v>
      </c>
      <c r="U326" s="55">
        <v>56432</v>
      </c>
      <c r="V326" s="49">
        <v>3.4973000000000001</v>
      </c>
      <c r="W326" s="56">
        <f t="shared" si="784"/>
        <v>18.299831298430217</v>
      </c>
      <c r="X326" s="49" t="s">
        <v>163</v>
      </c>
      <c r="Y326" s="57" t="s">
        <v>162</v>
      </c>
      <c r="Z326" s="58">
        <v>11259000</v>
      </c>
      <c r="AA326" s="114">
        <v>6.5500000000000003E-2</v>
      </c>
      <c r="AB326" s="59">
        <v>18</v>
      </c>
      <c r="AC326" s="60">
        <v>40</v>
      </c>
      <c r="AD326" s="61">
        <v>6.5500000000000003E-2</v>
      </c>
      <c r="AE326" s="62">
        <v>11259000</v>
      </c>
      <c r="AF326" s="63">
        <v>1.27</v>
      </c>
      <c r="AG326" s="59">
        <v>18</v>
      </c>
      <c r="AH326" s="60">
        <v>40</v>
      </c>
      <c r="AI326" s="61">
        <v>6.2700000000000006E-2</v>
      </c>
      <c r="AJ326" s="64">
        <v>5398000</v>
      </c>
      <c r="AK326" s="65">
        <f t="shared" si="785"/>
        <v>16657000</v>
      </c>
      <c r="AL326" s="66">
        <v>1032212</v>
      </c>
      <c r="AM326" s="49" t="s">
        <v>215</v>
      </c>
      <c r="AN326" s="67">
        <v>0.88</v>
      </c>
      <c r="AO326" s="62">
        <v>6881409</v>
      </c>
      <c r="AP326" s="62">
        <v>7834526</v>
      </c>
      <c r="AQ326" s="68">
        <v>2144532</v>
      </c>
      <c r="AR326" s="69">
        <f t="shared" si="786"/>
        <v>260265.625</v>
      </c>
      <c r="AS326" s="70">
        <f t="shared" si="787"/>
        <v>16128.3125</v>
      </c>
      <c r="AT326" s="70">
        <f t="shared" si="788"/>
        <v>107522.015625</v>
      </c>
      <c r="AU326" s="70">
        <f t="shared" si="789"/>
        <v>122414.46875</v>
      </c>
      <c r="AV326" s="71">
        <f t="shared" si="790"/>
        <v>33508.3125</v>
      </c>
      <c r="AW326" s="115">
        <f t="shared" si="791"/>
        <v>195497.9375</v>
      </c>
      <c r="AX326" s="116">
        <f t="shared" si="792"/>
        <v>221.71583498724129</v>
      </c>
      <c r="AY326" s="72">
        <f t="shared" si="793"/>
        <v>235502.84375</v>
      </c>
      <c r="AZ326" s="73">
        <f t="shared" si="794"/>
        <v>267.08573149985824</v>
      </c>
      <c r="BA326" s="66">
        <v>810000</v>
      </c>
      <c r="BB326" s="62">
        <v>1735514</v>
      </c>
      <c r="BC326" s="62">
        <v>10776354</v>
      </c>
      <c r="BD326" s="62">
        <v>816352</v>
      </c>
      <c r="BE326" s="62">
        <v>1743962</v>
      </c>
      <c r="BF326" s="62">
        <v>957817</v>
      </c>
      <c r="BG326" s="62">
        <v>2491090</v>
      </c>
      <c r="BH326" s="62">
        <v>2560619</v>
      </c>
      <c r="BI326" s="62">
        <v>366759</v>
      </c>
      <c r="BJ326" s="47">
        <f t="shared" si="795"/>
        <v>22258467</v>
      </c>
      <c r="BK326" s="69">
        <f t="shared" si="796"/>
        <v>12656.25</v>
      </c>
      <c r="BL326" s="70">
        <f t="shared" si="797"/>
        <v>27117.40625</v>
      </c>
      <c r="BM326" s="70">
        <f t="shared" si="798"/>
        <v>168380.53125</v>
      </c>
      <c r="BN326" s="70">
        <f t="shared" si="799"/>
        <v>12755.5</v>
      </c>
      <c r="BO326" s="70">
        <f t="shared" si="800"/>
        <v>27249.40625</v>
      </c>
      <c r="BP326" s="70">
        <f t="shared" si="801"/>
        <v>14965.890625</v>
      </c>
      <c r="BQ326" s="70">
        <f t="shared" si="802"/>
        <v>38923.28125</v>
      </c>
      <c r="BR326" s="70">
        <f t="shared" si="803"/>
        <v>40009.671875</v>
      </c>
      <c r="BS326" s="70">
        <f t="shared" si="804"/>
        <v>5730.609375</v>
      </c>
      <c r="BT326" s="71">
        <f t="shared" si="805"/>
        <v>347788.546875</v>
      </c>
      <c r="BU326" s="65">
        <f t="shared" si="806"/>
        <v>14.353558264814289</v>
      </c>
      <c r="BV326" s="48">
        <f t="shared" si="807"/>
        <v>30.754075701729516</v>
      </c>
      <c r="BW326" s="48">
        <f t="shared" si="808"/>
        <v>190.96175928551176</v>
      </c>
      <c r="BX326" s="48">
        <f t="shared" si="809"/>
        <v>14.466118514318117</v>
      </c>
      <c r="BY326" s="48">
        <f t="shared" si="810"/>
        <v>30.903777998298839</v>
      </c>
      <c r="BZ326" s="48">
        <f t="shared" si="811"/>
        <v>16.97294088460448</v>
      </c>
      <c r="CA326" s="48">
        <f t="shared" si="812"/>
        <v>44.1432166146867</v>
      </c>
      <c r="CB326" s="48">
        <f t="shared" si="813"/>
        <v>45.37530124751914</v>
      </c>
      <c r="CC326" s="48">
        <f t="shared" si="814"/>
        <v>6.4991316983271901</v>
      </c>
      <c r="CD326" s="47">
        <f t="shared" si="815"/>
        <v>394.42988020981005</v>
      </c>
      <c r="CE326" s="66">
        <v>839520</v>
      </c>
      <c r="CF326" s="62">
        <v>15360</v>
      </c>
      <c r="CG326" s="74">
        <v>-64116</v>
      </c>
      <c r="CH326" s="75">
        <f t="shared" si="816"/>
        <v>790764</v>
      </c>
      <c r="CI326" s="62">
        <f>23970+2560+5000</f>
        <v>31530</v>
      </c>
      <c r="CJ326" s="62">
        <v>47446</v>
      </c>
      <c r="CK326" s="62">
        <v>54912</v>
      </c>
      <c r="CL326" s="62">
        <f>64200+5000</f>
        <v>69200</v>
      </c>
      <c r="CM326" s="62">
        <v>30000</v>
      </c>
      <c r="CN326" s="62">
        <v>75000</v>
      </c>
      <c r="CO326" s="62">
        <v>0</v>
      </c>
      <c r="CP326" s="75">
        <f t="shared" si="868"/>
        <v>308088</v>
      </c>
      <c r="CQ326" s="62">
        <v>16000</v>
      </c>
      <c r="CR326" s="75">
        <f t="shared" si="869"/>
        <v>324088</v>
      </c>
      <c r="CS326" s="75">
        <f t="shared" si="817"/>
        <v>482676</v>
      </c>
      <c r="CT326" s="62">
        <v>368673</v>
      </c>
      <c r="CU326" s="47">
        <f t="shared" si="818"/>
        <v>114003</v>
      </c>
      <c r="CV326" s="76">
        <f t="shared" si="819"/>
        <v>0.61039197535547896</v>
      </c>
      <c r="CW326" s="75">
        <f t="shared" si="820"/>
        <v>5063.875</v>
      </c>
      <c r="CX326" s="77">
        <f t="shared" si="821"/>
        <v>0.40984162152045361</v>
      </c>
      <c r="CY326" s="75">
        <f t="shared" si="822"/>
        <v>1781.296875</v>
      </c>
      <c r="CZ326" s="77">
        <f t="shared" si="823"/>
        <v>0.14416817154043432</v>
      </c>
      <c r="DA326" s="77">
        <f t="shared" si="824"/>
        <v>0.46622380381504469</v>
      </c>
      <c r="DB326" s="47">
        <f t="shared" si="825"/>
        <v>260265.625</v>
      </c>
      <c r="DC326" s="69">
        <f t="shared" si="826"/>
        <v>13117.5</v>
      </c>
      <c r="DD326" s="70">
        <f t="shared" si="827"/>
        <v>240</v>
      </c>
      <c r="DE326" s="70">
        <f t="shared" si="828"/>
        <v>-1001.8125</v>
      </c>
      <c r="DF326" s="70">
        <f t="shared" si="829"/>
        <v>12355.6875</v>
      </c>
      <c r="DG326" s="70">
        <f t="shared" si="830"/>
        <v>492.65625</v>
      </c>
      <c r="DH326" s="70">
        <f t="shared" si="831"/>
        <v>741.34375</v>
      </c>
      <c r="DI326" s="70">
        <f t="shared" si="832"/>
        <v>858</v>
      </c>
      <c r="DJ326" s="70">
        <f t="shared" si="833"/>
        <v>1081.25</v>
      </c>
      <c r="DK326" s="70">
        <f t="shared" si="834"/>
        <v>468.75</v>
      </c>
      <c r="DL326" s="70">
        <f t="shared" si="835"/>
        <v>1171.875</v>
      </c>
      <c r="DM326" s="70" t="str">
        <f t="shared" si="836"/>
        <v/>
      </c>
      <c r="DN326" s="70">
        <f t="shared" si="837"/>
        <v>4813.875</v>
      </c>
      <c r="DO326" s="70">
        <f t="shared" si="838"/>
        <v>250</v>
      </c>
      <c r="DP326" s="70">
        <f t="shared" si="839"/>
        <v>5063.875</v>
      </c>
      <c r="DQ326" s="70">
        <f t="shared" si="840"/>
        <v>7541.8125</v>
      </c>
      <c r="DR326" s="70">
        <f t="shared" si="841"/>
        <v>5760.515625</v>
      </c>
      <c r="DS326" s="71">
        <f t="shared" si="842"/>
        <v>1781.296875</v>
      </c>
      <c r="DT326" s="106">
        <f t="shared" si="843"/>
        <v>1.0616568280801857</v>
      </c>
      <c r="DU326" s="92">
        <f t="shared" si="844"/>
        <v>1.9424253000895338E-2</v>
      </c>
      <c r="DV326" s="92" t="str">
        <f t="shared" si="845"/>
        <v/>
      </c>
      <c r="DW326" s="92">
        <f t="shared" si="846"/>
        <v>1</v>
      </c>
      <c r="DX326" s="92">
        <f t="shared" si="847"/>
        <v>3.9872831843634764E-2</v>
      </c>
      <c r="DY326" s="92">
        <f t="shared" si="848"/>
        <v>6.0000202335968762E-2</v>
      </c>
      <c r="DZ326" s="92">
        <f t="shared" si="849"/>
        <v>6.9441704478200833E-2</v>
      </c>
      <c r="EA326" s="92">
        <f t="shared" si="850"/>
        <v>8.7510306488408685E-2</v>
      </c>
      <c r="EB326" s="92">
        <f t="shared" si="851"/>
        <v>3.7937994142373706E-2</v>
      </c>
      <c r="EC326" s="92">
        <f t="shared" si="852"/>
        <v>9.4844985355934261E-2</v>
      </c>
      <c r="ED326" s="92" t="str">
        <f t="shared" si="853"/>
        <v/>
      </c>
      <c r="EE326" s="92">
        <f t="shared" si="854"/>
        <v>0.38960802464452099</v>
      </c>
      <c r="EF326" s="92">
        <f t="shared" si="855"/>
        <v>2.0233596875932642E-2</v>
      </c>
      <c r="EG326" s="92">
        <f t="shared" si="856"/>
        <v>0.40984162152045361</v>
      </c>
      <c r="EH326" s="92">
        <f t="shared" si="857"/>
        <v>0.61039197535547896</v>
      </c>
      <c r="EI326" s="92">
        <f t="shared" si="858"/>
        <v>0.46622380381504469</v>
      </c>
      <c r="EJ326" s="122">
        <f t="shared" si="859"/>
        <v>0.14416817154043432</v>
      </c>
    </row>
    <row r="327" spans="2:140" ht="12" hidden="1" customHeight="1" outlineLevel="1">
      <c r="B327" s="121">
        <v>45828</v>
      </c>
      <c r="C327" s="117">
        <v>25448</v>
      </c>
      <c r="D327" s="50" t="s">
        <v>1496</v>
      </c>
      <c r="E327" s="50" t="s">
        <v>1497</v>
      </c>
      <c r="F327" s="50" t="s">
        <v>1498</v>
      </c>
      <c r="G327" s="50" t="s">
        <v>162</v>
      </c>
      <c r="H327" s="50" t="s">
        <v>694</v>
      </c>
      <c r="I327" s="50" t="s">
        <v>209</v>
      </c>
      <c r="J327" s="52" t="s">
        <v>347</v>
      </c>
      <c r="K327" s="50" t="s">
        <v>347</v>
      </c>
      <c r="L327" s="49">
        <v>1</v>
      </c>
      <c r="M327" s="50" t="s">
        <v>159</v>
      </c>
      <c r="N327" s="50" t="s">
        <v>244</v>
      </c>
      <c r="O327" s="50" t="s">
        <v>160</v>
      </c>
      <c r="P327" s="50" t="s">
        <v>161</v>
      </c>
      <c r="Q327" s="53">
        <v>0.04</v>
      </c>
      <c r="R327" s="49">
        <v>220</v>
      </c>
      <c r="S327" s="49">
        <v>0</v>
      </c>
      <c r="T327" s="54">
        <f t="shared" si="867"/>
        <v>220</v>
      </c>
      <c r="U327" s="55">
        <v>178830</v>
      </c>
      <c r="V327" s="49">
        <v>19.88</v>
      </c>
      <c r="W327" s="56">
        <f t="shared" ref="W327:W332" si="870">IFERROR(IF(T327&gt;0,T327/V327,""),"")</f>
        <v>11.066398390342053</v>
      </c>
      <c r="X327" s="49">
        <v>2008</v>
      </c>
      <c r="Y327" s="57" t="s">
        <v>162</v>
      </c>
      <c r="Z327" s="58">
        <v>24200000</v>
      </c>
      <c r="AA327" s="114">
        <v>6.7500000000000004E-2</v>
      </c>
      <c r="AB327" s="59">
        <v>15</v>
      </c>
      <c r="AC327" s="60">
        <v>40</v>
      </c>
      <c r="AD327" s="61">
        <v>6.7500000000000004E-2</v>
      </c>
      <c r="AE327" s="62">
        <v>24200000</v>
      </c>
      <c r="AF327" s="63">
        <v>1.1499999999999999</v>
      </c>
      <c r="AG327" s="59">
        <v>15</v>
      </c>
      <c r="AH327" s="60">
        <v>40</v>
      </c>
      <c r="AI327" s="61">
        <v>0.05</v>
      </c>
      <c r="AJ327" s="64">
        <v>24200000</v>
      </c>
      <c r="AK327" s="65">
        <f t="shared" ref="AK327:AK332" si="871">IFERROR(IF(AE327&gt;0,AJ327+AE327,""),"")</f>
        <v>48400000</v>
      </c>
      <c r="AL327" s="66">
        <v>10775738</v>
      </c>
      <c r="AM327" s="49" t="s">
        <v>1499</v>
      </c>
      <c r="AN327" s="67">
        <v>0.87</v>
      </c>
      <c r="AO327" s="62">
        <v>13469673</v>
      </c>
      <c r="AP327" s="62">
        <v>3018551</v>
      </c>
      <c r="AQ327" s="68">
        <v>2433292</v>
      </c>
      <c r="AR327" s="69">
        <f t="shared" ref="AR327:AR332" si="872">IFERROR(IF(AK327&gt;0,AK327/T327,""),"")</f>
        <v>220000</v>
      </c>
      <c r="AS327" s="70">
        <f t="shared" ref="AS327:AS332" si="873">IFERROR(IF(AL327&gt;0,AL327/T327,""),"")</f>
        <v>48980.627272727274</v>
      </c>
      <c r="AT327" s="70">
        <f t="shared" ref="AT327:AT332" si="874">IFERROR(IF(AO327&gt;0,AO327/T327,""),"")</f>
        <v>61225.786363636362</v>
      </c>
      <c r="AU327" s="70">
        <f t="shared" ref="AU327:AU332" si="875">IFERROR(IF(AP327&gt;0,AP327/T327,""),"")</f>
        <v>13720.686363636363</v>
      </c>
      <c r="AV327" s="71">
        <f t="shared" ref="AV327:AV332" si="876">IFERROR(IF(AQ327&gt;0,AQ327/T327,""),"")</f>
        <v>11060.418181818182</v>
      </c>
      <c r="AW327" s="115">
        <f t="shared" ref="AW327:AW332" si="877">IFERROR(IF(SUM(BB327:BC327)&gt;0,SUM(BB327:BC327)/T327,""),"")</f>
        <v>39012.086363636365</v>
      </c>
      <c r="AX327" s="116">
        <f t="shared" ref="AX327:AX332" si="878">IFERROR(IF(SUM(BB327:BC327)&gt;0,SUM(BB327:BC327)/U327,""),"")</f>
        <v>47.99339596264609</v>
      </c>
      <c r="AY327" s="72">
        <f t="shared" ref="AY327:AY332" si="879">IFERROR(IF(SUM(BL327:BO327)&gt;0,SUM(BL327:BO327),""),"")</f>
        <v>48921.154545454541</v>
      </c>
      <c r="AZ327" s="73">
        <f t="shared" ref="AZ327:AZ332" si="880">IFERROR(IF(SUM(BV327:BY327)&gt;0,SUM(BV327:BY327),""),"")</f>
        <v>60.18371637868367</v>
      </c>
      <c r="BA327" s="66">
        <v>19300000</v>
      </c>
      <c r="BB327" s="62">
        <v>369236</v>
      </c>
      <c r="BC327" s="62">
        <v>8213423</v>
      </c>
      <c r="BD327" s="62">
        <v>858266</v>
      </c>
      <c r="BE327" s="62">
        <v>1321729</v>
      </c>
      <c r="BF327" s="62">
        <v>916817</v>
      </c>
      <c r="BG327" s="62">
        <v>6453663</v>
      </c>
      <c r="BH327" s="62">
        <v>4486236</v>
      </c>
      <c r="BI327" s="62">
        <v>1202145</v>
      </c>
      <c r="BJ327" s="47">
        <f t="shared" ref="BJ327:BJ332" si="881">IFERROR(IF(SUM(BA327:BI327)&gt;0,SUM(BA327:BI327),""),"")</f>
        <v>43121515</v>
      </c>
      <c r="BK327" s="69">
        <f t="shared" ref="BK327:BK332" si="882">IFERROR(IF(BA327&gt;0,BA327/$T327,""),"")</f>
        <v>87727.272727272721</v>
      </c>
      <c r="BL327" s="70">
        <f t="shared" ref="BL327:BL332" si="883">IFERROR(IF(BB327&gt;0,BB327/$T327,""),"")</f>
        <v>1678.3454545454545</v>
      </c>
      <c r="BM327" s="70">
        <f t="shared" ref="BM327:BM332" si="884">IFERROR(IF(BC327&gt;0,BC327/$T327,""),"")</f>
        <v>37333.740909090906</v>
      </c>
      <c r="BN327" s="70">
        <f t="shared" ref="BN327:BN332" si="885">IFERROR(IF(BD327&gt;0,BD327/$T327,""),"")</f>
        <v>3901.2090909090907</v>
      </c>
      <c r="BO327" s="70">
        <f t="shared" ref="BO327:BO332" si="886">IFERROR(IF(BE327&gt;0,BE327/$T327,""),"")</f>
        <v>6007.8590909090908</v>
      </c>
      <c r="BP327" s="70">
        <f t="shared" ref="BP327:BP332" si="887">IFERROR(IF(BF327&gt;0,BF327/$T327,""),"")</f>
        <v>4167.3500000000004</v>
      </c>
      <c r="BQ327" s="70">
        <f t="shared" ref="BQ327:BQ332" si="888">IFERROR(IF(BG327&gt;0,BG327/$T327,""),"")</f>
        <v>29334.831818181818</v>
      </c>
      <c r="BR327" s="70">
        <f t="shared" ref="BR327:BR332" si="889">IFERROR(IF(BH327&gt;0,BH327/$T327,""),"")</f>
        <v>20391.981818181819</v>
      </c>
      <c r="BS327" s="70">
        <f t="shared" ref="BS327:BS332" si="890">IFERROR(IF(BI327&gt;0,BI327/$T327,""),"")</f>
        <v>5464.295454545455</v>
      </c>
      <c r="BT327" s="71">
        <f t="shared" ref="BT327:BT332" si="891">IFERROR(IF(BJ327&gt;0,BJ327/$T327,""),"")</f>
        <v>196006.88636363635</v>
      </c>
      <c r="BU327" s="65">
        <f t="shared" ref="BU327:BU332" si="892">IFERROR(IF(BA327&gt;0,BA327/$U327,""),"")</f>
        <v>107.92372644410894</v>
      </c>
      <c r="BV327" s="48">
        <f t="shared" ref="BV327:BV332" si="893">IFERROR(IF(BB327&gt;0,BB327/$U327,""),"")</f>
        <v>2.0647318682547673</v>
      </c>
      <c r="BW327" s="48">
        <f t="shared" ref="BW327:BW332" si="894">IFERROR(IF(BC327&gt;0,BC327/$U327,""),"")</f>
        <v>45.928664094391323</v>
      </c>
      <c r="BX327" s="48">
        <f t="shared" ref="BX327:BX332" si="895">IFERROR(IF(BD327&gt;0,BD327/$U327,""),"")</f>
        <v>4.7993401554549013</v>
      </c>
      <c r="BY327" s="48">
        <f t="shared" ref="BY327:BY332" si="896">IFERROR(IF(BE327&gt;0,BE327/$U327,""),"")</f>
        <v>7.3909802605826762</v>
      </c>
      <c r="BZ327" s="48">
        <f t="shared" ref="BZ327:BZ332" si="897">IFERROR(IF(BF327&gt;0,BF327/$U327,""),"")</f>
        <v>5.1267516635911203</v>
      </c>
      <c r="CA327" s="48">
        <f t="shared" ref="CA327:CA332" si="898">IFERROR(IF(BG327&gt;0,BG327/$U327,""),"")</f>
        <v>36.088257003858416</v>
      </c>
      <c r="CB327" s="48">
        <f t="shared" ref="CB327:CB332" si="899">IFERROR(IF(BH327&gt;0,BH327/$U327,""),"")</f>
        <v>25.086596208689816</v>
      </c>
      <c r="CC327" s="48">
        <f t="shared" ref="CC327:CC332" si="900">IFERROR(IF(BI327&gt;0,BI327/$U327,""),"")</f>
        <v>6.7222781412514676</v>
      </c>
      <c r="CD327" s="47">
        <f t="shared" ref="CD327:CD332" si="901">IFERROR(IF(BJ327&gt;0,BJ327/$U327,""),"")</f>
        <v>241.13132584018342</v>
      </c>
      <c r="CE327" s="66">
        <v>2754960</v>
      </c>
      <c r="CF327" s="62">
        <v>79200</v>
      </c>
      <c r="CG327" s="74">
        <v>-212562</v>
      </c>
      <c r="CH327" s="75">
        <f t="shared" ref="CH327:CH332" si="902">IFERROR(IF(SUM(CE327:CG327)&gt;0,SUM(CE327:CG327),""),"")</f>
        <v>2621598</v>
      </c>
      <c r="CI327" s="62">
        <f>58617+4427+4500+8800+22760+1079</f>
        <v>100183</v>
      </c>
      <c r="CJ327" s="62">
        <v>104864</v>
      </c>
      <c r="CK327" s="62">
        <v>319002</v>
      </c>
      <c r="CL327" s="62">
        <v>74768</v>
      </c>
      <c r="CM327" s="62">
        <f>36677+99331</f>
        <v>136008</v>
      </c>
      <c r="CN327" s="62">
        <v>181043</v>
      </c>
      <c r="CO327" s="62">
        <v>0</v>
      </c>
      <c r="CP327" s="75">
        <f t="shared" si="868"/>
        <v>915868</v>
      </c>
      <c r="CQ327" s="62">
        <v>66000</v>
      </c>
      <c r="CR327" s="75">
        <f t="shared" si="869"/>
        <v>981868</v>
      </c>
      <c r="CS327" s="75">
        <f t="shared" ref="CS327:CS332" si="903">IFERROR(IF(CH327-CR327&gt;0,CH327-CP327,""),"")</f>
        <v>1705730</v>
      </c>
      <c r="CT327" s="62">
        <v>1424499</v>
      </c>
      <c r="CU327" s="47">
        <f t="shared" ref="CU327:CU332" si="904">IFERROR(IF(CS327-CT327&gt;0,CS327-CT327,""),"")</f>
        <v>281231</v>
      </c>
      <c r="CV327" s="76">
        <f t="shared" ref="CV327:CV332" si="905">IFERROR(IF(CU327&gt;0,CS327/CH327,""),"")</f>
        <v>0.65064514086446512</v>
      </c>
      <c r="CW327" s="75">
        <f t="shared" ref="CW327:CW332" si="906">IFERROR(IF(CU327&gt;0,CR327/T327,""),"")</f>
        <v>4463.0363636363636</v>
      </c>
      <c r="CX327" s="77">
        <f t="shared" ref="CX327:CX332" si="907">IFERROR(IF(CU327&gt;0,CR327/CH327,""),"")</f>
        <v>0.37453034370639587</v>
      </c>
      <c r="CY327" s="75">
        <f t="shared" ref="CY327:CY332" si="908">IFERROR(IF(CU327&gt;0,CU327/T327,""),"")</f>
        <v>1278.3227272727272</v>
      </c>
      <c r="CZ327" s="77">
        <f t="shared" ref="CZ327:CZ332" si="909">IFERROR(IF(CU327&gt;0,CU327/CH327,""),"")</f>
        <v>0.10727464699011824</v>
      </c>
      <c r="DA327" s="77">
        <f t="shared" ref="DA327:DA332" si="910">IFERROR(IF(CT327&gt;0,CT327/CH327,""),"")</f>
        <v>0.54337049387434688</v>
      </c>
      <c r="DB327" s="47">
        <f t="shared" ref="DB327:DB332" si="911">IFERROR(IF(AR327&gt;0,AR327,""),"")</f>
        <v>220000</v>
      </c>
      <c r="DC327" s="69">
        <f t="shared" ref="DC327:DC332" si="912">IFERROR(IF(ABS(CE327)&gt;0,CE327/$T327,""),"")</f>
        <v>12522.545454545454</v>
      </c>
      <c r="DD327" s="70">
        <f t="shared" ref="DD327:DD332" si="913">IFERROR(IF(ABS(CF327)&gt;0,CF327/$T327,""),"")</f>
        <v>360</v>
      </c>
      <c r="DE327" s="70">
        <f t="shared" ref="DE327:DE332" si="914">IFERROR(IF(ABS(CG327)&gt;0,CG327/$T327,""),"")</f>
        <v>-966.19090909090914</v>
      </c>
      <c r="DF327" s="70">
        <f t="shared" ref="DF327:DF332" si="915">IFERROR(IF(ABS(CH327)&gt;0,CH327/$T327,""),"")</f>
        <v>11916.354545454546</v>
      </c>
      <c r="DG327" s="70">
        <f t="shared" ref="DG327:DG332" si="916">IFERROR(IF(ABS(CI327)&gt;0,CI327/$T327,""),"")</f>
        <v>455.37727272727273</v>
      </c>
      <c r="DH327" s="70">
        <f t="shared" ref="DH327:DH332" si="917">IFERROR(IF(ABS(CJ327)&gt;0,CJ327/$T327,""),"")</f>
        <v>476.65454545454543</v>
      </c>
      <c r="DI327" s="70">
        <f t="shared" ref="DI327:DI332" si="918">IFERROR(IF(ABS(CK327)&gt;0,CK327/$T327,""),"")</f>
        <v>1450.0090909090909</v>
      </c>
      <c r="DJ327" s="70">
        <f t="shared" ref="DJ327:DJ332" si="919">IFERROR(IF(ABS(CL327)&gt;0,CL327/$T327,""),"")</f>
        <v>339.85454545454547</v>
      </c>
      <c r="DK327" s="70">
        <f t="shared" ref="DK327:DK332" si="920">IFERROR(IF(ABS(CM327)&gt;0,CM327/$T327,""),"")</f>
        <v>618.21818181818185</v>
      </c>
      <c r="DL327" s="70">
        <f t="shared" ref="DL327:DL332" si="921">IFERROR(IF(ABS(CN327)&gt;0,CN327/$T327,""),"")</f>
        <v>822.92272727272723</v>
      </c>
      <c r="DM327" s="70" t="str">
        <f t="shared" ref="DM327:DM332" si="922">IFERROR(IF(ABS(CO327)&gt;0,CO327/$T327,""),"")</f>
        <v/>
      </c>
      <c r="DN327" s="70">
        <f t="shared" ref="DN327:DN332" si="923">IFERROR(IF(ABS(CP327)&gt;0,CP327/$T327,""),"")</f>
        <v>4163.0363636363636</v>
      </c>
      <c r="DO327" s="70">
        <f t="shared" ref="DO327:DO332" si="924">IFERROR(IF(ABS(CQ327)&gt;0,CQ327/$T327,""),"")</f>
        <v>300</v>
      </c>
      <c r="DP327" s="70">
        <f t="shared" ref="DP327:DP332" si="925">IFERROR(IF(ABS(CR327)&gt;0,CR327/$T327,""),"")</f>
        <v>4463.0363636363636</v>
      </c>
      <c r="DQ327" s="70">
        <f t="shared" ref="DQ327:DQ332" si="926">IFERROR(IF(ABS(CS327)&gt;0,CS327/$T327,""),"")</f>
        <v>7753.318181818182</v>
      </c>
      <c r="DR327" s="70">
        <f t="shared" ref="DR327:DR332" si="927">IFERROR(IF(ABS(CT327)&gt;0,CT327/$T327,""),"")</f>
        <v>6474.9954545454548</v>
      </c>
      <c r="DS327" s="71">
        <f t="shared" ref="DS327:DS332" si="928">IFERROR(IF(ABS(CU327)&gt;0,CU327/$T327,""),"")</f>
        <v>1278.3227272727272</v>
      </c>
      <c r="DT327" s="106">
        <f t="shared" ref="DT327:DT332" si="929">IFERROR(IF(ABS(CE327&gt;0),CE327/$CH327,""),"")</f>
        <v>1.0508704995960478</v>
      </c>
      <c r="DU327" s="92">
        <f t="shared" ref="DU327:DU332" si="930">IFERROR(IF(ABS(CF327&gt;0),CF327/$CH327,""),"")</f>
        <v>3.0210581485033174E-2</v>
      </c>
      <c r="DV327" s="92" t="str">
        <f t="shared" ref="DV327:DV332" si="931">IFERROR(IF(ABS(CG327&gt;0),CG327/$CH327,""),"")</f>
        <v/>
      </c>
      <c r="DW327" s="92">
        <f t="shared" ref="DW327:DW332" si="932">IFERROR(IF(ABS(CH327&gt;0),CH327/$CH327,""),"")</f>
        <v>1</v>
      </c>
      <c r="DX327" s="92">
        <f t="shared" ref="DX327:DX332" si="933">IFERROR(IF(ABS(CI327&gt;0),CI327/$CH327,""),"")</f>
        <v>3.8214478344887358E-2</v>
      </c>
      <c r="DY327" s="92">
        <f t="shared" ref="DY327:DY332" si="934">IFERROR(IF(ABS(CJ327&gt;0),CJ327/$CH327,""),"")</f>
        <v>4.0000030515738874E-2</v>
      </c>
      <c r="DZ327" s="92">
        <f t="shared" ref="DZ327:DZ332" si="935">IFERROR(IF(ABS(CK327&gt;0),CK327/$CH327,""),"")</f>
        <v>0.12168227165263325</v>
      </c>
      <c r="EA327" s="92">
        <f t="shared" ref="EA327:EA332" si="936">IFERROR(IF(ABS(CL327&gt;0),CL327/$CH327,""),"")</f>
        <v>2.8520009551426268E-2</v>
      </c>
      <c r="EB327" s="92">
        <f t="shared" ref="EB327:EB332" si="937">IFERROR(IF(ABS(CM327&gt;0),CM327/$CH327,""),"")</f>
        <v>5.187980765929788E-2</v>
      </c>
      <c r="EC327" s="92">
        <f t="shared" ref="EC327:EC332" si="938">IFERROR(IF(ABS(CN327&gt;0),CN327/$CH327,""),"")</f>
        <v>6.9058261411551275E-2</v>
      </c>
      <c r="ED327" s="92" t="str">
        <f t="shared" ref="ED327:ED332" si="939">IFERROR(IF(ABS(CO327&gt;0),CO327/$CH327,""),"")</f>
        <v/>
      </c>
      <c r="EE327" s="92">
        <f t="shared" ref="EE327:EE332" si="940">IFERROR(IF(ABS(CP327&gt;0),CP327/$CH327,""),"")</f>
        <v>0.34935485913553488</v>
      </c>
      <c r="EF327" s="92">
        <f t="shared" ref="EF327:EF332" si="941">IFERROR(IF(ABS(CQ327&gt;0),CQ327/$CH327,""),"")</f>
        <v>2.5175484570860978E-2</v>
      </c>
      <c r="EG327" s="92">
        <f t="shared" ref="EG327:EG332" si="942">IFERROR(IF(ABS(CR327&gt;0),CR327/$CH327,""),"")</f>
        <v>0.37453034370639587</v>
      </c>
      <c r="EH327" s="92">
        <f t="shared" ref="EH327:EH332" si="943">IFERROR(IF(ABS(CS327&gt;0),CS327/$CH327,""),"")</f>
        <v>0.65064514086446512</v>
      </c>
      <c r="EI327" s="92">
        <f t="shared" ref="EI327:EI332" si="944">IFERROR(IF(ABS(CT327&gt;0),CT327/$CH327,""),"")</f>
        <v>0.54337049387434688</v>
      </c>
      <c r="EJ327" s="122">
        <f t="shared" ref="EJ327:EJ332" si="945">IFERROR(IF(ABS(CU327&gt;0),CU327/$CH327,""),"")</f>
        <v>0.10727464699011824</v>
      </c>
    </row>
    <row r="328" spans="2:140" ht="12" hidden="1" customHeight="1" outlineLevel="1">
      <c r="B328" s="121">
        <v>45831</v>
      </c>
      <c r="C328" s="117" t="s">
        <v>1500</v>
      </c>
      <c r="D328" s="50" t="s">
        <v>1305</v>
      </c>
      <c r="E328" s="50" t="s">
        <v>320</v>
      </c>
      <c r="F328" s="50" t="s">
        <v>714</v>
      </c>
      <c r="G328" s="50" t="s">
        <v>162</v>
      </c>
      <c r="H328" s="50" t="s">
        <v>1501</v>
      </c>
      <c r="I328" s="50" t="s">
        <v>321</v>
      </c>
      <c r="J328" s="52" t="s">
        <v>1306</v>
      </c>
      <c r="K328" s="50" t="s">
        <v>1307</v>
      </c>
      <c r="L328" s="49">
        <v>5</v>
      </c>
      <c r="M328" s="50" t="s">
        <v>159</v>
      </c>
      <c r="N328" s="50" t="s">
        <v>160</v>
      </c>
      <c r="O328" s="50" t="s">
        <v>160</v>
      </c>
      <c r="P328" s="50" t="s">
        <v>161</v>
      </c>
      <c r="Q328" s="53">
        <v>0.09</v>
      </c>
      <c r="R328" s="49">
        <v>72</v>
      </c>
      <c r="S328" s="49">
        <v>10</v>
      </c>
      <c r="T328" s="54">
        <f t="shared" si="867"/>
        <v>82</v>
      </c>
      <c r="U328" s="55">
        <v>65401</v>
      </c>
      <c r="V328" s="49">
        <v>6.41</v>
      </c>
      <c r="W328" s="56">
        <f t="shared" si="870"/>
        <v>12.792511700468019</v>
      </c>
      <c r="X328" s="49" t="s">
        <v>163</v>
      </c>
      <c r="Y328" s="57" t="s">
        <v>162</v>
      </c>
      <c r="Z328" s="58">
        <v>5000000</v>
      </c>
      <c r="AA328" s="114">
        <v>0.02</v>
      </c>
      <c r="AB328" s="59">
        <v>30</v>
      </c>
      <c r="AC328" s="60">
        <v>30</v>
      </c>
      <c r="AD328" s="61">
        <v>0.02</v>
      </c>
      <c r="AE328" s="62">
        <v>5000000</v>
      </c>
      <c r="AF328" s="63">
        <v>1.32</v>
      </c>
      <c r="AG328" s="59"/>
      <c r="AH328" s="60"/>
      <c r="AI328" s="61"/>
      <c r="AJ328" s="64"/>
      <c r="AK328" s="65">
        <f t="shared" si="871"/>
        <v>5000000</v>
      </c>
      <c r="AL328" s="66">
        <v>10980790</v>
      </c>
      <c r="AM328" s="49" t="s">
        <v>1502</v>
      </c>
      <c r="AN328" s="67">
        <v>0.88</v>
      </c>
      <c r="AO328" s="62">
        <f>9957084+286971</f>
        <v>10244055</v>
      </c>
      <c r="AP328" s="62">
        <v>0</v>
      </c>
      <c r="AQ328" s="68">
        <v>736735</v>
      </c>
      <c r="AR328" s="69">
        <f t="shared" si="872"/>
        <v>60975.609756097561</v>
      </c>
      <c r="AS328" s="70">
        <f t="shared" si="873"/>
        <v>133912.07317073172</v>
      </c>
      <c r="AT328" s="70">
        <f t="shared" si="874"/>
        <v>124927.5</v>
      </c>
      <c r="AU328" s="70" t="str">
        <f t="shared" si="875"/>
        <v/>
      </c>
      <c r="AV328" s="71">
        <f t="shared" si="876"/>
        <v>8984.5731707317082</v>
      </c>
      <c r="AW328" s="115">
        <f t="shared" si="877"/>
        <v>92829.268292682929</v>
      </c>
      <c r="AX328" s="116">
        <f t="shared" si="878"/>
        <v>116.38965765049464</v>
      </c>
      <c r="AY328" s="72">
        <f t="shared" si="879"/>
        <v>113233.14634146342</v>
      </c>
      <c r="AZ328" s="73">
        <f t="shared" si="880"/>
        <v>141.9721105181878</v>
      </c>
      <c r="BA328" s="66">
        <v>0</v>
      </c>
      <c r="BB328" s="62">
        <v>1487000</v>
      </c>
      <c r="BC328" s="62">
        <v>6125000</v>
      </c>
      <c r="BD328" s="62">
        <v>532840</v>
      </c>
      <c r="BE328" s="62">
        <v>1140278</v>
      </c>
      <c r="BF328" s="62">
        <v>627000</v>
      </c>
      <c r="BG328" s="62">
        <v>1084174</v>
      </c>
      <c r="BH328" s="62">
        <v>1607000</v>
      </c>
      <c r="BI328" s="62">
        <v>315435</v>
      </c>
      <c r="BJ328" s="47">
        <f t="shared" si="881"/>
        <v>12918727</v>
      </c>
      <c r="BK328" s="69" t="str">
        <f t="shared" si="882"/>
        <v/>
      </c>
      <c r="BL328" s="70">
        <f t="shared" si="883"/>
        <v>18134.146341463416</v>
      </c>
      <c r="BM328" s="70">
        <f t="shared" si="884"/>
        <v>74695.121951219509</v>
      </c>
      <c r="BN328" s="70">
        <f t="shared" si="885"/>
        <v>6498.0487804878048</v>
      </c>
      <c r="BO328" s="70">
        <f t="shared" si="886"/>
        <v>13905.829268292682</v>
      </c>
      <c r="BP328" s="70">
        <f t="shared" si="887"/>
        <v>7646.3414634146338</v>
      </c>
      <c r="BQ328" s="70">
        <f t="shared" si="888"/>
        <v>13221.634146341463</v>
      </c>
      <c r="BR328" s="70">
        <f t="shared" si="889"/>
        <v>19597.560975609755</v>
      </c>
      <c r="BS328" s="70">
        <f t="shared" si="890"/>
        <v>3846.768292682927</v>
      </c>
      <c r="BT328" s="71">
        <f t="shared" si="891"/>
        <v>157545.45121951221</v>
      </c>
      <c r="BU328" s="65" t="str">
        <f t="shared" si="892"/>
        <v/>
      </c>
      <c r="BV328" s="48">
        <f t="shared" si="893"/>
        <v>22.736655402822588</v>
      </c>
      <c r="BW328" s="48">
        <f t="shared" si="894"/>
        <v>93.653002247672049</v>
      </c>
      <c r="BX328" s="48">
        <f t="shared" si="895"/>
        <v>8.1472760355346256</v>
      </c>
      <c r="BY328" s="48">
        <f t="shared" si="896"/>
        <v>17.435176832158529</v>
      </c>
      <c r="BZ328" s="48">
        <f t="shared" si="897"/>
        <v>9.5870093729453671</v>
      </c>
      <c r="CA328" s="48">
        <f t="shared" si="898"/>
        <v>16.577330621855936</v>
      </c>
      <c r="CB328" s="48">
        <f t="shared" si="899"/>
        <v>24.571489732572896</v>
      </c>
      <c r="CC328" s="48">
        <f t="shared" si="900"/>
        <v>4.8230913900399077</v>
      </c>
      <c r="CD328" s="47">
        <f t="shared" si="901"/>
        <v>197.53103163560189</v>
      </c>
      <c r="CE328" s="66">
        <v>802896</v>
      </c>
      <c r="CF328" s="62">
        <v>19680</v>
      </c>
      <c r="CG328" s="74">
        <v>-61693</v>
      </c>
      <c r="CH328" s="75">
        <f t="shared" si="902"/>
        <v>760883</v>
      </c>
      <c r="CI328" s="62">
        <f>29000+8000+3280</f>
        <v>40280</v>
      </c>
      <c r="CJ328" s="62">
        <v>30435</v>
      </c>
      <c r="CK328" s="62">
        <v>99000</v>
      </c>
      <c r="CL328" s="62">
        <v>57450</v>
      </c>
      <c r="CM328" s="62">
        <f>14000+67500</f>
        <v>81500</v>
      </c>
      <c r="CN328" s="62">
        <v>80000</v>
      </c>
      <c r="CO328" s="62">
        <v>60000</v>
      </c>
      <c r="CP328" s="75">
        <f t="shared" si="868"/>
        <v>448665</v>
      </c>
      <c r="CQ328" s="62">
        <v>20500</v>
      </c>
      <c r="CR328" s="75">
        <f t="shared" si="869"/>
        <v>469165</v>
      </c>
      <c r="CS328" s="75">
        <f t="shared" si="903"/>
        <v>312218</v>
      </c>
      <c r="CT328" s="62">
        <v>221772</v>
      </c>
      <c r="CU328" s="47">
        <f t="shared" si="904"/>
        <v>90446</v>
      </c>
      <c r="CV328" s="76">
        <f t="shared" si="905"/>
        <v>0.41033641177421498</v>
      </c>
      <c r="CW328" s="75">
        <f t="shared" si="906"/>
        <v>5721.5243902439024</v>
      </c>
      <c r="CX328" s="77">
        <f t="shared" si="907"/>
        <v>0.61660596964316461</v>
      </c>
      <c r="CY328" s="75">
        <f t="shared" si="908"/>
        <v>1103</v>
      </c>
      <c r="CZ328" s="77">
        <f t="shared" si="909"/>
        <v>0.11886978681347855</v>
      </c>
      <c r="DA328" s="77">
        <f t="shared" si="910"/>
        <v>0.29146662496073639</v>
      </c>
      <c r="DB328" s="47">
        <f t="shared" si="911"/>
        <v>60975.609756097561</v>
      </c>
      <c r="DC328" s="69">
        <f t="shared" si="912"/>
        <v>9791.414634146342</v>
      </c>
      <c r="DD328" s="70">
        <f t="shared" si="913"/>
        <v>240</v>
      </c>
      <c r="DE328" s="70">
        <f t="shared" si="914"/>
        <v>-752.35365853658539</v>
      </c>
      <c r="DF328" s="70">
        <f t="shared" si="915"/>
        <v>9279.0609756097565</v>
      </c>
      <c r="DG328" s="70">
        <f t="shared" si="916"/>
        <v>491.21951219512198</v>
      </c>
      <c r="DH328" s="70">
        <f t="shared" si="917"/>
        <v>371.15853658536588</v>
      </c>
      <c r="DI328" s="70">
        <f t="shared" si="918"/>
        <v>1207.3170731707316</v>
      </c>
      <c r="DJ328" s="70">
        <f t="shared" si="919"/>
        <v>700.60975609756099</v>
      </c>
      <c r="DK328" s="70">
        <f t="shared" si="920"/>
        <v>993.90243902439022</v>
      </c>
      <c r="DL328" s="70">
        <f t="shared" si="921"/>
        <v>975.60975609756099</v>
      </c>
      <c r="DM328" s="70">
        <f t="shared" si="922"/>
        <v>731.70731707317077</v>
      </c>
      <c r="DN328" s="70">
        <f t="shared" si="923"/>
        <v>5471.5243902439024</v>
      </c>
      <c r="DO328" s="70">
        <f t="shared" si="924"/>
        <v>250</v>
      </c>
      <c r="DP328" s="70">
        <f t="shared" si="925"/>
        <v>5721.5243902439024</v>
      </c>
      <c r="DQ328" s="70">
        <f t="shared" si="926"/>
        <v>3807.5365853658536</v>
      </c>
      <c r="DR328" s="70">
        <f t="shared" si="927"/>
        <v>2704.5365853658536</v>
      </c>
      <c r="DS328" s="71">
        <f t="shared" si="928"/>
        <v>1103</v>
      </c>
      <c r="DT328" s="106">
        <f t="shared" si="929"/>
        <v>1.05521611075553</v>
      </c>
      <c r="DU328" s="92">
        <f t="shared" si="930"/>
        <v>2.5864686160684363E-2</v>
      </c>
      <c r="DV328" s="92" t="str">
        <f t="shared" si="931"/>
        <v/>
      </c>
      <c r="DW328" s="92">
        <f t="shared" si="932"/>
        <v>1</v>
      </c>
      <c r="DX328" s="92">
        <f t="shared" si="933"/>
        <v>5.2938493828880391E-2</v>
      </c>
      <c r="DY328" s="92">
        <f t="shared" si="934"/>
        <v>3.9999579435997384E-2</v>
      </c>
      <c r="DZ328" s="92">
        <f t="shared" si="935"/>
        <v>0.13011198830832071</v>
      </c>
      <c r="EA328" s="92">
        <f t="shared" si="936"/>
        <v>7.5504381094070969E-2</v>
      </c>
      <c r="EB328" s="92">
        <f t="shared" si="937"/>
        <v>0.10711239441543575</v>
      </c>
      <c r="EC328" s="92">
        <f t="shared" si="938"/>
        <v>0.10514100065318846</v>
      </c>
      <c r="ED328" s="92">
        <f t="shared" si="939"/>
        <v>7.8855750489891352E-2</v>
      </c>
      <c r="EE328" s="92">
        <f t="shared" si="940"/>
        <v>0.58966358822578502</v>
      </c>
      <c r="EF328" s="92">
        <f t="shared" si="941"/>
        <v>2.6942381417379545E-2</v>
      </c>
      <c r="EG328" s="92">
        <f t="shared" si="942"/>
        <v>0.61660596964316461</v>
      </c>
      <c r="EH328" s="92">
        <f t="shared" si="943"/>
        <v>0.41033641177421498</v>
      </c>
      <c r="EI328" s="92">
        <f t="shared" si="944"/>
        <v>0.29146662496073639</v>
      </c>
      <c r="EJ328" s="122">
        <f t="shared" si="945"/>
        <v>0.11886978681347855</v>
      </c>
    </row>
    <row r="329" spans="2:140" ht="12" hidden="1" customHeight="1" outlineLevel="1">
      <c r="B329" s="121">
        <v>45831</v>
      </c>
      <c r="C329" s="117" t="s">
        <v>1503</v>
      </c>
      <c r="D329" s="50" t="s">
        <v>713</v>
      </c>
      <c r="E329" s="50" t="s">
        <v>320</v>
      </c>
      <c r="F329" s="50" t="s">
        <v>714</v>
      </c>
      <c r="G329" s="50" t="s">
        <v>162</v>
      </c>
      <c r="H329" s="50" t="s">
        <v>1504</v>
      </c>
      <c r="I329" s="50" t="s">
        <v>321</v>
      </c>
      <c r="J329" s="52" t="s">
        <v>715</v>
      </c>
      <c r="K329" s="50" t="s">
        <v>716</v>
      </c>
      <c r="L329" s="49">
        <v>5</v>
      </c>
      <c r="M329" s="50" t="s">
        <v>283</v>
      </c>
      <c r="N329" s="50" t="s">
        <v>160</v>
      </c>
      <c r="O329" s="50" t="s">
        <v>160</v>
      </c>
      <c r="P329" s="50" t="s">
        <v>177</v>
      </c>
      <c r="Q329" s="53">
        <v>0.09</v>
      </c>
      <c r="R329" s="49">
        <f>6+15+51</f>
        <v>72</v>
      </c>
      <c r="S329" s="49">
        <v>8</v>
      </c>
      <c r="T329" s="54">
        <f t="shared" si="867"/>
        <v>80</v>
      </c>
      <c r="U329" s="55">
        <v>65336</v>
      </c>
      <c r="V329" s="49">
        <v>3.99</v>
      </c>
      <c r="W329" s="56">
        <f t="shared" si="870"/>
        <v>20.050125313283207</v>
      </c>
      <c r="X329" s="49" t="s">
        <v>163</v>
      </c>
      <c r="Y329" s="57" t="s">
        <v>162</v>
      </c>
      <c r="Z329" s="58">
        <v>5410000</v>
      </c>
      <c r="AA329" s="114">
        <v>0.02</v>
      </c>
      <c r="AB329" s="59">
        <v>30</v>
      </c>
      <c r="AC329" s="60">
        <v>40</v>
      </c>
      <c r="AD329" s="61">
        <v>0.02</v>
      </c>
      <c r="AE329" s="62">
        <v>5410000</v>
      </c>
      <c r="AF329" s="63">
        <v>1.34</v>
      </c>
      <c r="AG329" s="59"/>
      <c r="AH329" s="60"/>
      <c r="AI329" s="61"/>
      <c r="AJ329" s="64"/>
      <c r="AK329" s="65">
        <f t="shared" si="871"/>
        <v>5410000</v>
      </c>
      <c r="AL329" s="66">
        <f>250+605000</f>
        <v>605250</v>
      </c>
      <c r="AM329" s="49" t="s">
        <v>1505</v>
      </c>
      <c r="AN329" s="67">
        <v>0.81</v>
      </c>
      <c r="AO329" s="62">
        <f>10963930-665366</f>
        <v>10298564</v>
      </c>
      <c r="AP329" s="62">
        <v>0</v>
      </c>
      <c r="AQ329" s="68">
        <v>665366</v>
      </c>
      <c r="AR329" s="69">
        <f t="shared" si="872"/>
        <v>67625</v>
      </c>
      <c r="AS329" s="70">
        <f t="shared" si="873"/>
        <v>7565.625</v>
      </c>
      <c r="AT329" s="70">
        <f t="shared" si="874"/>
        <v>128732.05</v>
      </c>
      <c r="AU329" s="70" t="str">
        <f t="shared" si="875"/>
        <v/>
      </c>
      <c r="AV329" s="71">
        <f t="shared" si="876"/>
        <v>8317.0750000000007</v>
      </c>
      <c r="AW329" s="115">
        <f t="shared" si="877"/>
        <v>92400</v>
      </c>
      <c r="AX329" s="116">
        <f t="shared" si="878"/>
        <v>113.1382392555406</v>
      </c>
      <c r="AY329" s="72">
        <f t="shared" si="879"/>
        <v>112709.52499999999</v>
      </c>
      <c r="AZ329" s="73">
        <f t="shared" si="880"/>
        <v>138.0060303661075</v>
      </c>
      <c r="BA329" s="66">
        <v>630192</v>
      </c>
      <c r="BB329" s="62">
        <v>1282000</v>
      </c>
      <c r="BC329" s="62">
        <v>6110000</v>
      </c>
      <c r="BD329" s="62">
        <v>517440</v>
      </c>
      <c r="BE329" s="62">
        <v>1107322</v>
      </c>
      <c r="BF329" s="62">
        <v>589260</v>
      </c>
      <c r="BG329" s="62">
        <v>1138212</v>
      </c>
      <c r="BH329" s="62">
        <v>1265000</v>
      </c>
      <c r="BI329" s="62">
        <v>336494</v>
      </c>
      <c r="BJ329" s="47">
        <f t="shared" si="881"/>
        <v>12975920</v>
      </c>
      <c r="BK329" s="69">
        <f t="shared" si="882"/>
        <v>7877.4</v>
      </c>
      <c r="BL329" s="70">
        <f t="shared" si="883"/>
        <v>16025</v>
      </c>
      <c r="BM329" s="70">
        <f t="shared" si="884"/>
        <v>76375</v>
      </c>
      <c r="BN329" s="70">
        <f t="shared" si="885"/>
        <v>6468</v>
      </c>
      <c r="BO329" s="70">
        <f t="shared" si="886"/>
        <v>13841.525</v>
      </c>
      <c r="BP329" s="70">
        <f t="shared" si="887"/>
        <v>7365.75</v>
      </c>
      <c r="BQ329" s="70">
        <f t="shared" si="888"/>
        <v>14227.65</v>
      </c>
      <c r="BR329" s="70">
        <f t="shared" si="889"/>
        <v>15812.5</v>
      </c>
      <c r="BS329" s="70">
        <f t="shared" si="890"/>
        <v>4206.1750000000002</v>
      </c>
      <c r="BT329" s="71">
        <f t="shared" si="891"/>
        <v>162199</v>
      </c>
      <c r="BU329" s="65">
        <f t="shared" si="892"/>
        <v>9.6454022284804708</v>
      </c>
      <c r="BV329" s="48">
        <f t="shared" si="893"/>
        <v>19.621648095996083</v>
      </c>
      <c r="BW329" s="48">
        <f t="shared" si="894"/>
        <v>93.516591159544504</v>
      </c>
      <c r="BX329" s="48">
        <f t="shared" si="895"/>
        <v>7.9196767478878414</v>
      </c>
      <c r="BY329" s="48">
        <f t="shared" si="896"/>
        <v>16.948114362679075</v>
      </c>
      <c r="BZ329" s="48">
        <f t="shared" si="897"/>
        <v>9.0189175952001968</v>
      </c>
      <c r="CA329" s="48">
        <f t="shared" si="898"/>
        <v>17.420901187706626</v>
      </c>
      <c r="CB329" s="48">
        <f t="shared" si="899"/>
        <v>19.361454634504714</v>
      </c>
      <c r="CC329" s="48">
        <f t="shared" si="900"/>
        <v>5.1502081547691931</v>
      </c>
      <c r="CD329" s="47">
        <f t="shared" si="901"/>
        <v>198.6029141667687</v>
      </c>
      <c r="CE329" s="66">
        <v>780312</v>
      </c>
      <c r="CF329" s="62">
        <v>19200</v>
      </c>
      <c r="CG329" s="74">
        <v>-59963</v>
      </c>
      <c r="CH329" s="75">
        <f t="shared" si="902"/>
        <v>739549</v>
      </c>
      <c r="CI329" s="62">
        <f>43000+272+2880+8000</f>
        <v>54152</v>
      </c>
      <c r="CJ329" s="62">
        <v>29582</v>
      </c>
      <c r="CK329" s="62">
        <v>100000</v>
      </c>
      <c r="CL329" s="62">
        <v>67660</v>
      </c>
      <c r="CM329" s="62">
        <f>17000+65000</f>
        <v>82000</v>
      </c>
      <c r="CN329" s="62">
        <v>80000</v>
      </c>
      <c r="CO329" s="62">
        <v>43000</v>
      </c>
      <c r="CP329" s="75">
        <f t="shared" si="868"/>
        <v>456394</v>
      </c>
      <c r="CQ329" s="62">
        <v>20000</v>
      </c>
      <c r="CR329" s="75">
        <f t="shared" si="869"/>
        <v>476394</v>
      </c>
      <c r="CS329" s="75">
        <f t="shared" si="903"/>
        <v>283155</v>
      </c>
      <c r="CT329" s="62">
        <v>196594</v>
      </c>
      <c r="CU329" s="47">
        <f t="shared" si="904"/>
        <v>86561</v>
      </c>
      <c r="CV329" s="76">
        <f t="shared" si="905"/>
        <v>0.38287523882798841</v>
      </c>
      <c r="CW329" s="75">
        <f t="shared" si="906"/>
        <v>5954.9250000000002</v>
      </c>
      <c r="CX329" s="77">
        <f t="shared" si="907"/>
        <v>0.64416827012138478</v>
      </c>
      <c r="CY329" s="75">
        <f t="shared" si="908"/>
        <v>1082.0125</v>
      </c>
      <c r="CZ329" s="77">
        <f t="shared" si="909"/>
        <v>0.11704565890833467</v>
      </c>
      <c r="DA329" s="77">
        <f t="shared" si="910"/>
        <v>0.26582957991965372</v>
      </c>
      <c r="DB329" s="47">
        <f t="shared" si="911"/>
        <v>67625</v>
      </c>
      <c r="DC329" s="69">
        <f t="shared" si="912"/>
        <v>9753.9</v>
      </c>
      <c r="DD329" s="70">
        <f t="shared" si="913"/>
        <v>240</v>
      </c>
      <c r="DE329" s="70">
        <f t="shared" si="914"/>
        <v>-749.53750000000002</v>
      </c>
      <c r="DF329" s="70">
        <f t="shared" si="915"/>
        <v>9244.3624999999993</v>
      </c>
      <c r="DG329" s="70">
        <f t="shared" si="916"/>
        <v>676.9</v>
      </c>
      <c r="DH329" s="70">
        <f t="shared" si="917"/>
        <v>369.77499999999998</v>
      </c>
      <c r="DI329" s="70">
        <f t="shared" si="918"/>
        <v>1250</v>
      </c>
      <c r="DJ329" s="70">
        <f t="shared" si="919"/>
        <v>845.75</v>
      </c>
      <c r="DK329" s="70">
        <f t="shared" si="920"/>
        <v>1025</v>
      </c>
      <c r="DL329" s="70">
        <f t="shared" si="921"/>
        <v>1000</v>
      </c>
      <c r="DM329" s="70">
        <f t="shared" si="922"/>
        <v>537.5</v>
      </c>
      <c r="DN329" s="70">
        <f t="shared" si="923"/>
        <v>5704.9250000000002</v>
      </c>
      <c r="DO329" s="70">
        <f t="shared" si="924"/>
        <v>250</v>
      </c>
      <c r="DP329" s="70">
        <f t="shared" si="925"/>
        <v>5954.9250000000002</v>
      </c>
      <c r="DQ329" s="70">
        <f t="shared" si="926"/>
        <v>3539.4375</v>
      </c>
      <c r="DR329" s="70">
        <f t="shared" si="927"/>
        <v>2457.4250000000002</v>
      </c>
      <c r="DS329" s="71">
        <f t="shared" si="928"/>
        <v>1082.0125</v>
      </c>
      <c r="DT329" s="106">
        <f t="shared" si="929"/>
        <v>1.055118727765165</v>
      </c>
      <c r="DU329" s="92">
        <f t="shared" si="930"/>
        <v>2.596176859139827E-2</v>
      </c>
      <c r="DV329" s="92" t="str">
        <f t="shared" si="931"/>
        <v/>
      </c>
      <c r="DW329" s="92">
        <f t="shared" si="932"/>
        <v>1</v>
      </c>
      <c r="DX329" s="92">
        <f t="shared" si="933"/>
        <v>7.322300483132288E-2</v>
      </c>
      <c r="DY329" s="92">
        <f t="shared" si="934"/>
        <v>4.00000540870179E-2</v>
      </c>
      <c r="DZ329" s="92">
        <f t="shared" si="935"/>
        <v>0.13521754474686601</v>
      </c>
      <c r="EA329" s="92">
        <f t="shared" si="936"/>
        <v>9.1488190775729533E-2</v>
      </c>
      <c r="EB329" s="92">
        <f t="shared" si="937"/>
        <v>0.11087838669243012</v>
      </c>
      <c r="EC329" s="92">
        <f t="shared" si="938"/>
        <v>0.1081740357974928</v>
      </c>
      <c r="ED329" s="92">
        <f t="shared" si="939"/>
        <v>5.8143544241152381E-2</v>
      </c>
      <c r="EE329" s="92">
        <f t="shared" si="940"/>
        <v>0.61712476117201154</v>
      </c>
      <c r="EF329" s="92">
        <f t="shared" si="941"/>
        <v>2.7043508949373199E-2</v>
      </c>
      <c r="EG329" s="92">
        <f t="shared" si="942"/>
        <v>0.64416827012138478</v>
      </c>
      <c r="EH329" s="92">
        <f t="shared" si="943"/>
        <v>0.38287523882798841</v>
      </c>
      <c r="EI329" s="92">
        <f t="shared" si="944"/>
        <v>0.26582957991965372</v>
      </c>
      <c r="EJ329" s="122">
        <f t="shared" si="945"/>
        <v>0.11704565890833467</v>
      </c>
    </row>
    <row r="330" spans="2:140" ht="12" hidden="1" customHeight="1" outlineLevel="1">
      <c r="B330" s="121">
        <v>45832</v>
      </c>
      <c r="C330" s="117">
        <v>25427</v>
      </c>
      <c r="D330" s="50" t="s">
        <v>1207</v>
      </c>
      <c r="E330" s="50" t="s">
        <v>1208</v>
      </c>
      <c r="F330" s="50" t="s">
        <v>1506</v>
      </c>
      <c r="G330" s="50" t="s">
        <v>291</v>
      </c>
      <c r="H330" s="50" t="s">
        <v>1507</v>
      </c>
      <c r="I330" s="50" t="s">
        <v>1508</v>
      </c>
      <c r="J330" s="52" t="s">
        <v>263</v>
      </c>
      <c r="K330" s="50" t="s">
        <v>176</v>
      </c>
      <c r="L330" s="49">
        <v>6</v>
      </c>
      <c r="M330" s="50" t="s">
        <v>159</v>
      </c>
      <c r="N330" s="50" t="s">
        <v>160</v>
      </c>
      <c r="O330" s="50" t="s">
        <v>160</v>
      </c>
      <c r="P330" s="50" t="s">
        <v>161</v>
      </c>
      <c r="Q330" s="53">
        <v>0.04</v>
      </c>
      <c r="R330" s="49">
        <v>130</v>
      </c>
      <c r="S330" s="49">
        <v>0</v>
      </c>
      <c r="T330" s="54">
        <f t="shared" si="867"/>
        <v>130</v>
      </c>
      <c r="U330" s="55">
        <v>103094</v>
      </c>
      <c r="V330" s="49">
        <v>6.97</v>
      </c>
      <c r="W330" s="56">
        <f t="shared" si="870"/>
        <v>18.651362984218078</v>
      </c>
      <c r="X330" s="49">
        <v>1982</v>
      </c>
      <c r="Y330" s="57" t="s">
        <v>162</v>
      </c>
      <c r="Z330" s="58">
        <v>10124350</v>
      </c>
      <c r="AA330" s="114">
        <f>(((10374350*0.0609)/(Table1[[#This Row],[Construction Loan Principal]]))+(((-250000*0.0609)/(Table1[[#This Row],[Construction Loan Principal]]))))</f>
        <v>6.0900000000000003E-2</v>
      </c>
      <c r="AB330" s="59">
        <v>18</v>
      </c>
      <c r="AC330" s="60">
        <v>40</v>
      </c>
      <c r="AD330" s="61">
        <v>6.0900000000000003E-2</v>
      </c>
      <c r="AE330" s="62">
        <v>10374350</v>
      </c>
      <c r="AF330" s="63">
        <v>1.1200000000000001</v>
      </c>
      <c r="AG330" s="59">
        <v>18</v>
      </c>
      <c r="AH330" s="60">
        <v>40</v>
      </c>
      <c r="AI330" s="61">
        <v>6.0900000000000003E-2</v>
      </c>
      <c r="AJ330" s="64">
        <v>-250000</v>
      </c>
      <c r="AK330" s="65">
        <f t="shared" si="871"/>
        <v>10124350</v>
      </c>
      <c r="AL330" s="66">
        <v>750000</v>
      </c>
      <c r="AM330" s="49" t="s">
        <v>1509</v>
      </c>
      <c r="AN330" s="67">
        <f>(0.88+0.6+0.88)/3</f>
        <v>0.78666666666666663</v>
      </c>
      <c r="AO330" s="62">
        <v>19914377</v>
      </c>
      <c r="AP330" s="62">
        <v>0</v>
      </c>
      <c r="AQ330" s="68">
        <v>1263560</v>
      </c>
      <c r="AR330" s="69">
        <f t="shared" si="872"/>
        <v>77879.61538461539</v>
      </c>
      <c r="AS330" s="70">
        <f t="shared" si="873"/>
        <v>5769.2307692307695</v>
      </c>
      <c r="AT330" s="70">
        <f t="shared" si="874"/>
        <v>153187.5153846154</v>
      </c>
      <c r="AU330" s="70" t="str">
        <f t="shared" si="875"/>
        <v/>
      </c>
      <c r="AV330" s="71">
        <f t="shared" si="876"/>
        <v>9719.6923076923085</v>
      </c>
      <c r="AW330" s="115">
        <f t="shared" si="877"/>
        <v>76658.876923076925</v>
      </c>
      <c r="AX330" s="116">
        <f t="shared" si="878"/>
        <v>96.665703144702888</v>
      </c>
      <c r="AY330" s="72">
        <f t="shared" si="879"/>
        <v>91940.169230769228</v>
      </c>
      <c r="AZ330" s="73">
        <f t="shared" si="880"/>
        <v>115.9351853648127</v>
      </c>
      <c r="BA330" s="66">
        <v>0</v>
      </c>
      <c r="BB330" s="62">
        <v>279140</v>
      </c>
      <c r="BC330" s="62">
        <v>9686514</v>
      </c>
      <c r="BD330" s="62">
        <v>996568</v>
      </c>
      <c r="BE330" s="62">
        <v>990000</v>
      </c>
      <c r="BF330" s="62">
        <v>1596977</v>
      </c>
      <c r="BG330" s="62">
        <v>3305752</v>
      </c>
      <c r="BH330" s="62">
        <v>3584000</v>
      </c>
      <c r="BI330" s="62">
        <v>913736</v>
      </c>
      <c r="BJ330" s="47">
        <f t="shared" si="881"/>
        <v>21352687</v>
      </c>
      <c r="BK330" s="69" t="str">
        <f t="shared" si="882"/>
        <v/>
      </c>
      <c r="BL330" s="70">
        <f t="shared" si="883"/>
        <v>2147.2307692307691</v>
      </c>
      <c r="BM330" s="70">
        <f t="shared" si="884"/>
        <v>74511.646153846159</v>
      </c>
      <c r="BN330" s="70">
        <f t="shared" si="885"/>
        <v>7665.9076923076927</v>
      </c>
      <c r="BO330" s="70">
        <f t="shared" si="886"/>
        <v>7615.3846153846152</v>
      </c>
      <c r="BP330" s="70">
        <f t="shared" si="887"/>
        <v>12284.438461538462</v>
      </c>
      <c r="BQ330" s="70">
        <f t="shared" si="888"/>
        <v>25428.861538461537</v>
      </c>
      <c r="BR330" s="70">
        <f t="shared" si="889"/>
        <v>27569.23076923077</v>
      </c>
      <c r="BS330" s="70">
        <f t="shared" si="890"/>
        <v>7028.7384615384617</v>
      </c>
      <c r="BT330" s="71">
        <f t="shared" si="891"/>
        <v>164251.43846153846</v>
      </c>
      <c r="BU330" s="65" t="str">
        <f t="shared" si="892"/>
        <v/>
      </c>
      <c r="BV330" s="48">
        <f t="shared" si="893"/>
        <v>2.7076260500126099</v>
      </c>
      <c r="BW330" s="48">
        <f t="shared" si="894"/>
        <v>93.958077094690282</v>
      </c>
      <c r="BX330" s="48">
        <f t="shared" si="895"/>
        <v>9.6665955341726963</v>
      </c>
      <c r="BY330" s="48">
        <f t="shared" si="896"/>
        <v>9.602886685937106</v>
      </c>
      <c r="BZ330" s="48">
        <f t="shared" si="897"/>
        <v>15.490494112169477</v>
      </c>
      <c r="CA330" s="48">
        <f t="shared" si="898"/>
        <v>32.065416028090866</v>
      </c>
      <c r="CB330" s="48">
        <f t="shared" si="899"/>
        <v>34.764389780200595</v>
      </c>
      <c r="CC330" s="48">
        <f t="shared" si="900"/>
        <v>8.8631346150115426</v>
      </c>
      <c r="CD330" s="47">
        <f t="shared" si="901"/>
        <v>207.11861990028518</v>
      </c>
      <c r="CE330" s="66">
        <v>1731060</v>
      </c>
      <c r="CF330" s="62">
        <f>42089+4704</f>
        <v>46793</v>
      </c>
      <c r="CG330" s="74">
        <v>-133339</v>
      </c>
      <c r="CH330" s="75">
        <f t="shared" si="902"/>
        <v>1644514</v>
      </c>
      <c r="CI330" s="62">
        <f>96014+84+20000+17760+5200</f>
        <v>139058</v>
      </c>
      <c r="CJ330" s="62">
        <v>92776</v>
      </c>
      <c r="CK330" s="62">
        <v>177897</v>
      </c>
      <c r="CL330" s="62">
        <v>60110</v>
      </c>
      <c r="CM330" s="62">
        <f>45018+165960</f>
        <v>210978</v>
      </c>
      <c r="CN330" s="62">
        <v>146560</v>
      </c>
      <c r="CO330" s="62">
        <v>0</v>
      </c>
      <c r="CP330" s="75">
        <f t="shared" si="868"/>
        <v>827379</v>
      </c>
      <c r="CQ330" s="62">
        <v>39000</v>
      </c>
      <c r="CR330" s="75">
        <f t="shared" si="869"/>
        <v>866379</v>
      </c>
      <c r="CS330" s="75">
        <f t="shared" si="903"/>
        <v>817135</v>
      </c>
      <c r="CT330" s="62">
        <v>676105</v>
      </c>
      <c r="CU330" s="47">
        <f t="shared" si="904"/>
        <v>141030</v>
      </c>
      <c r="CV330" s="76">
        <f t="shared" si="905"/>
        <v>0.49688540200934744</v>
      </c>
      <c r="CW330" s="75">
        <f t="shared" si="906"/>
        <v>6664.4538461538459</v>
      </c>
      <c r="CX330" s="77">
        <f t="shared" si="907"/>
        <v>0.52682981111744864</v>
      </c>
      <c r="CY330" s="75">
        <f t="shared" si="908"/>
        <v>1084.8461538461538</v>
      </c>
      <c r="CZ330" s="77">
        <f t="shared" si="909"/>
        <v>8.5757859160821986E-2</v>
      </c>
      <c r="DA330" s="77">
        <f t="shared" si="910"/>
        <v>0.41112754284852548</v>
      </c>
      <c r="DB330" s="47">
        <f t="shared" si="911"/>
        <v>77879.61538461539</v>
      </c>
      <c r="DC330" s="69">
        <f t="shared" si="912"/>
        <v>13315.846153846154</v>
      </c>
      <c r="DD330" s="70">
        <f t="shared" si="913"/>
        <v>359.94615384615383</v>
      </c>
      <c r="DE330" s="70">
        <f t="shared" si="914"/>
        <v>-1025.6846153846154</v>
      </c>
      <c r="DF330" s="70">
        <f t="shared" si="915"/>
        <v>12650.107692307693</v>
      </c>
      <c r="DG330" s="70">
        <f t="shared" si="916"/>
        <v>1069.676923076923</v>
      </c>
      <c r="DH330" s="70">
        <f t="shared" si="917"/>
        <v>713.6615384615385</v>
      </c>
      <c r="DI330" s="70">
        <f t="shared" si="918"/>
        <v>1368.4384615384615</v>
      </c>
      <c r="DJ330" s="70">
        <f t="shared" si="919"/>
        <v>462.38461538461536</v>
      </c>
      <c r="DK330" s="70">
        <f t="shared" si="920"/>
        <v>1622.9076923076923</v>
      </c>
      <c r="DL330" s="70">
        <f t="shared" si="921"/>
        <v>1127.3846153846155</v>
      </c>
      <c r="DM330" s="70" t="str">
        <f t="shared" si="922"/>
        <v/>
      </c>
      <c r="DN330" s="70">
        <f t="shared" si="923"/>
        <v>6364.4538461538459</v>
      </c>
      <c r="DO330" s="70">
        <f t="shared" si="924"/>
        <v>300</v>
      </c>
      <c r="DP330" s="70">
        <f t="shared" si="925"/>
        <v>6664.4538461538459</v>
      </c>
      <c r="DQ330" s="70">
        <f t="shared" si="926"/>
        <v>6285.6538461538457</v>
      </c>
      <c r="DR330" s="70">
        <f t="shared" si="927"/>
        <v>5200.8076923076924</v>
      </c>
      <c r="DS330" s="71">
        <f t="shared" si="928"/>
        <v>1084.8461538461538</v>
      </c>
      <c r="DT330" s="106">
        <f t="shared" si="929"/>
        <v>1.0526270983402999</v>
      </c>
      <c r="DU330" s="92">
        <f t="shared" si="930"/>
        <v>2.8453999175440281E-2</v>
      </c>
      <c r="DV330" s="92" t="str">
        <f t="shared" si="931"/>
        <v/>
      </c>
      <c r="DW330" s="92">
        <f t="shared" si="932"/>
        <v>1</v>
      </c>
      <c r="DX330" s="92">
        <f t="shared" si="933"/>
        <v>8.4558720691949113E-2</v>
      </c>
      <c r="DY330" s="92">
        <f t="shared" si="934"/>
        <v>5.6415451616708648E-2</v>
      </c>
      <c r="DZ330" s="92">
        <f t="shared" si="935"/>
        <v>0.10817603255429872</v>
      </c>
      <c r="EA330" s="92">
        <f t="shared" si="936"/>
        <v>3.6551832334659355E-2</v>
      </c>
      <c r="EB330" s="92">
        <f t="shared" si="937"/>
        <v>0.12829200602731264</v>
      </c>
      <c r="EC330" s="92">
        <f t="shared" si="938"/>
        <v>8.91205547657241E-2</v>
      </c>
      <c r="ED330" s="92" t="str">
        <f t="shared" si="939"/>
        <v/>
      </c>
      <c r="EE330" s="92">
        <f t="shared" si="940"/>
        <v>0.50311459799065261</v>
      </c>
      <c r="EF330" s="92">
        <f t="shared" si="941"/>
        <v>2.3715213126796125E-2</v>
      </c>
      <c r="EG330" s="92">
        <f t="shared" si="942"/>
        <v>0.52682981111744864</v>
      </c>
      <c r="EH330" s="92">
        <f t="shared" si="943"/>
        <v>0.49688540200934744</v>
      </c>
      <c r="EI330" s="92">
        <f t="shared" si="944"/>
        <v>0.41112754284852548</v>
      </c>
      <c r="EJ330" s="122">
        <f t="shared" si="945"/>
        <v>8.5757859160821986E-2</v>
      </c>
    </row>
    <row r="331" spans="2:140" ht="12" hidden="1" customHeight="1" outlineLevel="1">
      <c r="B331" s="121">
        <v>45840</v>
      </c>
      <c r="C331" s="117">
        <v>25461</v>
      </c>
      <c r="D331" s="50" t="s">
        <v>1510</v>
      </c>
      <c r="E331" s="50" t="s">
        <v>1511</v>
      </c>
      <c r="F331" s="50" t="s">
        <v>1512</v>
      </c>
      <c r="G331" s="50" t="s">
        <v>249</v>
      </c>
      <c r="H331" s="50" t="s">
        <v>1513</v>
      </c>
      <c r="I331" s="50" t="s">
        <v>1037</v>
      </c>
      <c r="J331" s="52" t="s">
        <v>1514</v>
      </c>
      <c r="K331" s="50" t="s">
        <v>176</v>
      </c>
      <c r="L331" s="49">
        <v>6</v>
      </c>
      <c r="M331" s="50" t="s">
        <v>159</v>
      </c>
      <c r="N331" s="50" t="s">
        <v>160</v>
      </c>
      <c r="O331" s="50" t="s">
        <v>160</v>
      </c>
      <c r="P331" s="50" t="s">
        <v>161</v>
      </c>
      <c r="Q331" s="53">
        <v>0.04</v>
      </c>
      <c r="R331" s="49">
        <v>168</v>
      </c>
      <c r="S331" s="49">
        <v>0</v>
      </c>
      <c r="T331" s="54">
        <f t="shared" si="867"/>
        <v>168</v>
      </c>
      <c r="U331" s="55">
        <v>127792</v>
      </c>
      <c r="V331" s="49">
        <v>5.72</v>
      </c>
      <c r="W331" s="56">
        <f t="shared" si="870"/>
        <v>29.370629370629374</v>
      </c>
      <c r="X331" s="49">
        <v>1982</v>
      </c>
      <c r="Y331" s="57" t="s">
        <v>162</v>
      </c>
      <c r="Z331" s="58">
        <v>24795027</v>
      </c>
      <c r="AA331" s="114">
        <v>5.5300000000000002E-2</v>
      </c>
      <c r="AB331" s="59">
        <v>15</v>
      </c>
      <c r="AC331" s="60">
        <v>40</v>
      </c>
      <c r="AD331" s="61">
        <v>5.5300000000000002E-2</v>
      </c>
      <c r="AE331" s="62">
        <v>24795027</v>
      </c>
      <c r="AF331" s="63">
        <v>1.1499999999999999</v>
      </c>
      <c r="AG331" s="59"/>
      <c r="AH331" s="60"/>
      <c r="AI331" s="61"/>
      <c r="AJ331" s="64"/>
      <c r="AK331" s="65">
        <f t="shared" si="871"/>
        <v>24795027</v>
      </c>
      <c r="AL331" s="66">
        <v>1794169</v>
      </c>
      <c r="AM331" s="49" t="s">
        <v>1515</v>
      </c>
      <c r="AN331" s="67">
        <v>0.83</v>
      </c>
      <c r="AO331" s="62">
        <v>14027404</v>
      </c>
      <c r="AP331" s="62">
        <v>0</v>
      </c>
      <c r="AQ331" s="68">
        <v>1296071</v>
      </c>
      <c r="AR331" s="69">
        <f t="shared" si="872"/>
        <v>147589.44642857142</v>
      </c>
      <c r="AS331" s="70">
        <f t="shared" si="873"/>
        <v>10679.577380952382</v>
      </c>
      <c r="AT331" s="70">
        <f t="shared" si="874"/>
        <v>83496.452380952382</v>
      </c>
      <c r="AU331" s="70" t="str">
        <f t="shared" si="875"/>
        <v/>
      </c>
      <c r="AV331" s="71">
        <f t="shared" si="876"/>
        <v>7714.708333333333</v>
      </c>
      <c r="AW331" s="115">
        <f t="shared" si="877"/>
        <v>72750</v>
      </c>
      <c r="AX331" s="116">
        <f t="shared" si="878"/>
        <v>95.639789658194573</v>
      </c>
      <c r="AY331" s="72">
        <f t="shared" si="879"/>
        <v>91228.5</v>
      </c>
      <c r="AZ331" s="73">
        <f t="shared" si="880"/>
        <v>119.932296231376</v>
      </c>
      <c r="BA331" s="66">
        <v>14000000</v>
      </c>
      <c r="BB331" s="62">
        <v>1742787</v>
      </c>
      <c r="BC331" s="62">
        <v>10479213</v>
      </c>
      <c r="BD331" s="62">
        <v>1222200</v>
      </c>
      <c r="BE331" s="62">
        <v>1882188</v>
      </c>
      <c r="BF331" s="62">
        <v>3301299</v>
      </c>
      <c r="BG331" s="62">
        <v>4205288</v>
      </c>
      <c r="BH331" s="62">
        <v>4681447</v>
      </c>
      <c r="BI331" s="62">
        <v>1082003</v>
      </c>
      <c r="BJ331" s="47">
        <f t="shared" si="881"/>
        <v>42596425</v>
      </c>
      <c r="BK331" s="69">
        <f t="shared" si="882"/>
        <v>83333.333333333328</v>
      </c>
      <c r="BL331" s="70">
        <f t="shared" si="883"/>
        <v>10373.732142857143</v>
      </c>
      <c r="BM331" s="70">
        <f t="shared" si="884"/>
        <v>62376.267857142855</v>
      </c>
      <c r="BN331" s="70">
        <f t="shared" si="885"/>
        <v>7275</v>
      </c>
      <c r="BO331" s="70">
        <f t="shared" si="886"/>
        <v>11203.5</v>
      </c>
      <c r="BP331" s="70">
        <f t="shared" si="887"/>
        <v>19650.589285714286</v>
      </c>
      <c r="BQ331" s="70">
        <f t="shared" si="888"/>
        <v>25031.476190476191</v>
      </c>
      <c r="BR331" s="70">
        <f t="shared" si="889"/>
        <v>27865.755952380954</v>
      </c>
      <c r="BS331" s="70">
        <f t="shared" si="890"/>
        <v>6440.4940476190477</v>
      </c>
      <c r="BT331" s="71">
        <f t="shared" si="891"/>
        <v>253550.14880952382</v>
      </c>
      <c r="BU331" s="65">
        <f t="shared" si="892"/>
        <v>109.55302366345312</v>
      </c>
      <c r="BV331" s="48">
        <f t="shared" si="893"/>
        <v>13.637684675097033</v>
      </c>
      <c r="BW331" s="48">
        <f t="shared" si="894"/>
        <v>82.002104983097539</v>
      </c>
      <c r="BX331" s="48">
        <f t="shared" si="895"/>
        <v>9.5639789658194569</v>
      </c>
      <c r="BY331" s="48">
        <f t="shared" si="896"/>
        <v>14.728527607361963</v>
      </c>
      <c r="BZ331" s="48">
        <f t="shared" si="897"/>
        <v>25.833377676223865</v>
      </c>
      <c r="CA331" s="48">
        <f t="shared" si="898"/>
        <v>32.907286841116814</v>
      </c>
      <c r="CB331" s="48">
        <f t="shared" si="899"/>
        <v>36.633333855014399</v>
      </c>
      <c r="CC331" s="48">
        <f t="shared" si="900"/>
        <v>8.4669071616376606</v>
      </c>
      <c r="CD331" s="47">
        <f t="shared" si="901"/>
        <v>333.32622542882183</v>
      </c>
      <c r="CE331" s="66">
        <v>3257280</v>
      </c>
      <c r="CF331" s="62">
        <v>9996</v>
      </c>
      <c r="CG331" s="74">
        <v>-163364</v>
      </c>
      <c r="CH331" s="75">
        <f t="shared" si="902"/>
        <v>3103912</v>
      </c>
      <c r="CI331" s="62">
        <f>75096+5750+6720+50000</f>
        <v>137566</v>
      </c>
      <c r="CJ331" s="62">
        <v>106848</v>
      </c>
      <c r="CK331" s="62">
        <v>305700</v>
      </c>
      <c r="CL331" s="62">
        <f>93000+25000</f>
        <v>118000</v>
      </c>
      <c r="CM331" s="62">
        <f>43311+210966</f>
        <v>254277</v>
      </c>
      <c r="CN331" s="62">
        <v>273467</v>
      </c>
      <c r="CO331" s="62">
        <v>0</v>
      </c>
      <c r="CP331" s="75">
        <f t="shared" si="868"/>
        <v>1195858</v>
      </c>
      <c r="CQ331" s="62">
        <v>50400</v>
      </c>
      <c r="CR331" s="75">
        <f t="shared" si="869"/>
        <v>1246258</v>
      </c>
      <c r="CS331" s="75">
        <f t="shared" si="903"/>
        <v>1908054</v>
      </c>
      <c r="CT331" s="62">
        <v>1565498</v>
      </c>
      <c r="CU331" s="47">
        <f t="shared" si="904"/>
        <v>342556</v>
      </c>
      <c r="CV331" s="76">
        <f t="shared" si="905"/>
        <v>0.61472554634280874</v>
      </c>
      <c r="CW331" s="75">
        <f t="shared" si="906"/>
        <v>7418.2023809523807</v>
      </c>
      <c r="CX331" s="77">
        <f t="shared" si="907"/>
        <v>0.40151202740283876</v>
      </c>
      <c r="CY331" s="75">
        <f t="shared" si="908"/>
        <v>2039.0238095238096</v>
      </c>
      <c r="CZ331" s="77">
        <f t="shared" si="909"/>
        <v>0.11036266492091271</v>
      </c>
      <c r="DA331" s="77">
        <f t="shared" si="910"/>
        <v>0.504362881421896</v>
      </c>
      <c r="DB331" s="47">
        <f t="shared" si="911"/>
        <v>147589.44642857142</v>
      </c>
      <c r="DC331" s="69">
        <f t="shared" si="912"/>
        <v>19388.571428571428</v>
      </c>
      <c r="DD331" s="70">
        <f t="shared" si="913"/>
        <v>59.5</v>
      </c>
      <c r="DE331" s="70">
        <f t="shared" si="914"/>
        <v>-972.40476190476193</v>
      </c>
      <c r="DF331" s="70">
        <f t="shared" si="915"/>
        <v>18475.666666666668</v>
      </c>
      <c r="DG331" s="70">
        <f t="shared" si="916"/>
        <v>818.84523809523807</v>
      </c>
      <c r="DH331" s="70">
        <f t="shared" si="917"/>
        <v>636</v>
      </c>
      <c r="DI331" s="70">
        <f t="shared" si="918"/>
        <v>1819.6428571428571</v>
      </c>
      <c r="DJ331" s="70">
        <f t="shared" si="919"/>
        <v>702.38095238095241</v>
      </c>
      <c r="DK331" s="70">
        <f t="shared" si="920"/>
        <v>1513.5535714285713</v>
      </c>
      <c r="DL331" s="70">
        <f t="shared" si="921"/>
        <v>1627.7797619047619</v>
      </c>
      <c r="DM331" s="70" t="str">
        <f t="shared" si="922"/>
        <v/>
      </c>
      <c r="DN331" s="70">
        <f t="shared" si="923"/>
        <v>7118.2023809523807</v>
      </c>
      <c r="DO331" s="70">
        <f t="shared" si="924"/>
        <v>300</v>
      </c>
      <c r="DP331" s="70">
        <f t="shared" si="925"/>
        <v>7418.2023809523807</v>
      </c>
      <c r="DQ331" s="70">
        <f t="shared" si="926"/>
        <v>11357.464285714286</v>
      </c>
      <c r="DR331" s="70">
        <f t="shared" si="927"/>
        <v>9318.4404761904771</v>
      </c>
      <c r="DS331" s="71">
        <f t="shared" si="928"/>
        <v>2039.0238095238096</v>
      </c>
      <c r="DT331" s="106">
        <f t="shared" si="929"/>
        <v>1.0494111946472708</v>
      </c>
      <c r="DU331" s="92">
        <f t="shared" si="930"/>
        <v>3.2204521262200734E-3</v>
      </c>
      <c r="DV331" s="92" t="str">
        <f t="shared" si="931"/>
        <v/>
      </c>
      <c r="DW331" s="92">
        <f t="shared" si="932"/>
        <v>1</v>
      </c>
      <c r="DX331" s="92">
        <f t="shared" si="933"/>
        <v>4.4320199799478849E-2</v>
      </c>
      <c r="DY331" s="92">
        <f t="shared" si="934"/>
        <v>3.4423656340772546E-2</v>
      </c>
      <c r="DZ331" s="92">
        <f t="shared" si="935"/>
        <v>9.8488616945325763E-2</v>
      </c>
      <c r="EA331" s="92">
        <f t="shared" si="936"/>
        <v>3.8016541706079293E-2</v>
      </c>
      <c r="EB331" s="92">
        <f t="shared" si="937"/>
        <v>8.1921459113531575E-2</v>
      </c>
      <c r="EC331" s="92">
        <f t="shared" si="938"/>
        <v>8.8103979752003278E-2</v>
      </c>
      <c r="ED331" s="92" t="str">
        <f t="shared" si="939"/>
        <v/>
      </c>
      <c r="EE331" s="92">
        <f t="shared" si="940"/>
        <v>0.38527445365719132</v>
      </c>
      <c r="EF331" s="92">
        <f t="shared" si="941"/>
        <v>1.6237573745647427E-2</v>
      </c>
      <c r="EG331" s="92">
        <f t="shared" si="942"/>
        <v>0.40151202740283876</v>
      </c>
      <c r="EH331" s="92">
        <f t="shared" si="943"/>
        <v>0.61472554634280874</v>
      </c>
      <c r="EI331" s="92">
        <f t="shared" si="944"/>
        <v>0.504362881421896</v>
      </c>
      <c r="EJ331" s="122">
        <f t="shared" si="945"/>
        <v>0.11036266492091271</v>
      </c>
    </row>
    <row r="332" spans="2:140" ht="12" hidden="1" customHeight="1" outlineLevel="1">
      <c r="B332" s="121">
        <v>45847</v>
      </c>
      <c r="C332" s="117">
        <v>25454</v>
      </c>
      <c r="D332" s="50" t="s">
        <v>1516</v>
      </c>
      <c r="E332" s="50" t="s">
        <v>1517</v>
      </c>
      <c r="F332" s="50" t="s">
        <v>1518</v>
      </c>
      <c r="G332" s="50" t="s">
        <v>249</v>
      </c>
      <c r="H332" s="50" t="s">
        <v>259</v>
      </c>
      <c r="I332" s="50" t="s">
        <v>540</v>
      </c>
      <c r="J332" s="52" t="s">
        <v>541</v>
      </c>
      <c r="K332" s="50" t="s">
        <v>542</v>
      </c>
      <c r="L332" s="49">
        <v>11</v>
      </c>
      <c r="M332" s="50" t="s">
        <v>159</v>
      </c>
      <c r="N332" s="50" t="s">
        <v>160</v>
      </c>
      <c r="O332" s="50" t="s">
        <v>160</v>
      </c>
      <c r="P332" s="50" t="s">
        <v>177</v>
      </c>
      <c r="Q332" s="53">
        <v>0.04</v>
      </c>
      <c r="R332" s="49">
        <v>324</v>
      </c>
      <c r="S332" s="49">
        <v>0</v>
      </c>
      <c r="T332" s="54">
        <f t="shared" si="867"/>
        <v>324</v>
      </c>
      <c r="U332" s="55">
        <v>330156</v>
      </c>
      <c r="V332" s="49">
        <v>16.059999999999999</v>
      </c>
      <c r="W332" s="56">
        <f t="shared" si="870"/>
        <v>20.174346201743464</v>
      </c>
      <c r="X332" s="49" t="s">
        <v>163</v>
      </c>
      <c r="Y332" s="57" t="s">
        <v>162</v>
      </c>
      <c r="Z332" s="58">
        <v>32152750</v>
      </c>
      <c r="AA332" s="114">
        <v>5.7599999999999998E-2</v>
      </c>
      <c r="AB332" s="59">
        <v>15</v>
      </c>
      <c r="AC332" s="60">
        <v>40</v>
      </c>
      <c r="AD332" s="61">
        <v>5.7599999999999998E-2</v>
      </c>
      <c r="AE332" s="62">
        <v>32152750</v>
      </c>
      <c r="AF332" s="63">
        <v>1.1499999999999999</v>
      </c>
      <c r="AG332" s="59"/>
      <c r="AH332" s="60"/>
      <c r="AI332" s="61"/>
      <c r="AJ332" s="64"/>
      <c r="AK332" s="65">
        <f t="shared" si="871"/>
        <v>32152750</v>
      </c>
      <c r="AL332" s="66">
        <v>2508000</v>
      </c>
      <c r="AM332" s="49" t="s">
        <v>1519</v>
      </c>
      <c r="AN332" s="67">
        <v>0.85</v>
      </c>
      <c r="AO332" s="62">
        <v>29909079</v>
      </c>
      <c r="AP332" s="62">
        <v>0</v>
      </c>
      <c r="AQ332" s="68">
        <v>4053442</v>
      </c>
      <c r="AR332" s="69">
        <f t="shared" si="872"/>
        <v>99236.882716049382</v>
      </c>
      <c r="AS332" s="70">
        <f t="shared" si="873"/>
        <v>7740.7407407407409</v>
      </c>
      <c r="AT332" s="70">
        <f t="shared" si="874"/>
        <v>92311.972222222219</v>
      </c>
      <c r="AU332" s="70" t="str">
        <f t="shared" si="875"/>
        <v/>
      </c>
      <c r="AV332" s="71">
        <f t="shared" si="876"/>
        <v>12510.623456790123</v>
      </c>
      <c r="AW332" s="115">
        <f t="shared" si="877"/>
        <v>115027.26543209876</v>
      </c>
      <c r="AX332" s="116">
        <f t="shared" si="878"/>
        <v>112.8824979706563</v>
      </c>
      <c r="AY332" s="72">
        <f t="shared" si="879"/>
        <v>136806.49691358025</v>
      </c>
      <c r="AZ332" s="73">
        <f t="shared" si="880"/>
        <v>134.25563975817491</v>
      </c>
      <c r="BA332" s="66">
        <v>1400000</v>
      </c>
      <c r="BB332" s="62">
        <v>4220095</v>
      </c>
      <c r="BC332" s="62">
        <v>33048739</v>
      </c>
      <c r="BD332" s="62">
        <v>1856966</v>
      </c>
      <c r="BE332" s="62">
        <v>5199505</v>
      </c>
      <c r="BF332" s="62">
        <v>3184393</v>
      </c>
      <c r="BG332" s="62">
        <v>6468577</v>
      </c>
      <c r="BH332" s="62">
        <v>7446356</v>
      </c>
      <c r="BI332" s="62">
        <v>1745198</v>
      </c>
      <c r="BJ332" s="47">
        <f t="shared" si="881"/>
        <v>64569829</v>
      </c>
      <c r="BK332" s="69">
        <f t="shared" si="882"/>
        <v>4320.9876543209875</v>
      </c>
      <c r="BL332" s="70">
        <f t="shared" si="883"/>
        <v>13024.984567901234</v>
      </c>
      <c r="BM332" s="70">
        <f t="shared" si="884"/>
        <v>102002.28086419753</v>
      </c>
      <c r="BN332" s="70">
        <f t="shared" si="885"/>
        <v>5731.3765432098762</v>
      </c>
      <c r="BO332" s="70">
        <f t="shared" si="886"/>
        <v>16047.854938271605</v>
      </c>
      <c r="BP332" s="70">
        <f t="shared" si="887"/>
        <v>9828.3734567901229</v>
      </c>
      <c r="BQ332" s="70">
        <f t="shared" si="888"/>
        <v>19964.743827160495</v>
      </c>
      <c r="BR332" s="70">
        <f t="shared" si="889"/>
        <v>22982.580246913582</v>
      </c>
      <c r="BS332" s="70">
        <f t="shared" si="890"/>
        <v>5386.4135802469136</v>
      </c>
      <c r="BT332" s="71">
        <f t="shared" si="891"/>
        <v>199289.59567901236</v>
      </c>
      <c r="BU332" s="65">
        <f t="shared" si="892"/>
        <v>4.2404196803935106</v>
      </c>
      <c r="BV332" s="48">
        <f t="shared" si="893"/>
        <v>12.782124207950181</v>
      </c>
      <c r="BW332" s="48">
        <f t="shared" si="894"/>
        <v>100.10037376270611</v>
      </c>
      <c r="BX332" s="48">
        <f t="shared" si="895"/>
        <v>5.6245108373011545</v>
      </c>
      <c r="BY332" s="48">
        <f t="shared" si="896"/>
        <v>15.748630950217473</v>
      </c>
      <c r="BZ332" s="48">
        <f t="shared" si="897"/>
        <v>9.6451162480766666</v>
      </c>
      <c r="CA332" s="48">
        <f t="shared" si="898"/>
        <v>19.592486582100584</v>
      </c>
      <c r="CB332" s="48">
        <f t="shared" si="899"/>
        <v>22.554053235440215</v>
      </c>
      <c r="CC332" s="48">
        <f t="shared" si="900"/>
        <v>5.285979960988139</v>
      </c>
      <c r="CD332" s="47">
        <f t="shared" si="901"/>
        <v>195.57369546517404</v>
      </c>
      <c r="CE332" s="66">
        <v>4010316</v>
      </c>
      <c r="CF332" s="62">
        <v>101088</v>
      </c>
      <c r="CG332" s="74">
        <v>-308355</v>
      </c>
      <c r="CH332" s="75">
        <f t="shared" si="902"/>
        <v>3803049</v>
      </c>
      <c r="CI332" s="62">
        <f>135456+6000+12960+25000</f>
        <v>179416</v>
      </c>
      <c r="CJ332" s="62">
        <v>123536</v>
      </c>
      <c r="CK332" s="62">
        <v>386844</v>
      </c>
      <c r="CL332" s="62">
        <f>133094+30000</f>
        <v>163094</v>
      </c>
      <c r="CM332" s="62">
        <f>51943+137146</f>
        <v>189089</v>
      </c>
      <c r="CN332" s="62">
        <v>275000</v>
      </c>
      <c r="CO332" s="62">
        <v>0</v>
      </c>
      <c r="CP332" s="75">
        <f t="shared" si="868"/>
        <v>1316979</v>
      </c>
      <c r="CQ332" s="62">
        <v>81000</v>
      </c>
      <c r="CR332" s="75">
        <f t="shared" si="869"/>
        <v>1397979</v>
      </c>
      <c r="CS332" s="75">
        <f t="shared" si="903"/>
        <v>2486070</v>
      </c>
      <c r="CT332" s="62">
        <v>2090868</v>
      </c>
      <c r="CU332" s="47">
        <f t="shared" si="904"/>
        <v>395202</v>
      </c>
      <c r="CV332" s="76">
        <f t="shared" si="905"/>
        <v>0.65370443557261559</v>
      </c>
      <c r="CW332" s="75">
        <f t="shared" si="906"/>
        <v>4314.75</v>
      </c>
      <c r="CX332" s="77">
        <f t="shared" si="907"/>
        <v>0.36759426449672356</v>
      </c>
      <c r="CY332" s="75">
        <f t="shared" si="908"/>
        <v>1219.7592592592594</v>
      </c>
      <c r="CZ332" s="77">
        <f t="shared" si="909"/>
        <v>0.10391714647904879</v>
      </c>
      <c r="DA332" s="77">
        <f t="shared" si="910"/>
        <v>0.54978728909356678</v>
      </c>
      <c r="DB332" s="47">
        <f t="shared" si="911"/>
        <v>99236.882716049382</v>
      </c>
      <c r="DC332" s="69">
        <f t="shared" si="912"/>
        <v>12377.518518518518</v>
      </c>
      <c r="DD332" s="70">
        <f t="shared" si="913"/>
        <v>312</v>
      </c>
      <c r="DE332" s="70">
        <f t="shared" si="914"/>
        <v>-951.71296296296293</v>
      </c>
      <c r="DF332" s="70">
        <f t="shared" si="915"/>
        <v>11737.805555555555</v>
      </c>
      <c r="DG332" s="70">
        <f t="shared" si="916"/>
        <v>553.75308641975312</v>
      </c>
      <c r="DH332" s="70">
        <f t="shared" si="917"/>
        <v>381.28395061728395</v>
      </c>
      <c r="DI332" s="70">
        <f t="shared" si="918"/>
        <v>1193.962962962963</v>
      </c>
      <c r="DJ332" s="70">
        <f t="shared" si="919"/>
        <v>503.37654320987656</v>
      </c>
      <c r="DK332" s="70">
        <f t="shared" si="920"/>
        <v>583.60802469135797</v>
      </c>
      <c r="DL332" s="70">
        <f t="shared" si="921"/>
        <v>848.76543209876547</v>
      </c>
      <c r="DM332" s="70" t="str">
        <f t="shared" si="922"/>
        <v/>
      </c>
      <c r="DN332" s="70">
        <f t="shared" si="923"/>
        <v>4064.75</v>
      </c>
      <c r="DO332" s="70">
        <f t="shared" si="924"/>
        <v>250</v>
      </c>
      <c r="DP332" s="70">
        <f t="shared" si="925"/>
        <v>4314.75</v>
      </c>
      <c r="DQ332" s="70">
        <f t="shared" si="926"/>
        <v>7673.0555555555557</v>
      </c>
      <c r="DR332" s="70">
        <f t="shared" si="927"/>
        <v>6453.2962962962965</v>
      </c>
      <c r="DS332" s="71">
        <f t="shared" si="928"/>
        <v>1219.7592592592594</v>
      </c>
      <c r="DT332" s="106">
        <f t="shared" si="929"/>
        <v>1.0545002181144656</v>
      </c>
      <c r="DU332" s="92">
        <f t="shared" si="930"/>
        <v>2.65807776865352E-2</v>
      </c>
      <c r="DV332" s="92" t="str">
        <f t="shared" si="931"/>
        <v/>
      </c>
      <c r="DW332" s="92">
        <f t="shared" si="932"/>
        <v>1</v>
      </c>
      <c r="DX332" s="92">
        <f t="shared" si="933"/>
        <v>4.7176883600500548E-2</v>
      </c>
      <c r="DY332" s="92">
        <f t="shared" si="934"/>
        <v>3.2483410021800926E-2</v>
      </c>
      <c r="DZ332" s="92">
        <f t="shared" si="935"/>
        <v>0.10171943616819032</v>
      </c>
      <c r="EA332" s="92">
        <f t="shared" si="936"/>
        <v>4.28850640630715E-2</v>
      </c>
      <c r="EB332" s="92">
        <f t="shared" si="937"/>
        <v>4.9720369103842733E-2</v>
      </c>
      <c r="EC332" s="92">
        <f t="shared" si="938"/>
        <v>7.2310401469978428E-2</v>
      </c>
      <c r="ED332" s="92" t="str">
        <f t="shared" si="939"/>
        <v/>
      </c>
      <c r="EE332" s="92">
        <f t="shared" si="940"/>
        <v>0.34629556442738446</v>
      </c>
      <c r="EF332" s="92">
        <f t="shared" si="941"/>
        <v>2.1298700069339101E-2</v>
      </c>
      <c r="EG332" s="92">
        <f t="shared" si="942"/>
        <v>0.36759426449672356</v>
      </c>
      <c r="EH332" s="92">
        <f t="shared" si="943"/>
        <v>0.65370443557261559</v>
      </c>
      <c r="EI332" s="92">
        <f t="shared" si="944"/>
        <v>0.54978728909356678</v>
      </c>
      <c r="EJ332" s="122">
        <f t="shared" si="945"/>
        <v>0.10391714647904879</v>
      </c>
    </row>
    <row r="333" spans="2:140" ht="12" hidden="1" customHeight="1" outlineLevel="1">
      <c r="B333" s="121">
        <v>45869</v>
      </c>
      <c r="C333" s="117">
        <v>25408</v>
      </c>
      <c r="D333" s="50" t="s">
        <v>1520</v>
      </c>
      <c r="E333" s="50" t="s">
        <v>1230</v>
      </c>
      <c r="F333" s="50" t="s">
        <v>1147</v>
      </c>
      <c r="G333" s="50" t="s">
        <v>162</v>
      </c>
      <c r="H333" s="50" t="s">
        <v>1521</v>
      </c>
      <c r="I333" s="50" t="s">
        <v>229</v>
      </c>
      <c r="J333" s="52" t="s">
        <v>1217</v>
      </c>
      <c r="K333" s="50" t="s">
        <v>176</v>
      </c>
      <c r="L333" s="49">
        <v>6</v>
      </c>
      <c r="M333" s="50" t="s">
        <v>159</v>
      </c>
      <c r="N333" s="50" t="s">
        <v>160</v>
      </c>
      <c r="O333" s="50" t="s">
        <v>160</v>
      </c>
      <c r="P333" s="50" t="s">
        <v>161</v>
      </c>
      <c r="Q333" s="53">
        <v>0.04</v>
      </c>
      <c r="R333" s="49">
        <v>236</v>
      </c>
      <c r="S333" s="49">
        <v>0</v>
      </c>
      <c r="T333" s="54">
        <f t="shared" si="867"/>
        <v>236</v>
      </c>
      <c r="U333" s="55">
        <v>221832</v>
      </c>
      <c r="V333" s="49">
        <v>13.775</v>
      </c>
      <c r="W333" s="56">
        <f t="shared" ref="W333:W345" si="946">IFERROR(IF(T333&gt;0,T333/V333,""),"")</f>
        <v>17.132486388384756</v>
      </c>
      <c r="X333" s="49">
        <v>2007</v>
      </c>
      <c r="Y333" s="57" t="s">
        <v>162</v>
      </c>
      <c r="Z333" s="58">
        <v>17509000</v>
      </c>
      <c r="AA333" s="114">
        <v>6.4100000000000004E-2</v>
      </c>
      <c r="AB333" s="59">
        <v>15</v>
      </c>
      <c r="AC333" s="60">
        <v>40</v>
      </c>
      <c r="AD333" s="61">
        <v>6.4100000000000004E-2</v>
      </c>
      <c r="AE333" s="62">
        <v>17509000</v>
      </c>
      <c r="AF333" s="63">
        <v>1.2</v>
      </c>
      <c r="AG333" s="59"/>
      <c r="AH333" s="60"/>
      <c r="AI333" s="61"/>
      <c r="AJ333" s="64"/>
      <c r="AK333" s="65">
        <f t="shared" ref="AK333:AK345" si="947">IFERROR(IF(AE333&gt;0,AJ333+AE333,""),"")</f>
        <v>17509000</v>
      </c>
      <c r="AL333" s="66">
        <v>21000000</v>
      </c>
      <c r="AM333" s="49" t="s">
        <v>1522</v>
      </c>
      <c r="AN333" s="67">
        <v>0.95</v>
      </c>
      <c r="AO333" s="62">
        <v>25576445</v>
      </c>
      <c r="AP333" s="62">
        <v>1485074</v>
      </c>
      <c r="AQ333" s="68">
        <v>4402383</v>
      </c>
      <c r="AR333" s="69">
        <f t="shared" ref="AR333:AR345" si="948">IFERROR(IF(AK333&gt;0,AK333/T333,""),"")</f>
        <v>74190.677966101692</v>
      </c>
      <c r="AS333" s="70">
        <f t="shared" ref="AS333:AS345" si="949">IFERROR(IF(AL333&gt;0,AL333/T333,""),"")</f>
        <v>88983.05084745762</v>
      </c>
      <c r="AT333" s="70">
        <f t="shared" ref="AT333:AT345" si="950">IFERROR(IF(AO333&gt;0,AO333/T333,""),"")</f>
        <v>108374.76694915254</v>
      </c>
      <c r="AU333" s="70">
        <f t="shared" ref="AU333:AU345" si="951">IFERROR(IF(AP333&gt;0,AP333/T333,""),"")</f>
        <v>6292.6864406779659</v>
      </c>
      <c r="AV333" s="71">
        <f t="shared" ref="AV333:AV345" si="952">IFERROR(IF(AQ333&gt;0,AQ333/T333,""),"")</f>
        <v>18654.165254237287</v>
      </c>
      <c r="AW333" s="115">
        <f t="shared" ref="AW333:AW345" si="953">IFERROR(IF(SUM(BB333:BC333)&gt;0,SUM(BB333:BC333)/T333,""),"")</f>
        <v>70242.360169491527</v>
      </c>
      <c r="AX333" s="116">
        <f t="shared" ref="AX333:AX345" si="954">IFERROR(IF(SUM(BB333:BC333)&gt;0,SUM(BB333:BC333)/U333,""),"")</f>
        <v>74.728609939052973</v>
      </c>
      <c r="AY333" s="72">
        <f t="shared" ref="AY333:AY345" si="955">IFERROR(IF(SUM(BL333:BO333)&gt;0,SUM(BL333:BO333),""),"")</f>
        <v>88083.906779661018</v>
      </c>
      <c r="AZ333" s="73">
        <f t="shared" ref="AZ333:AZ345" si="956">IFERROR(IF(SUM(BV333:BY333)&gt;0,SUM(BV333:BY333),""),"")</f>
        <v>93.709663168523917</v>
      </c>
      <c r="BA333" s="66">
        <v>24052000</v>
      </c>
      <c r="BB333" s="62">
        <v>2122276</v>
      </c>
      <c r="BC333" s="62">
        <v>14454921</v>
      </c>
      <c r="BD333" s="62">
        <v>1657719</v>
      </c>
      <c r="BE333" s="62">
        <v>2552886</v>
      </c>
      <c r="BF333" s="62">
        <v>3426760</v>
      </c>
      <c r="BG333" s="62">
        <v>8618575</v>
      </c>
      <c r="BH333" s="62">
        <v>7272011</v>
      </c>
      <c r="BI333" s="62">
        <v>1636497</v>
      </c>
      <c r="BJ333" s="47">
        <f t="shared" ref="BJ333:BJ345" si="957">IFERROR(IF(SUM(BA333:BI333)&gt;0,SUM(BA333:BI333),""),"")</f>
        <v>65793645</v>
      </c>
      <c r="BK333" s="69">
        <f t="shared" ref="BK333:BK345" si="958">IFERROR(IF(BA333&gt;0,BA333/$T333,""),"")</f>
        <v>101915.25423728813</v>
      </c>
      <c r="BL333" s="70">
        <f t="shared" ref="BL333:BL345" si="959">IFERROR(IF(BB333&gt;0,BB333/$T333,""),"")</f>
        <v>8992.6949152542365</v>
      </c>
      <c r="BM333" s="70">
        <f t="shared" ref="BM333:BM345" si="960">IFERROR(IF(BC333&gt;0,BC333/$T333,""),"")</f>
        <v>61249.66525423729</v>
      </c>
      <c r="BN333" s="70">
        <f t="shared" ref="BN333:BN345" si="961">IFERROR(IF(BD333&gt;0,BD333/$T333,""),"")</f>
        <v>7024.2330508474579</v>
      </c>
      <c r="BO333" s="70">
        <f t="shared" ref="BO333:BO345" si="962">IFERROR(IF(BE333&gt;0,BE333/$T333,""),"")</f>
        <v>10817.313559322034</v>
      </c>
      <c r="BP333" s="70">
        <f t="shared" ref="BP333:BP345" si="963">IFERROR(IF(BF333&gt;0,BF333/$T333,""),"")</f>
        <v>14520.169491525423</v>
      </c>
      <c r="BQ333" s="70">
        <f t="shared" ref="BQ333:BQ345" si="964">IFERROR(IF(BG333&gt;0,BG333/$T333,""),"")</f>
        <v>36519.385593220337</v>
      </c>
      <c r="BR333" s="70">
        <f t="shared" ref="BR333:BR345" si="965">IFERROR(IF(BH333&gt;0,BH333/$T333,""),"")</f>
        <v>30813.605932203391</v>
      </c>
      <c r="BS333" s="70">
        <f t="shared" ref="BS333:BS345" si="966">IFERROR(IF(BI333&gt;0,BI333/$T333,""),"")</f>
        <v>6934.3093220338988</v>
      </c>
      <c r="BT333" s="71">
        <f t="shared" ref="BT333:BT345" si="967">IFERROR(IF(BJ333&gt;0,BJ333/$T333,""),"")</f>
        <v>278786.63135593222</v>
      </c>
      <c r="BU333" s="65">
        <f t="shared" ref="BU333:BU345" si="968">IFERROR(IF(BA333&gt;0,BA333/$U333,""),"")</f>
        <v>108.42439323451981</v>
      </c>
      <c r="BV333" s="48">
        <f t="shared" ref="BV333:BV345" si="969">IFERROR(IF(BB333&gt;0,BB333/$U333,""),"")</f>
        <v>9.5670417252695739</v>
      </c>
      <c r="BW333" s="48">
        <f t="shared" ref="BW333:BW345" si="970">IFERROR(IF(BC333&gt;0,BC333/$U333,""),"")</f>
        <v>65.161568213783397</v>
      </c>
      <c r="BX333" s="48">
        <f t="shared" ref="BX333:BX345" si="971">IFERROR(IF(BD333&gt;0,BD333/$U333,""),"")</f>
        <v>7.4728578383641677</v>
      </c>
      <c r="BY333" s="48">
        <f t="shared" ref="BY333:BY345" si="972">IFERROR(IF(BE333&gt;0,BE333/$U333,""),"")</f>
        <v>11.508195391106783</v>
      </c>
      <c r="BZ333" s="48">
        <f t="shared" ref="BZ333:BZ345" si="973">IFERROR(IF(BF333&gt;0,BF333/$U333,""),"")</f>
        <v>15.447545890583866</v>
      </c>
      <c r="CA333" s="48">
        <f t="shared" ref="CA333:CA345" si="974">IFERROR(IF(BG333&gt;0,BG333/$U333,""),"")</f>
        <v>38.85181128060875</v>
      </c>
      <c r="CB333" s="48">
        <f t="shared" ref="CB333:CB345" si="975">IFERROR(IF(BH333&gt;0,BH333/$U333,""),"")</f>
        <v>32.781614014208948</v>
      </c>
      <c r="CC333" s="48">
        <f t="shared" ref="CC333:CC345" si="976">IFERROR(IF(BI333&gt;0,BI333/$U333,""),"")</f>
        <v>7.3771908471275562</v>
      </c>
      <c r="CD333" s="47">
        <f t="shared" ref="CD333:CD345" si="977">IFERROR(IF(BJ333&gt;0,BJ333/$U333,""),"")</f>
        <v>296.59221843557287</v>
      </c>
      <c r="CE333" s="66">
        <v>3371004</v>
      </c>
      <c r="CF333" s="62">
        <v>60888</v>
      </c>
      <c r="CG333" s="74">
        <v>-257392</v>
      </c>
      <c r="CH333" s="75">
        <f t="shared" ref="CH333:CH345" si="978">IFERROR(IF(SUM(CE333:CG333)&gt;0,SUM(CE333:CG333),""),"")</f>
        <v>3174500</v>
      </c>
      <c r="CI333" s="62">
        <v>105707</v>
      </c>
      <c r="CJ333" s="62">
        <v>126980</v>
      </c>
      <c r="CK333" s="62">
        <v>464217</v>
      </c>
      <c r="CL333" s="62">
        <v>157742</v>
      </c>
      <c r="CM333" s="62">
        <f>SUM(36332,277501)</f>
        <v>313833</v>
      </c>
      <c r="CN333" s="62">
        <v>433456</v>
      </c>
      <c r="CO333" s="62">
        <v>0</v>
      </c>
      <c r="CP333" s="75">
        <f t="shared" si="868"/>
        <v>1601935</v>
      </c>
      <c r="CQ333" s="62">
        <v>70800</v>
      </c>
      <c r="CR333" s="75">
        <f t="shared" si="869"/>
        <v>1672735</v>
      </c>
      <c r="CS333" s="75">
        <f t="shared" ref="CS333:CS345" si="979">IFERROR(IF(CH333-CR333&gt;0,CH333-CP333,""),"")</f>
        <v>1572565</v>
      </c>
      <c r="CT333" s="62">
        <v>1234154</v>
      </c>
      <c r="CU333" s="47">
        <f t="shared" ref="CU333:CU345" si="980">IFERROR(IF(CS333-CT333&gt;0,CS333-CT333,""),"")</f>
        <v>338411</v>
      </c>
      <c r="CV333" s="76">
        <f t="shared" ref="CV333:CV345" si="981">IFERROR(IF(CU333&gt;0,CS333/CH333,""),"")</f>
        <v>0.49537407465742639</v>
      </c>
      <c r="CW333" s="75">
        <f t="shared" ref="CW333:CW345" si="982">IFERROR(IF(CU333&gt;0,CR333/T333,""),"")</f>
        <v>7087.8601694915251</v>
      </c>
      <c r="CX333" s="77">
        <f t="shared" ref="CX333:CX345" si="983">IFERROR(IF(CU333&gt;0,CR333/CH333,""),"")</f>
        <v>0.52692865018113089</v>
      </c>
      <c r="CY333" s="75">
        <f t="shared" ref="CY333:CY345" si="984">IFERROR(IF(CU333&gt;0,CU333/T333,""),"")</f>
        <v>1433.9449152542372</v>
      </c>
      <c r="CZ333" s="77">
        <f t="shared" ref="CZ333:CZ345" si="985">IFERROR(IF(CU333&gt;0,CU333/CH333,""),"")</f>
        <v>0.10660292959521185</v>
      </c>
      <c r="DA333" s="77">
        <f t="shared" ref="DA333:DA345" si="986">IFERROR(IF(CT333&gt;0,CT333/CH333,""),"")</f>
        <v>0.3887711450622145</v>
      </c>
      <c r="DB333" s="47">
        <f t="shared" ref="DB333:DB345" si="987">IFERROR(IF(AR333&gt;0,AR333,""),"")</f>
        <v>74190.677966101692</v>
      </c>
      <c r="DC333" s="69" t="str">
        <f>IFERROR(IF(ABS(#REF!)&gt;0,#REF!/$T333,""),"")</f>
        <v/>
      </c>
      <c r="DD333" s="70">
        <f t="shared" ref="DD333:DD345" si="988">IFERROR(IF(ABS(CF333)&gt;0,CF333/$T333,""),"")</f>
        <v>258</v>
      </c>
      <c r="DE333" s="70">
        <f t="shared" ref="DE333:DE345" si="989">IFERROR(IF(ABS(CG333)&gt;0,CG333/$T333,""),"")</f>
        <v>-1090.6440677966102</v>
      </c>
      <c r="DF333" s="70">
        <f t="shared" ref="DF333:DF345" si="990">IFERROR(IF(ABS(CH333)&gt;0,CH333/$T333,""),"")</f>
        <v>13451.271186440677</v>
      </c>
      <c r="DG333" s="70">
        <f t="shared" ref="DG333:DG345" si="991">IFERROR(IF(ABS(CI333)&gt;0,CI333/$T333,""),"")</f>
        <v>447.91101694915255</v>
      </c>
      <c r="DH333" s="70">
        <f t="shared" ref="DH333:DH345" si="992">IFERROR(IF(ABS(CJ333)&gt;0,CJ333/$T333,""),"")</f>
        <v>538.05084745762713</v>
      </c>
      <c r="DI333" s="70">
        <f t="shared" ref="DI333:DI345" si="993">IFERROR(IF(ABS(CK333)&gt;0,CK333/$T333,""),"")</f>
        <v>1967.0211864406779</v>
      </c>
      <c r="DJ333" s="70">
        <f t="shared" ref="DJ333:DJ345" si="994">IFERROR(IF(ABS(CL333)&gt;0,CL333/$T333,""),"")</f>
        <v>668.39830508474574</v>
      </c>
      <c r="DK333" s="70">
        <f t="shared" ref="DK333:DK345" si="995">IFERROR(IF(ABS(CM333)&gt;0,CM333/$T333,""),"")</f>
        <v>1329.800847457627</v>
      </c>
      <c r="DL333" s="70">
        <f t="shared" ref="DL333:DL345" si="996">IFERROR(IF(ABS(CN333)&gt;0,CN333/$T333,""),"")</f>
        <v>1836.6779661016949</v>
      </c>
      <c r="DM333" s="70" t="str">
        <f t="shared" ref="DM333:DM345" si="997">IFERROR(IF(ABS(CO333)&gt;0,CO333/$T333,""),"")</f>
        <v/>
      </c>
      <c r="DN333" s="70">
        <f t="shared" ref="DN333:DN345" si="998">IFERROR(IF(ABS(CP333)&gt;0,CP333/$T333,""),"")</f>
        <v>6787.8601694915251</v>
      </c>
      <c r="DO333" s="70">
        <f t="shared" ref="DO333:DO345" si="999">IFERROR(IF(ABS(CQ333)&gt;0,CQ333/$T333,""),"")</f>
        <v>300</v>
      </c>
      <c r="DP333" s="70">
        <f t="shared" ref="DP333:DP345" si="1000">IFERROR(IF(ABS(CR333)&gt;0,CR333/$T333,""),"")</f>
        <v>7087.8601694915251</v>
      </c>
      <c r="DQ333" s="70">
        <f t="shared" ref="DQ333:DQ345" si="1001">IFERROR(IF(ABS(CS333)&gt;0,CS333/$T333,""),"")</f>
        <v>6663.4110169491523</v>
      </c>
      <c r="DR333" s="70">
        <f t="shared" ref="DR333:DR345" si="1002">IFERROR(IF(ABS(CT333)&gt;0,CT333/$T333,""),"")</f>
        <v>5229.4661016949149</v>
      </c>
      <c r="DS333" s="71">
        <f t="shared" ref="DS333:DS345" si="1003">IFERROR(IF(ABS(CU333)&gt;0,CU333/$T333,""),"")</f>
        <v>1433.9449152542372</v>
      </c>
      <c r="DT333" s="106" t="str">
        <f>IFERROR(IF(ABS(#REF!&gt;0),#REF!/$CH333,""),"")</f>
        <v/>
      </c>
      <c r="DU333" s="92">
        <f t="shared" ref="DU333:DU345" si="1004">IFERROR(IF(ABS(CF333&gt;0),CF333/$CH333,""),"")</f>
        <v>1.9180343361159237E-2</v>
      </c>
      <c r="DV333" s="92" t="str">
        <f t="shared" ref="DV333:DV345" si="1005">IFERROR(IF(ABS(CG333&gt;0),CG333/$CH333,""),"")</f>
        <v/>
      </c>
      <c r="DW333" s="92">
        <f t="shared" ref="DW333:DW345" si="1006">IFERROR(IF(ABS(CH333&gt;0),CH333/$CH333,""),"")</f>
        <v>1</v>
      </c>
      <c r="DX333" s="92">
        <f t="shared" ref="DX333:DX345" si="1007">IFERROR(IF(ABS(CI333&gt;0),CI333/$CH333,""),"")</f>
        <v>3.3298787210584345E-2</v>
      </c>
      <c r="DY333" s="92">
        <f t="shared" ref="DY333:DY345" si="1008">IFERROR(IF(ABS(CJ333&gt;0),CJ333/$CH333,""),"")</f>
        <v>0.04</v>
      </c>
      <c r="DZ333" s="92">
        <f t="shared" ref="DZ333:DZ345" si="1009">IFERROR(IF(ABS(CK333&gt;0),CK333/$CH333,""),"")</f>
        <v>0.14623310757599622</v>
      </c>
      <c r="EA333" s="92">
        <f t="shared" ref="EA333:EA345" si="1010">IFERROR(IF(ABS(CL333&gt;0),CL333/$CH333,""),"")</f>
        <v>4.9690344936210426E-2</v>
      </c>
      <c r="EB333" s="92">
        <f t="shared" ref="EB333:EB345" si="1011">IFERROR(IF(ABS(CM333&gt;0),CM333/$CH333,""),"")</f>
        <v>9.8860607969759012E-2</v>
      </c>
      <c r="EC333" s="92">
        <f t="shared" ref="EC333:EC345" si="1012">IFERROR(IF(ABS(CN333&gt;0),CN333/$CH333,""),"")</f>
        <v>0.13654307765002363</v>
      </c>
      <c r="ED333" s="92" t="str">
        <f t="shared" ref="ED333:ED345" si="1013">IFERROR(IF(ABS(CO333&gt;0),CO333/$CH333,""),"")</f>
        <v/>
      </c>
      <c r="EE333" s="92">
        <f t="shared" ref="EE333:EE345" si="1014">IFERROR(IF(ABS(CP333&gt;0),CP333/$CH333,""),"")</f>
        <v>0.50462592534257367</v>
      </c>
      <c r="EF333" s="92">
        <f t="shared" ref="EF333:EF345" si="1015">IFERROR(IF(ABS(CQ333&gt;0),CQ333/$CH333,""),"")</f>
        <v>2.2302724838557254E-2</v>
      </c>
      <c r="EG333" s="92">
        <f t="shared" ref="EG333:EG345" si="1016">IFERROR(IF(ABS(CR333&gt;0),CR333/$CH333,""),"")</f>
        <v>0.52692865018113089</v>
      </c>
      <c r="EH333" s="92">
        <f t="shared" ref="EH333:EH345" si="1017">IFERROR(IF(ABS(CS333&gt;0),CS333/$CH333,""),"")</f>
        <v>0.49537407465742639</v>
      </c>
      <c r="EI333" s="92">
        <f t="shared" ref="EI333:EI345" si="1018">IFERROR(IF(ABS(CT333&gt;0),CT333/$CH333,""),"")</f>
        <v>0.3887711450622145</v>
      </c>
      <c r="EJ333" s="122">
        <f t="shared" ref="EJ333:EJ345" si="1019">IFERROR(IF(ABS(CU333&gt;0),CU333/$CH333,""),"")</f>
        <v>0.10660292959521185</v>
      </c>
    </row>
    <row r="334" spans="2:140" ht="12" hidden="1" customHeight="1" outlineLevel="1">
      <c r="B334" s="121">
        <v>45869</v>
      </c>
      <c r="C334" s="117">
        <v>25421</v>
      </c>
      <c r="D334" s="50" t="s">
        <v>1523</v>
      </c>
      <c r="E334" s="50" t="s">
        <v>1524</v>
      </c>
      <c r="F334" s="50" t="s">
        <v>1525</v>
      </c>
      <c r="G334" s="50" t="s">
        <v>249</v>
      </c>
      <c r="H334" s="50" t="s">
        <v>424</v>
      </c>
      <c r="I334" s="50" t="s">
        <v>672</v>
      </c>
      <c r="J334" s="52" t="s">
        <v>360</v>
      </c>
      <c r="K334" s="50" t="s">
        <v>294</v>
      </c>
      <c r="L334" s="49">
        <v>7</v>
      </c>
      <c r="M334" s="50" t="s">
        <v>159</v>
      </c>
      <c r="N334" s="50" t="s">
        <v>160</v>
      </c>
      <c r="O334" s="50" t="s">
        <v>160</v>
      </c>
      <c r="P334" s="50" t="s">
        <v>177</v>
      </c>
      <c r="Q334" s="53">
        <v>0.04</v>
      </c>
      <c r="R334" s="49">
        <v>75</v>
      </c>
      <c r="S334" s="49">
        <v>0</v>
      </c>
      <c r="T334" s="54">
        <f t="shared" si="867"/>
        <v>75</v>
      </c>
      <c r="U334" s="55">
        <v>57046</v>
      </c>
      <c r="V334" s="49">
        <v>2.5</v>
      </c>
      <c r="W334" s="56">
        <f t="shared" si="946"/>
        <v>30</v>
      </c>
      <c r="X334" s="49" t="s">
        <v>163</v>
      </c>
      <c r="Y334" s="57" t="s">
        <v>162</v>
      </c>
      <c r="Z334" s="58">
        <v>5300000</v>
      </c>
      <c r="AA334" s="114">
        <v>6.3E-2</v>
      </c>
      <c r="AB334" s="59">
        <v>15</v>
      </c>
      <c r="AC334" s="60">
        <v>40</v>
      </c>
      <c r="AD334" s="61">
        <v>6.3E-2</v>
      </c>
      <c r="AE334" s="62">
        <v>5300000</v>
      </c>
      <c r="AF334" s="63">
        <v>1.31</v>
      </c>
      <c r="AG334" s="59"/>
      <c r="AH334" s="60"/>
      <c r="AI334" s="61"/>
      <c r="AJ334" s="64"/>
      <c r="AK334" s="65">
        <f t="shared" si="947"/>
        <v>5300000</v>
      </c>
      <c r="AL334" s="66">
        <v>9700000</v>
      </c>
      <c r="AM334" s="49" t="s">
        <v>1526</v>
      </c>
      <c r="AN334" s="67">
        <v>0.84</v>
      </c>
      <c r="AO334" s="62">
        <v>12514083</v>
      </c>
      <c r="AP334" s="62">
        <v>475938</v>
      </c>
      <c r="AQ334" s="68">
        <v>1140661</v>
      </c>
      <c r="AR334" s="69">
        <f t="shared" si="948"/>
        <v>70666.666666666672</v>
      </c>
      <c r="AS334" s="70">
        <f t="shared" si="949"/>
        <v>129333.33333333333</v>
      </c>
      <c r="AT334" s="70">
        <f t="shared" si="950"/>
        <v>166854.44</v>
      </c>
      <c r="AU334" s="70">
        <f t="shared" si="951"/>
        <v>6345.84</v>
      </c>
      <c r="AV334" s="71">
        <f t="shared" si="952"/>
        <v>15208.813333333334</v>
      </c>
      <c r="AW334" s="115">
        <f t="shared" si="953"/>
        <v>231032.10666666666</v>
      </c>
      <c r="AX334" s="116">
        <f t="shared" si="954"/>
        <v>303.74448690530448</v>
      </c>
      <c r="AY334" s="72">
        <f t="shared" si="955"/>
        <v>275655.5733333333</v>
      </c>
      <c r="AZ334" s="73">
        <f t="shared" si="956"/>
        <v>362.41222872769339</v>
      </c>
      <c r="BA334" s="66">
        <v>270000</v>
      </c>
      <c r="BB334" s="62">
        <v>3519479</v>
      </c>
      <c r="BC334" s="62">
        <v>13807929</v>
      </c>
      <c r="BD334" s="62">
        <v>937500</v>
      </c>
      <c r="BE334" s="62">
        <v>2409260</v>
      </c>
      <c r="BF334" s="62">
        <v>1732661</v>
      </c>
      <c r="BG334" s="62">
        <v>3321000</v>
      </c>
      <c r="BH334" s="62">
        <v>3654123</v>
      </c>
      <c r="BI334" s="62">
        <v>389959</v>
      </c>
      <c r="BJ334" s="47">
        <f t="shared" si="957"/>
        <v>30041911</v>
      </c>
      <c r="BK334" s="69">
        <f t="shared" si="958"/>
        <v>3600</v>
      </c>
      <c r="BL334" s="70">
        <f t="shared" si="959"/>
        <v>46926.386666666665</v>
      </c>
      <c r="BM334" s="70">
        <f t="shared" si="960"/>
        <v>184105.72</v>
      </c>
      <c r="BN334" s="70">
        <f t="shared" si="961"/>
        <v>12500</v>
      </c>
      <c r="BO334" s="70">
        <f t="shared" si="962"/>
        <v>32123.466666666667</v>
      </c>
      <c r="BP334" s="70">
        <f t="shared" si="963"/>
        <v>23102.146666666667</v>
      </c>
      <c r="BQ334" s="70">
        <f t="shared" si="964"/>
        <v>44280</v>
      </c>
      <c r="BR334" s="70">
        <f t="shared" si="965"/>
        <v>48721.64</v>
      </c>
      <c r="BS334" s="70">
        <f t="shared" si="966"/>
        <v>5199.4533333333329</v>
      </c>
      <c r="BT334" s="71">
        <f t="shared" si="967"/>
        <v>400558.81333333335</v>
      </c>
      <c r="BU334" s="65">
        <f t="shared" si="968"/>
        <v>4.7330224730918911</v>
      </c>
      <c r="BV334" s="48">
        <f t="shared" si="969"/>
        <v>61.695456298425832</v>
      </c>
      <c r="BW334" s="48">
        <f t="shared" si="970"/>
        <v>242.04903060687866</v>
      </c>
      <c r="BX334" s="48">
        <f t="shared" si="971"/>
        <v>16.434105809346843</v>
      </c>
      <c r="BY334" s="48">
        <f t="shared" si="972"/>
        <v>42.233636013042108</v>
      </c>
      <c r="BZ334" s="48">
        <f t="shared" si="973"/>
        <v>30.373049819443956</v>
      </c>
      <c r="CA334" s="48">
        <f t="shared" si="974"/>
        <v>58.216176419030255</v>
      </c>
      <c r="CB334" s="48">
        <f t="shared" si="975"/>
        <v>64.055726957192448</v>
      </c>
      <c r="CC334" s="48">
        <f t="shared" si="976"/>
        <v>6.8358692984608913</v>
      </c>
      <c r="CD334" s="47">
        <f t="shared" si="977"/>
        <v>526.62607369491286</v>
      </c>
      <c r="CE334" s="66">
        <v>1020180</v>
      </c>
      <c r="CF334" s="62">
        <v>27000</v>
      </c>
      <c r="CG334" s="74">
        <v>-78539</v>
      </c>
      <c r="CH334" s="75">
        <f t="shared" si="978"/>
        <v>968641</v>
      </c>
      <c r="CI334" s="62">
        <v>34600</v>
      </c>
      <c r="CJ334" s="62">
        <v>50340</v>
      </c>
      <c r="CK334" s="62">
        <v>152005</v>
      </c>
      <c r="CL334" s="62">
        <v>69500</v>
      </c>
      <c r="CM334" s="62">
        <v>41019</v>
      </c>
      <c r="CN334" s="62">
        <v>112500</v>
      </c>
      <c r="CO334" s="62">
        <v>0</v>
      </c>
      <c r="CP334" s="75">
        <f t="shared" si="868"/>
        <v>459964</v>
      </c>
      <c r="CQ334" s="62">
        <v>18750</v>
      </c>
      <c r="CR334" s="75">
        <f t="shared" si="869"/>
        <v>478714</v>
      </c>
      <c r="CS334" s="75">
        <f t="shared" si="979"/>
        <v>508677</v>
      </c>
      <c r="CT334" s="62">
        <v>363326</v>
      </c>
      <c r="CU334" s="47">
        <f t="shared" si="980"/>
        <v>145351</v>
      </c>
      <c r="CV334" s="76">
        <f t="shared" si="981"/>
        <v>0.52514502276901354</v>
      </c>
      <c r="CW334" s="75">
        <f t="shared" si="982"/>
        <v>6382.8533333333335</v>
      </c>
      <c r="CX334" s="77">
        <f t="shared" si="983"/>
        <v>0.49421199391725107</v>
      </c>
      <c r="CY334" s="75">
        <f t="shared" si="984"/>
        <v>1938.0133333333333</v>
      </c>
      <c r="CZ334" s="77">
        <f t="shared" si="985"/>
        <v>0.15005662572614623</v>
      </c>
      <c r="DA334" s="77">
        <f t="shared" si="986"/>
        <v>0.37508839704286728</v>
      </c>
      <c r="DB334" s="47">
        <f t="shared" si="987"/>
        <v>70666.666666666672</v>
      </c>
      <c r="DC334" s="69">
        <f>IFERROR(IF(ABS(CE333)&gt;0,CE333/$T334,""),"")</f>
        <v>44946.720000000001</v>
      </c>
      <c r="DD334" s="70">
        <f t="shared" si="988"/>
        <v>360</v>
      </c>
      <c r="DE334" s="70">
        <f t="shared" si="989"/>
        <v>-1047.1866666666667</v>
      </c>
      <c r="DF334" s="70">
        <f t="shared" si="990"/>
        <v>12915.213333333333</v>
      </c>
      <c r="DG334" s="70">
        <f t="shared" si="991"/>
        <v>461.33333333333331</v>
      </c>
      <c r="DH334" s="70">
        <f t="shared" si="992"/>
        <v>671.2</v>
      </c>
      <c r="DI334" s="70">
        <f t="shared" si="993"/>
        <v>2026.7333333333333</v>
      </c>
      <c r="DJ334" s="70">
        <f t="shared" si="994"/>
        <v>926.66666666666663</v>
      </c>
      <c r="DK334" s="70">
        <f t="shared" si="995"/>
        <v>546.91999999999996</v>
      </c>
      <c r="DL334" s="70">
        <f t="shared" si="996"/>
        <v>1500</v>
      </c>
      <c r="DM334" s="70" t="str">
        <f t="shared" si="997"/>
        <v/>
      </c>
      <c r="DN334" s="70">
        <f t="shared" si="998"/>
        <v>6132.8533333333335</v>
      </c>
      <c r="DO334" s="70">
        <f t="shared" si="999"/>
        <v>250</v>
      </c>
      <c r="DP334" s="70">
        <f t="shared" si="1000"/>
        <v>6382.8533333333335</v>
      </c>
      <c r="DQ334" s="70">
        <f t="shared" si="1001"/>
        <v>6782.36</v>
      </c>
      <c r="DR334" s="70">
        <f t="shared" si="1002"/>
        <v>4844.3466666666664</v>
      </c>
      <c r="DS334" s="71">
        <f t="shared" si="1003"/>
        <v>1938.0133333333333</v>
      </c>
      <c r="DT334" s="106">
        <f>IFERROR(IF(ABS(CE333&gt;0),CE333/$CH334,""),"")</f>
        <v>3.4801376361314462</v>
      </c>
      <c r="DU334" s="92">
        <f t="shared" si="1004"/>
        <v>2.7874104028220981E-2</v>
      </c>
      <c r="DV334" s="92" t="str">
        <f t="shared" si="1005"/>
        <v/>
      </c>
      <c r="DW334" s="92">
        <f t="shared" si="1006"/>
        <v>1</v>
      </c>
      <c r="DX334" s="92">
        <f t="shared" si="1007"/>
        <v>3.5720148125053551E-2</v>
      </c>
      <c r="DY334" s="92">
        <f t="shared" si="1008"/>
        <v>5.1969718399283119E-2</v>
      </c>
      <c r="DZ334" s="92">
        <f t="shared" si="1009"/>
        <v>0.15692604380776778</v>
      </c>
      <c r="EA334" s="92">
        <f t="shared" si="1010"/>
        <v>7.1750008517087335E-2</v>
      </c>
      <c r="EB334" s="92">
        <f t="shared" si="1011"/>
        <v>4.2346958264207278E-2</v>
      </c>
      <c r="EC334" s="92">
        <f t="shared" si="1012"/>
        <v>0.11614210011758742</v>
      </c>
      <c r="ED334" s="92" t="str">
        <f t="shared" si="1013"/>
        <v/>
      </c>
      <c r="EE334" s="92">
        <f t="shared" si="1014"/>
        <v>0.47485497723098652</v>
      </c>
      <c r="EF334" s="92">
        <f t="shared" si="1015"/>
        <v>1.9357016686264571E-2</v>
      </c>
      <c r="EG334" s="92">
        <f t="shared" si="1016"/>
        <v>0.49421199391725107</v>
      </c>
      <c r="EH334" s="92">
        <f t="shared" si="1017"/>
        <v>0.52514502276901354</v>
      </c>
      <c r="EI334" s="92">
        <f t="shared" si="1018"/>
        <v>0.37508839704286728</v>
      </c>
      <c r="EJ334" s="122">
        <f t="shared" si="1019"/>
        <v>0.15005662572614623</v>
      </c>
    </row>
    <row r="335" spans="2:140" ht="12" hidden="1" customHeight="1" outlineLevel="1">
      <c r="B335" s="121">
        <v>45873</v>
      </c>
      <c r="C335" s="117">
        <v>25426</v>
      </c>
      <c r="D335" s="50" t="s">
        <v>1527</v>
      </c>
      <c r="E335" s="50" t="s">
        <v>1528</v>
      </c>
      <c r="F335" s="50" t="s">
        <v>1529</v>
      </c>
      <c r="G335" s="50" t="s">
        <v>249</v>
      </c>
      <c r="H335" s="50" t="s">
        <v>1530</v>
      </c>
      <c r="I335" s="50" t="s">
        <v>1531</v>
      </c>
      <c r="J335" s="52" t="s">
        <v>199</v>
      </c>
      <c r="K335" s="50" t="s">
        <v>199</v>
      </c>
      <c r="L335" s="49">
        <v>3</v>
      </c>
      <c r="M335" s="50" t="s">
        <v>159</v>
      </c>
      <c r="N335" s="50" t="s">
        <v>160</v>
      </c>
      <c r="O335" s="50" t="s">
        <v>160</v>
      </c>
      <c r="P335" s="50" t="s">
        <v>177</v>
      </c>
      <c r="Q335" s="53">
        <v>0.04</v>
      </c>
      <c r="R335" s="49">
        <v>297</v>
      </c>
      <c r="S335" s="49">
        <v>0</v>
      </c>
      <c r="T335" s="54">
        <f t="shared" si="867"/>
        <v>297</v>
      </c>
      <c r="U335" s="55">
        <v>287700</v>
      </c>
      <c r="V335" s="49">
        <v>22.956</v>
      </c>
      <c r="W335" s="56">
        <f t="shared" si="946"/>
        <v>12.937794040773655</v>
      </c>
      <c r="X335" s="49" t="s">
        <v>163</v>
      </c>
      <c r="Y335" s="57" t="s">
        <v>162</v>
      </c>
      <c r="Z335" s="58">
        <v>75960000</v>
      </c>
      <c r="AA335" s="114">
        <v>6.4699999999999994E-2</v>
      </c>
      <c r="AB335" s="59">
        <v>17</v>
      </c>
      <c r="AC335" s="60">
        <v>40</v>
      </c>
      <c r="AD335" s="61">
        <v>5.9499999999999997E-2</v>
      </c>
      <c r="AE335" s="62">
        <v>47460000</v>
      </c>
      <c r="AF335" s="63">
        <v>1.1599999999999999</v>
      </c>
      <c r="AG335" s="59"/>
      <c r="AH335" s="60"/>
      <c r="AI335" s="61"/>
      <c r="AJ335" s="64"/>
      <c r="AK335" s="65">
        <f t="shared" si="947"/>
        <v>47460000</v>
      </c>
      <c r="AL335" s="66">
        <v>100</v>
      </c>
      <c r="AM335" s="49" t="s">
        <v>1532</v>
      </c>
      <c r="AN335" s="67">
        <v>0.9</v>
      </c>
      <c r="AO335" s="62">
        <v>32225086</v>
      </c>
      <c r="AP335" s="62">
        <v>3598677</v>
      </c>
      <c r="AQ335" s="68">
        <v>6454856</v>
      </c>
      <c r="AR335" s="69">
        <f t="shared" si="948"/>
        <v>159797.97979797979</v>
      </c>
      <c r="AS335" s="70">
        <f t="shared" si="949"/>
        <v>0.33670033670033672</v>
      </c>
      <c r="AT335" s="70">
        <f t="shared" si="950"/>
        <v>108501.97306397307</v>
      </c>
      <c r="AU335" s="70">
        <f t="shared" si="951"/>
        <v>12116.757575757576</v>
      </c>
      <c r="AV335" s="71">
        <f t="shared" si="952"/>
        <v>21733.521885521885</v>
      </c>
      <c r="AW335" s="115">
        <f t="shared" si="953"/>
        <v>129024.91582491582</v>
      </c>
      <c r="AX335" s="116">
        <f t="shared" si="954"/>
        <v>133.19568995481404</v>
      </c>
      <c r="AY335" s="72">
        <f t="shared" si="955"/>
        <v>155594.34006734009</v>
      </c>
      <c r="AZ335" s="73">
        <f t="shared" si="956"/>
        <v>160.62397984011122</v>
      </c>
      <c r="BA335" s="66">
        <v>8499550</v>
      </c>
      <c r="BB335" s="62">
        <v>9904350</v>
      </c>
      <c r="BC335" s="62">
        <v>28416050</v>
      </c>
      <c r="BD335" s="62">
        <v>2216020</v>
      </c>
      <c r="BE335" s="62">
        <v>5675099</v>
      </c>
      <c r="BF335" s="62">
        <v>8188940</v>
      </c>
      <c r="BG335" s="62">
        <v>19647539</v>
      </c>
      <c r="BH335" s="62">
        <v>8932000</v>
      </c>
      <c r="BI335" s="62">
        <v>2035494</v>
      </c>
      <c r="BJ335" s="47">
        <f t="shared" si="957"/>
        <v>93515042</v>
      </c>
      <c r="BK335" s="69">
        <f t="shared" si="958"/>
        <v>28618.013468013469</v>
      </c>
      <c r="BL335" s="70">
        <f t="shared" si="959"/>
        <v>33347.979797979795</v>
      </c>
      <c r="BM335" s="70">
        <f t="shared" si="960"/>
        <v>95676.936026936033</v>
      </c>
      <c r="BN335" s="70">
        <f t="shared" si="961"/>
        <v>7461.3468013468009</v>
      </c>
      <c r="BO335" s="70">
        <f t="shared" si="962"/>
        <v>19108.077441077439</v>
      </c>
      <c r="BP335" s="70">
        <f t="shared" si="963"/>
        <v>27572.188552188552</v>
      </c>
      <c r="BQ335" s="70">
        <f t="shared" si="964"/>
        <v>66153.329966329969</v>
      </c>
      <c r="BR335" s="70">
        <f t="shared" si="965"/>
        <v>30074.074074074073</v>
      </c>
      <c r="BS335" s="70">
        <f t="shared" si="966"/>
        <v>6853.515151515152</v>
      </c>
      <c r="BT335" s="71">
        <f t="shared" si="967"/>
        <v>314865.46127946128</v>
      </c>
      <c r="BU335" s="65">
        <f t="shared" si="968"/>
        <v>29.543100451859576</v>
      </c>
      <c r="BV335" s="48">
        <f t="shared" si="969"/>
        <v>34.425964546402504</v>
      </c>
      <c r="BW335" s="48">
        <f t="shared" si="970"/>
        <v>98.769725408411546</v>
      </c>
      <c r="BX335" s="48">
        <f t="shared" si="971"/>
        <v>7.7025373653110876</v>
      </c>
      <c r="BY335" s="48">
        <f t="shared" si="972"/>
        <v>19.725752519986095</v>
      </c>
      <c r="BZ335" s="48">
        <f t="shared" si="973"/>
        <v>28.463468891206116</v>
      </c>
      <c r="CA335" s="48">
        <f t="shared" si="974"/>
        <v>68.291758776503301</v>
      </c>
      <c r="CB335" s="48">
        <f t="shared" si="975"/>
        <v>31.046228710462287</v>
      </c>
      <c r="CC335" s="48">
        <f t="shared" si="976"/>
        <v>7.0750573514077164</v>
      </c>
      <c r="CD335" s="47">
        <f t="shared" si="977"/>
        <v>325.04359402155023</v>
      </c>
      <c r="CE335" s="66">
        <v>5562276</v>
      </c>
      <c r="CF335" s="62">
        <v>99792</v>
      </c>
      <c r="CG335" s="74">
        <v>-424655</v>
      </c>
      <c r="CH335" s="75">
        <f t="shared" si="978"/>
        <v>5237413</v>
      </c>
      <c r="CI335" s="62">
        <v>154440</v>
      </c>
      <c r="CJ335" s="62">
        <v>209337</v>
      </c>
      <c r="CK335" s="62">
        <v>467775</v>
      </c>
      <c r="CL335" s="62">
        <v>306801</v>
      </c>
      <c r="CM335" s="62">
        <f>SUM(46919,79306)</f>
        <v>126225</v>
      </c>
      <c r="CN335" s="62">
        <v>230038</v>
      </c>
      <c r="CO335" s="62">
        <v>0</v>
      </c>
      <c r="CP335" s="75">
        <f t="shared" si="868"/>
        <v>1494616</v>
      </c>
      <c r="CQ335" s="62">
        <v>74250</v>
      </c>
      <c r="CR335" s="75">
        <f t="shared" si="869"/>
        <v>1568866</v>
      </c>
      <c r="CS335" s="75">
        <f t="shared" si="979"/>
        <v>3742797</v>
      </c>
      <c r="CT335" s="62">
        <v>3113749</v>
      </c>
      <c r="CU335" s="47">
        <f t="shared" si="980"/>
        <v>629048</v>
      </c>
      <c r="CV335" s="76">
        <f t="shared" si="981"/>
        <v>0.71462704965218515</v>
      </c>
      <c r="CW335" s="75">
        <f t="shared" si="982"/>
        <v>5282.3771043771039</v>
      </c>
      <c r="CX335" s="77">
        <f t="shared" si="983"/>
        <v>0.29954979681762733</v>
      </c>
      <c r="CY335" s="75">
        <f t="shared" si="984"/>
        <v>2118.006734006734</v>
      </c>
      <c r="CZ335" s="77">
        <f t="shared" si="985"/>
        <v>0.12010662516016972</v>
      </c>
      <c r="DA335" s="77">
        <f t="shared" si="986"/>
        <v>0.59452042449201548</v>
      </c>
      <c r="DB335" s="47">
        <f t="shared" si="987"/>
        <v>159797.97979797979</v>
      </c>
      <c r="DC335" s="69">
        <f>IFERROR(IF(ABS(CE334)&gt;0,CE334/$T335,""),"")</f>
        <v>3434.9494949494951</v>
      </c>
      <c r="DD335" s="70">
        <f t="shared" si="988"/>
        <v>336</v>
      </c>
      <c r="DE335" s="70">
        <f t="shared" si="989"/>
        <v>-1429.8148148148148</v>
      </c>
      <c r="DF335" s="70">
        <f t="shared" si="990"/>
        <v>17634.387205387204</v>
      </c>
      <c r="DG335" s="70">
        <f t="shared" si="991"/>
        <v>520</v>
      </c>
      <c r="DH335" s="70">
        <f t="shared" si="992"/>
        <v>704.83838383838383</v>
      </c>
      <c r="DI335" s="70">
        <f t="shared" si="993"/>
        <v>1575</v>
      </c>
      <c r="DJ335" s="70">
        <f t="shared" si="994"/>
        <v>1033</v>
      </c>
      <c r="DK335" s="70">
        <f t="shared" si="995"/>
        <v>425</v>
      </c>
      <c r="DL335" s="70">
        <f t="shared" si="996"/>
        <v>774.53872053872055</v>
      </c>
      <c r="DM335" s="70" t="str">
        <f t="shared" si="997"/>
        <v/>
      </c>
      <c r="DN335" s="70">
        <f t="shared" si="998"/>
        <v>5032.3771043771039</v>
      </c>
      <c r="DO335" s="70">
        <f t="shared" si="999"/>
        <v>250</v>
      </c>
      <c r="DP335" s="70">
        <f t="shared" si="1000"/>
        <v>5282.3771043771039</v>
      </c>
      <c r="DQ335" s="70">
        <f t="shared" si="1001"/>
        <v>12602.010101010101</v>
      </c>
      <c r="DR335" s="70">
        <f t="shared" si="1002"/>
        <v>10484.003367003366</v>
      </c>
      <c r="DS335" s="71">
        <f t="shared" si="1003"/>
        <v>2118.006734006734</v>
      </c>
      <c r="DT335" s="106">
        <f>IFERROR(IF(ABS(CE334&gt;0),CE334/$CH335,""),"")</f>
        <v>0.19478700648583566</v>
      </c>
      <c r="DU335" s="92">
        <f t="shared" si="1004"/>
        <v>1.9053681655427975E-2</v>
      </c>
      <c r="DV335" s="92" t="str">
        <f t="shared" si="1005"/>
        <v/>
      </c>
      <c r="DW335" s="92">
        <f t="shared" si="1006"/>
        <v>1</v>
      </c>
      <c r="DX335" s="92">
        <f t="shared" si="1007"/>
        <v>2.9487840657209961E-2</v>
      </c>
      <c r="DY335" s="92">
        <f t="shared" si="1008"/>
        <v>3.9969542214830109E-2</v>
      </c>
      <c r="DZ335" s="92">
        <f t="shared" si="1009"/>
        <v>8.9314132759818629E-2</v>
      </c>
      <c r="EA335" s="92">
        <f t="shared" si="1010"/>
        <v>5.8578729613265178E-2</v>
      </c>
      <c r="EB335" s="92">
        <f t="shared" si="1011"/>
        <v>2.4100638998681218E-2</v>
      </c>
      <c r="EC335" s="92">
        <f t="shared" si="1012"/>
        <v>4.3922066104009748E-2</v>
      </c>
      <c r="ED335" s="92" t="str">
        <f t="shared" si="1013"/>
        <v/>
      </c>
      <c r="EE335" s="92">
        <f t="shared" si="1014"/>
        <v>0.28537295034781485</v>
      </c>
      <c r="EF335" s="92">
        <f t="shared" si="1015"/>
        <v>1.4176846469812482E-2</v>
      </c>
      <c r="EG335" s="92">
        <f t="shared" si="1016"/>
        <v>0.29954979681762733</v>
      </c>
      <c r="EH335" s="92">
        <f t="shared" si="1017"/>
        <v>0.71462704965218515</v>
      </c>
      <c r="EI335" s="92">
        <f t="shared" si="1018"/>
        <v>0.59452042449201548</v>
      </c>
      <c r="EJ335" s="122">
        <f t="shared" si="1019"/>
        <v>0.12010662516016972</v>
      </c>
    </row>
    <row r="336" spans="2:140" ht="12" hidden="1" customHeight="1" outlineLevel="1">
      <c r="B336" s="121">
        <v>45873</v>
      </c>
      <c r="C336" s="117">
        <v>25462</v>
      </c>
      <c r="D336" s="50" t="s">
        <v>1533</v>
      </c>
      <c r="E336" s="50" t="s">
        <v>1219</v>
      </c>
      <c r="F336" s="50" t="s">
        <v>1239</v>
      </c>
      <c r="G336" s="50" t="s">
        <v>291</v>
      </c>
      <c r="H336" s="50" t="s">
        <v>1037</v>
      </c>
      <c r="I336" s="50" t="s">
        <v>1037</v>
      </c>
      <c r="J336" s="52" t="s">
        <v>230</v>
      </c>
      <c r="K336" s="50" t="s">
        <v>230</v>
      </c>
      <c r="L336" s="49">
        <v>3</v>
      </c>
      <c r="M336" s="50" t="s">
        <v>159</v>
      </c>
      <c r="N336" s="50" t="s">
        <v>244</v>
      </c>
      <c r="O336" s="50" t="s">
        <v>160</v>
      </c>
      <c r="P336" s="50" t="s">
        <v>1351</v>
      </c>
      <c r="Q336" s="53">
        <v>0.04</v>
      </c>
      <c r="R336" s="49">
        <v>184</v>
      </c>
      <c r="S336" s="49">
        <v>0</v>
      </c>
      <c r="T336" s="54">
        <f t="shared" si="867"/>
        <v>184</v>
      </c>
      <c r="U336" s="55">
        <v>154768</v>
      </c>
      <c r="V336" s="49">
        <v>6.04</v>
      </c>
      <c r="W336" s="56">
        <f t="shared" si="946"/>
        <v>30.463576158940398</v>
      </c>
      <c r="X336" s="49">
        <v>1998</v>
      </c>
      <c r="Y336" s="57" t="s">
        <v>162</v>
      </c>
      <c r="Z336" s="58">
        <v>17500000</v>
      </c>
      <c r="AA336" s="114">
        <v>7.0300000000000001E-2</v>
      </c>
      <c r="AB336" s="59">
        <v>15</v>
      </c>
      <c r="AC336" s="60">
        <v>40</v>
      </c>
      <c r="AD336" s="61">
        <v>6.3500000000000001E-2</v>
      </c>
      <c r="AE336" s="62">
        <v>17500000</v>
      </c>
      <c r="AF336" s="63">
        <v>1.1499999999999999</v>
      </c>
      <c r="AG336" s="59"/>
      <c r="AH336" s="60"/>
      <c r="AI336" s="61"/>
      <c r="AJ336" s="64"/>
      <c r="AK336" s="65">
        <f t="shared" si="947"/>
        <v>17500000</v>
      </c>
      <c r="AL336" s="66">
        <v>15000000</v>
      </c>
      <c r="AM336" s="49" t="s">
        <v>1534</v>
      </c>
      <c r="AN336" s="67">
        <v>0.88</v>
      </c>
      <c r="AO336" s="62">
        <v>19907147</v>
      </c>
      <c r="AP336" s="62">
        <v>1409667</v>
      </c>
      <c r="AQ336" s="68">
        <v>2776641</v>
      </c>
      <c r="AR336" s="69">
        <f t="shared" si="948"/>
        <v>95108.695652173919</v>
      </c>
      <c r="AS336" s="70">
        <f t="shared" si="949"/>
        <v>81521.739130434784</v>
      </c>
      <c r="AT336" s="70">
        <f t="shared" si="950"/>
        <v>108191.01630434782</v>
      </c>
      <c r="AU336" s="70">
        <f t="shared" si="951"/>
        <v>7661.233695652174</v>
      </c>
      <c r="AV336" s="71">
        <f t="shared" si="952"/>
        <v>15090.440217391304</v>
      </c>
      <c r="AW336" s="115">
        <f t="shared" si="953"/>
        <v>63243.72282608696</v>
      </c>
      <c r="AX336" s="116">
        <f t="shared" si="954"/>
        <v>75.188960250180912</v>
      </c>
      <c r="AY336" s="72">
        <f t="shared" si="955"/>
        <v>79307.630434782594</v>
      </c>
      <c r="AZ336" s="73">
        <f t="shared" si="956"/>
        <v>94.286958544401955</v>
      </c>
      <c r="BA336" s="66">
        <v>23247500</v>
      </c>
      <c r="BB336" s="62">
        <v>905742</v>
      </c>
      <c r="BC336" s="62">
        <v>10731103</v>
      </c>
      <c r="BD336" s="62">
        <v>1163685</v>
      </c>
      <c r="BE336" s="62">
        <v>1792074</v>
      </c>
      <c r="BF336" s="62">
        <v>3002040</v>
      </c>
      <c r="BG336" s="62">
        <v>12054378</v>
      </c>
      <c r="BH336" s="62">
        <v>6437107</v>
      </c>
      <c r="BI336" s="62">
        <v>659778</v>
      </c>
      <c r="BJ336" s="47">
        <f t="shared" si="957"/>
        <v>59993407</v>
      </c>
      <c r="BK336" s="69">
        <f t="shared" si="958"/>
        <v>126345.10869565218</v>
      </c>
      <c r="BL336" s="70">
        <f t="shared" si="959"/>
        <v>4922.510869565217</v>
      </c>
      <c r="BM336" s="70">
        <f t="shared" si="960"/>
        <v>58321.211956521736</v>
      </c>
      <c r="BN336" s="70">
        <f t="shared" si="961"/>
        <v>6324.375</v>
      </c>
      <c r="BO336" s="70">
        <f t="shared" si="962"/>
        <v>9739.532608695652</v>
      </c>
      <c r="BP336" s="70">
        <f t="shared" si="963"/>
        <v>16315.434782608696</v>
      </c>
      <c r="BQ336" s="70">
        <f t="shared" si="964"/>
        <v>65512.92391304348</v>
      </c>
      <c r="BR336" s="70">
        <f t="shared" si="965"/>
        <v>34984.27717391304</v>
      </c>
      <c r="BS336" s="70">
        <f t="shared" si="966"/>
        <v>3585.75</v>
      </c>
      <c r="BT336" s="71">
        <f t="shared" si="967"/>
        <v>326051.125</v>
      </c>
      <c r="BU336" s="65">
        <f t="shared" si="968"/>
        <v>150.20869947275924</v>
      </c>
      <c r="BV336" s="48">
        <f t="shared" si="969"/>
        <v>5.8522562803680351</v>
      </c>
      <c r="BW336" s="48">
        <f t="shared" si="970"/>
        <v>69.336703969812888</v>
      </c>
      <c r="BX336" s="48">
        <f t="shared" si="971"/>
        <v>7.5188992556600844</v>
      </c>
      <c r="BY336" s="48">
        <f t="shared" si="972"/>
        <v>11.579099038560942</v>
      </c>
      <c r="BZ336" s="48">
        <f t="shared" si="973"/>
        <v>19.397032978393465</v>
      </c>
      <c r="CA336" s="48">
        <f t="shared" si="974"/>
        <v>77.886759536855166</v>
      </c>
      <c r="CB336" s="48">
        <f t="shared" si="975"/>
        <v>41.591976377545748</v>
      </c>
      <c r="CC336" s="48">
        <f t="shared" si="976"/>
        <v>4.2630130259485162</v>
      </c>
      <c r="CD336" s="47">
        <f t="shared" si="977"/>
        <v>387.63443993590408</v>
      </c>
      <c r="CE336" s="66">
        <v>2978748</v>
      </c>
      <c r="CF336" s="62">
        <v>66240</v>
      </c>
      <c r="CG336" s="74">
        <v>-228374</v>
      </c>
      <c r="CH336" s="75">
        <f t="shared" si="978"/>
        <v>2816614</v>
      </c>
      <c r="CI336" s="62">
        <v>85961</v>
      </c>
      <c r="CJ336" s="62">
        <v>112665</v>
      </c>
      <c r="CK336" s="62">
        <v>331894</v>
      </c>
      <c r="CL336" s="62">
        <v>169629</v>
      </c>
      <c r="CM336" s="62">
        <f>SUM(52714,159402)</f>
        <v>212116</v>
      </c>
      <c r="CN336" s="62">
        <v>137385</v>
      </c>
      <c r="CO336" s="62">
        <v>237122</v>
      </c>
      <c r="CP336" s="75">
        <f t="shared" si="868"/>
        <v>1286772</v>
      </c>
      <c r="CQ336" s="62">
        <v>55200</v>
      </c>
      <c r="CR336" s="75">
        <f t="shared" si="869"/>
        <v>1341972</v>
      </c>
      <c r="CS336" s="75">
        <f t="shared" si="979"/>
        <v>1529842</v>
      </c>
      <c r="CT336" s="62">
        <v>1224588</v>
      </c>
      <c r="CU336" s="47">
        <f t="shared" si="980"/>
        <v>305254</v>
      </c>
      <c r="CV336" s="76">
        <f t="shared" si="981"/>
        <v>0.54314932752588752</v>
      </c>
      <c r="CW336" s="75">
        <f t="shared" si="982"/>
        <v>7293.326086956522</v>
      </c>
      <c r="CX336" s="77">
        <f t="shared" si="983"/>
        <v>0.47644867205801006</v>
      </c>
      <c r="CY336" s="75">
        <f t="shared" si="984"/>
        <v>1658.9891304347825</v>
      </c>
      <c r="CZ336" s="77">
        <f t="shared" si="985"/>
        <v>0.10837622762650473</v>
      </c>
      <c r="DA336" s="77">
        <f t="shared" si="986"/>
        <v>0.43477309989938273</v>
      </c>
      <c r="DB336" s="47">
        <f t="shared" si="987"/>
        <v>95108.695652173919</v>
      </c>
      <c r="DC336" s="69">
        <f t="shared" ref="DC336:DC345" si="1020">IFERROR(IF(ABS(CE336)&gt;0,CE336/$T336,""),"")</f>
        <v>16188.847826086956</v>
      </c>
      <c r="DD336" s="70">
        <f t="shared" si="988"/>
        <v>360</v>
      </c>
      <c r="DE336" s="70">
        <f t="shared" si="989"/>
        <v>-1241.1630434782608</v>
      </c>
      <c r="DF336" s="70">
        <f t="shared" si="990"/>
        <v>15307.684782608696</v>
      </c>
      <c r="DG336" s="70">
        <f t="shared" si="991"/>
        <v>467.17934782608694</v>
      </c>
      <c r="DH336" s="70">
        <f t="shared" si="992"/>
        <v>612.30978260869563</v>
      </c>
      <c r="DI336" s="70">
        <f t="shared" si="993"/>
        <v>1803.7717391304348</v>
      </c>
      <c r="DJ336" s="70">
        <f t="shared" si="994"/>
        <v>921.89673913043475</v>
      </c>
      <c r="DK336" s="70">
        <f t="shared" si="995"/>
        <v>1152.804347826087</v>
      </c>
      <c r="DL336" s="70">
        <f t="shared" si="996"/>
        <v>746.65760869565213</v>
      </c>
      <c r="DM336" s="70">
        <f t="shared" si="997"/>
        <v>1288.7065217391305</v>
      </c>
      <c r="DN336" s="70">
        <f t="shared" si="998"/>
        <v>6993.326086956522</v>
      </c>
      <c r="DO336" s="70">
        <f t="shared" si="999"/>
        <v>300</v>
      </c>
      <c r="DP336" s="70">
        <f t="shared" si="1000"/>
        <v>7293.326086956522</v>
      </c>
      <c r="DQ336" s="70">
        <f t="shared" si="1001"/>
        <v>8314.358695652174</v>
      </c>
      <c r="DR336" s="70">
        <f t="shared" si="1002"/>
        <v>6655.369565217391</v>
      </c>
      <c r="DS336" s="71">
        <f t="shared" si="1003"/>
        <v>1658.9891304347825</v>
      </c>
      <c r="DT336" s="106">
        <f t="shared" ref="DT336:DT345" si="1021">IFERROR(IF(ABS(CE336&gt;0),CE336/$CH336,""),"")</f>
        <v>1.0575634431981096</v>
      </c>
      <c r="DU336" s="92">
        <f t="shared" si="1004"/>
        <v>2.3517599500677056E-2</v>
      </c>
      <c r="DV336" s="92" t="str">
        <f t="shared" si="1005"/>
        <v/>
      </c>
      <c r="DW336" s="92">
        <f t="shared" si="1006"/>
        <v>1</v>
      </c>
      <c r="DX336" s="92">
        <f t="shared" si="1007"/>
        <v>3.0519268881003928E-2</v>
      </c>
      <c r="DY336" s="92">
        <f t="shared" si="1008"/>
        <v>4.0000156215938713E-2</v>
      </c>
      <c r="DZ336" s="92">
        <f t="shared" si="1009"/>
        <v>0.11783439264308138</v>
      </c>
      <c r="EA336" s="92">
        <f t="shared" si="1010"/>
        <v>6.0224439699582549E-2</v>
      </c>
      <c r="EB336" s="92">
        <f t="shared" si="1011"/>
        <v>7.5308863763369774E-2</v>
      </c>
      <c r="EC336" s="92">
        <f t="shared" si="1012"/>
        <v>4.8776651681771088E-2</v>
      </c>
      <c r="ED336" s="92">
        <f t="shared" si="1013"/>
        <v>8.4186899589365108E-2</v>
      </c>
      <c r="EE336" s="92">
        <f t="shared" si="1014"/>
        <v>0.45685067247411254</v>
      </c>
      <c r="EF336" s="92">
        <f t="shared" si="1015"/>
        <v>1.9597999583897546E-2</v>
      </c>
      <c r="EG336" s="92">
        <f t="shared" si="1016"/>
        <v>0.47644867205801006</v>
      </c>
      <c r="EH336" s="92">
        <f t="shared" si="1017"/>
        <v>0.54314932752588752</v>
      </c>
      <c r="EI336" s="92">
        <f t="shared" si="1018"/>
        <v>0.43477309989938273</v>
      </c>
      <c r="EJ336" s="122">
        <f t="shared" si="1019"/>
        <v>0.10837622762650473</v>
      </c>
    </row>
    <row r="337" spans="2:140" ht="12" hidden="1" customHeight="1" outlineLevel="1">
      <c r="B337" s="121">
        <v>45882</v>
      </c>
      <c r="C337" s="117">
        <v>25470</v>
      </c>
      <c r="D337" s="50" t="s">
        <v>1535</v>
      </c>
      <c r="E337" s="50" t="s">
        <v>1536</v>
      </c>
      <c r="F337" s="50" t="s">
        <v>998</v>
      </c>
      <c r="G337" s="50" t="s">
        <v>291</v>
      </c>
      <c r="H337" s="50" t="s">
        <v>1382</v>
      </c>
      <c r="I337" s="50" t="s">
        <v>306</v>
      </c>
      <c r="J337" s="52" t="s">
        <v>175</v>
      </c>
      <c r="K337" s="50" t="s">
        <v>176</v>
      </c>
      <c r="L337" s="49">
        <v>6</v>
      </c>
      <c r="M337" s="50" t="s">
        <v>159</v>
      </c>
      <c r="N337" s="50" t="s">
        <v>160</v>
      </c>
      <c r="O337" s="50" t="s">
        <v>160</v>
      </c>
      <c r="P337" s="50" t="s">
        <v>1351</v>
      </c>
      <c r="Q337" s="53">
        <v>0.04</v>
      </c>
      <c r="R337" s="49">
        <v>250</v>
      </c>
      <c r="S337" s="49">
        <v>0</v>
      </c>
      <c r="T337" s="54">
        <f t="shared" si="867"/>
        <v>250</v>
      </c>
      <c r="U337" s="55">
        <v>270926</v>
      </c>
      <c r="V337" s="49">
        <v>17.149999999999999</v>
      </c>
      <c r="W337" s="56">
        <f t="shared" si="946"/>
        <v>14.577259475218661</v>
      </c>
      <c r="X337" s="49">
        <v>2006</v>
      </c>
      <c r="Y337" s="57" t="s">
        <v>162</v>
      </c>
      <c r="Z337" s="58">
        <v>21000000</v>
      </c>
      <c r="AA337" s="114">
        <v>5.7099999999999998E-2</v>
      </c>
      <c r="AB337" s="59">
        <v>15</v>
      </c>
      <c r="AC337" s="60">
        <v>40</v>
      </c>
      <c r="AD337" s="61">
        <v>5.7099999999999998E-2</v>
      </c>
      <c r="AE337" s="62">
        <v>21000000</v>
      </c>
      <c r="AF337" s="63">
        <v>1.75</v>
      </c>
      <c r="AG337" s="59">
        <v>15</v>
      </c>
      <c r="AH337" s="60">
        <v>40</v>
      </c>
      <c r="AI337" s="61">
        <v>6.2100000000000002E-2</v>
      </c>
      <c r="AJ337" s="64">
        <v>6809000</v>
      </c>
      <c r="AK337" s="65">
        <f t="shared" si="947"/>
        <v>27809000</v>
      </c>
      <c r="AL337" s="66">
        <v>0</v>
      </c>
      <c r="AM337" s="49" t="s">
        <v>163</v>
      </c>
      <c r="AN337" s="67">
        <v>0.87</v>
      </c>
      <c r="AO337" s="62">
        <v>13511352</v>
      </c>
      <c r="AP337" s="62">
        <v>2335395</v>
      </c>
      <c r="AQ337" s="68">
        <v>1216953</v>
      </c>
      <c r="AR337" s="69">
        <f t="shared" si="948"/>
        <v>111236</v>
      </c>
      <c r="AS337" s="70" t="str">
        <f t="shared" si="949"/>
        <v/>
      </c>
      <c r="AT337" s="70">
        <f t="shared" si="950"/>
        <v>54045.408000000003</v>
      </c>
      <c r="AU337" s="70">
        <f t="shared" si="951"/>
        <v>9341.58</v>
      </c>
      <c r="AV337" s="71">
        <f t="shared" si="952"/>
        <v>4867.8119999999999</v>
      </c>
      <c r="AW337" s="115">
        <f t="shared" si="953"/>
        <v>25330</v>
      </c>
      <c r="AX337" s="116">
        <f t="shared" si="954"/>
        <v>23.373541114547884</v>
      </c>
      <c r="AY337" s="72">
        <f t="shared" si="955"/>
        <v>31763.82</v>
      </c>
      <c r="AZ337" s="73">
        <f t="shared" si="956"/>
        <v>29.310420557643049</v>
      </c>
      <c r="BA337" s="66">
        <v>23750000</v>
      </c>
      <c r="BB337" s="62">
        <v>195000</v>
      </c>
      <c r="BC337" s="62">
        <v>6137500</v>
      </c>
      <c r="BD337" s="62">
        <v>633250</v>
      </c>
      <c r="BE337" s="62">
        <v>975205</v>
      </c>
      <c r="BF337" s="62">
        <v>700000</v>
      </c>
      <c r="BG337" s="62">
        <v>2970841</v>
      </c>
      <c r="BH337" s="62">
        <v>4608556</v>
      </c>
      <c r="BI337" s="62">
        <v>1350000</v>
      </c>
      <c r="BJ337" s="47">
        <f t="shared" si="957"/>
        <v>41320352</v>
      </c>
      <c r="BK337" s="69">
        <f t="shared" si="958"/>
        <v>95000</v>
      </c>
      <c r="BL337" s="70">
        <f t="shared" si="959"/>
        <v>780</v>
      </c>
      <c r="BM337" s="70">
        <f t="shared" si="960"/>
        <v>24550</v>
      </c>
      <c r="BN337" s="70">
        <f t="shared" si="961"/>
        <v>2533</v>
      </c>
      <c r="BO337" s="70">
        <f t="shared" si="962"/>
        <v>3900.82</v>
      </c>
      <c r="BP337" s="70">
        <f t="shared" si="963"/>
        <v>2800</v>
      </c>
      <c r="BQ337" s="70">
        <f t="shared" si="964"/>
        <v>11883.364</v>
      </c>
      <c r="BR337" s="70">
        <f t="shared" si="965"/>
        <v>18434.223999999998</v>
      </c>
      <c r="BS337" s="70">
        <f t="shared" si="966"/>
        <v>5400</v>
      </c>
      <c r="BT337" s="71">
        <f t="shared" si="967"/>
        <v>165281.408</v>
      </c>
      <c r="BU337" s="65">
        <f t="shared" si="968"/>
        <v>87.662313694514367</v>
      </c>
      <c r="BV337" s="48">
        <f t="shared" si="969"/>
        <v>0.71975373349180216</v>
      </c>
      <c r="BW337" s="48">
        <f t="shared" si="970"/>
        <v>22.65378738105608</v>
      </c>
      <c r="BX337" s="48">
        <f t="shared" si="971"/>
        <v>2.3373541114547884</v>
      </c>
      <c r="BY337" s="48">
        <f t="shared" si="972"/>
        <v>3.5995253316403741</v>
      </c>
      <c r="BZ337" s="48">
        <f t="shared" si="973"/>
        <v>2.5837313509962132</v>
      </c>
      <c r="CA337" s="48">
        <f t="shared" si="974"/>
        <v>10.965507186464201</v>
      </c>
      <c r="CB337" s="48">
        <f t="shared" si="975"/>
        <v>17.010386600031005</v>
      </c>
      <c r="CC337" s="48">
        <f t="shared" si="976"/>
        <v>4.9829104626355534</v>
      </c>
      <c r="CD337" s="47">
        <f t="shared" si="977"/>
        <v>152.51526985228438</v>
      </c>
      <c r="CE337" s="66">
        <v>3902436</v>
      </c>
      <c r="CF337" s="62">
        <v>75000</v>
      </c>
      <c r="CG337" s="74">
        <v>-298308</v>
      </c>
      <c r="CH337" s="75">
        <f t="shared" si="978"/>
        <v>3679128</v>
      </c>
      <c r="CI337" s="62">
        <v>82500</v>
      </c>
      <c r="CJ337" s="62">
        <v>147165</v>
      </c>
      <c r="CK337" s="62">
        <v>357800</v>
      </c>
      <c r="CL337" s="62">
        <v>225000</v>
      </c>
      <c r="CM337" s="62">
        <v>136000</v>
      </c>
      <c r="CN337" s="62">
        <v>278768</v>
      </c>
      <c r="CO337" s="62">
        <v>0</v>
      </c>
      <c r="CP337" s="75">
        <f t="shared" si="868"/>
        <v>1227233</v>
      </c>
      <c r="CQ337" s="62">
        <v>75000</v>
      </c>
      <c r="CR337" s="75">
        <f t="shared" si="869"/>
        <v>1302233</v>
      </c>
      <c r="CS337" s="75">
        <f t="shared" si="979"/>
        <v>2451895</v>
      </c>
      <c r="CT337" s="62">
        <v>1797526</v>
      </c>
      <c r="CU337" s="47">
        <f t="shared" si="980"/>
        <v>654369</v>
      </c>
      <c r="CV337" s="76">
        <f t="shared" si="981"/>
        <v>0.66643373103626724</v>
      </c>
      <c r="CW337" s="75">
        <f t="shared" si="982"/>
        <v>5208.9319999999998</v>
      </c>
      <c r="CX337" s="77">
        <f t="shared" si="983"/>
        <v>0.35395153416787889</v>
      </c>
      <c r="CY337" s="75">
        <f t="shared" si="984"/>
        <v>2617.4760000000001</v>
      </c>
      <c r="CZ337" s="77">
        <f t="shared" si="985"/>
        <v>0.17785980808495927</v>
      </c>
      <c r="DA337" s="77">
        <f t="shared" si="986"/>
        <v>0.48857392295130803</v>
      </c>
      <c r="DB337" s="47">
        <f t="shared" si="987"/>
        <v>111236</v>
      </c>
      <c r="DC337" s="69">
        <f t="shared" si="1020"/>
        <v>15609.744000000001</v>
      </c>
      <c r="DD337" s="70">
        <f t="shared" si="988"/>
        <v>300</v>
      </c>
      <c r="DE337" s="70">
        <f t="shared" si="989"/>
        <v>-1193.232</v>
      </c>
      <c r="DF337" s="70">
        <f t="shared" si="990"/>
        <v>14716.512000000001</v>
      </c>
      <c r="DG337" s="70">
        <f t="shared" si="991"/>
        <v>330</v>
      </c>
      <c r="DH337" s="70">
        <f t="shared" si="992"/>
        <v>588.66</v>
      </c>
      <c r="DI337" s="70">
        <f t="shared" si="993"/>
        <v>1431.2</v>
      </c>
      <c r="DJ337" s="70">
        <f t="shared" si="994"/>
        <v>900</v>
      </c>
      <c r="DK337" s="70">
        <f t="shared" si="995"/>
        <v>544</v>
      </c>
      <c r="DL337" s="70">
        <f t="shared" si="996"/>
        <v>1115.0719999999999</v>
      </c>
      <c r="DM337" s="70" t="str">
        <f t="shared" si="997"/>
        <v/>
      </c>
      <c r="DN337" s="70">
        <f t="shared" si="998"/>
        <v>4908.9319999999998</v>
      </c>
      <c r="DO337" s="70">
        <f t="shared" si="999"/>
        <v>300</v>
      </c>
      <c r="DP337" s="70">
        <f t="shared" si="1000"/>
        <v>5208.9319999999998</v>
      </c>
      <c r="DQ337" s="70">
        <f t="shared" si="1001"/>
        <v>9807.58</v>
      </c>
      <c r="DR337" s="70">
        <f t="shared" si="1002"/>
        <v>7190.1040000000003</v>
      </c>
      <c r="DS337" s="71">
        <f t="shared" si="1003"/>
        <v>2617.4760000000001</v>
      </c>
      <c r="DT337" s="106">
        <f t="shared" si="1021"/>
        <v>1.060695904029433</v>
      </c>
      <c r="DU337" s="92">
        <f t="shared" si="1004"/>
        <v>2.03852652041462E-2</v>
      </c>
      <c r="DV337" s="92" t="str">
        <f t="shared" si="1005"/>
        <v/>
      </c>
      <c r="DW337" s="92">
        <f t="shared" si="1006"/>
        <v>1</v>
      </c>
      <c r="DX337" s="92">
        <f t="shared" si="1007"/>
        <v>2.242379172456082E-2</v>
      </c>
      <c r="DY337" s="92">
        <f t="shared" si="1008"/>
        <v>3.9999967383575676E-2</v>
      </c>
      <c r="DZ337" s="92">
        <f t="shared" si="1009"/>
        <v>9.7251305200580132E-2</v>
      </c>
      <c r="EA337" s="92">
        <f t="shared" si="1010"/>
        <v>6.1155795612438599E-2</v>
      </c>
      <c r="EB337" s="92">
        <f t="shared" si="1011"/>
        <v>3.6965280903518444E-2</v>
      </c>
      <c r="EC337" s="92">
        <f t="shared" si="1012"/>
        <v>7.5770128139059034E-2</v>
      </c>
      <c r="ED337" s="92" t="str">
        <f t="shared" si="1013"/>
        <v/>
      </c>
      <c r="EE337" s="92">
        <f t="shared" si="1014"/>
        <v>0.3335662689637327</v>
      </c>
      <c r="EF337" s="92">
        <f t="shared" si="1015"/>
        <v>2.03852652041462E-2</v>
      </c>
      <c r="EG337" s="92">
        <f t="shared" si="1016"/>
        <v>0.35395153416787889</v>
      </c>
      <c r="EH337" s="92">
        <f t="shared" si="1017"/>
        <v>0.66643373103626724</v>
      </c>
      <c r="EI337" s="92">
        <f t="shared" si="1018"/>
        <v>0.48857392295130803</v>
      </c>
      <c r="EJ337" s="122">
        <f t="shared" si="1019"/>
        <v>0.17785980808495927</v>
      </c>
    </row>
    <row r="338" spans="2:140" ht="12" hidden="1" customHeight="1" outlineLevel="1">
      <c r="B338" s="121">
        <v>45882</v>
      </c>
      <c r="C338" s="117">
        <v>25456</v>
      </c>
      <c r="D338" s="50" t="s">
        <v>1537</v>
      </c>
      <c r="E338" s="50" t="s">
        <v>953</v>
      </c>
      <c r="F338" s="50" t="s">
        <v>1538</v>
      </c>
      <c r="G338" s="50" t="s">
        <v>249</v>
      </c>
      <c r="H338" s="50" t="s">
        <v>396</v>
      </c>
      <c r="I338" s="50" t="s">
        <v>956</v>
      </c>
      <c r="J338" s="52" t="s">
        <v>1539</v>
      </c>
      <c r="K338" s="50" t="s">
        <v>184</v>
      </c>
      <c r="L338" s="49">
        <v>9</v>
      </c>
      <c r="M338" s="50" t="s">
        <v>159</v>
      </c>
      <c r="N338" s="50" t="s">
        <v>160</v>
      </c>
      <c r="O338" s="50" t="s">
        <v>160</v>
      </c>
      <c r="P338" s="50" t="s">
        <v>177</v>
      </c>
      <c r="Q338" s="53">
        <v>0.04</v>
      </c>
      <c r="R338" s="49">
        <v>336</v>
      </c>
      <c r="S338" s="49">
        <v>0</v>
      </c>
      <c r="T338" s="54">
        <f t="shared" si="867"/>
        <v>336</v>
      </c>
      <c r="U338" s="55">
        <v>333804</v>
      </c>
      <c r="V338" s="49">
        <v>18.850000000000001</v>
      </c>
      <c r="W338" s="56">
        <f t="shared" si="946"/>
        <v>17.824933687002652</v>
      </c>
      <c r="X338" s="49" t="s">
        <v>163</v>
      </c>
      <c r="Y338" s="57" t="s">
        <v>162</v>
      </c>
      <c r="Z338" s="58">
        <v>50000000</v>
      </c>
      <c r="AA338" s="114">
        <v>4.3499999999999997E-2</v>
      </c>
      <c r="AB338" s="59">
        <v>40</v>
      </c>
      <c r="AC338" s="60">
        <v>40</v>
      </c>
      <c r="AD338" s="61">
        <v>4.3499999999999997E-2</v>
      </c>
      <c r="AE338" s="62">
        <v>50000000</v>
      </c>
      <c r="AF338" s="63">
        <v>1.17</v>
      </c>
      <c r="AG338" s="59">
        <v>40</v>
      </c>
      <c r="AH338" s="60">
        <v>40</v>
      </c>
      <c r="AI338" s="61">
        <v>4.3499999999999997E-2</v>
      </c>
      <c r="AJ338" s="64">
        <v>5000000</v>
      </c>
      <c r="AK338" s="65">
        <f t="shared" si="947"/>
        <v>55000000</v>
      </c>
      <c r="AL338" s="66">
        <v>0</v>
      </c>
      <c r="AM338" s="49" t="s">
        <v>163</v>
      </c>
      <c r="AN338" s="67">
        <v>0.86</v>
      </c>
      <c r="AO338" s="62">
        <v>44959802</v>
      </c>
      <c r="AP338" s="62">
        <v>3247841</v>
      </c>
      <c r="AQ338" s="68">
        <v>5866322</v>
      </c>
      <c r="AR338" s="69">
        <f t="shared" si="948"/>
        <v>163690.47619047618</v>
      </c>
      <c r="AS338" s="70" t="str">
        <f t="shared" si="949"/>
        <v/>
      </c>
      <c r="AT338" s="70">
        <f t="shared" si="950"/>
        <v>133808.93452380953</v>
      </c>
      <c r="AU338" s="70">
        <f t="shared" si="951"/>
        <v>9666.1934523809523</v>
      </c>
      <c r="AV338" s="71">
        <f t="shared" si="952"/>
        <v>17459.291666666668</v>
      </c>
      <c r="AW338" s="115">
        <f t="shared" si="953"/>
        <v>155333.33333333334</v>
      </c>
      <c r="AX338" s="116">
        <f t="shared" si="954"/>
        <v>156.35522642029454</v>
      </c>
      <c r="AY338" s="72">
        <f t="shared" si="955"/>
        <v>185933.99999999997</v>
      </c>
      <c r="AZ338" s="73">
        <f t="shared" si="956"/>
        <v>187.15720602509256</v>
      </c>
      <c r="BA338" s="66">
        <v>7763258</v>
      </c>
      <c r="BB338" s="62">
        <v>11565000</v>
      </c>
      <c r="BC338" s="62">
        <v>40627000</v>
      </c>
      <c r="BD338" s="62">
        <v>2609600</v>
      </c>
      <c r="BE338" s="62">
        <v>7672224</v>
      </c>
      <c r="BF338" s="62">
        <v>4830133</v>
      </c>
      <c r="BG338" s="62">
        <v>13828340</v>
      </c>
      <c r="BH338" s="62">
        <v>11465803</v>
      </c>
      <c r="BI338" s="62">
        <v>1250000</v>
      </c>
      <c r="BJ338" s="47">
        <f t="shared" si="957"/>
        <v>101611358</v>
      </c>
      <c r="BK338" s="69">
        <f t="shared" si="958"/>
        <v>23104.934523809523</v>
      </c>
      <c r="BL338" s="70">
        <f t="shared" si="959"/>
        <v>34419.642857142855</v>
      </c>
      <c r="BM338" s="70">
        <f t="shared" si="960"/>
        <v>120913.69047619047</v>
      </c>
      <c r="BN338" s="70">
        <f t="shared" si="961"/>
        <v>7766.666666666667</v>
      </c>
      <c r="BO338" s="70">
        <f t="shared" si="962"/>
        <v>22834</v>
      </c>
      <c r="BP338" s="70">
        <f t="shared" si="963"/>
        <v>14375.395833333334</v>
      </c>
      <c r="BQ338" s="70">
        <f t="shared" si="964"/>
        <v>41155.773809523809</v>
      </c>
      <c r="BR338" s="70">
        <f t="shared" si="965"/>
        <v>34124.413690476191</v>
      </c>
      <c r="BS338" s="70">
        <f t="shared" si="966"/>
        <v>3720.2380952380954</v>
      </c>
      <c r="BT338" s="71">
        <f t="shared" si="967"/>
        <v>302414.75595238095</v>
      </c>
      <c r="BU338" s="65">
        <f t="shared" si="968"/>
        <v>23.256935207487029</v>
      </c>
      <c r="BV338" s="48">
        <f t="shared" si="969"/>
        <v>34.646079735413593</v>
      </c>
      <c r="BW338" s="48">
        <f t="shared" si="970"/>
        <v>121.70914668488095</v>
      </c>
      <c r="BX338" s="48">
        <f t="shared" si="971"/>
        <v>7.8177613210147276</v>
      </c>
      <c r="BY338" s="48">
        <f t="shared" si="972"/>
        <v>22.984218283783299</v>
      </c>
      <c r="BZ338" s="48">
        <f t="shared" si="973"/>
        <v>14.469967406022697</v>
      </c>
      <c r="CA338" s="48">
        <f t="shared" si="974"/>
        <v>41.426525745647147</v>
      </c>
      <c r="CB338" s="48">
        <f t="shared" si="975"/>
        <v>34.348908341421911</v>
      </c>
      <c r="CC338" s="48">
        <f t="shared" si="976"/>
        <v>3.7447124659980107</v>
      </c>
      <c r="CD338" s="47">
        <f t="shared" si="977"/>
        <v>304.40425519166934</v>
      </c>
      <c r="CE338" s="66">
        <v>4891968</v>
      </c>
      <c r="CF338" s="62">
        <v>120960</v>
      </c>
      <c r="CG338" s="74">
        <v>-375970</v>
      </c>
      <c r="CH338" s="75">
        <f t="shared" si="978"/>
        <v>4636958</v>
      </c>
      <c r="CI338" s="62">
        <v>164797</v>
      </c>
      <c r="CJ338" s="62">
        <v>139109</v>
      </c>
      <c r="CK338" s="62">
        <v>361560</v>
      </c>
      <c r="CL338" s="62">
        <v>227909</v>
      </c>
      <c r="CM338" s="62">
        <f>SUM(71114,169500)</f>
        <v>240614</v>
      </c>
      <c r="CN338" s="62">
        <v>157688</v>
      </c>
      <c r="CO338" s="62">
        <v>0</v>
      </c>
      <c r="CP338" s="75">
        <f t="shared" si="868"/>
        <v>1291677</v>
      </c>
      <c r="CQ338" s="62">
        <v>84000</v>
      </c>
      <c r="CR338" s="75">
        <f t="shared" si="869"/>
        <v>1375677</v>
      </c>
      <c r="CS338" s="75">
        <f t="shared" si="979"/>
        <v>3345281</v>
      </c>
      <c r="CT338" s="62">
        <v>2764799</v>
      </c>
      <c r="CU338" s="47">
        <f t="shared" si="980"/>
        <v>580482</v>
      </c>
      <c r="CV338" s="76">
        <f t="shared" si="981"/>
        <v>0.72143871046492114</v>
      </c>
      <c r="CW338" s="75">
        <f t="shared" si="982"/>
        <v>4094.2767857142858</v>
      </c>
      <c r="CX338" s="77">
        <f t="shared" si="983"/>
        <v>0.2966766142803105</v>
      </c>
      <c r="CY338" s="75">
        <f t="shared" si="984"/>
        <v>1727.625</v>
      </c>
      <c r="CZ338" s="77">
        <f t="shared" si="985"/>
        <v>0.12518595165192353</v>
      </c>
      <c r="DA338" s="77">
        <f t="shared" si="986"/>
        <v>0.59625275881299766</v>
      </c>
      <c r="DB338" s="47">
        <f t="shared" si="987"/>
        <v>163690.47619047618</v>
      </c>
      <c r="DC338" s="69">
        <f t="shared" si="1020"/>
        <v>14559.428571428571</v>
      </c>
      <c r="DD338" s="70">
        <f t="shared" si="988"/>
        <v>360</v>
      </c>
      <c r="DE338" s="70">
        <f t="shared" si="989"/>
        <v>-1118.9583333333333</v>
      </c>
      <c r="DF338" s="70">
        <f t="shared" si="990"/>
        <v>13800.470238095239</v>
      </c>
      <c r="DG338" s="70">
        <f t="shared" si="991"/>
        <v>490.46726190476193</v>
      </c>
      <c r="DH338" s="70">
        <f t="shared" si="992"/>
        <v>414.01488095238096</v>
      </c>
      <c r="DI338" s="70">
        <f t="shared" si="993"/>
        <v>1076.0714285714287</v>
      </c>
      <c r="DJ338" s="70">
        <f t="shared" si="994"/>
        <v>678.30059523809518</v>
      </c>
      <c r="DK338" s="70">
        <f t="shared" si="995"/>
        <v>716.11309523809518</v>
      </c>
      <c r="DL338" s="70">
        <f t="shared" si="996"/>
        <v>469.3095238095238</v>
      </c>
      <c r="DM338" s="70" t="str">
        <f t="shared" si="997"/>
        <v/>
      </c>
      <c r="DN338" s="70">
        <f t="shared" si="998"/>
        <v>3844.2767857142858</v>
      </c>
      <c r="DO338" s="70">
        <f t="shared" si="999"/>
        <v>250</v>
      </c>
      <c r="DP338" s="70">
        <f t="shared" si="1000"/>
        <v>4094.2767857142858</v>
      </c>
      <c r="DQ338" s="70">
        <f t="shared" si="1001"/>
        <v>9956.1934523809523</v>
      </c>
      <c r="DR338" s="70">
        <f t="shared" si="1002"/>
        <v>8228.5684523809523</v>
      </c>
      <c r="DS338" s="71">
        <f t="shared" si="1003"/>
        <v>1727.625</v>
      </c>
      <c r="DT338" s="106">
        <f t="shared" si="1021"/>
        <v>1.0549951067057326</v>
      </c>
      <c r="DU338" s="92">
        <f t="shared" si="1004"/>
        <v>2.6086067633133619E-2</v>
      </c>
      <c r="DV338" s="92" t="str">
        <f t="shared" si="1005"/>
        <v/>
      </c>
      <c r="DW338" s="92">
        <f t="shared" si="1006"/>
        <v>1</v>
      </c>
      <c r="DX338" s="92">
        <f t="shared" si="1007"/>
        <v>3.5539894905237443E-2</v>
      </c>
      <c r="DY338" s="92">
        <f t="shared" si="1008"/>
        <v>3.0000056071243258E-2</v>
      </c>
      <c r="DZ338" s="92">
        <f t="shared" si="1009"/>
        <v>7.7973533510547213E-2</v>
      </c>
      <c r="EA338" s="92">
        <f t="shared" si="1010"/>
        <v>4.9150542230488176E-2</v>
      </c>
      <c r="EB338" s="92">
        <f t="shared" si="1011"/>
        <v>5.1890485098204472E-2</v>
      </c>
      <c r="EC338" s="92">
        <f t="shared" si="1012"/>
        <v>3.4006777719358249E-2</v>
      </c>
      <c r="ED338" s="92" t="str">
        <f t="shared" si="1013"/>
        <v/>
      </c>
      <c r="EE338" s="92">
        <f t="shared" si="1014"/>
        <v>0.2785612895350788</v>
      </c>
      <c r="EF338" s="92">
        <f t="shared" si="1015"/>
        <v>1.8115324745231681E-2</v>
      </c>
      <c r="EG338" s="92">
        <f t="shared" si="1016"/>
        <v>0.2966766142803105</v>
      </c>
      <c r="EH338" s="92">
        <f t="shared" si="1017"/>
        <v>0.72143871046492114</v>
      </c>
      <c r="EI338" s="92">
        <f t="shared" si="1018"/>
        <v>0.59625275881299766</v>
      </c>
      <c r="EJ338" s="122">
        <f t="shared" si="1019"/>
        <v>0.12518595165192353</v>
      </c>
    </row>
    <row r="339" spans="2:140" ht="12" hidden="1" customHeight="1" outlineLevel="1">
      <c r="B339" s="121">
        <v>45888</v>
      </c>
      <c r="C339" s="117">
        <v>25463</v>
      </c>
      <c r="D339" s="50" t="s">
        <v>1540</v>
      </c>
      <c r="E339" s="50" t="s">
        <v>1541</v>
      </c>
      <c r="F339" s="50" t="s">
        <v>1231</v>
      </c>
      <c r="G339" s="50" t="s">
        <v>162</v>
      </c>
      <c r="H339" s="50" t="s">
        <v>1542</v>
      </c>
      <c r="I339" s="50" t="s">
        <v>1543</v>
      </c>
      <c r="J339" s="52" t="s">
        <v>199</v>
      </c>
      <c r="K339" s="50" t="s">
        <v>199</v>
      </c>
      <c r="L339" s="49">
        <v>3</v>
      </c>
      <c r="M339" s="50" t="s">
        <v>159</v>
      </c>
      <c r="N339" s="50" t="s">
        <v>160</v>
      </c>
      <c r="O339" s="50" t="s">
        <v>160</v>
      </c>
      <c r="P339" s="50" t="s">
        <v>1544</v>
      </c>
      <c r="Q339" s="53">
        <v>0.04</v>
      </c>
      <c r="R339" s="49">
        <v>207</v>
      </c>
      <c r="S339" s="49">
        <v>1</v>
      </c>
      <c r="T339" s="54">
        <f t="shared" si="867"/>
        <v>208</v>
      </c>
      <c r="U339" s="55">
        <v>205608</v>
      </c>
      <c r="V339" s="49">
        <v>22.73</v>
      </c>
      <c r="W339" s="56">
        <f t="shared" si="946"/>
        <v>9.1509018917729872</v>
      </c>
      <c r="X339" s="49">
        <v>1997</v>
      </c>
      <c r="Y339" s="57" t="s">
        <v>162</v>
      </c>
      <c r="Z339" s="58">
        <v>23528323</v>
      </c>
      <c r="AA339" s="114">
        <v>6.3500000000000001E-2</v>
      </c>
      <c r="AB339" s="59">
        <v>18</v>
      </c>
      <c r="AC339" s="60">
        <v>40</v>
      </c>
      <c r="AD339" s="61">
        <v>6.3500000000000001E-2</v>
      </c>
      <c r="AE339" s="62">
        <v>23528323</v>
      </c>
      <c r="AF339" s="63">
        <v>1.23</v>
      </c>
      <c r="AG339" s="59"/>
      <c r="AH339" s="60"/>
      <c r="AI339" s="61"/>
      <c r="AJ339" s="64"/>
      <c r="AK339" s="65">
        <f t="shared" si="947"/>
        <v>23528323</v>
      </c>
      <c r="AL339" s="66">
        <v>18276654</v>
      </c>
      <c r="AM339" s="49" t="s">
        <v>1144</v>
      </c>
      <c r="AN339" s="67">
        <v>0.9</v>
      </c>
      <c r="AO339" s="62">
        <v>31147756</v>
      </c>
      <c r="AP339" s="62">
        <v>2002709</v>
      </c>
      <c r="AQ339" s="68">
        <v>7398482</v>
      </c>
      <c r="AR339" s="69">
        <f t="shared" si="948"/>
        <v>113116.9375</v>
      </c>
      <c r="AS339" s="70">
        <f t="shared" si="949"/>
        <v>87868.528846153844</v>
      </c>
      <c r="AT339" s="70">
        <f t="shared" si="950"/>
        <v>149748.82692307694</v>
      </c>
      <c r="AU339" s="70">
        <f t="shared" si="951"/>
        <v>9628.4086538461543</v>
      </c>
      <c r="AV339" s="71">
        <f t="shared" si="952"/>
        <v>35569.625</v>
      </c>
      <c r="AW339" s="115">
        <f t="shared" si="953"/>
        <v>74521.754807692312</v>
      </c>
      <c r="AX339" s="116">
        <f t="shared" si="954"/>
        <v>75.388725146881441</v>
      </c>
      <c r="AY339" s="72">
        <f t="shared" si="955"/>
        <v>91355.341346153858</v>
      </c>
      <c r="AZ339" s="73">
        <f t="shared" si="956"/>
        <v>92.418150071981628</v>
      </c>
      <c r="BA339" s="66">
        <v>38635333</v>
      </c>
      <c r="BB339" s="62">
        <v>1980500</v>
      </c>
      <c r="BC339" s="62">
        <v>13520025</v>
      </c>
      <c r="BD339" s="62">
        <v>1500000</v>
      </c>
      <c r="BE339" s="62">
        <v>2001386</v>
      </c>
      <c r="BF339" s="62">
        <v>2785480</v>
      </c>
      <c r="BG339" s="62">
        <v>18943051</v>
      </c>
      <c r="BH339" s="62">
        <v>9975400</v>
      </c>
      <c r="BI339" s="62">
        <v>888578</v>
      </c>
      <c r="BJ339" s="47">
        <f t="shared" si="957"/>
        <v>90229753</v>
      </c>
      <c r="BK339" s="69">
        <f t="shared" si="958"/>
        <v>185746.79326923078</v>
      </c>
      <c r="BL339" s="70">
        <f t="shared" si="959"/>
        <v>9521.6346153846152</v>
      </c>
      <c r="BM339" s="70">
        <f t="shared" si="960"/>
        <v>65000.120192307695</v>
      </c>
      <c r="BN339" s="70">
        <f t="shared" si="961"/>
        <v>7211.5384615384619</v>
      </c>
      <c r="BO339" s="70">
        <f t="shared" si="962"/>
        <v>9622.0480769230762</v>
      </c>
      <c r="BP339" s="70">
        <f t="shared" si="963"/>
        <v>13391.73076923077</v>
      </c>
      <c r="BQ339" s="70">
        <f t="shared" si="964"/>
        <v>91072.360576923078</v>
      </c>
      <c r="BR339" s="70">
        <f t="shared" si="965"/>
        <v>47958.653846153844</v>
      </c>
      <c r="BS339" s="70">
        <f t="shared" si="966"/>
        <v>4272.0096153846152</v>
      </c>
      <c r="BT339" s="71">
        <f t="shared" si="967"/>
        <v>433796.88942307694</v>
      </c>
      <c r="BU339" s="65">
        <f t="shared" si="968"/>
        <v>187.90773218940896</v>
      </c>
      <c r="BV339" s="48">
        <f t="shared" si="969"/>
        <v>9.632407299326875</v>
      </c>
      <c r="BW339" s="48">
        <f t="shared" si="970"/>
        <v>65.75631784755457</v>
      </c>
      <c r="BX339" s="48">
        <f t="shared" si="971"/>
        <v>7.2954359752538815</v>
      </c>
      <c r="BY339" s="48">
        <f t="shared" si="972"/>
        <v>9.7339889498463101</v>
      </c>
      <c r="BZ339" s="48">
        <f t="shared" si="973"/>
        <v>13.547527333566787</v>
      </c>
      <c r="CA339" s="48">
        <f t="shared" si="974"/>
        <v>92.131877164312669</v>
      </c>
      <c r="CB339" s="48">
        <f t="shared" si="975"/>
        <v>48.516594685031713</v>
      </c>
      <c r="CC339" s="48">
        <f t="shared" si="976"/>
        <v>4.3217092720127619</v>
      </c>
      <c r="CD339" s="47">
        <f t="shared" si="977"/>
        <v>438.84359071631457</v>
      </c>
      <c r="CE339" s="66">
        <v>3686688</v>
      </c>
      <c r="CF339" s="62">
        <v>65452</v>
      </c>
      <c r="CG339" s="74">
        <v>-281411</v>
      </c>
      <c r="CH339" s="75">
        <f t="shared" si="978"/>
        <v>3470729</v>
      </c>
      <c r="CI339" s="62">
        <v>127512</v>
      </c>
      <c r="CJ339" s="62">
        <v>129317</v>
      </c>
      <c r="CK339" s="62">
        <v>435826</v>
      </c>
      <c r="CL339" s="62">
        <v>198930</v>
      </c>
      <c r="CM339" s="62">
        <f>SUM(56923,96338)</f>
        <v>153261</v>
      </c>
      <c r="CN339" s="62">
        <v>145837</v>
      </c>
      <c r="CO339" s="62">
        <v>156874</v>
      </c>
      <c r="CP339" s="75">
        <f t="shared" si="868"/>
        <v>1347557</v>
      </c>
      <c r="CQ339" s="62">
        <v>62400</v>
      </c>
      <c r="CR339" s="75">
        <f t="shared" si="869"/>
        <v>1409957</v>
      </c>
      <c r="CS339" s="75">
        <f t="shared" si="979"/>
        <v>2123172</v>
      </c>
      <c r="CT339" s="62">
        <v>1627901</v>
      </c>
      <c r="CU339" s="47">
        <f t="shared" si="980"/>
        <v>495271</v>
      </c>
      <c r="CV339" s="76">
        <f t="shared" si="981"/>
        <v>0.61173661210656316</v>
      </c>
      <c r="CW339" s="75">
        <f t="shared" si="982"/>
        <v>6778.6394230769229</v>
      </c>
      <c r="CX339" s="77">
        <f t="shared" si="983"/>
        <v>0.40624231969710112</v>
      </c>
      <c r="CY339" s="75">
        <f t="shared" si="984"/>
        <v>2381.1105769230771</v>
      </c>
      <c r="CZ339" s="77">
        <f t="shared" si="985"/>
        <v>0.1426994155982792</v>
      </c>
      <c r="DA339" s="77">
        <f t="shared" si="986"/>
        <v>0.46903719650828402</v>
      </c>
      <c r="DB339" s="47">
        <f t="shared" si="987"/>
        <v>113116.9375</v>
      </c>
      <c r="DC339" s="69">
        <f t="shared" si="1020"/>
        <v>17724.461538461539</v>
      </c>
      <c r="DD339" s="70">
        <f t="shared" si="988"/>
        <v>314.67307692307691</v>
      </c>
      <c r="DE339" s="70">
        <f t="shared" si="989"/>
        <v>-1352.9375</v>
      </c>
      <c r="DF339" s="70">
        <f t="shared" si="990"/>
        <v>16686.197115384617</v>
      </c>
      <c r="DG339" s="70">
        <f t="shared" si="991"/>
        <v>613.03846153846155</v>
      </c>
      <c r="DH339" s="70">
        <f t="shared" si="992"/>
        <v>621.71634615384619</v>
      </c>
      <c r="DI339" s="70">
        <f t="shared" si="993"/>
        <v>2095.3173076923076</v>
      </c>
      <c r="DJ339" s="70">
        <f t="shared" si="994"/>
        <v>956.39423076923072</v>
      </c>
      <c r="DK339" s="70">
        <f t="shared" si="995"/>
        <v>736.83173076923072</v>
      </c>
      <c r="DL339" s="70">
        <f t="shared" si="996"/>
        <v>701.13942307692309</v>
      </c>
      <c r="DM339" s="70">
        <f t="shared" si="997"/>
        <v>754.20192307692309</v>
      </c>
      <c r="DN339" s="70">
        <f t="shared" si="998"/>
        <v>6478.6394230769229</v>
      </c>
      <c r="DO339" s="70">
        <f t="shared" si="999"/>
        <v>300</v>
      </c>
      <c r="DP339" s="70">
        <f t="shared" si="1000"/>
        <v>6778.6394230769229</v>
      </c>
      <c r="DQ339" s="70">
        <f t="shared" si="1001"/>
        <v>10207.557692307691</v>
      </c>
      <c r="DR339" s="70">
        <f t="shared" si="1002"/>
        <v>7826.4471153846152</v>
      </c>
      <c r="DS339" s="71">
        <f t="shared" si="1003"/>
        <v>2381.1105769230771</v>
      </c>
      <c r="DT339" s="106">
        <f t="shared" si="1021"/>
        <v>1.0622229508555696</v>
      </c>
      <c r="DU339" s="92">
        <f t="shared" si="1004"/>
        <v>1.8858285968164037E-2</v>
      </c>
      <c r="DV339" s="92" t="str">
        <f t="shared" si="1005"/>
        <v/>
      </c>
      <c r="DW339" s="92">
        <f t="shared" si="1006"/>
        <v>1</v>
      </c>
      <c r="DX339" s="92">
        <f t="shared" si="1007"/>
        <v>3.6739255643410941E-2</v>
      </c>
      <c r="DY339" s="92">
        <f t="shared" si="1008"/>
        <v>3.7259319295744497E-2</v>
      </c>
      <c r="DZ339" s="92">
        <f t="shared" si="1009"/>
        <v>0.12557188994012497</v>
      </c>
      <c r="EA339" s="92">
        <f t="shared" si="1010"/>
        <v>5.7316488841393266E-2</v>
      </c>
      <c r="EB339" s="92">
        <f t="shared" si="1011"/>
        <v>4.4158158127586451E-2</v>
      </c>
      <c r="EC339" s="92">
        <f t="shared" si="1012"/>
        <v>4.2019126241201778E-2</v>
      </c>
      <c r="ED339" s="92">
        <f t="shared" si="1013"/>
        <v>4.5199149803974902E-2</v>
      </c>
      <c r="EE339" s="92">
        <f t="shared" si="1014"/>
        <v>0.38826338789343678</v>
      </c>
      <c r="EF339" s="92">
        <f t="shared" si="1015"/>
        <v>1.7978931803664302E-2</v>
      </c>
      <c r="EG339" s="92">
        <f t="shared" si="1016"/>
        <v>0.40624231969710112</v>
      </c>
      <c r="EH339" s="92">
        <f t="shared" si="1017"/>
        <v>0.61173661210656316</v>
      </c>
      <c r="EI339" s="92">
        <f t="shared" si="1018"/>
        <v>0.46903719650828402</v>
      </c>
      <c r="EJ339" s="122">
        <f t="shared" si="1019"/>
        <v>0.1426994155982792</v>
      </c>
    </row>
    <row r="340" spans="2:140" ht="12" hidden="1" customHeight="1" outlineLevel="1">
      <c r="B340" s="121">
        <v>45889</v>
      </c>
      <c r="C340" s="117">
        <v>25423</v>
      </c>
      <c r="D340" s="50" t="s">
        <v>1545</v>
      </c>
      <c r="E340" s="50" t="s">
        <v>393</v>
      </c>
      <c r="F340" s="50" t="s">
        <v>1546</v>
      </c>
      <c r="G340" s="50" t="s">
        <v>249</v>
      </c>
      <c r="H340" s="50" t="s">
        <v>1105</v>
      </c>
      <c r="I340" s="50" t="s">
        <v>259</v>
      </c>
      <c r="J340" s="52" t="s">
        <v>183</v>
      </c>
      <c r="K340" s="50" t="s">
        <v>184</v>
      </c>
      <c r="L340" s="49">
        <v>9</v>
      </c>
      <c r="M340" s="50" t="s">
        <v>159</v>
      </c>
      <c r="N340" s="50" t="s">
        <v>160</v>
      </c>
      <c r="O340" s="50" t="s">
        <v>160</v>
      </c>
      <c r="P340" s="50" t="s">
        <v>177</v>
      </c>
      <c r="Q340" s="53">
        <v>0.04</v>
      </c>
      <c r="R340" s="49">
        <v>247</v>
      </c>
      <c r="S340" s="49">
        <v>0</v>
      </c>
      <c r="T340" s="54">
        <f t="shared" si="867"/>
        <v>247</v>
      </c>
      <c r="U340" s="55">
        <v>253170</v>
      </c>
      <c r="V340" s="49">
        <v>12.356</v>
      </c>
      <c r="W340" s="56">
        <f t="shared" si="946"/>
        <v>19.990288119132405</v>
      </c>
      <c r="X340" s="49" t="s">
        <v>163</v>
      </c>
      <c r="Y340" s="57" t="s">
        <v>162</v>
      </c>
      <c r="Z340" s="58">
        <v>30562929</v>
      </c>
      <c r="AA340" s="114">
        <v>7.2499999999999995E-2</v>
      </c>
      <c r="AB340" s="59">
        <v>40</v>
      </c>
      <c r="AC340" s="60">
        <v>40</v>
      </c>
      <c r="AD340" s="61">
        <v>5.5E-2</v>
      </c>
      <c r="AE340" s="62">
        <v>30562929</v>
      </c>
      <c r="AF340" s="63">
        <v>1.18</v>
      </c>
      <c r="AG340" s="59"/>
      <c r="AH340" s="60"/>
      <c r="AI340" s="61"/>
      <c r="AJ340" s="64"/>
      <c r="AK340" s="65">
        <f t="shared" si="947"/>
        <v>30562929</v>
      </c>
      <c r="AL340" s="66">
        <v>0</v>
      </c>
      <c r="AM340" s="49" t="s">
        <v>163</v>
      </c>
      <c r="AN340" s="67">
        <v>0.86</v>
      </c>
      <c r="AO340" s="62">
        <v>25647987</v>
      </c>
      <c r="AP340" s="62">
        <v>2227587</v>
      </c>
      <c r="AQ340" s="68">
        <v>5433575</v>
      </c>
      <c r="AR340" s="69">
        <f t="shared" si="948"/>
        <v>123736.55465587045</v>
      </c>
      <c r="AS340" s="70" t="str">
        <f t="shared" si="949"/>
        <v/>
      </c>
      <c r="AT340" s="70">
        <f t="shared" si="950"/>
        <v>103838.004048583</v>
      </c>
      <c r="AU340" s="70">
        <f t="shared" si="951"/>
        <v>9018.5708502024299</v>
      </c>
      <c r="AV340" s="71">
        <f t="shared" si="952"/>
        <v>21998.27935222672</v>
      </c>
      <c r="AW340" s="115">
        <f t="shared" si="953"/>
        <v>133241.7004048583</v>
      </c>
      <c r="AX340" s="116">
        <f t="shared" si="954"/>
        <v>129.99447011889245</v>
      </c>
      <c r="AY340" s="72">
        <f t="shared" si="955"/>
        <v>157455.38866396761</v>
      </c>
      <c r="AZ340" s="73">
        <f t="shared" si="956"/>
        <v>153.61804716198603</v>
      </c>
      <c r="BA340" s="66">
        <v>2750250</v>
      </c>
      <c r="BB340" s="62">
        <v>7834457</v>
      </c>
      <c r="BC340" s="62">
        <v>25076243</v>
      </c>
      <c r="BD340" s="62">
        <v>1592311</v>
      </c>
      <c r="BE340" s="62">
        <v>4388470</v>
      </c>
      <c r="BF340" s="62">
        <v>3354741</v>
      </c>
      <c r="BG340" s="62">
        <v>14341950</v>
      </c>
      <c r="BH340" s="62">
        <v>7480000</v>
      </c>
      <c r="BI340" s="62">
        <v>872427</v>
      </c>
      <c r="BJ340" s="47">
        <f t="shared" si="957"/>
        <v>67690849</v>
      </c>
      <c r="BK340" s="69">
        <f t="shared" si="958"/>
        <v>11134.615384615385</v>
      </c>
      <c r="BL340" s="70">
        <f t="shared" si="959"/>
        <v>31718.449392712551</v>
      </c>
      <c r="BM340" s="70">
        <f t="shared" si="960"/>
        <v>101523.25101214575</v>
      </c>
      <c r="BN340" s="70">
        <f t="shared" si="961"/>
        <v>6446.6032388663971</v>
      </c>
      <c r="BO340" s="70">
        <f t="shared" si="962"/>
        <v>17767.085020242914</v>
      </c>
      <c r="BP340" s="70">
        <f t="shared" si="963"/>
        <v>13581.947368421053</v>
      </c>
      <c r="BQ340" s="70">
        <f t="shared" si="964"/>
        <v>58064.574898785424</v>
      </c>
      <c r="BR340" s="70">
        <f t="shared" si="965"/>
        <v>30283.400809716601</v>
      </c>
      <c r="BS340" s="70">
        <f t="shared" si="966"/>
        <v>3532.0931174089069</v>
      </c>
      <c r="BT340" s="71">
        <f t="shared" si="967"/>
        <v>274052.02024291496</v>
      </c>
      <c r="BU340" s="65">
        <f t="shared" si="968"/>
        <v>10.863253940040289</v>
      </c>
      <c r="BV340" s="48">
        <f t="shared" si="969"/>
        <v>30.945439823043806</v>
      </c>
      <c r="BW340" s="48">
        <f t="shared" si="970"/>
        <v>99.049030295848638</v>
      </c>
      <c r="BX340" s="48">
        <f t="shared" si="971"/>
        <v>6.2894932258956429</v>
      </c>
      <c r="BY340" s="48">
        <f t="shared" si="972"/>
        <v>17.334083817197929</v>
      </c>
      <c r="BZ340" s="48">
        <f t="shared" si="973"/>
        <v>13.250942054745822</v>
      </c>
      <c r="CA340" s="48">
        <f t="shared" si="974"/>
        <v>56.649484536082475</v>
      </c>
      <c r="CB340" s="48">
        <f t="shared" si="975"/>
        <v>29.545364774657344</v>
      </c>
      <c r="CC340" s="48">
        <f t="shared" si="976"/>
        <v>3.4460125607299443</v>
      </c>
      <c r="CD340" s="47">
        <f t="shared" si="977"/>
        <v>267.37310502824187</v>
      </c>
      <c r="CE340" s="66">
        <v>3425316</v>
      </c>
      <c r="CF340" s="62">
        <f>SUM(18009,51870,19029)</f>
        <v>88908</v>
      </c>
      <c r="CG340" s="74">
        <v>-263567</v>
      </c>
      <c r="CH340" s="75">
        <f t="shared" si="978"/>
        <v>3250657</v>
      </c>
      <c r="CI340" s="62">
        <v>67995</v>
      </c>
      <c r="CJ340" s="62">
        <v>113773</v>
      </c>
      <c r="CK340" s="62">
        <v>335197</v>
      </c>
      <c r="CL340" s="62">
        <v>186605</v>
      </c>
      <c r="CM340" s="62">
        <f>SUM(30875,41002)</f>
        <v>71877</v>
      </c>
      <c r="CN340" s="62">
        <v>115843</v>
      </c>
      <c r="CO340" s="62">
        <v>0</v>
      </c>
      <c r="CP340" s="75">
        <f t="shared" si="868"/>
        <v>891290</v>
      </c>
      <c r="CQ340" s="62">
        <v>61750</v>
      </c>
      <c r="CR340" s="75">
        <f t="shared" si="869"/>
        <v>953040</v>
      </c>
      <c r="CS340" s="75">
        <f t="shared" si="979"/>
        <v>2359367</v>
      </c>
      <c r="CT340" s="62">
        <v>1891614</v>
      </c>
      <c r="CU340" s="47">
        <f t="shared" si="980"/>
        <v>467753</v>
      </c>
      <c r="CV340" s="76">
        <f t="shared" si="981"/>
        <v>0.725812351164703</v>
      </c>
      <c r="CW340" s="75">
        <f t="shared" si="982"/>
        <v>3858.4615384615386</v>
      </c>
      <c r="CX340" s="77">
        <f t="shared" si="983"/>
        <v>0.29318380868852051</v>
      </c>
      <c r="CY340" s="75">
        <f t="shared" si="984"/>
        <v>1893.7368421052631</v>
      </c>
      <c r="CZ340" s="77">
        <f t="shared" si="985"/>
        <v>0.14389491109028113</v>
      </c>
      <c r="DA340" s="77">
        <f t="shared" si="986"/>
        <v>0.58191744007442192</v>
      </c>
      <c r="DB340" s="47">
        <f t="shared" si="987"/>
        <v>123736.55465587045</v>
      </c>
      <c r="DC340" s="69">
        <f t="shared" si="1020"/>
        <v>13867.676113360323</v>
      </c>
      <c r="DD340" s="70">
        <f t="shared" si="988"/>
        <v>359.95141700404861</v>
      </c>
      <c r="DE340" s="70">
        <f t="shared" si="989"/>
        <v>-1067.0728744939272</v>
      </c>
      <c r="DF340" s="70">
        <f t="shared" si="990"/>
        <v>13160.554655870445</v>
      </c>
      <c r="DG340" s="70">
        <f t="shared" si="991"/>
        <v>275.28340080971662</v>
      </c>
      <c r="DH340" s="70">
        <f t="shared" si="992"/>
        <v>460.61943319838059</v>
      </c>
      <c r="DI340" s="70">
        <f t="shared" si="993"/>
        <v>1357.0728744939272</v>
      </c>
      <c r="DJ340" s="70">
        <f t="shared" si="994"/>
        <v>755.48582995951415</v>
      </c>
      <c r="DK340" s="70">
        <f t="shared" si="995"/>
        <v>291</v>
      </c>
      <c r="DL340" s="70">
        <f t="shared" si="996"/>
        <v>469</v>
      </c>
      <c r="DM340" s="70" t="str">
        <f t="shared" si="997"/>
        <v/>
      </c>
      <c r="DN340" s="70">
        <f t="shared" si="998"/>
        <v>3608.4615384615386</v>
      </c>
      <c r="DO340" s="70">
        <f t="shared" si="999"/>
        <v>250</v>
      </c>
      <c r="DP340" s="70">
        <f t="shared" si="1000"/>
        <v>3858.4615384615386</v>
      </c>
      <c r="DQ340" s="70">
        <f t="shared" si="1001"/>
        <v>9552.0931174089073</v>
      </c>
      <c r="DR340" s="70">
        <f t="shared" si="1002"/>
        <v>7658.356275303644</v>
      </c>
      <c r="DS340" s="71">
        <f t="shared" si="1003"/>
        <v>1893.7368421052631</v>
      </c>
      <c r="DT340" s="106">
        <f t="shared" si="1021"/>
        <v>1.0537303689684885</v>
      </c>
      <c r="DU340" s="92">
        <f t="shared" si="1004"/>
        <v>2.7350778627212899E-2</v>
      </c>
      <c r="DV340" s="92" t="str">
        <f t="shared" si="1005"/>
        <v/>
      </c>
      <c r="DW340" s="92">
        <f t="shared" si="1006"/>
        <v>1</v>
      </c>
      <c r="DX340" s="92">
        <f t="shared" si="1007"/>
        <v>2.0917309946881506E-2</v>
      </c>
      <c r="DY340" s="92">
        <f t="shared" si="1008"/>
        <v>3.5000001538150596E-2</v>
      </c>
      <c r="DZ340" s="92">
        <f t="shared" si="1009"/>
        <v>0.1031166930254407</v>
      </c>
      <c r="EA340" s="92">
        <f t="shared" si="1010"/>
        <v>5.7405318371024687E-2</v>
      </c>
      <c r="EB340" s="92">
        <f t="shared" si="1011"/>
        <v>2.2111530069152174E-2</v>
      </c>
      <c r="EC340" s="92">
        <f t="shared" si="1012"/>
        <v>3.563679588464732E-2</v>
      </c>
      <c r="ED340" s="92" t="str">
        <f t="shared" si="1013"/>
        <v/>
      </c>
      <c r="EE340" s="92">
        <f t="shared" si="1014"/>
        <v>0.274187648835297</v>
      </c>
      <c r="EF340" s="92">
        <f t="shared" si="1015"/>
        <v>1.8996159853223518E-2</v>
      </c>
      <c r="EG340" s="92">
        <f t="shared" si="1016"/>
        <v>0.29318380868852051</v>
      </c>
      <c r="EH340" s="92">
        <f t="shared" si="1017"/>
        <v>0.725812351164703</v>
      </c>
      <c r="EI340" s="92">
        <f t="shared" si="1018"/>
        <v>0.58191744007442192</v>
      </c>
      <c r="EJ340" s="122">
        <f t="shared" si="1019"/>
        <v>0.14389491109028113</v>
      </c>
    </row>
    <row r="341" spans="2:140" ht="12" hidden="1" customHeight="1" outlineLevel="1">
      <c r="B341" s="121">
        <v>45894</v>
      </c>
      <c r="C341" s="117">
        <v>25455</v>
      </c>
      <c r="D341" s="50" t="s">
        <v>1547</v>
      </c>
      <c r="E341" s="50" t="s">
        <v>1548</v>
      </c>
      <c r="F341" s="50" t="s">
        <v>1549</v>
      </c>
      <c r="G341" s="50" t="s">
        <v>249</v>
      </c>
      <c r="H341" s="50" t="s">
        <v>396</v>
      </c>
      <c r="I341" s="50" t="s">
        <v>956</v>
      </c>
      <c r="J341" s="52" t="s">
        <v>876</v>
      </c>
      <c r="K341" s="50" t="s">
        <v>184</v>
      </c>
      <c r="L341" s="49">
        <v>9</v>
      </c>
      <c r="M341" s="50" t="s">
        <v>159</v>
      </c>
      <c r="N341" s="50" t="s">
        <v>160</v>
      </c>
      <c r="O341" s="50" t="s">
        <v>160</v>
      </c>
      <c r="P341" s="50" t="s">
        <v>177</v>
      </c>
      <c r="Q341" s="53">
        <v>0.04</v>
      </c>
      <c r="R341" s="49">
        <v>336</v>
      </c>
      <c r="S341" s="49">
        <v>0</v>
      </c>
      <c r="T341" s="54">
        <f t="shared" si="867"/>
        <v>336</v>
      </c>
      <c r="U341" s="55">
        <v>328848</v>
      </c>
      <c r="V341" s="49">
        <v>23.89</v>
      </c>
      <c r="W341" s="56">
        <f t="shared" si="946"/>
        <v>14.064462118041021</v>
      </c>
      <c r="X341" s="49" t="s">
        <v>163</v>
      </c>
      <c r="Y341" s="57" t="s">
        <v>162</v>
      </c>
      <c r="Z341" s="58">
        <v>48898500</v>
      </c>
      <c r="AA341" s="114">
        <v>4.3499999999999997E-2</v>
      </c>
      <c r="AB341" s="59">
        <v>40</v>
      </c>
      <c r="AC341" s="60">
        <v>40</v>
      </c>
      <c r="AD341" s="61">
        <v>4.3499999999999997E-2</v>
      </c>
      <c r="AE341" s="62">
        <v>48898500</v>
      </c>
      <c r="AF341" s="63">
        <v>1.1599999999999999</v>
      </c>
      <c r="AG341" s="59">
        <v>43</v>
      </c>
      <c r="AH341" s="60">
        <v>40</v>
      </c>
      <c r="AI341" s="61">
        <v>4.3499999999999997E-2</v>
      </c>
      <c r="AJ341" s="64">
        <v>1101500</v>
      </c>
      <c r="AK341" s="65">
        <f t="shared" si="947"/>
        <v>50000000</v>
      </c>
      <c r="AL341" s="66">
        <v>0</v>
      </c>
      <c r="AM341" s="49" t="s">
        <v>163</v>
      </c>
      <c r="AN341" s="67">
        <v>0.86</v>
      </c>
      <c r="AO341" s="62">
        <v>3989695</v>
      </c>
      <c r="AP341" s="62">
        <v>3129519</v>
      </c>
      <c r="AQ341" s="68">
        <v>8923573</v>
      </c>
      <c r="AR341" s="69">
        <f t="shared" si="948"/>
        <v>148809.52380952382</v>
      </c>
      <c r="AS341" s="70" t="str">
        <f t="shared" si="949"/>
        <v/>
      </c>
      <c r="AT341" s="70">
        <f t="shared" si="950"/>
        <v>11874.092261904761</v>
      </c>
      <c r="AU341" s="70">
        <f t="shared" si="951"/>
        <v>9314.0446428571431</v>
      </c>
      <c r="AV341" s="71">
        <f t="shared" si="952"/>
        <v>26558.252976190477</v>
      </c>
      <c r="AW341" s="115">
        <f t="shared" si="953"/>
        <v>159386.07440476189</v>
      </c>
      <c r="AX341" s="116">
        <f t="shared" si="954"/>
        <v>162.85250632511068</v>
      </c>
      <c r="AY341" s="72">
        <f t="shared" si="955"/>
        <v>190785.13095238095</v>
      </c>
      <c r="AZ341" s="73">
        <f t="shared" si="956"/>
        <v>194.93444995864348</v>
      </c>
      <c r="BA341" s="66">
        <v>4778420</v>
      </c>
      <c r="BB341" s="62">
        <v>13006721</v>
      </c>
      <c r="BC341" s="62">
        <v>40547000</v>
      </c>
      <c r="BD341" s="62">
        <v>2677686</v>
      </c>
      <c r="BE341" s="62">
        <v>7872397</v>
      </c>
      <c r="BF341" s="62">
        <v>4612665</v>
      </c>
      <c r="BG341" s="62">
        <v>14021855</v>
      </c>
      <c r="BH341" s="62">
        <v>11716341</v>
      </c>
      <c r="BI341" s="62">
        <v>1390000</v>
      </c>
      <c r="BJ341" s="47">
        <f t="shared" si="957"/>
        <v>100623085</v>
      </c>
      <c r="BK341" s="69">
        <f t="shared" si="958"/>
        <v>14221.488095238095</v>
      </c>
      <c r="BL341" s="70">
        <f t="shared" si="959"/>
        <v>38710.479166666664</v>
      </c>
      <c r="BM341" s="70">
        <f t="shared" si="960"/>
        <v>120675.59523809524</v>
      </c>
      <c r="BN341" s="70">
        <f t="shared" si="961"/>
        <v>7969.3035714285716</v>
      </c>
      <c r="BO341" s="70">
        <f t="shared" si="962"/>
        <v>23429.752976190477</v>
      </c>
      <c r="BP341" s="70">
        <f t="shared" si="963"/>
        <v>13728.169642857143</v>
      </c>
      <c r="BQ341" s="70">
        <f t="shared" si="964"/>
        <v>41731.711309523809</v>
      </c>
      <c r="BR341" s="70">
        <f t="shared" si="965"/>
        <v>34870.0625</v>
      </c>
      <c r="BS341" s="70">
        <f t="shared" si="966"/>
        <v>4136.9047619047615</v>
      </c>
      <c r="BT341" s="71">
        <f t="shared" si="967"/>
        <v>299473.46726190473</v>
      </c>
      <c r="BU341" s="65">
        <f t="shared" si="968"/>
        <v>14.530786259913395</v>
      </c>
      <c r="BV341" s="48">
        <f t="shared" si="969"/>
        <v>39.552379822896903</v>
      </c>
      <c r="BW341" s="48">
        <f t="shared" si="970"/>
        <v>123.30012650221379</v>
      </c>
      <c r="BX341" s="48">
        <f t="shared" si="971"/>
        <v>8.1426251642096048</v>
      </c>
      <c r="BY341" s="48">
        <f t="shared" si="972"/>
        <v>23.939318469323212</v>
      </c>
      <c r="BZ341" s="48">
        <f t="shared" si="973"/>
        <v>14.026738797255875</v>
      </c>
      <c r="CA341" s="48">
        <f t="shared" si="974"/>
        <v>42.639319685690651</v>
      </c>
      <c r="CB341" s="48">
        <f t="shared" si="975"/>
        <v>35.628439278937378</v>
      </c>
      <c r="CC341" s="48">
        <f t="shared" si="976"/>
        <v>4.2268768549603468</v>
      </c>
      <c r="CD341" s="47">
        <f t="shared" si="977"/>
        <v>305.98661083540117</v>
      </c>
      <c r="CE341" s="66">
        <v>4752768</v>
      </c>
      <c r="CF341" s="62">
        <v>120960</v>
      </c>
      <c r="CG341" s="74">
        <v>-365530</v>
      </c>
      <c r="CH341" s="75">
        <f t="shared" si="978"/>
        <v>4508198</v>
      </c>
      <c r="CI341" s="62">
        <v>158222</v>
      </c>
      <c r="CJ341" s="62">
        <v>135246</v>
      </c>
      <c r="CK341" s="62">
        <v>361560</v>
      </c>
      <c r="CL341" s="62">
        <v>227909</v>
      </c>
      <c r="CM341" s="62">
        <f>SUM(71114,169500)</f>
        <v>240614</v>
      </c>
      <c r="CN341" s="62">
        <v>157688</v>
      </c>
      <c r="CO341" s="62">
        <v>0</v>
      </c>
      <c r="CP341" s="75">
        <f t="shared" si="868"/>
        <v>1281239</v>
      </c>
      <c r="CQ341" s="62">
        <v>84000</v>
      </c>
      <c r="CR341" s="75">
        <f t="shared" si="869"/>
        <v>1365239</v>
      </c>
      <c r="CS341" s="75">
        <f t="shared" si="979"/>
        <v>3226959</v>
      </c>
      <c r="CT341" s="62">
        <v>2703890</v>
      </c>
      <c r="CU341" s="47">
        <f t="shared" si="980"/>
        <v>523069</v>
      </c>
      <c r="CV341" s="76">
        <f t="shared" si="981"/>
        <v>0.71579797515548338</v>
      </c>
      <c r="CW341" s="75">
        <f t="shared" si="982"/>
        <v>4063.2113095238096</v>
      </c>
      <c r="CX341" s="77">
        <f t="shared" si="983"/>
        <v>0.30283474683232636</v>
      </c>
      <c r="CY341" s="75">
        <f t="shared" si="984"/>
        <v>1556.7529761904761</v>
      </c>
      <c r="CZ341" s="77">
        <f t="shared" si="985"/>
        <v>0.1160261816362103</v>
      </c>
      <c r="DA341" s="77">
        <f t="shared" si="986"/>
        <v>0.59977179351927312</v>
      </c>
      <c r="DB341" s="47">
        <f t="shared" si="987"/>
        <v>148809.52380952382</v>
      </c>
      <c r="DC341" s="69">
        <f t="shared" si="1020"/>
        <v>14145.142857142857</v>
      </c>
      <c r="DD341" s="70">
        <f t="shared" si="988"/>
        <v>360</v>
      </c>
      <c r="DE341" s="70">
        <f t="shared" si="989"/>
        <v>-1087.8869047619048</v>
      </c>
      <c r="DF341" s="70">
        <f t="shared" si="990"/>
        <v>13417.255952380952</v>
      </c>
      <c r="DG341" s="70">
        <f t="shared" si="991"/>
        <v>470.89880952380952</v>
      </c>
      <c r="DH341" s="70">
        <f t="shared" si="992"/>
        <v>402.51785714285717</v>
      </c>
      <c r="DI341" s="70">
        <f t="shared" si="993"/>
        <v>1076.0714285714287</v>
      </c>
      <c r="DJ341" s="70">
        <f t="shared" si="994"/>
        <v>678.30059523809518</v>
      </c>
      <c r="DK341" s="70">
        <f t="shared" si="995"/>
        <v>716.11309523809518</v>
      </c>
      <c r="DL341" s="70">
        <f t="shared" si="996"/>
        <v>469.3095238095238</v>
      </c>
      <c r="DM341" s="70" t="str">
        <f t="shared" si="997"/>
        <v/>
      </c>
      <c r="DN341" s="70">
        <f t="shared" si="998"/>
        <v>3813.2113095238096</v>
      </c>
      <c r="DO341" s="70">
        <f t="shared" si="999"/>
        <v>250</v>
      </c>
      <c r="DP341" s="70">
        <f t="shared" si="1000"/>
        <v>4063.2113095238096</v>
      </c>
      <c r="DQ341" s="70">
        <f t="shared" si="1001"/>
        <v>9604.0446428571431</v>
      </c>
      <c r="DR341" s="70">
        <f t="shared" si="1002"/>
        <v>8047.291666666667</v>
      </c>
      <c r="DS341" s="71">
        <f t="shared" si="1003"/>
        <v>1556.7529761904761</v>
      </c>
      <c r="DT341" s="106">
        <f t="shared" si="1021"/>
        <v>1.0542500573399838</v>
      </c>
      <c r="DU341" s="92">
        <f t="shared" si="1004"/>
        <v>2.683111966244606E-2</v>
      </c>
      <c r="DV341" s="92" t="str">
        <f t="shared" si="1005"/>
        <v/>
      </c>
      <c r="DW341" s="92">
        <f t="shared" si="1006"/>
        <v>1</v>
      </c>
      <c r="DX341" s="92">
        <f t="shared" si="1007"/>
        <v>3.509650640899091E-2</v>
      </c>
      <c r="DY341" s="92">
        <f t="shared" si="1008"/>
        <v>3.0000013309087133E-2</v>
      </c>
      <c r="DZ341" s="92">
        <f t="shared" si="1009"/>
        <v>8.0200559070386881E-2</v>
      </c>
      <c r="EA341" s="92">
        <f t="shared" si="1010"/>
        <v>5.0554345660949233E-2</v>
      </c>
      <c r="EB341" s="92">
        <f t="shared" si="1011"/>
        <v>5.3372544861605455E-2</v>
      </c>
      <c r="EC341" s="92">
        <f t="shared" si="1012"/>
        <v>3.4978055533496977E-2</v>
      </c>
      <c r="ED341" s="92" t="str">
        <f t="shared" si="1013"/>
        <v/>
      </c>
      <c r="EE341" s="92">
        <f t="shared" si="1014"/>
        <v>0.28420202484451657</v>
      </c>
      <c r="EF341" s="92">
        <f t="shared" si="1015"/>
        <v>1.8632721987809762E-2</v>
      </c>
      <c r="EG341" s="92">
        <f t="shared" si="1016"/>
        <v>0.30283474683232636</v>
      </c>
      <c r="EH341" s="92">
        <f t="shared" si="1017"/>
        <v>0.71579797515548338</v>
      </c>
      <c r="EI341" s="92">
        <f t="shared" si="1018"/>
        <v>0.59977179351927312</v>
      </c>
      <c r="EJ341" s="122">
        <f t="shared" si="1019"/>
        <v>0.1160261816362103</v>
      </c>
    </row>
    <row r="342" spans="2:140" ht="12" hidden="1" customHeight="1" outlineLevel="1">
      <c r="B342" s="121">
        <v>45909</v>
      </c>
      <c r="C342" s="117">
        <v>25467</v>
      </c>
      <c r="D342" s="50" t="s">
        <v>1550</v>
      </c>
      <c r="E342" s="50" t="s">
        <v>1254</v>
      </c>
      <c r="F342" s="50" t="s">
        <v>959</v>
      </c>
      <c r="G342" s="50" t="s">
        <v>162</v>
      </c>
      <c r="H342" s="50" t="s">
        <v>619</v>
      </c>
      <c r="I342" s="50" t="s">
        <v>321</v>
      </c>
      <c r="J342" s="52" t="s">
        <v>360</v>
      </c>
      <c r="K342" s="50" t="s">
        <v>294</v>
      </c>
      <c r="L342" s="49">
        <v>7</v>
      </c>
      <c r="M342" s="50" t="s">
        <v>159</v>
      </c>
      <c r="N342" s="50" t="s">
        <v>160</v>
      </c>
      <c r="O342" s="50" t="s">
        <v>160</v>
      </c>
      <c r="P342" s="50" t="s">
        <v>177</v>
      </c>
      <c r="Q342" s="53">
        <v>0.04</v>
      </c>
      <c r="R342" s="49">
        <v>227</v>
      </c>
      <c r="S342" s="49">
        <v>0</v>
      </c>
      <c r="T342" s="54">
        <f t="shared" si="867"/>
        <v>227</v>
      </c>
      <c r="U342" s="55">
        <v>194505</v>
      </c>
      <c r="V342" s="49">
        <v>1.95</v>
      </c>
      <c r="W342" s="56">
        <f t="shared" si="946"/>
        <v>116.41025641025641</v>
      </c>
      <c r="X342" s="49" t="s">
        <v>163</v>
      </c>
      <c r="Y342" s="57" t="s">
        <v>162</v>
      </c>
      <c r="Z342" s="58">
        <v>46000000</v>
      </c>
      <c r="AA342" s="114">
        <v>7.1199999999999999E-2</v>
      </c>
      <c r="AB342" s="59">
        <v>19</v>
      </c>
      <c r="AC342" s="60">
        <v>40</v>
      </c>
      <c r="AD342" s="61">
        <v>5.9400000000000001E-2</v>
      </c>
      <c r="AE342" s="62">
        <v>33067384</v>
      </c>
      <c r="AF342" s="63">
        <v>1.22</v>
      </c>
      <c r="AG342" s="59"/>
      <c r="AH342" s="60"/>
      <c r="AI342" s="61"/>
      <c r="AJ342" s="64"/>
      <c r="AK342" s="65">
        <f t="shared" si="947"/>
        <v>33067384</v>
      </c>
      <c r="AL342" s="66">
        <v>0</v>
      </c>
      <c r="AM342" s="49" t="s">
        <v>163</v>
      </c>
      <c r="AN342" s="67">
        <v>0.83</v>
      </c>
      <c r="AO342" s="62">
        <v>27514776</v>
      </c>
      <c r="AP342" s="62">
        <v>2634790</v>
      </c>
      <c r="AQ342" s="68">
        <v>2755696</v>
      </c>
      <c r="AR342" s="69">
        <f t="shared" si="948"/>
        <v>145671.29515418503</v>
      </c>
      <c r="AS342" s="70" t="str">
        <f t="shared" si="949"/>
        <v/>
      </c>
      <c r="AT342" s="70">
        <f t="shared" si="950"/>
        <v>121210.46696035242</v>
      </c>
      <c r="AU342" s="70">
        <f t="shared" si="951"/>
        <v>11607.004405286343</v>
      </c>
      <c r="AV342" s="71">
        <f t="shared" si="952"/>
        <v>12139.629955947137</v>
      </c>
      <c r="AW342" s="115">
        <f t="shared" si="953"/>
        <v>155025.90748898679</v>
      </c>
      <c r="AX342" s="116">
        <f t="shared" si="954"/>
        <v>180.92532839772755</v>
      </c>
      <c r="AY342" s="72">
        <f t="shared" si="955"/>
        <v>183036.16740088107</v>
      </c>
      <c r="AZ342" s="73">
        <f t="shared" si="956"/>
        <v>213.61512557517801</v>
      </c>
      <c r="BA342" s="66">
        <v>7606760</v>
      </c>
      <c r="BB342" s="62">
        <v>8627070</v>
      </c>
      <c r="BC342" s="62">
        <v>26563811</v>
      </c>
      <c r="BD342" s="62">
        <v>1973000</v>
      </c>
      <c r="BE342" s="62">
        <v>4385329</v>
      </c>
      <c r="BF342" s="62">
        <v>3121500</v>
      </c>
      <c r="BG342" s="62">
        <v>14414663</v>
      </c>
      <c r="BH342" s="62">
        <v>8362473</v>
      </c>
      <c r="BI342" s="62">
        <v>1597700</v>
      </c>
      <c r="BJ342" s="47">
        <f t="shared" si="957"/>
        <v>76652306</v>
      </c>
      <c r="BK342" s="69">
        <f t="shared" si="958"/>
        <v>33509.955947136565</v>
      </c>
      <c r="BL342" s="70">
        <f t="shared" si="959"/>
        <v>38004.713656387663</v>
      </c>
      <c r="BM342" s="70">
        <f t="shared" si="960"/>
        <v>117021.19383259912</v>
      </c>
      <c r="BN342" s="70">
        <f t="shared" si="961"/>
        <v>8691.6299559471372</v>
      </c>
      <c r="BO342" s="70">
        <f t="shared" si="962"/>
        <v>19318.629955947137</v>
      </c>
      <c r="BP342" s="70">
        <f t="shared" si="963"/>
        <v>13751.101321585904</v>
      </c>
      <c r="BQ342" s="70">
        <f t="shared" si="964"/>
        <v>63500.718061674008</v>
      </c>
      <c r="BR342" s="70">
        <f t="shared" si="965"/>
        <v>36839.088105726871</v>
      </c>
      <c r="BS342" s="70">
        <f t="shared" si="966"/>
        <v>7038.3259911894274</v>
      </c>
      <c r="BT342" s="71">
        <f t="shared" si="967"/>
        <v>337675.35682819382</v>
      </c>
      <c r="BU342" s="65">
        <f t="shared" si="968"/>
        <v>39.108300557826276</v>
      </c>
      <c r="BV342" s="48">
        <f t="shared" si="969"/>
        <v>44.353975476208838</v>
      </c>
      <c r="BW342" s="48">
        <f t="shared" si="970"/>
        <v>136.57135292151872</v>
      </c>
      <c r="BX342" s="48">
        <f t="shared" si="971"/>
        <v>10.143698105447161</v>
      </c>
      <c r="BY342" s="48">
        <f t="shared" si="972"/>
        <v>22.54609907200329</v>
      </c>
      <c r="BZ342" s="48">
        <f t="shared" si="973"/>
        <v>16.048430631603299</v>
      </c>
      <c r="CA342" s="48">
        <f t="shared" si="974"/>
        <v>74.109472764196298</v>
      </c>
      <c r="CB342" s="48">
        <f t="shared" si="975"/>
        <v>42.993614560037017</v>
      </c>
      <c r="CC342" s="48">
        <f t="shared" si="976"/>
        <v>8.2141847253283977</v>
      </c>
      <c r="CD342" s="47">
        <f t="shared" si="977"/>
        <v>394.08912881416933</v>
      </c>
      <c r="CE342" s="66">
        <v>4091736</v>
      </c>
      <c r="CF342" s="62">
        <v>46308</v>
      </c>
      <c r="CG342" s="74">
        <v>-310353</v>
      </c>
      <c r="CH342" s="75">
        <f t="shared" si="978"/>
        <v>3827691</v>
      </c>
      <c r="CI342" s="62">
        <v>105000</v>
      </c>
      <c r="CJ342" s="62">
        <v>114831</v>
      </c>
      <c r="CK342" s="62">
        <v>374550</v>
      </c>
      <c r="CL342" s="62">
        <v>191000</v>
      </c>
      <c r="CM342" s="62">
        <f>SUM(45000,154000)</f>
        <v>199000</v>
      </c>
      <c r="CN342" s="62">
        <v>126340</v>
      </c>
      <c r="CO342" s="62">
        <v>0</v>
      </c>
      <c r="CP342" s="75">
        <f t="shared" si="868"/>
        <v>1110721</v>
      </c>
      <c r="CQ342" s="62">
        <v>68100</v>
      </c>
      <c r="CR342" s="75">
        <f t="shared" si="869"/>
        <v>1178821</v>
      </c>
      <c r="CS342" s="75">
        <f t="shared" si="979"/>
        <v>2716970</v>
      </c>
      <c r="CT342" s="62">
        <v>2166721</v>
      </c>
      <c r="CU342" s="47">
        <f t="shared" si="980"/>
        <v>550249</v>
      </c>
      <c r="CV342" s="76">
        <f t="shared" si="981"/>
        <v>0.7098195753000961</v>
      </c>
      <c r="CW342" s="75">
        <f t="shared" si="982"/>
        <v>5193.0440528634363</v>
      </c>
      <c r="CX342" s="77">
        <f t="shared" si="983"/>
        <v>0.30797182949198354</v>
      </c>
      <c r="CY342" s="75">
        <f t="shared" si="984"/>
        <v>2424.0044052863436</v>
      </c>
      <c r="CZ342" s="77">
        <f t="shared" si="985"/>
        <v>0.1437548119741118</v>
      </c>
      <c r="DA342" s="77">
        <f t="shared" si="986"/>
        <v>0.56606476332598421</v>
      </c>
      <c r="DB342" s="47">
        <f t="shared" si="987"/>
        <v>145671.29515418503</v>
      </c>
      <c r="DC342" s="69">
        <f t="shared" si="1020"/>
        <v>18025.268722466961</v>
      </c>
      <c r="DD342" s="70">
        <f t="shared" si="988"/>
        <v>204</v>
      </c>
      <c r="DE342" s="70">
        <f t="shared" si="989"/>
        <v>-1367.1938325991189</v>
      </c>
      <c r="DF342" s="70">
        <f t="shared" si="990"/>
        <v>16862.074889867843</v>
      </c>
      <c r="DG342" s="70">
        <f t="shared" si="991"/>
        <v>462.55506607929516</v>
      </c>
      <c r="DH342" s="70">
        <f t="shared" si="992"/>
        <v>505.86343612334804</v>
      </c>
      <c r="DI342" s="70">
        <f t="shared" si="993"/>
        <v>1650</v>
      </c>
      <c r="DJ342" s="70">
        <f t="shared" si="994"/>
        <v>841.409691629956</v>
      </c>
      <c r="DK342" s="70">
        <f t="shared" si="995"/>
        <v>876.65198237885465</v>
      </c>
      <c r="DL342" s="70">
        <f t="shared" si="996"/>
        <v>556.56387665198235</v>
      </c>
      <c r="DM342" s="70" t="str">
        <f t="shared" si="997"/>
        <v/>
      </c>
      <c r="DN342" s="70">
        <f t="shared" si="998"/>
        <v>4893.0440528634363</v>
      </c>
      <c r="DO342" s="70">
        <f t="shared" si="999"/>
        <v>300</v>
      </c>
      <c r="DP342" s="70">
        <f t="shared" si="1000"/>
        <v>5193.0440528634363</v>
      </c>
      <c r="DQ342" s="70">
        <f t="shared" si="1001"/>
        <v>11969.030837004406</v>
      </c>
      <c r="DR342" s="70">
        <f t="shared" si="1002"/>
        <v>9545.0264317180608</v>
      </c>
      <c r="DS342" s="71">
        <f t="shared" si="1003"/>
        <v>2424.0044052863436</v>
      </c>
      <c r="DT342" s="106">
        <f t="shared" si="1021"/>
        <v>1.0689828410914046</v>
      </c>
      <c r="DU342" s="92">
        <f t="shared" si="1004"/>
        <v>1.2098155258614136E-2</v>
      </c>
      <c r="DV342" s="92" t="str">
        <f t="shared" si="1005"/>
        <v/>
      </c>
      <c r="DW342" s="92">
        <f t="shared" si="1006"/>
        <v>1</v>
      </c>
      <c r="DX342" s="92">
        <f t="shared" si="1007"/>
        <v>2.7431681397479576E-2</v>
      </c>
      <c r="DY342" s="92">
        <f t="shared" si="1008"/>
        <v>3.0000070538609307E-2</v>
      </c>
      <c r="DZ342" s="92">
        <f t="shared" si="1009"/>
        <v>9.7852726356437866E-2</v>
      </c>
      <c r="EA342" s="92">
        <f t="shared" si="1010"/>
        <v>4.9899534732558086E-2</v>
      </c>
      <c r="EB342" s="92">
        <f t="shared" si="1011"/>
        <v>5.1989567600937488E-2</v>
      </c>
      <c r="EC342" s="92">
        <f t="shared" si="1012"/>
        <v>3.3006844073881617E-2</v>
      </c>
      <c r="ED342" s="92" t="str">
        <f t="shared" si="1013"/>
        <v/>
      </c>
      <c r="EE342" s="92">
        <f t="shared" si="1014"/>
        <v>0.29018042469990396</v>
      </c>
      <c r="EF342" s="92">
        <f t="shared" si="1015"/>
        <v>1.779140479207961E-2</v>
      </c>
      <c r="EG342" s="92">
        <f t="shared" si="1016"/>
        <v>0.30797182949198354</v>
      </c>
      <c r="EH342" s="92">
        <f t="shared" si="1017"/>
        <v>0.7098195753000961</v>
      </c>
      <c r="EI342" s="92">
        <f t="shared" si="1018"/>
        <v>0.56606476332598421</v>
      </c>
      <c r="EJ342" s="122">
        <f t="shared" si="1019"/>
        <v>0.1437548119741118</v>
      </c>
    </row>
    <row r="343" spans="2:140" ht="12" hidden="1" customHeight="1" outlineLevel="1">
      <c r="B343" s="121">
        <v>45910</v>
      </c>
      <c r="C343" s="117">
        <v>25465</v>
      </c>
      <c r="D343" s="50" t="s">
        <v>1551</v>
      </c>
      <c r="E343" s="50" t="s">
        <v>1552</v>
      </c>
      <c r="F343" s="50" t="s">
        <v>475</v>
      </c>
      <c r="G343" s="50" t="s">
        <v>249</v>
      </c>
      <c r="H343" s="50" t="s">
        <v>1553</v>
      </c>
      <c r="I343" s="50" t="s">
        <v>879</v>
      </c>
      <c r="J343" s="52" t="s">
        <v>175</v>
      </c>
      <c r="K343" s="50" t="s">
        <v>176</v>
      </c>
      <c r="L343" s="49">
        <v>6</v>
      </c>
      <c r="M343" s="50" t="s">
        <v>159</v>
      </c>
      <c r="N343" s="50" t="s">
        <v>160</v>
      </c>
      <c r="O343" s="50" t="s">
        <v>160</v>
      </c>
      <c r="P343" s="50" t="s">
        <v>1351</v>
      </c>
      <c r="Q343" s="53">
        <v>0.04</v>
      </c>
      <c r="R343" s="49">
        <v>268</v>
      </c>
      <c r="S343" s="49">
        <v>0</v>
      </c>
      <c r="T343" s="54">
        <f t="shared" si="867"/>
        <v>268</v>
      </c>
      <c r="U343" s="55">
        <v>202270</v>
      </c>
      <c r="V343" s="49">
        <v>10.050000000000001</v>
      </c>
      <c r="W343" s="56">
        <f t="shared" si="946"/>
        <v>26.666666666666664</v>
      </c>
      <c r="X343" s="49">
        <v>1972</v>
      </c>
      <c r="Y343" s="57" t="s">
        <v>162</v>
      </c>
      <c r="Z343" s="58">
        <v>7250000</v>
      </c>
      <c r="AA343" s="114">
        <v>0.09</v>
      </c>
      <c r="AB343" s="59">
        <v>17</v>
      </c>
      <c r="AC343" s="60">
        <v>40</v>
      </c>
      <c r="AD343" s="61">
        <v>5.8299999999999998E-2</v>
      </c>
      <c r="AE343" s="62">
        <v>44132744</v>
      </c>
      <c r="AF343" s="63">
        <v>1.1499999999999999</v>
      </c>
      <c r="AG343" s="59"/>
      <c r="AH343" s="60"/>
      <c r="AI343" s="61"/>
      <c r="AJ343" s="64"/>
      <c r="AK343" s="65">
        <f t="shared" si="947"/>
        <v>44132744</v>
      </c>
      <c r="AL343" s="66">
        <v>0</v>
      </c>
      <c r="AM343" s="49" t="s">
        <v>163</v>
      </c>
      <c r="AN343" s="67">
        <v>0.85</v>
      </c>
      <c r="AO343" s="62">
        <v>29053000</v>
      </c>
      <c r="AP343" s="62">
        <v>3331538</v>
      </c>
      <c r="AQ343" s="68">
        <v>4776406</v>
      </c>
      <c r="AR343" s="69">
        <f t="shared" si="948"/>
        <v>164674.41791044775</v>
      </c>
      <c r="AS343" s="70" t="str">
        <f t="shared" si="949"/>
        <v/>
      </c>
      <c r="AT343" s="70">
        <f t="shared" si="950"/>
        <v>108406.71641791044</v>
      </c>
      <c r="AU343" s="70">
        <f t="shared" si="951"/>
        <v>12431.111940298508</v>
      </c>
      <c r="AV343" s="71">
        <f t="shared" si="952"/>
        <v>17822.410447761195</v>
      </c>
      <c r="AW343" s="115">
        <f t="shared" si="953"/>
        <v>93504.264925373136</v>
      </c>
      <c r="AX343" s="116">
        <f t="shared" si="954"/>
        <v>123.88956839867504</v>
      </c>
      <c r="AY343" s="72">
        <f t="shared" si="955"/>
        <v>117254.34701492538</v>
      </c>
      <c r="AZ343" s="73">
        <f t="shared" si="956"/>
        <v>155.35751718000694</v>
      </c>
      <c r="BA343" s="66">
        <v>26800000</v>
      </c>
      <c r="BB343" s="62">
        <v>3579330</v>
      </c>
      <c r="BC343" s="62">
        <v>21479813</v>
      </c>
      <c r="BD343" s="62">
        <v>2505914</v>
      </c>
      <c r="BE343" s="62">
        <v>3859108</v>
      </c>
      <c r="BF343" s="62">
        <v>4794012</v>
      </c>
      <c r="BG343" s="62">
        <v>8560548</v>
      </c>
      <c r="BH343" s="62">
        <v>9403688</v>
      </c>
      <c r="BI343" s="62">
        <v>1881900</v>
      </c>
      <c r="BJ343" s="47">
        <f t="shared" si="957"/>
        <v>82864313</v>
      </c>
      <c r="BK343" s="69">
        <f t="shared" si="958"/>
        <v>100000</v>
      </c>
      <c r="BL343" s="70">
        <f t="shared" si="959"/>
        <v>13355.708955223881</v>
      </c>
      <c r="BM343" s="70">
        <f t="shared" si="960"/>
        <v>80148.55597014926</v>
      </c>
      <c r="BN343" s="70">
        <f t="shared" si="961"/>
        <v>9350.4253731343288</v>
      </c>
      <c r="BO343" s="70">
        <f t="shared" si="962"/>
        <v>14399.656716417911</v>
      </c>
      <c r="BP343" s="70">
        <f t="shared" si="963"/>
        <v>17888.104477611942</v>
      </c>
      <c r="BQ343" s="70">
        <f t="shared" si="964"/>
        <v>31942.343283582089</v>
      </c>
      <c r="BR343" s="70">
        <f t="shared" si="965"/>
        <v>35088.388059701494</v>
      </c>
      <c r="BS343" s="70">
        <f t="shared" si="966"/>
        <v>7022.0149253731342</v>
      </c>
      <c r="BT343" s="71">
        <f t="shared" si="967"/>
        <v>309195.19776119402</v>
      </c>
      <c r="BU343" s="65">
        <f t="shared" si="968"/>
        <v>132.49616848766499</v>
      </c>
      <c r="BV343" s="48">
        <f t="shared" si="969"/>
        <v>17.695802640035595</v>
      </c>
      <c r="BW343" s="48">
        <f t="shared" si="970"/>
        <v>106.19376575863944</v>
      </c>
      <c r="BX343" s="48">
        <f t="shared" si="971"/>
        <v>12.388955356701439</v>
      </c>
      <c r="BY343" s="48">
        <f t="shared" si="972"/>
        <v>19.078993424630443</v>
      </c>
      <c r="BZ343" s="48">
        <f t="shared" si="973"/>
        <v>23.701053047906264</v>
      </c>
      <c r="CA343" s="48">
        <f t="shared" si="974"/>
        <v>42.322380975923274</v>
      </c>
      <c r="CB343" s="48">
        <f t="shared" si="975"/>
        <v>46.490769763187821</v>
      </c>
      <c r="CC343" s="48">
        <f t="shared" si="976"/>
        <v>9.3039007267513725</v>
      </c>
      <c r="CD343" s="47">
        <f t="shared" si="977"/>
        <v>409.67179018144066</v>
      </c>
      <c r="CE343" s="66">
        <v>5807520</v>
      </c>
      <c r="CF343" s="62">
        <v>32160</v>
      </c>
      <c r="CG343" s="74">
        <v>-291984</v>
      </c>
      <c r="CH343" s="75">
        <f t="shared" si="978"/>
        <v>5547696</v>
      </c>
      <c r="CI343" s="62">
        <f>SUM(189178,10720)</f>
        <v>199898</v>
      </c>
      <c r="CJ343" s="62">
        <v>170448</v>
      </c>
      <c r="CK343" s="62">
        <v>492627</v>
      </c>
      <c r="CL343" s="62">
        <f>SUM(175733,200678)</f>
        <v>376411</v>
      </c>
      <c r="CM343" s="62">
        <f>SUM(94269,155057)</f>
        <v>249326</v>
      </c>
      <c r="CN343" s="62">
        <v>482400</v>
      </c>
      <c r="CO343" s="62">
        <v>0</v>
      </c>
      <c r="CP343" s="75">
        <f t="shared" si="868"/>
        <v>1971110</v>
      </c>
      <c r="CQ343" s="62">
        <v>80400</v>
      </c>
      <c r="CR343" s="75">
        <f t="shared" si="869"/>
        <v>2051510</v>
      </c>
      <c r="CS343" s="75">
        <f t="shared" si="979"/>
        <v>3576586</v>
      </c>
      <c r="CT343" s="62">
        <v>2895512</v>
      </c>
      <c r="CU343" s="47">
        <f t="shared" si="980"/>
        <v>681074</v>
      </c>
      <c r="CV343" s="76">
        <f t="shared" si="981"/>
        <v>0.64469754651300293</v>
      </c>
      <c r="CW343" s="75">
        <f t="shared" si="982"/>
        <v>7654.8880597014922</v>
      </c>
      <c r="CX343" s="77">
        <f t="shared" si="983"/>
        <v>0.36979495632060588</v>
      </c>
      <c r="CY343" s="75">
        <f t="shared" si="984"/>
        <v>2541.3208955223881</v>
      </c>
      <c r="CZ343" s="77">
        <f t="shared" si="985"/>
        <v>0.12276700093155789</v>
      </c>
      <c r="DA343" s="77">
        <f t="shared" si="986"/>
        <v>0.52193054558144503</v>
      </c>
      <c r="DB343" s="47">
        <f t="shared" si="987"/>
        <v>164674.41791044775</v>
      </c>
      <c r="DC343" s="69">
        <f t="shared" si="1020"/>
        <v>21669.850746268658</v>
      </c>
      <c r="DD343" s="70">
        <f t="shared" si="988"/>
        <v>120</v>
      </c>
      <c r="DE343" s="70">
        <f t="shared" si="989"/>
        <v>-1089.4925373134329</v>
      </c>
      <c r="DF343" s="70">
        <f t="shared" si="990"/>
        <v>20700.358208955226</v>
      </c>
      <c r="DG343" s="70">
        <f t="shared" si="991"/>
        <v>745.88805970149258</v>
      </c>
      <c r="DH343" s="70">
        <f t="shared" si="992"/>
        <v>636</v>
      </c>
      <c r="DI343" s="70">
        <f t="shared" si="993"/>
        <v>1838.1604477611941</v>
      </c>
      <c r="DJ343" s="70">
        <f t="shared" si="994"/>
        <v>1404.5186567164178</v>
      </c>
      <c r="DK343" s="70">
        <f t="shared" si="995"/>
        <v>930.32089552238801</v>
      </c>
      <c r="DL343" s="70">
        <f t="shared" si="996"/>
        <v>1800</v>
      </c>
      <c r="DM343" s="70" t="str">
        <f t="shared" si="997"/>
        <v/>
      </c>
      <c r="DN343" s="70">
        <f t="shared" si="998"/>
        <v>7354.8880597014922</v>
      </c>
      <c r="DO343" s="70">
        <f t="shared" si="999"/>
        <v>300</v>
      </c>
      <c r="DP343" s="70">
        <f t="shared" si="1000"/>
        <v>7654.8880597014922</v>
      </c>
      <c r="DQ343" s="70">
        <f t="shared" si="1001"/>
        <v>13345.470149253732</v>
      </c>
      <c r="DR343" s="70">
        <f t="shared" si="1002"/>
        <v>10804.149253731342</v>
      </c>
      <c r="DS343" s="71">
        <f t="shared" si="1003"/>
        <v>2541.3208955223881</v>
      </c>
      <c r="DT343" s="106">
        <f t="shared" si="1021"/>
        <v>1.046834577813925</v>
      </c>
      <c r="DU343" s="92">
        <f t="shared" si="1004"/>
        <v>5.7970011334435049E-3</v>
      </c>
      <c r="DV343" s="92" t="str">
        <f t="shared" si="1005"/>
        <v/>
      </c>
      <c r="DW343" s="92">
        <f t="shared" si="1006"/>
        <v>1</v>
      </c>
      <c r="DX343" s="92">
        <f t="shared" si="1007"/>
        <v>3.6032616062596078E-2</v>
      </c>
      <c r="DY343" s="92">
        <f t="shared" si="1008"/>
        <v>3.0724106007250576E-2</v>
      </c>
      <c r="DZ343" s="92">
        <f t="shared" si="1009"/>
        <v>8.8798484992688859E-2</v>
      </c>
      <c r="EA343" s="92">
        <f t="shared" si="1010"/>
        <v>6.7849968707730204E-2</v>
      </c>
      <c r="EB343" s="92">
        <f t="shared" si="1011"/>
        <v>4.4942260715078834E-2</v>
      </c>
      <c r="EC343" s="92">
        <f t="shared" si="1012"/>
        <v>8.6955017001652576E-2</v>
      </c>
      <c r="ED343" s="92" t="str">
        <f t="shared" si="1013"/>
        <v/>
      </c>
      <c r="EE343" s="92">
        <f t="shared" si="1014"/>
        <v>0.35530245348699713</v>
      </c>
      <c r="EF343" s="92">
        <f t="shared" si="1015"/>
        <v>1.4492502833608763E-2</v>
      </c>
      <c r="EG343" s="92">
        <f t="shared" si="1016"/>
        <v>0.36979495632060588</v>
      </c>
      <c r="EH343" s="92">
        <f t="shared" si="1017"/>
        <v>0.64469754651300293</v>
      </c>
      <c r="EI343" s="92">
        <f t="shared" si="1018"/>
        <v>0.52193054558144503</v>
      </c>
      <c r="EJ343" s="122">
        <f t="shared" si="1019"/>
        <v>0.12276700093155789</v>
      </c>
    </row>
    <row r="344" spans="2:140" ht="12" hidden="1" customHeight="1" outlineLevel="1">
      <c r="B344" s="121">
        <v>45910</v>
      </c>
      <c r="C344" s="117">
        <v>25466</v>
      </c>
      <c r="D344" s="50" t="s">
        <v>1554</v>
      </c>
      <c r="E344" s="50" t="s">
        <v>1552</v>
      </c>
      <c r="F344" s="50" t="s">
        <v>475</v>
      </c>
      <c r="G344" s="50" t="s">
        <v>249</v>
      </c>
      <c r="H344" s="50" t="s">
        <v>1553</v>
      </c>
      <c r="I344" s="50" t="s">
        <v>879</v>
      </c>
      <c r="J344" s="52" t="s">
        <v>1514</v>
      </c>
      <c r="K344" s="50" t="s">
        <v>176</v>
      </c>
      <c r="L344" s="49">
        <v>6</v>
      </c>
      <c r="M344" s="50" t="s">
        <v>159</v>
      </c>
      <c r="N344" s="50" t="s">
        <v>160</v>
      </c>
      <c r="O344" s="50" t="s">
        <v>160</v>
      </c>
      <c r="P344" s="50" t="s">
        <v>1351</v>
      </c>
      <c r="Q344" s="53">
        <v>0.04</v>
      </c>
      <c r="R344" s="49">
        <v>432</v>
      </c>
      <c r="S344" s="49">
        <v>0</v>
      </c>
      <c r="T344" s="54">
        <f t="shared" si="867"/>
        <v>432</v>
      </c>
      <c r="U344" s="55">
        <v>343822</v>
      </c>
      <c r="V344" s="49">
        <v>11.872999999999999</v>
      </c>
      <c r="W344" s="56">
        <f t="shared" si="946"/>
        <v>36.38507538111682</v>
      </c>
      <c r="X344" s="49">
        <v>1972</v>
      </c>
      <c r="Y344" s="57" t="s">
        <v>162</v>
      </c>
      <c r="Z344" s="58">
        <v>9000000</v>
      </c>
      <c r="AA344" s="114">
        <v>0.09</v>
      </c>
      <c r="AB344" s="59">
        <v>17</v>
      </c>
      <c r="AC344" s="60">
        <v>40</v>
      </c>
      <c r="AD344" s="61">
        <v>5.8299999999999998E-2</v>
      </c>
      <c r="AE344" s="62">
        <v>73037673</v>
      </c>
      <c r="AF344" s="63">
        <v>1.1499999999999999</v>
      </c>
      <c r="AG344" s="59"/>
      <c r="AH344" s="60"/>
      <c r="AI344" s="61"/>
      <c r="AJ344" s="64"/>
      <c r="AK344" s="65">
        <f t="shared" si="947"/>
        <v>73037673</v>
      </c>
      <c r="AL344" s="66">
        <v>0</v>
      </c>
      <c r="AM344" s="49" t="s">
        <v>163</v>
      </c>
      <c r="AN344" s="67">
        <v>0.85</v>
      </c>
      <c r="AO344" s="62">
        <v>47447000</v>
      </c>
      <c r="AP344" s="62">
        <v>5520933</v>
      </c>
      <c r="AQ344" s="68">
        <v>6517801</v>
      </c>
      <c r="AR344" s="69">
        <f t="shared" si="948"/>
        <v>169068.6875</v>
      </c>
      <c r="AS344" s="70" t="str">
        <f t="shared" si="949"/>
        <v/>
      </c>
      <c r="AT344" s="70">
        <f t="shared" si="950"/>
        <v>109831.01851851853</v>
      </c>
      <c r="AU344" s="70">
        <f t="shared" si="951"/>
        <v>12779.9375</v>
      </c>
      <c r="AV344" s="71">
        <f t="shared" si="952"/>
        <v>15087.502314814816</v>
      </c>
      <c r="AW344" s="115">
        <f t="shared" si="953"/>
        <v>92153.310185185182</v>
      </c>
      <c r="AX344" s="116">
        <f t="shared" si="954"/>
        <v>115.78732600008144</v>
      </c>
      <c r="AY344" s="72">
        <f t="shared" si="955"/>
        <v>115560.25</v>
      </c>
      <c r="AZ344" s="73">
        <f t="shared" si="956"/>
        <v>145.1973055825398</v>
      </c>
      <c r="BA344" s="66">
        <v>43200000</v>
      </c>
      <c r="BB344" s="62">
        <v>5686302</v>
      </c>
      <c r="BC344" s="62">
        <v>34123928</v>
      </c>
      <c r="BD344" s="62">
        <v>3981023</v>
      </c>
      <c r="BE344" s="62">
        <v>6130775</v>
      </c>
      <c r="BF344" s="62">
        <v>8109134</v>
      </c>
      <c r="BG344" s="62">
        <v>15550082</v>
      </c>
      <c r="BH344" s="62">
        <v>15382060</v>
      </c>
      <c r="BI344" s="62">
        <v>3033511</v>
      </c>
      <c r="BJ344" s="47">
        <f t="shared" si="957"/>
        <v>135196815</v>
      </c>
      <c r="BK344" s="69">
        <f t="shared" si="958"/>
        <v>100000</v>
      </c>
      <c r="BL344" s="70">
        <f t="shared" si="959"/>
        <v>13162.736111111111</v>
      </c>
      <c r="BM344" s="70">
        <f t="shared" si="960"/>
        <v>78990.574074074073</v>
      </c>
      <c r="BN344" s="70">
        <f t="shared" si="961"/>
        <v>9215.3310185185182</v>
      </c>
      <c r="BO344" s="70">
        <f t="shared" si="962"/>
        <v>14191.608796296296</v>
      </c>
      <c r="BP344" s="70">
        <f t="shared" si="963"/>
        <v>18771.143518518518</v>
      </c>
      <c r="BQ344" s="70">
        <f t="shared" si="964"/>
        <v>35995.560185185182</v>
      </c>
      <c r="BR344" s="70">
        <f t="shared" si="965"/>
        <v>35606.620370370372</v>
      </c>
      <c r="BS344" s="70">
        <f t="shared" si="966"/>
        <v>7022.0162037037035</v>
      </c>
      <c r="BT344" s="71">
        <f t="shared" si="967"/>
        <v>312955.59027777775</v>
      </c>
      <c r="BU344" s="65">
        <f t="shared" si="968"/>
        <v>125.64641006101995</v>
      </c>
      <c r="BV344" s="48">
        <f t="shared" si="969"/>
        <v>16.538505389416617</v>
      </c>
      <c r="BW344" s="48">
        <f t="shared" si="970"/>
        <v>99.248820610664822</v>
      </c>
      <c r="BX344" s="48">
        <f t="shared" si="971"/>
        <v>11.578732600008143</v>
      </c>
      <c r="BY344" s="48">
        <f t="shared" si="972"/>
        <v>17.831246982450221</v>
      </c>
      <c r="BZ344" s="48">
        <f t="shared" si="973"/>
        <v>23.585267958420346</v>
      </c>
      <c r="CA344" s="48">
        <f t="shared" si="974"/>
        <v>45.227129154039005</v>
      </c>
      <c r="CB344" s="48">
        <f t="shared" si="975"/>
        <v>44.738440239426218</v>
      </c>
      <c r="CC344" s="48">
        <f t="shared" si="976"/>
        <v>8.8229112738568212</v>
      </c>
      <c r="CD344" s="47">
        <f t="shared" si="977"/>
        <v>393.21746426930213</v>
      </c>
      <c r="CE344" s="66">
        <v>9509880</v>
      </c>
      <c r="CF344" s="62">
        <v>51840</v>
      </c>
      <c r="CG344" s="74">
        <v>-478086</v>
      </c>
      <c r="CH344" s="75">
        <f t="shared" si="978"/>
        <v>9083634</v>
      </c>
      <c r="CI344" s="62">
        <v>298395</v>
      </c>
      <c r="CJ344" s="62">
        <v>274752</v>
      </c>
      <c r="CK344" s="62">
        <v>794081</v>
      </c>
      <c r="CL344" s="62">
        <f>794081+323482</f>
        <v>1117563</v>
      </c>
      <c r="CM344" s="62">
        <f>151957+249943</f>
        <v>401900</v>
      </c>
      <c r="CN344" s="62">
        <v>777600</v>
      </c>
      <c r="CO344" s="62">
        <v>0</v>
      </c>
      <c r="CP344" s="75">
        <f t="shared" si="868"/>
        <v>3664291</v>
      </c>
      <c r="CQ344" s="62">
        <v>129600</v>
      </c>
      <c r="CR344" s="75">
        <f t="shared" si="869"/>
        <v>3793891</v>
      </c>
      <c r="CS344" s="75">
        <f t="shared" si="979"/>
        <v>5419343</v>
      </c>
      <c r="CT344" s="62">
        <v>4791940</v>
      </c>
      <c r="CU344" s="47">
        <f t="shared" si="980"/>
        <v>627403</v>
      </c>
      <c r="CV344" s="76">
        <f t="shared" si="981"/>
        <v>0.5966051692527462</v>
      </c>
      <c r="CW344" s="75">
        <f t="shared" si="982"/>
        <v>8782.1550925925931</v>
      </c>
      <c r="CX344" s="77">
        <f t="shared" si="983"/>
        <v>0.41766224839089727</v>
      </c>
      <c r="CY344" s="75">
        <f t="shared" si="984"/>
        <v>1452.3217592592594</v>
      </c>
      <c r="CZ344" s="77">
        <f t="shared" si="985"/>
        <v>6.9069603641009752E-2</v>
      </c>
      <c r="DA344" s="77">
        <f t="shared" si="986"/>
        <v>0.52753556561173642</v>
      </c>
      <c r="DB344" s="47">
        <f t="shared" si="987"/>
        <v>169068.6875</v>
      </c>
      <c r="DC344" s="69">
        <f t="shared" si="1020"/>
        <v>22013.611111111109</v>
      </c>
      <c r="DD344" s="70">
        <f t="shared" si="988"/>
        <v>120</v>
      </c>
      <c r="DE344" s="70">
        <f t="shared" si="989"/>
        <v>-1106.6805555555557</v>
      </c>
      <c r="DF344" s="70">
        <f t="shared" si="990"/>
        <v>21026.930555555555</v>
      </c>
      <c r="DG344" s="70">
        <f t="shared" si="991"/>
        <v>690.72916666666663</v>
      </c>
      <c r="DH344" s="70">
        <f t="shared" si="992"/>
        <v>636</v>
      </c>
      <c r="DI344" s="70">
        <f t="shared" si="993"/>
        <v>1838.150462962963</v>
      </c>
      <c r="DJ344" s="70">
        <f t="shared" si="994"/>
        <v>2586.9513888888887</v>
      </c>
      <c r="DK344" s="70">
        <f t="shared" si="995"/>
        <v>930.32407407407402</v>
      </c>
      <c r="DL344" s="70">
        <f t="shared" si="996"/>
        <v>1800</v>
      </c>
      <c r="DM344" s="70" t="str">
        <f t="shared" si="997"/>
        <v/>
      </c>
      <c r="DN344" s="70">
        <f t="shared" si="998"/>
        <v>8482.1550925925931</v>
      </c>
      <c r="DO344" s="70">
        <f t="shared" si="999"/>
        <v>300</v>
      </c>
      <c r="DP344" s="70">
        <f t="shared" si="1000"/>
        <v>8782.1550925925931</v>
      </c>
      <c r="DQ344" s="70">
        <f t="shared" si="1001"/>
        <v>12544.775462962964</v>
      </c>
      <c r="DR344" s="70">
        <f t="shared" si="1002"/>
        <v>11092.453703703704</v>
      </c>
      <c r="DS344" s="71">
        <f t="shared" si="1003"/>
        <v>1452.3217592592594</v>
      </c>
      <c r="DT344" s="106">
        <f t="shared" si="1021"/>
        <v>1.0469246118899109</v>
      </c>
      <c r="DU344" s="92">
        <f t="shared" si="1004"/>
        <v>5.7069670574574011E-3</v>
      </c>
      <c r="DV344" s="92" t="str">
        <f t="shared" si="1005"/>
        <v/>
      </c>
      <c r="DW344" s="92">
        <f t="shared" si="1006"/>
        <v>1</v>
      </c>
      <c r="DX344" s="92">
        <f t="shared" si="1007"/>
        <v>3.2849738331597246E-2</v>
      </c>
      <c r="DY344" s="92">
        <f t="shared" si="1008"/>
        <v>3.0246925404524224E-2</v>
      </c>
      <c r="DZ344" s="92">
        <f t="shared" si="1009"/>
        <v>8.7418867823164159E-2</v>
      </c>
      <c r="EA344" s="92">
        <f t="shared" si="1010"/>
        <v>0.12303038629693799</v>
      </c>
      <c r="EB344" s="92">
        <f t="shared" si="1011"/>
        <v>4.424440702916916E-2</v>
      </c>
      <c r="EC344" s="92">
        <f t="shared" si="1012"/>
        <v>8.5604505861861011E-2</v>
      </c>
      <c r="ED344" s="92" t="str">
        <f t="shared" si="1013"/>
        <v/>
      </c>
      <c r="EE344" s="92">
        <f t="shared" si="1014"/>
        <v>0.4033948307472538</v>
      </c>
      <c r="EF344" s="92">
        <f t="shared" si="1015"/>
        <v>1.4267417643643502E-2</v>
      </c>
      <c r="EG344" s="92">
        <f t="shared" si="1016"/>
        <v>0.41766224839089727</v>
      </c>
      <c r="EH344" s="92">
        <f t="shared" si="1017"/>
        <v>0.5966051692527462</v>
      </c>
      <c r="EI344" s="92">
        <f t="shared" si="1018"/>
        <v>0.52753556561173642</v>
      </c>
      <c r="EJ344" s="122">
        <f t="shared" si="1019"/>
        <v>6.9069603641009752E-2</v>
      </c>
    </row>
    <row r="345" spans="2:140" ht="12" hidden="1" customHeight="1" outlineLevel="1">
      <c r="B345" s="121">
        <v>45925</v>
      </c>
      <c r="C345" s="117">
        <v>25471</v>
      </c>
      <c r="D345" s="50" t="s">
        <v>1555</v>
      </c>
      <c r="E345" s="50" t="s">
        <v>1407</v>
      </c>
      <c r="F345" s="50" t="s">
        <v>998</v>
      </c>
      <c r="G345" s="50" t="s">
        <v>291</v>
      </c>
      <c r="H345" s="50" t="s">
        <v>619</v>
      </c>
      <c r="I345" s="50" t="s">
        <v>306</v>
      </c>
      <c r="J345" s="52" t="s">
        <v>175</v>
      </c>
      <c r="K345" s="50" t="s">
        <v>176</v>
      </c>
      <c r="L345" s="49">
        <v>6</v>
      </c>
      <c r="M345" s="50" t="s">
        <v>159</v>
      </c>
      <c r="N345" s="50" t="s">
        <v>160</v>
      </c>
      <c r="O345" s="50" t="s">
        <v>160</v>
      </c>
      <c r="P345" s="50" t="s">
        <v>1351</v>
      </c>
      <c r="Q345" s="53">
        <v>0.04</v>
      </c>
      <c r="R345" s="49">
        <v>250</v>
      </c>
      <c r="S345" s="49">
        <v>0</v>
      </c>
      <c r="T345" s="54">
        <f t="shared" si="867"/>
        <v>250</v>
      </c>
      <c r="U345" s="55">
        <v>271050</v>
      </c>
      <c r="V345" s="49">
        <v>15.9</v>
      </c>
      <c r="W345" s="56">
        <f t="shared" si="946"/>
        <v>15.723270440251572</v>
      </c>
      <c r="X345" s="49" t="s">
        <v>163</v>
      </c>
      <c r="Y345" s="57" t="s">
        <v>162</v>
      </c>
      <c r="Z345" s="58">
        <v>20501000</v>
      </c>
      <c r="AA345" s="114">
        <v>5.7099999999999998E-2</v>
      </c>
      <c r="AB345" s="59">
        <v>15</v>
      </c>
      <c r="AC345" s="60">
        <v>40</v>
      </c>
      <c r="AD345" s="61">
        <v>5.7099999999999998E-2</v>
      </c>
      <c r="AE345" s="62">
        <v>20501000</v>
      </c>
      <c r="AF345" s="63">
        <v>1.65</v>
      </c>
      <c r="AG345" s="59">
        <v>15</v>
      </c>
      <c r="AH345" s="60">
        <v>40</v>
      </c>
      <c r="AI345" s="61">
        <v>6.2100000000000002E-2</v>
      </c>
      <c r="AJ345" s="64">
        <v>6000000</v>
      </c>
      <c r="AK345" s="65">
        <f t="shared" si="947"/>
        <v>26501000</v>
      </c>
      <c r="AL345" s="66">
        <v>1376400</v>
      </c>
      <c r="AM345" s="49" t="s">
        <v>1556</v>
      </c>
      <c r="AN345" s="67">
        <v>0.88</v>
      </c>
      <c r="AO345" s="62">
        <v>12312586</v>
      </c>
      <c r="AP345" s="62">
        <v>2188229</v>
      </c>
      <c r="AQ345" s="68">
        <v>1584911</v>
      </c>
      <c r="AR345" s="69">
        <f t="shared" si="948"/>
        <v>106004</v>
      </c>
      <c r="AS345" s="70">
        <f t="shared" si="949"/>
        <v>5505.6</v>
      </c>
      <c r="AT345" s="70">
        <f t="shared" si="950"/>
        <v>49250.343999999997</v>
      </c>
      <c r="AU345" s="70">
        <f t="shared" si="951"/>
        <v>8752.9159999999993</v>
      </c>
      <c r="AV345" s="71">
        <f t="shared" si="952"/>
        <v>6339.6440000000002</v>
      </c>
      <c r="AW345" s="115">
        <f t="shared" si="953"/>
        <v>25330</v>
      </c>
      <c r="AX345" s="116">
        <f t="shared" si="954"/>
        <v>23.362848182992067</v>
      </c>
      <c r="AY345" s="72">
        <f t="shared" si="955"/>
        <v>31763.82</v>
      </c>
      <c r="AZ345" s="73">
        <f t="shared" si="956"/>
        <v>29.297011621472052</v>
      </c>
      <c r="BA345" s="66">
        <v>24350000</v>
      </c>
      <c r="BB345" s="62">
        <v>195000</v>
      </c>
      <c r="BC345" s="62">
        <v>6137500</v>
      </c>
      <c r="BD345" s="62">
        <v>633250</v>
      </c>
      <c r="BE345" s="62">
        <v>975205</v>
      </c>
      <c r="BF345" s="62">
        <v>700000</v>
      </c>
      <c r="BG345" s="62">
        <v>2746016</v>
      </c>
      <c r="BH345" s="62">
        <v>4562926</v>
      </c>
      <c r="BI345" s="62">
        <v>1475000</v>
      </c>
      <c r="BJ345" s="47">
        <f t="shared" si="957"/>
        <v>41774897</v>
      </c>
      <c r="BK345" s="69">
        <f t="shared" si="958"/>
        <v>97400</v>
      </c>
      <c r="BL345" s="70">
        <f t="shared" si="959"/>
        <v>780</v>
      </c>
      <c r="BM345" s="70">
        <f t="shared" si="960"/>
        <v>24550</v>
      </c>
      <c r="BN345" s="70">
        <f t="shared" si="961"/>
        <v>2533</v>
      </c>
      <c r="BO345" s="70">
        <f t="shared" si="962"/>
        <v>3900.82</v>
      </c>
      <c r="BP345" s="70">
        <f t="shared" si="963"/>
        <v>2800</v>
      </c>
      <c r="BQ345" s="70">
        <f t="shared" si="964"/>
        <v>10984.064</v>
      </c>
      <c r="BR345" s="70">
        <f t="shared" si="965"/>
        <v>18251.704000000002</v>
      </c>
      <c r="BS345" s="70">
        <f t="shared" si="966"/>
        <v>5900</v>
      </c>
      <c r="BT345" s="71">
        <f t="shared" si="967"/>
        <v>167099.58799999999</v>
      </c>
      <c r="BU345" s="65">
        <f t="shared" si="968"/>
        <v>89.835823648773285</v>
      </c>
      <c r="BV345" s="48">
        <f t="shared" si="969"/>
        <v>0.71942446043165464</v>
      </c>
      <c r="BW345" s="48">
        <f t="shared" si="970"/>
        <v>22.643423722560414</v>
      </c>
      <c r="BX345" s="48">
        <f t="shared" si="971"/>
        <v>2.3362848182992066</v>
      </c>
      <c r="BY345" s="48">
        <f t="shared" si="972"/>
        <v>3.5978786201807784</v>
      </c>
      <c r="BZ345" s="48">
        <f t="shared" si="973"/>
        <v>2.5825493451392734</v>
      </c>
      <c r="CA345" s="48">
        <f t="shared" si="974"/>
        <v>10.131031175059952</v>
      </c>
      <c r="CB345" s="48">
        <f t="shared" si="975"/>
        <v>16.834259361741378</v>
      </c>
      <c r="CC345" s="48">
        <f t="shared" si="976"/>
        <v>5.4418004058291825</v>
      </c>
      <c r="CD345" s="47">
        <f t="shared" si="977"/>
        <v>154.12247555801514</v>
      </c>
      <c r="CE345" s="66">
        <v>3907404</v>
      </c>
      <c r="CF345" s="62">
        <v>75000</v>
      </c>
      <c r="CG345" s="74">
        <v>-298680</v>
      </c>
      <c r="CH345" s="75">
        <f t="shared" si="978"/>
        <v>3683724</v>
      </c>
      <c r="CI345" s="62">
        <v>102500</v>
      </c>
      <c r="CJ345" s="62">
        <v>147349</v>
      </c>
      <c r="CK345" s="62">
        <v>354150</v>
      </c>
      <c r="CL345" s="62">
        <v>225000</v>
      </c>
      <c r="CM345" s="62">
        <f>38000+263000</f>
        <v>301000</v>
      </c>
      <c r="CN345" s="62">
        <v>270996</v>
      </c>
      <c r="CO345" s="62">
        <v>0</v>
      </c>
      <c r="CP345" s="75">
        <f t="shared" si="868"/>
        <v>1400995</v>
      </c>
      <c r="CQ345" s="62">
        <v>75000</v>
      </c>
      <c r="CR345" s="75">
        <f t="shared" si="869"/>
        <v>1475995</v>
      </c>
      <c r="CS345" s="75">
        <f t="shared" si="979"/>
        <v>2282729</v>
      </c>
      <c r="CT345" s="62">
        <f>1324696+406744</f>
        <v>1731440</v>
      </c>
      <c r="CU345" s="47">
        <f t="shared" si="980"/>
        <v>551289</v>
      </c>
      <c r="CV345" s="76">
        <f t="shared" si="981"/>
        <v>0.61967970455984211</v>
      </c>
      <c r="CW345" s="75">
        <f t="shared" si="982"/>
        <v>5903.98</v>
      </c>
      <c r="CX345" s="77">
        <f t="shared" si="983"/>
        <v>0.40068012695848004</v>
      </c>
      <c r="CY345" s="75">
        <f t="shared" si="984"/>
        <v>2205.1559999999999</v>
      </c>
      <c r="CZ345" s="77">
        <f t="shared" si="985"/>
        <v>0.14965534877205783</v>
      </c>
      <c r="DA345" s="77">
        <f t="shared" si="986"/>
        <v>0.47002435578778434</v>
      </c>
      <c r="DB345" s="47">
        <f t="shared" si="987"/>
        <v>106004</v>
      </c>
      <c r="DC345" s="69">
        <f t="shared" si="1020"/>
        <v>15629.616</v>
      </c>
      <c r="DD345" s="70">
        <f t="shared" si="988"/>
        <v>300</v>
      </c>
      <c r="DE345" s="70">
        <f t="shared" si="989"/>
        <v>-1194.72</v>
      </c>
      <c r="DF345" s="70">
        <f t="shared" si="990"/>
        <v>14734.896000000001</v>
      </c>
      <c r="DG345" s="70">
        <f t="shared" si="991"/>
        <v>410</v>
      </c>
      <c r="DH345" s="70">
        <f t="shared" si="992"/>
        <v>589.39599999999996</v>
      </c>
      <c r="DI345" s="70">
        <f t="shared" si="993"/>
        <v>1416.6</v>
      </c>
      <c r="DJ345" s="70">
        <f t="shared" si="994"/>
        <v>900</v>
      </c>
      <c r="DK345" s="70">
        <f t="shared" si="995"/>
        <v>1204</v>
      </c>
      <c r="DL345" s="70">
        <f t="shared" si="996"/>
        <v>1083.9839999999999</v>
      </c>
      <c r="DM345" s="70" t="str">
        <f t="shared" si="997"/>
        <v/>
      </c>
      <c r="DN345" s="70">
        <f t="shared" si="998"/>
        <v>5603.98</v>
      </c>
      <c r="DO345" s="70">
        <f t="shared" si="999"/>
        <v>300</v>
      </c>
      <c r="DP345" s="70">
        <f t="shared" si="1000"/>
        <v>5903.98</v>
      </c>
      <c r="DQ345" s="70">
        <f t="shared" si="1001"/>
        <v>9130.9159999999993</v>
      </c>
      <c r="DR345" s="70">
        <f t="shared" si="1002"/>
        <v>6925.76</v>
      </c>
      <c r="DS345" s="71">
        <f t="shared" si="1003"/>
        <v>2205.1559999999999</v>
      </c>
      <c r="DT345" s="106">
        <f t="shared" si="1021"/>
        <v>1.0607211615202441</v>
      </c>
      <c r="DU345" s="92">
        <f t="shared" si="1004"/>
        <v>2.035983151832222E-2</v>
      </c>
      <c r="DV345" s="92" t="str">
        <f t="shared" si="1005"/>
        <v/>
      </c>
      <c r="DW345" s="92">
        <f t="shared" si="1006"/>
        <v>1</v>
      </c>
      <c r="DX345" s="92">
        <f t="shared" si="1007"/>
        <v>2.7825103075040367E-2</v>
      </c>
      <c r="DY345" s="92">
        <f t="shared" si="1008"/>
        <v>4.0000010858576809E-2</v>
      </c>
      <c r="DZ345" s="92">
        <f t="shared" si="1009"/>
        <v>9.6139124429517525E-2</v>
      </c>
      <c r="EA345" s="92">
        <f t="shared" si="1010"/>
        <v>6.1079494554966661E-2</v>
      </c>
      <c r="EB345" s="92">
        <f t="shared" si="1011"/>
        <v>8.1710790493533178E-2</v>
      </c>
      <c r="EC345" s="92">
        <f t="shared" si="1012"/>
        <v>7.356577202852331E-2</v>
      </c>
      <c r="ED345" s="92" t="str">
        <f t="shared" si="1013"/>
        <v/>
      </c>
      <c r="EE345" s="92">
        <f t="shared" si="1014"/>
        <v>0.38032029544015783</v>
      </c>
      <c r="EF345" s="92">
        <f t="shared" si="1015"/>
        <v>2.035983151832222E-2</v>
      </c>
      <c r="EG345" s="92">
        <f t="shared" si="1016"/>
        <v>0.40068012695848004</v>
      </c>
      <c r="EH345" s="92">
        <f t="shared" si="1017"/>
        <v>0.61967970455984211</v>
      </c>
      <c r="EI345" s="92">
        <f t="shared" si="1018"/>
        <v>0.47002435578778434</v>
      </c>
      <c r="EJ345" s="122">
        <f t="shared" si="1019"/>
        <v>0.14965534877205783</v>
      </c>
    </row>
    <row r="346" spans="2:140" ht="12" hidden="1" customHeight="1" outlineLevel="1">
      <c r="B346" s="121">
        <v>45932</v>
      </c>
      <c r="C346" s="117">
        <v>25469</v>
      </c>
      <c r="D346" s="50" t="s">
        <v>1557</v>
      </c>
      <c r="E346" s="50" t="s">
        <v>1222</v>
      </c>
      <c r="F346" s="50" t="s">
        <v>1558</v>
      </c>
      <c r="G346" s="50" t="s">
        <v>249</v>
      </c>
      <c r="H346" s="50" t="s">
        <v>317</v>
      </c>
      <c r="I346" s="50" t="s">
        <v>306</v>
      </c>
      <c r="J346" s="52" t="s">
        <v>183</v>
      </c>
      <c r="K346" s="50" t="s">
        <v>184</v>
      </c>
      <c r="L346" s="49">
        <v>9</v>
      </c>
      <c r="M346" s="50" t="s">
        <v>159</v>
      </c>
      <c r="N346" s="50" t="s">
        <v>160</v>
      </c>
      <c r="O346" s="50" t="s">
        <v>160</v>
      </c>
      <c r="P346" s="50" t="s">
        <v>1351</v>
      </c>
      <c r="Q346" s="53">
        <v>0.04</v>
      </c>
      <c r="R346" s="49">
        <v>88</v>
      </c>
      <c r="S346" s="49">
        <v>1</v>
      </c>
      <c r="T346" s="54">
        <f t="shared" si="867"/>
        <v>89</v>
      </c>
      <c r="U346" s="55">
        <v>54017</v>
      </c>
      <c r="V346" s="49">
        <v>1.86</v>
      </c>
      <c r="W346" s="56">
        <f t="shared" ref="W346:W361" si="1022">IFERROR(IF(T346&gt;0,T346/V346,""),"")</f>
        <v>47.849462365591393</v>
      </c>
      <c r="X346" s="49">
        <v>1983</v>
      </c>
      <c r="Y346" s="57" t="s">
        <v>162</v>
      </c>
      <c r="Z346" s="58">
        <v>8738457</v>
      </c>
      <c r="AA346" s="114">
        <v>6.6400000000000001E-2</v>
      </c>
      <c r="AB346" s="59">
        <v>17</v>
      </c>
      <c r="AC346" s="60">
        <v>40</v>
      </c>
      <c r="AD346" s="61">
        <v>6.8699999999999997E-2</v>
      </c>
      <c r="AE346" s="62">
        <v>3261543</v>
      </c>
      <c r="AF346" s="63">
        <v>1.28</v>
      </c>
      <c r="AG346" s="59"/>
      <c r="AH346" s="60"/>
      <c r="AI346" s="61"/>
      <c r="AJ346" s="64"/>
      <c r="AK346" s="65">
        <f t="shared" ref="AK346:AK361" si="1023">IFERROR(IF(AE346&gt;0,AJ346+AE346,""),"")</f>
        <v>3261543</v>
      </c>
      <c r="AL346" s="66">
        <v>6000000</v>
      </c>
      <c r="AM346" s="49" t="s">
        <v>857</v>
      </c>
      <c r="AN346" s="67">
        <v>0.83</v>
      </c>
      <c r="AO346" s="62">
        <v>8594338</v>
      </c>
      <c r="AP346" s="62">
        <v>311645</v>
      </c>
      <c r="AQ346" s="68">
        <v>659308</v>
      </c>
      <c r="AR346" s="69">
        <f t="shared" ref="AR346:AR361" si="1024">IFERROR(IF(AK346&gt;0,AK346/T346,""),"")</f>
        <v>36646.550561797754</v>
      </c>
      <c r="AS346" s="70">
        <f t="shared" ref="AS346:AS361" si="1025">IFERROR(IF(AL346&gt;0,AL346/T346,""),"")</f>
        <v>67415.730337078654</v>
      </c>
      <c r="AT346" s="70">
        <f t="shared" ref="AT346:AT361" si="1026">IFERROR(IF(AO346&gt;0,AO346/T346,""),"")</f>
        <v>96565.595505617981</v>
      </c>
      <c r="AU346" s="70">
        <f t="shared" ref="AU346:AU361" si="1027">IFERROR(IF(AP346&gt;0,AP346/T346,""),"")</f>
        <v>3501.629213483146</v>
      </c>
      <c r="AV346" s="71">
        <f t="shared" ref="AV346:AV361" si="1028">IFERROR(IF(AQ346&gt;0,AQ346/T346,""),"")</f>
        <v>7407.9550561797751</v>
      </c>
      <c r="AW346" s="115">
        <f t="shared" ref="AW346:AW361" si="1029">IFERROR(IF(SUM(BB346:BC346)&gt;0,SUM(BB346:BC346)/T346,""),"")</f>
        <v>108810.95505617978</v>
      </c>
      <c r="AX346" s="116">
        <f t="shared" ref="AX346:AX361" si="1030">IFERROR(IF(SUM(BB346:BC346)&gt;0,SUM(BB346:BC346)/U346,""),"")</f>
        <v>179.28013403187884</v>
      </c>
      <c r="AY346" s="72">
        <f t="shared" ref="AY346:AY361" si="1031">IFERROR(IF(SUM(BL346:BO346)&gt;0,SUM(BL346:BO346),""),"")</f>
        <v>134435.22471910113</v>
      </c>
      <c r="AZ346" s="73">
        <f t="shared" ref="AZ346:AZ361" si="1032">IFERROR(IF(SUM(BV346:BY346)&gt;0,SUM(BV346:BY346),""),"")</f>
        <v>221.49943536294128</v>
      </c>
      <c r="BA346" s="66">
        <v>4500000</v>
      </c>
      <c r="BB346" s="62">
        <v>739000</v>
      </c>
      <c r="BC346" s="62">
        <v>8945175</v>
      </c>
      <c r="BD346" s="62">
        <v>950000</v>
      </c>
      <c r="BE346" s="62">
        <v>1330560</v>
      </c>
      <c r="BF346" s="62">
        <v>2052500</v>
      </c>
      <c r="BG346" s="62">
        <v>3082854</v>
      </c>
      <c r="BH346" s="62">
        <v>2690000</v>
      </c>
      <c r="BI346" s="62">
        <v>236469</v>
      </c>
      <c r="BJ346" s="47">
        <f t="shared" ref="BJ346:BJ361" si="1033">IFERROR(IF(SUM(BA346:BI346)&gt;0,SUM(BA346:BI346),""),"")</f>
        <v>24526558</v>
      </c>
      <c r="BK346" s="69">
        <f t="shared" ref="BK346:BK361" si="1034">IFERROR(IF(BA346&gt;0,BA346/$T346,""),"")</f>
        <v>50561.79775280899</v>
      </c>
      <c r="BL346" s="70">
        <f t="shared" ref="BL346:BL361" si="1035">IFERROR(IF(BB346&gt;0,BB346/$T346,""),"")</f>
        <v>8303.3707865168544</v>
      </c>
      <c r="BM346" s="70">
        <f t="shared" ref="BM346:BM361" si="1036">IFERROR(IF(BC346&gt;0,BC346/$T346,""),"")</f>
        <v>100507.58426966293</v>
      </c>
      <c r="BN346" s="70">
        <f t="shared" ref="BN346:BN361" si="1037">IFERROR(IF(BD346&gt;0,BD346/$T346,""),"")</f>
        <v>10674.157303370786</v>
      </c>
      <c r="BO346" s="70">
        <f t="shared" ref="BO346:BO361" si="1038">IFERROR(IF(BE346&gt;0,BE346/$T346,""),"")</f>
        <v>14950.112359550561</v>
      </c>
      <c r="BP346" s="70">
        <f t="shared" ref="BP346:BP361" si="1039">IFERROR(IF(BF346&gt;0,BF346/$T346,""),"")</f>
        <v>23061.79775280899</v>
      </c>
      <c r="BQ346" s="70">
        <f t="shared" ref="BQ346:BQ361" si="1040">IFERROR(IF(BG346&gt;0,BG346/$T346,""),"")</f>
        <v>34638.808988764045</v>
      </c>
      <c r="BR346" s="70">
        <f t="shared" ref="BR346:BR361" si="1041">IFERROR(IF(BH346&gt;0,BH346/$T346,""),"")</f>
        <v>30224.719101123595</v>
      </c>
      <c r="BS346" s="70">
        <f t="shared" ref="BS346:BS361" si="1042">IFERROR(IF(BI346&gt;0,BI346/$T346,""),"")</f>
        <v>2656.9550561797751</v>
      </c>
      <c r="BT346" s="71">
        <f t="shared" ref="BT346:BT361" si="1043">IFERROR(IF(BJ346&gt;0,BJ346/$T346,""),"")</f>
        <v>275579.30337078654</v>
      </c>
      <c r="BU346" s="65">
        <f t="shared" ref="BU346:BU361" si="1044">IFERROR(IF(BA346&gt;0,BA346/$U346,""),"")</f>
        <v>83.307107021863487</v>
      </c>
      <c r="BV346" s="48">
        <f t="shared" ref="BV346:BV361" si="1045">IFERROR(IF(BB346&gt;0,BB346/$U346,""),"")</f>
        <v>13.680878242034915</v>
      </c>
      <c r="BW346" s="48">
        <f t="shared" ref="BW346:BW361" si="1046">IFERROR(IF(BC346&gt;0,BC346/$U346,""),"")</f>
        <v>165.59925578984394</v>
      </c>
      <c r="BX346" s="48">
        <f t="shared" ref="BX346:BX361" si="1047">IFERROR(IF(BD346&gt;0,BD346/$U346,""),"")</f>
        <v>17.587055926837849</v>
      </c>
      <c r="BY346" s="48">
        <f t="shared" ref="BY346:BY361" si="1048">IFERROR(IF(BE346&gt;0,BE346/$U346,""),"")</f>
        <v>24.632245404224594</v>
      </c>
      <c r="BZ346" s="48">
        <f t="shared" ref="BZ346:BZ361" si="1049">IFERROR(IF(BF346&gt;0,BF346/$U346,""),"")</f>
        <v>37.997297147194402</v>
      </c>
      <c r="CA346" s="48">
        <f t="shared" ref="CA346:CA361" si="1050">IFERROR(IF(BG346&gt;0,BG346/$U346,""),"")</f>
        <v>57.071921802395543</v>
      </c>
      <c r="CB346" s="48">
        <f t="shared" ref="CB346:CB361" si="1051">IFERROR(IF(BH346&gt;0,BH346/$U346,""),"")</f>
        <v>49.799137308625063</v>
      </c>
      <c r="CC346" s="48">
        <f t="shared" ref="CC346:CC361" si="1052">IFERROR(IF(BI346&gt;0,BI346/$U346,""),"")</f>
        <v>4.3776773978562309</v>
      </c>
      <c r="CD346" s="47">
        <f t="shared" ref="CD346:CD361" si="1053">IFERROR(IF(BJ346&gt;0,BJ346/$U346,""),"")</f>
        <v>454.05257604087603</v>
      </c>
      <c r="CE346" s="66">
        <v>1054836</v>
      </c>
      <c r="CF346" s="62">
        <v>12000</v>
      </c>
      <c r="CG346" s="74">
        <v>-80013</v>
      </c>
      <c r="CH346" s="75">
        <f t="shared" ref="CH346:CH361" si="1054">IFERROR(IF(SUM(CE346:CG346)&gt;0,SUM(CE346:CG346),""),"")</f>
        <v>986823</v>
      </c>
      <c r="CI346" s="62">
        <v>138262</v>
      </c>
      <c r="CJ346" s="62">
        <v>64080</v>
      </c>
      <c r="CK346" s="62">
        <v>114811</v>
      </c>
      <c r="CL346" s="62">
        <v>58184</v>
      </c>
      <c r="CM346" s="62">
        <f>38690+44840</f>
        <v>83530</v>
      </c>
      <c r="CN346" s="62">
        <v>89000</v>
      </c>
      <c r="CO346" s="62">
        <v>72000</v>
      </c>
      <c r="CP346" s="75">
        <f t="shared" si="868"/>
        <v>619867</v>
      </c>
      <c r="CQ346" s="62">
        <v>26700</v>
      </c>
      <c r="CR346" s="75">
        <f t="shared" ref="CR346:CR361" si="1055">IFERROR(IF(SUM(CP346:CQ346)&gt;0,SUM(CP346:CQ346),""),"")</f>
        <v>646567</v>
      </c>
      <c r="CS346" s="75">
        <f t="shared" ref="CS346:CS361" si="1056">IFERROR(IF(CH346-CR346&gt;0,CH346-CP346,""),"")</f>
        <v>366956</v>
      </c>
      <c r="CT346" s="62">
        <v>243982</v>
      </c>
      <c r="CU346" s="47">
        <f t="shared" ref="CU346:CU361" si="1057">IFERROR(IF(CS346-CT346&gt;0,CS346-CT346,""),"")</f>
        <v>122974</v>
      </c>
      <c r="CV346" s="76">
        <f t="shared" ref="CV346:CV361" si="1058">IFERROR(IF(CU346&gt;0,CS346/CH346,""),"")</f>
        <v>0.37185594579777731</v>
      </c>
      <c r="CW346" s="75">
        <f t="shared" ref="CW346:CW361" si="1059">IFERROR(IF(CU346&gt;0,CR346/T346,""),"")</f>
        <v>7264.7977528089887</v>
      </c>
      <c r="CX346" s="77">
        <f t="shared" ref="CX346:CX361" si="1060">IFERROR(IF(CU346&gt;0,CR346/CH346,""),"")</f>
        <v>0.65520057801652376</v>
      </c>
      <c r="CY346" s="75">
        <f t="shared" ref="CY346:CY361" si="1061">IFERROR(IF(CU346&gt;0,CU346/T346,""),"")</f>
        <v>1381.7303370786517</v>
      </c>
      <c r="CZ346" s="77">
        <f t="shared" ref="CZ346:CZ361" si="1062">IFERROR(IF(CU346&gt;0,CU346/CH346,""),"")</f>
        <v>0.12461606590036917</v>
      </c>
      <c r="DA346" s="77">
        <f t="shared" ref="DA346:DA361" si="1063">IFERROR(IF(CT346&gt;0,CT346/CH346,""),"")</f>
        <v>0.24723987989740814</v>
      </c>
      <c r="DB346" s="47">
        <f t="shared" ref="DB346:DB361" si="1064">IFERROR(IF(AR346&gt;0,AR346,""),"")</f>
        <v>36646.550561797754</v>
      </c>
      <c r="DC346" s="69">
        <f t="shared" ref="DC346:DC361" si="1065">IFERROR(IF(ABS(CE346)&gt;0,CE346/$T346,""),"")</f>
        <v>11852.08988764045</v>
      </c>
      <c r="DD346" s="70">
        <f t="shared" ref="DD346:DD361" si="1066">IFERROR(IF(ABS(CF346)&gt;0,CF346/$T346,""),"")</f>
        <v>134.83146067415731</v>
      </c>
      <c r="DE346" s="70">
        <f t="shared" ref="DE346:DE361" si="1067">IFERROR(IF(ABS(CG346)&gt;0,CG346/$T346,""),"")</f>
        <v>-899.02247191011236</v>
      </c>
      <c r="DF346" s="70">
        <f t="shared" ref="DF346:DF361" si="1068">IFERROR(IF(ABS(CH346)&gt;0,CH346/$T346,""),"")</f>
        <v>11087.898876404495</v>
      </c>
      <c r="DG346" s="70">
        <f t="shared" ref="DG346:DG361" si="1069">IFERROR(IF(ABS(CI346)&gt;0,CI346/$T346,""),"")</f>
        <v>1553.5056179775281</v>
      </c>
      <c r="DH346" s="70">
        <f t="shared" ref="DH346:DH361" si="1070">IFERROR(IF(ABS(CJ346)&gt;0,CJ346/$T346,""),"")</f>
        <v>720</v>
      </c>
      <c r="DI346" s="70">
        <f t="shared" ref="DI346:DI361" si="1071">IFERROR(IF(ABS(CK346)&gt;0,CK346/$T346,""),"")</f>
        <v>1290.0112359550562</v>
      </c>
      <c r="DJ346" s="70">
        <f t="shared" ref="DJ346:DJ361" si="1072">IFERROR(IF(ABS(CL346)&gt;0,CL346/$T346,""),"")</f>
        <v>653.75280898876406</v>
      </c>
      <c r="DK346" s="70">
        <f t="shared" ref="DK346:DK361" si="1073">IFERROR(IF(ABS(CM346)&gt;0,CM346/$T346,""),"")</f>
        <v>938.5393258426966</v>
      </c>
      <c r="DL346" s="70">
        <f t="shared" ref="DL346:DL361" si="1074">IFERROR(IF(ABS(CN346)&gt;0,CN346/$T346,""),"")</f>
        <v>1000</v>
      </c>
      <c r="DM346" s="70">
        <f t="shared" ref="DM346:DM361" si="1075">IFERROR(IF(ABS(CO346)&gt;0,CO346/$T346,""),"")</f>
        <v>808.98876404494376</v>
      </c>
      <c r="DN346" s="70">
        <f t="shared" ref="DN346:DN361" si="1076">IFERROR(IF(ABS(CP346)&gt;0,CP346/$T346,""),"")</f>
        <v>6964.7977528089887</v>
      </c>
      <c r="DO346" s="70">
        <f t="shared" ref="DO346:DO361" si="1077">IFERROR(IF(ABS(CQ346)&gt;0,CQ346/$T346,""),"")</f>
        <v>300</v>
      </c>
      <c r="DP346" s="70">
        <f t="shared" ref="DP346:DP361" si="1078">IFERROR(IF(ABS(CR346)&gt;0,CR346/$T346,""),"")</f>
        <v>7264.7977528089887</v>
      </c>
      <c r="DQ346" s="70">
        <f t="shared" ref="DQ346:DQ361" si="1079">IFERROR(IF(ABS(CS346)&gt;0,CS346/$T346,""),"")</f>
        <v>4123.1011235955057</v>
      </c>
      <c r="DR346" s="70">
        <f t="shared" ref="DR346:DR361" si="1080">IFERROR(IF(ABS(CT346)&gt;0,CT346/$T346,""),"")</f>
        <v>2741.370786516854</v>
      </c>
      <c r="DS346" s="71">
        <f t="shared" ref="DS346:DS361" si="1081">IFERROR(IF(ABS(CU346)&gt;0,CU346/$T346,""),"")</f>
        <v>1381.7303370786517</v>
      </c>
      <c r="DT346" s="106">
        <f t="shared" ref="DT346:DT361" si="1082">IFERROR(IF(ABS(CE346&gt;0),CE346/$CH346,""),"")</f>
        <v>1.0689211743139346</v>
      </c>
      <c r="DU346" s="92">
        <f t="shared" ref="DU346:DU361" si="1083">IFERROR(IF(ABS(CF346&gt;0),CF346/$CH346,""),"")</f>
        <v>1.2160235422157772E-2</v>
      </c>
      <c r="DV346" s="92" t="str">
        <f t="shared" ref="DV346:DV361" si="1084">IFERROR(IF(ABS(CG346&gt;0),CG346/$CH346,""),"")</f>
        <v/>
      </c>
      <c r="DW346" s="92">
        <f t="shared" ref="DW346:DW361" si="1085">IFERROR(IF(ABS(CH346&gt;0),CH346/$CH346,""),"")</f>
        <v>1</v>
      </c>
      <c r="DX346" s="92">
        <f t="shared" ref="DX346:DX361" si="1086">IFERROR(IF(ABS(CI346&gt;0),CI346/$CH346,""),"")</f>
        <v>0.14010820582819816</v>
      </c>
      <c r="DY346" s="92">
        <f t="shared" ref="DY346:DY361" si="1087">IFERROR(IF(ABS(CJ346&gt;0),CJ346/$CH346,""),"")</f>
        <v>6.4935657154322507E-2</v>
      </c>
      <c r="DZ346" s="92">
        <f t="shared" ref="DZ346:DZ361" si="1088">IFERROR(IF(ABS(CK346&gt;0),CK346/$CH346,""),"")</f>
        <v>0.11634406575444634</v>
      </c>
      <c r="EA346" s="92">
        <f t="shared" ref="EA346:EA361" si="1089">IFERROR(IF(ABS(CL346&gt;0),CL346/$CH346,""),"")</f>
        <v>5.8960928150235653E-2</v>
      </c>
      <c r="EB346" s="92">
        <f t="shared" ref="EB346:EB361" si="1090">IFERROR(IF(ABS(CM346&gt;0),CM346/$CH346,""),"")</f>
        <v>8.4645372067736563E-2</v>
      </c>
      <c r="EC346" s="92">
        <f t="shared" ref="EC346:EC361" si="1091">IFERROR(IF(ABS(CN346&gt;0),CN346/$CH346,""),"")</f>
        <v>9.0188412714336821E-2</v>
      </c>
      <c r="ED346" s="92">
        <f t="shared" ref="ED346:ED361" si="1092">IFERROR(IF(ABS(CO346&gt;0),CO346/$CH346,""),"")</f>
        <v>7.2961412532946635E-2</v>
      </c>
      <c r="EE346" s="92">
        <f t="shared" ref="EE346:EE361" si="1093">IFERROR(IF(ABS(CP346&gt;0),CP346/$CH346,""),"")</f>
        <v>0.62814405420222263</v>
      </c>
      <c r="EF346" s="92">
        <f t="shared" ref="EF346:EF361" si="1094">IFERROR(IF(ABS(CQ346&gt;0),CQ346/$CH346,""),"")</f>
        <v>2.7056523814301046E-2</v>
      </c>
      <c r="EG346" s="92">
        <f t="shared" ref="EG346:EG361" si="1095">IFERROR(IF(ABS(CR346&gt;0),CR346/$CH346,""),"")</f>
        <v>0.65520057801652376</v>
      </c>
      <c r="EH346" s="92">
        <f t="shared" ref="EH346:EH361" si="1096">IFERROR(IF(ABS(CS346&gt;0),CS346/$CH346,""),"")</f>
        <v>0.37185594579777731</v>
      </c>
      <c r="EI346" s="92">
        <f t="shared" ref="EI346:EI361" si="1097">IFERROR(IF(ABS(CT346&gt;0),CT346/$CH346,""),"")</f>
        <v>0.24723987989740814</v>
      </c>
      <c r="EJ346" s="122">
        <f t="shared" ref="EJ346:EJ361" si="1098">IFERROR(IF(ABS(CU346&gt;0),CU346/$CH346,""),"")</f>
        <v>0.12461606590036917</v>
      </c>
    </row>
    <row r="347" spans="2:140" ht="12" hidden="1" customHeight="1" outlineLevel="1">
      <c r="B347" s="121">
        <v>45933</v>
      </c>
      <c r="C347" s="117">
        <v>25468</v>
      </c>
      <c r="D347" s="50" t="s">
        <v>1559</v>
      </c>
      <c r="E347" s="50" t="s">
        <v>1092</v>
      </c>
      <c r="F347" s="50" t="s">
        <v>1560</v>
      </c>
      <c r="G347" s="50" t="s">
        <v>249</v>
      </c>
      <c r="H347" s="50" t="s">
        <v>1561</v>
      </c>
      <c r="I347" s="50" t="s">
        <v>182</v>
      </c>
      <c r="J347" s="52" t="s">
        <v>183</v>
      </c>
      <c r="K347" s="50" t="s">
        <v>184</v>
      </c>
      <c r="L347" s="49">
        <v>9</v>
      </c>
      <c r="M347" s="50" t="s">
        <v>159</v>
      </c>
      <c r="N347" s="50" t="s">
        <v>160</v>
      </c>
      <c r="O347" s="50" t="s">
        <v>160</v>
      </c>
      <c r="P347" s="50" t="s">
        <v>177</v>
      </c>
      <c r="Q347" s="53">
        <v>0.04</v>
      </c>
      <c r="R347" s="49">
        <v>301</v>
      </c>
      <c r="S347" s="49">
        <v>0</v>
      </c>
      <c r="T347" s="54">
        <f t="shared" si="867"/>
        <v>301</v>
      </c>
      <c r="U347" s="55">
        <v>241083</v>
      </c>
      <c r="V347" s="49">
        <v>12.2</v>
      </c>
      <c r="W347" s="56">
        <f t="shared" si="1022"/>
        <v>24.672131147540984</v>
      </c>
      <c r="X347" s="49" t="s">
        <v>163</v>
      </c>
      <c r="Y347" s="57" t="s">
        <v>162</v>
      </c>
      <c r="Z347" s="58">
        <v>28603852</v>
      </c>
      <c r="AA347" s="114">
        <v>5.5E-2</v>
      </c>
      <c r="AB347" s="59">
        <v>45</v>
      </c>
      <c r="AC347" s="60">
        <v>40</v>
      </c>
      <c r="AD347" s="61">
        <v>5.5E-2</v>
      </c>
      <c r="AE347" s="62">
        <v>28603852</v>
      </c>
      <c r="AF347" s="63">
        <v>1.1399999999999999</v>
      </c>
      <c r="AG347" s="59"/>
      <c r="AH347" s="60"/>
      <c r="AI347" s="61"/>
      <c r="AJ347" s="64"/>
      <c r="AK347" s="65">
        <f t="shared" si="1023"/>
        <v>28603852</v>
      </c>
      <c r="AL347" s="66">
        <v>13754195</v>
      </c>
      <c r="AM347" s="49" t="s">
        <v>1562</v>
      </c>
      <c r="AN347" s="67">
        <v>0.85</v>
      </c>
      <c r="AO347" s="62">
        <v>30023385</v>
      </c>
      <c r="AP347" s="62">
        <v>0</v>
      </c>
      <c r="AQ347" s="68">
        <v>6526985</v>
      </c>
      <c r="AR347" s="69">
        <f t="shared" si="1024"/>
        <v>95029.408637873756</v>
      </c>
      <c r="AS347" s="70">
        <f t="shared" si="1025"/>
        <v>45695</v>
      </c>
      <c r="AT347" s="70">
        <f t="shared" si="1026"/>
        <v>99745.465116279069</v>
      </c>
      <c r="AU347" s="70" t="str">
        <f t="shared" si="1027"/>
        <v/>
      </c>
      <c r="AV347" s="71">
        <f t="shared" si="1028"/>
        <v>21684.335548172756</v>
      </c>
      <c r="AW347" s="115">
        <f t="shared" si="1029"/>
        <v>381301.06644518272</v>
      </c>
      <c r="AX347" s="116">
        <f t="shared" si="1030"/>
        <v>476.06683590298775</v>
      </c>
      <c r="AY347" s="72">
        <f t="shared" si="1031"/>
        <v>410071.91694352159</v>
      </c>
      <c r="AZ347" s="73">
        <f t="shared" si="1032"/>
        <v>511.98818249316628</v>
      </c>
      <c r="BA347" s="66">
        <v>1855000</v>
      </c>
      <c r="BB347" s="62">
        <v>83000498</v>
      </c>
      <c r="BC347" s="62">
        <v>31771123</v>
      </c>
      <c r="BD347" s="62">
        <v>2700000</v>
      </c>
      <c r="BE347" s="62">
        <v>5960026</v>
      </c>
      <c r="BF347" s="62">
        <v>8258933</v>
      </c>
      <c r="BG347" s="62">
        <v>9722247</v>
      </c>
      <c r="BH347" s="62">
        <v>8809026</v>
      </c>
      <c r="BI347" s="62">
        <v>1357508</v>
      </c>
      <c r="BJ347" s="47">
        <f t="shared" si="1033"/>
        <v>153434361</v>
      </c>
      <c r="BK347" s="69">
        <f t="shared" si="1034"/>
        <v>6162.7906976744189</v>
      </c>
      <c r="BL347" s="70">
        <f t="shared" si="1035"/>
        <v>275749.16279069765</v>
      </c>
      <c r="BM347" s="70">
        <f t="shared" si="1036"/>
        <v>105551.90365448505</v>
      </c>
      <c r="BN347" s="70">
        <f t="shared" si="1037"/>
        <v>8970.0996677740859</v>
      </c>
      <c r="BO347" s="70">
        <f t="shared" si="1038"/>
        <v>19800.750830564783</v>
      </c>
      <c r="BP347" s="70">
        <f t="shared" si="1039"/>
        <v>27438.315614617939</v>
      </c>
      <c r="BQ347" s="70">
        <f t="shared" si="1040"/>
        <v>32299.823920265782</v>
      </c>
      <c r="BR347" s="70">
        <f t="shared" si="1041"/>
        <v>29265.86710963455</v>
      </c>
      <c r="BS347" s="70">
        <f t="shared" si="1042"/>
        <v>4509.9933554817271</v>
      </c>
      <c r="BT347" s="71">
        <f t="shared" si="1043"/>
        <v>509748.70764119603</v>
      </c>
      <c r="BU347" s="65">
        <f t="shared" si="1044"/>
        <v>7.694445481431706</v>
      </c>
      <c r="BV347" s="48">
        <f t="shared" si="1045"/>
        <v>344.28183654591987</v>
      </c>
      <c r="BW347" s="48">
        <f t="shared" si="1046"/>
        <v>131.7849993570679</v>
      </c>
      <c r="BX347" s="48">
        <f t="shared" si="1047"/>
        <v>11.199462425803562</v>
      </c>
      <c r="BY347" s="48">
        <f t="shared" si="1048"/>
        <v>24.721884164374924</v>
      </c>
      <c r="BZ347" s="48">
        <f t="shared" si="1049"/>
        <v>34.257633263232997</v>
      </c>
      <c r="CA347" s="48">
        <f t="shared" si="1050"/>
        <v>40.327385174400519</v>
      </c>
      <c r="CB347" s="48">
        <f t="shared" si="1051"/>
        <v>36.539390998120979</v>
      </c>
      <c r="CC347" s="48">
        <f t="shared" si="1052"/>
        <v>5.6308740143436076</v>
      </c>
      <c r="CD347" s="47">
        <f t="shared" si="1053"/>
        <v>636.43791142469604</v>
      </c>
      <c r="CE347" s="66">
        <v>3809076</v>
      </c>
      <c r="CF347" s="62">
        <v>72240</v>
      </c>
      <c r="CG347" s="74">
        <v>-291099</v>
      </c>
      <c r="CH347" s="75">
        <f t="shared" si="1054"/>
        <v>3590217</v>
      </c>
      <c r="CI347" s="62">
        <v>240760</v>
      </c>
      <c r="CJ347" s="62">
        <v>108076</v>
      </c>
      <c r="CK347" s="62">
        <v>404109</v>
      </c>
      <c r="CL347" s="62">
        <v>183075</v>
      </c>
      <c r="CM347" s="62">
        <f>37625+75250</f>
        <v>112875</v>
      </c>
      <c r="CN347" s="62">
        <v>240800</v>
      </c>
      <c r="CO347" s="62">
        <v>0</v>
      </c>
      <c r="CP347" s="75">
        <f t="shared" si="868"/>
        <v>1289695</v>
      </c>
      <c r="CQ347" s="62">
        <v>90300</v>
      </c>
      <c r="CR347" s="75">
        <f t="shared" si="1055"/>
        <v>1379995</v>
      </c>
      <c r="CS347" s="75">
        <f t="shared" si="1056"/>
        <v>2300522</v>
      </c>
      <c r="CT347" s="62">
        <v>1770362</v>
      </c>
      <c r="CU347" s="47">
        <f t="shared" si="1057"/>
        <v>530160</v>
      </c>
      <c r="CV347" s="76">
        <f t="shared" si="1058"/>
        <v>0.64077519548261286</v>
      </c>
      <c r="CW347" s="75">
        <f t="shared" si="1059"/>
        <v>4584.7009966777405</v>
      </c>
      <c r="CX347" s="77">
        <f t="shared" si="1060"/>
        <v>0.38437648754935982</v>
      </c>
      <c r="CY347" s="75">
        <f t="shared" si="1061"/>
        <v>1761.328903654485</v>
      </c>
      <c r="CZ347" s="77">
        <f t="shared" si="1062"/>
        <v>0.14766795433256541</v>
      </c>
      <c r="DA347" s="77">
        <f t="shared" si="1063"/>
        <v>0.4931072411500475</v>
      </c>
      <c r="DB347" s="47">
        <f t="shared" si="1064"/>
        <v>95029.408637873756</v>
      </c>
      <c r="DC347" s="69">
        <f t="shared" si="1065"/>
        <v>12654.737541528239</v>
      </c>
      <c r="DD347" s="70">
        <f t="shared" si="1066"/>
        <v>240</v>
      </c>
      <c r="DE347" s="70">
        <f t="shared" si="1067"/>
        <v>-967.10631229235878</v>
      </c>
      <c r="DF347" s="70">
        <f t="shared" si="1068"/>
        <v>11927.63122923588</v>
      </c>
      <c r="DG347" s="70">
        <f t="shared" si="1069"/>
        <v>799.86710963455153</v>
      </c>
      <c r="DH347" s="70">
        <f t="shared" si="1070"/>
        <v>359.0564784053156</v>
      </c>
      <c r="DI347" s="70">
        <f t="shared" si="1071"/>
        <v>1342.5548172757476</v>
      </c>
      <c r="DJ347" s="70">
        <f t="shared" si="1072"/>
        <v>608.2225913621262</v>
      </c>
      <c r="DK347" s="70">
        <f t="shared" si="1073"/>
        <v>375</v>
      </c>
      <c r="DL347" s="70">
        <f t="shared" si="1074"/>
        <v>800</v>
      </c>
      <c r="DM347" s="70" t="str">
        <f t="shared" si="1075"/>
        <v/>
      </c>
      <c r="DN347" s="70">
        <f t="shared" si="1076"/>
        <v>4284.7009966777405</v>
      </c>
      <c r="DO347" s="70">
        <f t="shared" si="1077"/>
        <v>300</v>
      </c>
      <c r="DP347" s="70">
        <f t="shared" si="1078"/>
        <v>4584.7009966777405</v>
      </c>
      <c r="DQ347" s="70">
        <f t="shared" si="1079"/>
        <v>7642.9302325581393</v>
      </c>
      <c r="DR347" s="70">
        <f t="shared" si="1080"/>
        <v>5881.6013289036546</v>
      </c>
      <c r="DS347" s="71">
        <f t="shared" si="1081"/>
        <v>1761.328903654485</v>
      </c>
      <c r="DT347" s="106">
        <f t="shared" si="1082"/>
        <v>1.0609598249910799</v>
      </c>
      <c r="DU347" s="92">
        <f t="shared" si="1083"/>
        <v>2.0121346425578175E-2</v>
      </c>
      <c r="DV347" s="92" t="str">
        <f t="shared" si="1084"/>
        <v/>
      </c>
      <c r="DW347" s="92">
        <f t="shared" si="1085"/>
        <v>1</v>
      </c>
      <c r="DX347" s="92">
        <f t="shared" si="1086"/>
        <v>6.70600133640947E-2</v>
      </c>
      <c r="DY347" s="92">
        <f t="shared" si="1087"/>
        <v>3.0102915784756185E-2</v>
      </c>
      <c r="DZ347" s="92">
        <f t="shared" si="1088"/>
        <v>0.11255837739055885</v>
      </c>
      <c r="EA347" s="92">
        <f t="shared" si="1089"/>
        <v>5.0992739436084226E-2</v>
      </c>
      <c r="EB347" s="92">
        <f t="shared" si="1090"/>
        <v>3.1439603789965902E-2</v>
      </c>
      <c r="EC347" s="92">
        <f t="shared" si="1091"/>
        <v>6.7071154751927251E-2</v>
      </c>
      <c r="ED347" s="92" t="str">
        <f t="shared" si="1092"/>
        <v/>
      </c>
      <c r="EE347" s="92">
        <f t="shared" si="1093"/>
        <v>0.35922480451738709</v>
      </c>
      <c r="EF347" s="92">
        <f t="shared" si="1094"/>
        <v>2.5151683031972721E-2</v>
      </c>
      <c r="EG347" s="92">
        <f t="shared" si="1095"/>
        <v>0.38437648754935982</v>
      </c>
      <c r="EH347" s="92">
        <f t="shared" si="1096"/>
        <v>0.64077519548261286</v>
      </c>
      <c r="EI347" s="92">
        <f t="shared" si="1097"/>
        <v>0.4931072411500475</v>
      </c>
      <c r="EJ347" s="122">
        <f t="shared" si="1098"/>
        <v>0.14766795433256541</v>
      </c>
    </row>
    <row r="348" spans="2:140" ht="12" hidden="1" customHeight="1" outlineLevel="1">
      <c r="B348" s="121">
        <v>45940</v>
      </c>
      <c r="C348" s="117" t="s">
        <v>1563</v>
      </c>
      <c r="D348" s="50" t="s">
        <v>1564</v>
      </c>
      <c r="E348" s="50" t="s">
        <v>309</v>
      </c>
      <c r="F348" s="50" t="s">
        <v>1363</v>
      </c>
      <c r="G348" s="50" t="s">
        <v>162</v>
      </c>
      <c r="H348" s="50" t="s">
        <v>310</v>
      </c>
      <c r="I348" s="50" t="s">
        <v>181</v>
      </c>
      <c r="J348" s="52" t="s">
        <v>1377</v>
      </c>
      <c r="K348" s="50" t="s">
        <v>1378</v>
      </c>
      <c r="L348" s="49">
        <v>6</v>
      </c>
      <c r="M348" s="50" t="s">
        <v>283</v>
      </c>
      <c r="N348" s="50" t="s">
        <v>244</v>
      </c>
      <c r="O348" s="50" t="s">
        <v>160</v>
      </c>
      <c r="P348" s="50" t="s">
        <v>177</v>
      </c>
      <c r="Q348" s="53">
        <v>0.09</v>
      </c>
      <c r="R348" s="49">
        <v>48</v>
      </c>
      <c r="S348" s="49">
        <v>0</v>
      </c>
      <c r="T348" s="54">
        <f t="shared" si="867"/>
        <v>48</v>
      </c>
      <c r="U348" s="55">
        <v>39024</v>
      </c>
      <c r="V348" s="49">
        <v>7.83</v>
      </c>
      <c r="W348" s="56">
        <f t="shared" si="1022"/>
        <v>6.1302681992337167</v>
      </c>
      <c r="X348" s="49" t="s">
        <v>163</v>
      </c>
      <c r="Y348" s="57" t="s">
        <v>162</v>
      </c>
      <c r="Z348" s="58">
        <v>5650900</v>
      </c>
      <c r="AA348" s="114">
        <v>7.1400000000000005E-2</v>
      </c>
      <c r="AB348" s="59">
        <v>15</v>
      </c>
      <c r="AC348" s="60">
        <v>35</v>
      </c>
      <c r="AD348" s="61">
        <v>4.2500000000000003E-2</v>
      </c>
      <c r="AE348" s="62">
        <v>2000000</v>
      </c>
      <c r="AF348" s="63">
        <v>1.3</v>
      </c>
      <c r="AG348" s="59"/>
      <c r="AH348" s="60"/>
      <c r="AI348" s="61"/>
      <c r="AJ348" s="64"/>
      <c r="AK348" s="65">
        <f t="shared" si="1023"/>
        <v>2000000</v>
      </c>
      <c r="AL348" s="66">
        <v>0</v>
      </c>
      <c r="AM348" s="49" t="s">
        <v>163</v>
      </c>
      <c r="AN348" s="67">
        <v>0.88</v>
      </c>
      <c r="AO348" s="62">
        <v>8431607</v>
      </c>
      <c r="AP348" s="62">
        <v>142443</v>
      </c>
      <c r="AQ348" s="68">
        <v>1139686</v>
      </c>
      <c r="AR348" s="69">
        <f t="shared" si="1024"/>
        <v>41666.666666666664</v>
      </c>
      <c r="AS348" s="70" t="str">
        <f t="shared" si="1025"/>
        <v/>
      </c>
      <c r="AT348" s="70">
        <f t="shared" si="1026"/>
        <v>175658.47916666666</v>
      </c>
      <c r="AU348" s="70">
        <f t="shared" si="1027"/>
        <v>2967.5625</v>
      </c>
      <c r="AV348" s="71">
        <f t="shared" si="1028"/>
        <v>23743.458333333332</v>
      </c>
      <c r="AW348" s="115">
        <f t="shared" si="1029"/>
        <v>110322.91666666667</v>
      </c>
      <c r="AX348" s="116">
        <f t="shared" si="1030"/>
        <v>135.69854448544484</v>
      </c>
      <c r="AY348" s="72">
        <f t="shared" si="1031"/>
        <v>134571.89583333334</v>
      </c>
      <c r="AZ348" s="73">
        <f t="shared" si="1032"/>
        <v>165.52508712587127</v>
      </c>
      <c r="BA348" s="66">
        <v>498750</v>
      </c>
      <c r="BB348" s="62">
        <v>1328000</v>
      </c>
      <c r="BC348" s="62">
        <v>3967500</v>
      </c>
      <c r="BD348" s="62">
        <v>370685</v>
      </c>
      <c r="BE348" s="62">
        <v>793266</v>
      </c>
      <c r="BF348" s="62">
        <v>1754591</v>
      </c>
      <c r="BG348" s="62">
        <v>1546802</v>
      </c>
      <c r="BH348" s="62">
        <v>1546802</v>
      </c>
      <c r="BI348" s="62">
        <v>172263</v>
      </c>
      <c r="BJ348" s="47">
        <f t="shared" si="1033"/>
        <v>11978659</v>
      </c>
      <c r="BK348" s="69">
        <f t="shared" si="1034"/>
        <v>10390.625</v>
      </c>
      <c r="BL348" s="70">
        <f t="shared" si="1035"/>
        <v>27666.666666666668</v>
      </c>
      <c r="BM348" s="70">
        <f t="shared" si="1036"/>
        <v>82656.25</v>
      </c>
      <c r="BN348" s="70">
        <f t="shared" si="1037"/>
        <v>7722.604166666667</v>
      </c>
      <c r="BO348" s="70">
        <f t="shared" si="1038"/>
        <v>16526.375</v>
      </c>
      <c r="BP348" s="70">
        <f t="shared" si="1039"/>
        <v>36553.979166666664</v>
      </c>
      <c r="BQ348" s="70">
        <f t="shared" si="1040"/>
        <v>32225.041666666668</v>
      </c>
      <c r="BR348" s="70">
        <f t="shared" si="1041"/>
        <v>32225.041666666668</v>
      </c>
      <c r="BS348" s="70">
        <f t="shared" si="1042"/>
        <v>3588.8125</v>
      </c>
      <c r="BT348" s="71">
        <f t="shared" si="1043"/>
        <v>249555.39583333334</v>
      </c>
      <c r="BU348" s="65">
        <f t="shared" si="1044"/>
        <v>12.780596555965559</v>
      </c>
      <c r="BV348" s="48">
        <f t="shared" si="1045"/>
        <v>34.030340303403037</v>
      </c>
      <c r="BW348" s="48">
        <f t="shared" si="1046"/>
        <v>101.66820418204182</v>
      </c>
      <c r="BX348" s="48">
        <f t="shared" si="1047"/>
        <v>9.4988981139811397</v>
      </c>
      <c r="BY348" s="48">
        <f t="shared" si="1048"/>
        <v>20.327644526445265</v>
      </c>
      <c r="BZ348" s="48">
        <f t="shared" si="1049"/>
        <v>44.961843993439935</v>
      </c>
      <c r="CA348" s="48">
        <f t="shared" si="1050"/>
        <v>39.63719762197622</v>
      </c>
      <c r="CB348" s="48">
        <f t="shared" si="1051"/>
        <v>39.63719762197622</v>
      </c>
      <c r="CC348" s="48">
        <f t="shared" si="1052"/>
        <v>4.4142835178351785</v>
      </c>
      <c r="CD348" s="47">
        <f t="shared" si="1053"/>
        <v>306.9562064370644</v>
      </c>
      <c r="CE348" s="66">
        <v>396192</v>
      </c>
      <c r="CF348" s="62">
        <v>11520</v>
      </c>
      <c r="CG348" s="74">
        <v>-30578</v>
      </c>
      <c r="CH348" s="75">
        <f t="shared" si="1054"/>
        <v>377134</v>
      </c>
      <c r="CI348" s="62">
        <v>18000</v>
      </c>
      <c r="CJ348" s="62">
        <v>18857</v>
      </c>
      <c r="CK348" s="62">
        <v>54000</v>
      </c>
      <c r="CL348" s="62">
        <v>33000</v>
      </c>
      <c r="CM348" s="62">
        <v>40500</v>
      </c>
      <c r="CN348" s="62">
        <v>23414</v>
      </c>
      <c r="CO348" s="62">
        <v>30000</v>
      </c>
      <c r="CP348" s="75">
        <f t="shared" si="868"/>
        <v>217771</v>
      </c>
      <c r="CQ348" s="62">
        <v>12000</v>
      </c>
      <c r="CR348" s="75">
        <f t="shared" si="1055"/>
        <v>229771</v>
      </c>
      <c r="CS348" s="75">
        <f t="shared" si="1056"/>
        <v>159363</v>
      </c>
      <c r="CT348" s="62">
        <v>109895</v>
      </c>
      <c r="CU348" s="47">
        <f t="shared" si="1057"/>
        <v>49468</v>
      </c>
      <c r="CV348" s="76">
        <f t="shared" si="1058"/>
        <v>0.42256333292675813</v>
      </c>
      <c r="CW348" s="75">
        <f t="shared" si="1059"/>
        <v>4786.895833333333</v>
      </c>
      <c r="CX348" s="77">
        <f t="shared" si="1060"/>
        <v>0.60925559615415215</v>
      </c>
      <c r="CY348" s="75">
        <f t="shared" si="1061"/>
        <v>1030.5833333333333</v>
      </c>
      <c r="CZ348" s="77">
        <f t="shared" si="1062"/>
        <v>0.13116823198120561</v>
      </c>
      <c r="DA348" s="77">
        <f t="shared" si="1063"/>
        <v>0.29139510094555249</v>
      </c>
      <c r="DB348" s="47">
        <f t="shared" si="1064"/>
        <v>41666.666666666664</v>
      </c>
      <c r="DC348" s="69">
        <f t="shared" si="1065"/>
        <v>8254</v>
      </c>
      <c r="DD348" s="70">
        <f t="shared" si="1066"/>
        <v>240</v>
      </c>
      <c r="DE348" s="70">
        <f t="shared" si="1067"/>
        <v>-637.04166666666663</v>
      </c>
      <c r="DF348" s="70">
        <f t="shared" si="1068"/>
        <v>7856.958333333333</v>
      </c>
      <c r="DG348" s="70">
        <f t="shared" si="1069"/>
        <v>375</v>
      </c>
      <c r="DH348" s="70">
        <f t="shared" si="1070"/>
        <v>392.85416666666669</v>
      </c>
      <c r="DI348" s="70">
        <f t="shared" si="1071"/>
        <v>1125</v>
      </c>
      <c r="DJ348" s="70">
        <f t="shared" si="1072"/>
        <v>687.5</v>
      </c>
      <c r="DK348" s="70">
        <f t="shared" si="1073"/>
        <v>843.75</v>
      </c>
      <c r="DL348" s="70">
        <f t="shared" si="1074"/>
        <v>487.79166666666669</v>
      </c>
      <c r="DM348" s="70">
        <f t="shared" si="1075"/>
        <v>625</v>
      </c>
      <c r="DN348" s="70">
        <f t="shared" si="1076"/>
        <v>4536.895833333333</v>
      </c>
      <c r="DO348" s="70">
        <f t="shared" si="1077"/>
        <v>250</v>
      </c>
      <c r="DP348" s="70">
        <f t="shared" si="1078"/>
        <v>4786.895833333333</v>
      </c>
      <c r="DQ348" s="70">
        <f t="shared" si="1079"/>
        <v>3320.0625</v>
      </c>
      <c r="DR348" s="70">
        <f t="shared" si="1080"/>
        <v>2289.4791666666665</v>
      </c>
      <c r="DS348" s="71">
        <f t="shared" si="1081"/>
        <v>1030.5833333333333</v>
      </c>
      <c r="DT348" s="106">
        <f t="shared" si="1082"/>
        <v>1.0505337625353324</v>
      </c>
      <c r="DU348" s="92">
        <f t="shared" si="1083"/>
        <v>3.0546171917673823E-2</v>
      </c>
      <c r="DV348" s="92" t="str">
        <f t="shared" si="1084"/>
        <v/>
      </c>
      <c r="DW348" s="92">
        <f t="shared" si="1085"/>
        <v>1</v>
      </c>
      <c r="DX348" s="92">
        <f t="shared" si="1086"/>
        <v>4.7728393621365349E-2</v>
      </c>
      <c r="DY348" s="92">
        <f t="shared" si="1087"/>
        <v>5.0000795473227021E-2</v>
      </c>
      <c r="DZ348" s="92">
        <f t="shared" si="1088"/>
        <v>0.14318518086409604</v>
      </c>
      <c r="EA348" s="92">
        <f t="shared" si="1089"/>
        <v>8.7502054972503143E-2</v>
      </c>
      <c r="EB348" s="92">
        <f t="shared" si="1090"/>
        <v>0.10738888564807204</v>
      </c>
      <c r="EC348" s="92">
        <f t="shared" si="1091"/>
        <v>6.2084033791702686E-2</v>
      </c>
      <c r="ED348" s="92">
        <f t="shared" si="1092"/>
        <v>7.9547322702275589E-2</v>
      </c>
      <c r="EE348" s="92">
        <f t="shared" si="1093"/>
        <v>0.57743666707324182</v>
      </c>
      <c r="EF348" s="92">
        <f t="shared" si="1094"/>
        <v>3.1818929080910233E-2</v>
      </c>
      <c r="EG348" s="92">
        <f t="shared" si="1095"/>
        <v>0.60925559615415215</v>
      </c>
      <c r="EH348" s="92">
        <f t="shared" si="1096"/>
        <v>0.42256333292675813</v>
      </c>
      <c r="EI348" s="92">
        <f t="shared" si="1097"/>
        <v>0.29139510094555249</v>
      </c>
      <c r="EJ348" s="122">
        <f t="shared" si="1098"/>
        <v>0.13116823198120561</v>
      </c>
    </row>
    <row r="349" spans="2:140" ht="12" hidden="1" customHeight="1" outlineLevel="1">
      <c r="B349" s="121">
        <v>45944</v>
      </c>
      <c r="C349" s="117">
        <v>25201</v>
      </c>
      <c r="D349" s="50" t="s">
        <v>1565</v>
      </c>
      <c r="E349" s="50" t="s">
        <v>863</v>
      </c>
      <c r="F349" s="50" t="s">
        <v>1566</v>
      </c>
      <c r="G349" s="50" t="s">
        <v>162</v>
      </c>
      <c r="H349" s="50" t="s">
        <v>415</v>
      </c>
      <c r="I349" s="50" t="s">
        <v>396</v>
      </c>
      <c r="J349" s="52" t="s">
        <v>1177</v>
      </c>
      <c r="K349" s="50" t="s">
        <v>1177</v>
      </c>
      <c r="L349" s="49">
        <v>7</v>
      </c>
      <c r="M349" s="50" t="s">
        <v>283</v>
      </c>
      <c r="N349" s="50" t="s">
        <v>244</v>
      </c>
      <c r="O349" s="50" t="s">
        <v>160</v>
      </c>
      <c r="P349" s="50" t="s">
        <v>177</v>
      </c>
      <c r="Q349" s="53">
        <v>0.09</v>
      </c>
      <c r="R349" s="49">
        <v>52</v>
      </c>
      <c r="S349" s="49">
        <v>0</v>
      </c>
      <c r="T349" s="54">
        <f t="shared" si="867"/>
        <v>52</v>
      </c>
      <c r="U349" s="55">
        <v>40592</v>
      </c>
      <c r="V349" s="49">
        <v>5.7370000000000001</v>
      </c>
      <c r="W349" s="56">
        <f t="shared" si="1022"/>
        <v>9.0639707164023005</v>
      </c>
      <c r="X349" s="49" t="s">
        <v>163</v>
      </c>
      <c r="Y349" s="57" t="s">
        <v>162</v>
      </c>
      <c r="Z349" s="58">
        <v>4350000</v>
      </c>
      <c r="AA349" s="114">
        <v>0.06</v>
      </c>
      <c r="AB349" s="59">
        <v>40</v>
      </c>
      <c r="AC349" s="60">
        <v>40</v>
      </c>
      <c r="AD349" s="61">
        <v>0.06</v>
      </c>
      <c r="AE349" s="62">
        <v>4350000</v>
      </c>
      <c r="AF349" s="63">
        <v>1.1499999999999999</v>
      </c>
      <c r="AG349" s="59"/>
      <c r="AH349" s="60"/>
      <c r="AI349" s="61"/>
      <c r="AJ349" s="64"/>
      <c r="AK349" s="65">
        <f t="shared" si="1023"/>
        <v>4350000</v>
      </c>
      <c r="AL349" s="66">
        <v>0</v>
      </c>
      <c r="AM349" s="49" t="s">
        <v>163</v>
      </c>
      <c r="AN349" s="67">
        <v>0.83</v>
      </c>
      <c r="AO349" s="62">
        <v>10052274</v>
      </c>
      <c r="AP349" s="62">
        <v>342356</v>
      </c>
      <c r="AQ349" s="68">
        <v>498974</v>
      </c>
      <c r="AR349" s="69">
        <f t="shared" si="1024"/>
        <v>83653.846153846156</v>
      </c>
      <c r="AS349" s="70" t="str">
        <f t="shared" si="1025"/>
        <v/>
      </c>
      <c r="AT349" s="70">
        <f t="shared" si="1026"/>
        <v>193312.96153846153</v>
      </c>
      <c r="AU349" s="70">
        <f t="shared" si="1027"/>
        <v>6583.7692307692305</v>
      </c>
      <c r="AV349" s="71">
        <f t="shared" si="1028"/>
        <v>9595.6538461538457</v>
      </c>
      <c r="AW349" s="115">
        <f t="shared" si="1029"/>
        <v>137971.11538461538</v>
      </c>
      <c r="AX349" s="116">
        <f t="shared" si="1030"/>
        <v>176.74660031533307</v>
      </c>
      <c r="AY349" s="72">
        <f t="shared" si="1031"/>
        <v>168174.92307692306</v>
      </c>
      <c r="AZ349" s="73">
        <f t="shared" si="1032"/>
        <v>215.43890421757982</v>
      </c>
      <c r="BA349" s="66">
        <v>1030000</v>
      </c>
      <c r="BB349" s="62">
        <v>1011516</v>
      </c>
      <c r="BC349" s="62">
        <v>6162982</v>
      </c>
      <c r="BD349" s="62">
        <v>496639</v>
      </c>
      <c r="BE349" s="62">
        <v>1073959</v>
      </c>
      <c r="BF349" s="62">
        <v>974209</v>
      </c>
      <c r="BG349" s="62">
        <v>1585316</v>
      </c>
      <c r="BH349" s="62">
        <v>1631107</v>
      </c>
      <c r="BI349" s="62">
        <v>543821</v>
      </c>
      <c r="BJ349" s="47">
        <f t="shared" si="1033"/>
        <v>14509549</v>
      </c>
      <c r="BK349" s="69">
        <f t="shared" si="1034"/>
        <v>19807.692307692309</v>
      </c>
      <c r="BL349" s="70">
        <f t="shared" si="1035"/>
        <v>19452.23076923077</v>
      </c>
      <c r="BM349" s="70">
        <f t="shared" si="1036"/>
        <v>118518.88461538461</v>
      </c>
      <c r="BN349" s="70">
        <f t="shared" si="1037"/>
        <v>9550.75</v>
      </c>
      <c r="BO349" s="70">
        <f t="shared" si="1038"/>
        <v>20653.057692307691</v>
      </c>
      <c r="BP349" s="70">
        <f t="shared" si="1039"/>
        <v>18734.788461538461</v>
      </c>
      <c r="BQ349" s="70">
        <f t="shared" si="1040"/>
        <v>30486.846153846152</v>
      </c>
      <c r="BR349" s="70">
        <f t="shared" si="1041"/>
        <v>31367.442307692309</v>
      </c>
      <c r="BS349" s="70">
        <f t="shared" si="1042"/>
        <v>10458.096153846154</v>
      </c>
      <c r="BT349" s="71">
        <f t="shared" si="1043"/>
        <v>279029.78846153844</v>
      </c>
      <c r="BU349" s="65">
        <f t="shared" si="1044"/>
        <v>25.374458021284983</v>
      </c>
      <c r="BV349" s="48">
        <f t="shared" si="1045"/>
        <v>24.919097359085534</v>
      </c>
      <c r="BW349" s="48">
        <f t="shared" si="1046"/>
        <v>151.82750295624754</v>
      </c>
      <c r="BX349" s="48">
        <f t="shared" si="1047"/>
        <v>12.234898502167916</v>
      </c>
      <c r="BY349" s="48">
        <f t="shared" si="1048"/>
        <v>26.457405400078834</v>
      </c>
      <c r="BZ349" s="48">
        <f t="shared" si="1049"/>
        <v>24.000024635396137</v>
      </c>
      <c r="CA349" s="48">
        <f t="shared" si="1050"/>
        <v>39.054887662593615</v>
      </c>
      <c r="CB349" s="48">
        <f t="shared" si="1051"/>
        <v>40.182967087110761</v>
      </c>
      <c r="CC349" s="48">
        <f t="shared" si="1052"/>
        <v>13.397245762711865</v>
      </c>
      <c r="CD349" s="47">
        <f t="shared" si="1053"/>
        <v>357.44848738667719</v>
      </c>
      <c r="CE349" s="66">
        <v>774936</v>
      </c>
      <c r="CF349" s="62">
        <v>9360</v>
      </c>
      <c r="CG349" s="74">
        <v>-58822</v>
      </c>
      <c r="CH349" s="75">
        <f t="shared" si="1054"/>
        <v>725474</v>
      </c>
      <c r="CI349" s="62">
        <v>26500</v>
      </c>
      <c r="CJ349" s="62">
        <v>25754</v>
      </c>
      <c r="CK349" s="62">
        <v>138750</v>
      </c>
      <c r="CL349" s="62">
        <v>46660</v>
      </c>
      <c r="CM349" s="62">
        <f>46660+11000</f>
        <v>57660</v>
      </c>
      <c r="CN349" s="62">
        <v>40592</v>
      </c>
      <c r="CO349" s="62">
        <v>78885</v>
      </c>
      <c r="CP349" s="75">
        <f t="shared" si="868"/>
        <v>414801</v>
      </c>
      <c r="CQ349" s="62">
        <v>13000</v>
      </c>
      <c r="CR349" s="75">
        <f t="shared" si="1055"/>
        <v>427801</v>
      </c>
      <c r="CS349" s="75">
        <f t="shared" si="1056"/>
        <v>310673</v>
      </c>
      <c r="CT349" s="62">
        <v>298087</v>
      </c>
      <c r="CU349" s="47">
        <f t="shared" si="1057"/>
        <v>12586</v>
      </c>
      <c r="CV349" s="76">
        <f t="shared" si="1058"/>
        <v>0.42823450599194457</v>
      </c>
      <c r="CW349" s="75">
        <f t="shared" si="1059"/>
        <v>8226.9423076923085</v>
      </c>
      <c r="CX349" s="77">
        <f t="shared" si="1060"/>
        <v>0.58968481296366237</v>
      </c>
      <c r="CY349" s="75">
        <f t="shared" si="1061"/>
        <v>242.03846153846155</v>
      </c>
      <c r="CZ349" s="77">
        <f t="shared" si="1062"/>
        <v>1.7348657567328396E-2</v>
      </c>
      <c r="DA349" s="77">
        <f t="shared" si="1063"/>
        <v>0.41088584842461617</v>
      </c>
      <c r="DB349" s="47">
        <f t="shared" si="1064"/>
        <v>83653.846153846156</v>
      </c>
      <c r="DC349" s="69">
        <f t="shared" si="1065"/>
        <v>14902.615384615385</v>
      </c>
      <c r="DD349" s="70">
        <f t="shared" si="1066"/>
        <v>180</v>
      </c>
      <c r="DE349" s="70">
        <f t="shared" si="1067"/>
        <v>-1131.1923076923076</v>
      </c>
      <c r="DF349" s="70">
        <f t="shared" si="1068"/>
        <v>13951.423076923076</v>
      </c>
      <c r="DG349" s="70">
        <f t="shared" si="1069"/>
        <v>509.61538461538464</v>
      </c>
      <c r="DH349" s="70">
        <f t="shared" si="1070"/>
        <v>495.26923076923077</v>
      </c>
      <c r="DI349" s="70">
        <f t="shared" si="1071"/>
        <v>2668.2692307692309</v>
      </c>
      <c r="DJ349" s="70">
        <f t="shared" si="1072"/>
        <v>897.30769230769226</v>
      </c>
      <c r="DK349" s="70">
        <f t="shared" si="1073"/>
        <v>1108.8461538461538</v>
      </c>
      <c r="DL349" s="70">
        <f t="shared" si="1074"/>
        <v>780.61538461538464</v>
      </c>
      <c r="DM349" s="70">
        <f t="shared" si="1075"/>
        <v>1517.0192307692307</v>
      </c>
      <c r="DN349" s="70">
        <f t="shared" si="1076"/>
        <v>7976.9423076923076</v>
      </c>
      <c r="DO349" s="70">
        <f t="shared" si="1077"/>
        <v>250</v>
      </c>
      <c r="DP349" s="70">
        <f t="shared" si="1078"/>
        <v>8226.9423076923085</v>
      </c>
      <c r="DQ349" s="70">
        <f t="shared" si="1079"/>
        <v>5974.4807692307695</v>
      </c>
      <c r="DR349" s="70">
        <f t="shared" si="1080"/>
        <v>5732.4423076923076</v>
      </c>
      <c r="DS349" s="71">
        <f t="shared" si="1081"/>
        <v>242.03846153846155</v>
      </c>
      <c r="DT349" s="106">
        <f t="shared" si="1082"/>
        <v>1.0681788733986333</v>
      </c>
      <c r="DU349" s="92">
        <f t="shared" si="1083"/>
        <v>1.2901909648037007E-2</v>
      </c>
      <c r="DV349" s="92" t="str">
        <f t="shared" si="1084"/>
        <v/>
      </c>
      <c r="DW349" s="92">
        <f t="shared" si="1085"/>
        <v>1</v>
      </c>
      <c r="DX349" s="92">
        <f t="shared" si="1086"/>
        <v>3.6527842486429561E-2</v>
      </c>
      <c r="DY349" s="92">
        <f t="shared" si="1087"/>
        <v>3.5499549260207812E-2</v>
      </c>
      <c r="DZ349" s="92">
        <f t="shared" si="1088"/>
        <v>0.19125426962234346</v>
      </c>
      <c r="EA349" s="92">
        <f t="shared" si="1089"/>
        <v>6.4316570959124658E-2</v>
      </c>
      <c r="EB349" s="92">
        <f t="shared" si="1090"/>
        <v>7.9479071613868996E-2</v>
      </c>
      <c r="EC349" s="92">
        <f t="shared" si="1091"/>
        <v>5.5952384234307498E-2</v>
      </c>
      <c r="ED349" s="92">
        <f t="shared" si="1092"/>
        <v>0.10873580583177343</v>
      </c>
      <c r="EE349" s="92">
        <f t="shared" si="1093"/>
        <v>0.57176549400805543</v>
      </c>
      <c r="EF349" s="92">
        <f t="shared" si="1094"/>
        <v>1.7919318955606955E-2</v>
      </c>
      <c r="EG349" s="92">
        <f t="shared" si="1095"/>
        <v>0.58968481296366237</v>
      </c>
      <c r="EH349" s="92">
        <f t="shared" si="1096"/>
        <v>0.42823450599194457</v>
      </c>
      <c r="EI349" s="92">
        <f t="shared" si="1097"/>
        <v>0.41088584842461617</v>
      </c>
      <c r="EJ349" s="122">
        <f t="shared" si="1098"/>
        <v>1.7348657567328396E-2</v>
      </c>
    </row>
    <row r="350" spans="2:140" ht="12" hidden="1" customHeight="1" outlineLevel="1">
      <c r="B350" s="121">
        <v>45950</v>
      </c>
      <c r="C350" s="117">
        <v>25481</v>
      </c>
      <c r="D350" s="50" t="s">
        <v>1567</v>
      </c>
      <c r="E350" s="50" t="s">
        <v>1568</v>
      </c>
      <c r="F350" s="50" t="s">
        <v>1569</v>
      </c>
      <c r="G350" s="50" t="s">
        <v>249</v>
      </c>
      <c r="H350" s="50" t="s">
        <v>173</v>
      </c>
      <c r="I350" s="50" t="s">
        <v>321</v>
      </c>
      <c r="J350" s="52" t="s">
        <v>1364</v>
      </c>
      <c r="K350" s="50" t="s">
        <v>1364</v>
      </c>
      <c r="L350" s="49">
        <v>10</v>
      </c>
      <c r="M350" s="50" t="s">
        <v>159</v>
      </c>
      <c r="N350" s="50" t="s">
        <v>160</v>
      </c>
      <c r="O350" s="50" t="s">
        <v>160</v>
      </c>
      <c r="P350" s="50" t="s">
        <v>177</v>
      </c>
      <c r="Q350" s="53">
        <v>0.04</v>
      </c>
      <c r="R350" s="49">
        <v>300</v>
      </c>
      <c r="S350" s="49">
        <v>0</v>
      </c>
      <c r="T350" s="54">
        <f t="shared" si="867"/>
        <v>300</v>
      </c>
      <c r="U350" s="55">
        <v>250620</v>
      </c>
      <c r="V350" s="49">
        <v>13.22</v>
      </c>
      <c r="W350" s="56">
        <f t="shared" si="1022"/>
        <v>22.6928895612708</v>
      </c>
      <c r="X350" s="49" t="s">
        <v>163</v>
      </c>
      <c r="Y350" s="57" t="s">
        <v>162</v>
      </c>
      <c r="Z350" s="58">
        <v>30000000</v>
      </c>
      <c r="AA350" s="114">
        <v>6.08E-2</v>
      </c>
      <c r="AB350" s="59">
        <v>16</v>
      </c>
      <c r="AC350" s="60">
        <v>40</v>
      </c>
      <c r="AD350" s="61">
        <v>6.08E-2</v>
      </c>
      <c r="AE350" s="62">
        <v>29000000</v>
      </c>
      <c r="AF350" s="63">
        <v>1.1499999999999999</v>
      </c>
      <c r="AG350" s="59"/>
      <c r="AH350" s="60"/>
      <c r="AI350" s="61"/>
      <c r="AJ350" s="64"/>
      <c r="AK350" s="65">
        <f t="shared" si="1023"/>
        <v>29000000</v>
      </c>
      <c r="AL350" s="66">
        <v>0</v>
      </c>
      <c r="AM350" s="49" t="s">
        <v>163</v>
      </c>
      <c r="AN350" s="67">
        <v>0.8</v>
      </c>
      <c r="AO350" s="62">
        <v>22530189</v>
      </c>
      <c r="AP350" s="62">
        <v>2228129</v>
      </c>
      <c r="AQ350" s="68">
        <v>2856895</v>
      </c>
      <c r="AR350" s="69">
        <f t="shared" si="1024"/>
        <v>96666.666666666672</v>
      </c>
      <c r="AS350" s="70" t="str">
        <f t="shared" si="1025"/>
        <v/>
      </c>
      <c r="AT350" s="70">
        <f t="shared" si="1026"/>
        <v>75100.63</v>
      </c>
      <c r="AU350" s="70">
        <f t="shared" si="1027"/>
        <v>7427.0966666666664</v>
      </c>
      <c r="AV350" s="71">
        <f t="shared" si="1028"/>
        <v>9522.9833333333336</v>
      </c>
      <c r="AW350" s="115">
        <f t="shared" si="1029"/>
        <v>104496.10666666667</v>
      </c>
      <c r="AX350" s="116">
        <f t="shared" si="1030"/>
        <v>125.08511691006305</v>
      </c>
      <c r="AY350" s="72">
        <f t="shared" si="1031"/>
        <v>127243.95333333334</v>
      </c>
      <c r="AZ350" s="73">
        <f t="shared" si="1032"/>
        <v>152.31500279307318</v>
      </c>
      <c r="BA350" s="66">
        <v>500000</v>
      </c>
      <c r="BB350" s="62">
        <v>6298224</v>
      </c>
      <c r="BC350" s="62">
        <v>25050608</v>
      </c>
      <c r="BD350" s="62">
        <v>2193922</v>
      </c>
      <c r="BE350" s="62">
        <v>4630432</v>
      </c>
      <c r="BF350" s="62">
        <v>2618133</v>
      </c>
      <c r="BG350" s="62">
        <v>7531583</v>
      </c>
      <c r="BH350" s="62">
        <v>7064938</v>
      </c>
      <c r="BI350" s="62">
        <v>2628917</v>
      </c>
      <c r="BJ350" s="47">
        <f t="shared" si="1033"/>
        <v>58516757</v>
      </c>
      <c r="BK350" s="69">
        <f t="shared" si="1034"/>
        <v>1666.6666666666667</v>
      </c>
      <c r="BL350" s="70">
        <f t="shared" si="1035"/>
        <v>20994.080000000002</v>
      </c>
      <c r="BM350" s="70">
        <f t="shared" si="1036"/>
        <v>83502.026666666672</v>
      </c>
      <c r="BN350" s="70">
        <f t="shared" si="1037"/>
        <v>7313.0733333333337</v>
      </c>
      <c r="BO350" s="70">
        <f t="shared" si="1038"/>
        <v>15434.773333333333</v>
      </c>
      <c r="BP350" s="70">
        <f t="shared" si="1039"/>
        <v>8727.11</v>
      </c>
      <c r="BQ350" s="70">
        <f t="shared" si="1040"/>
        <v>25105.276666666668</v>
      </c>
      <c r="BR350" s="70">
        <f t="shared" si="1041"/>
        <v>23549.793333333335</v>
      </c>
      <c r="BS350" s="70">
        <f t="shared" si="1042"/>
        <v>8763.0566666666673</v>
      </c>
      <c r="BT350" s="71">
        <f t="shared" si="1043"/>
        <v>195055.85666666666</v>
      </c>
      <c r="BU350" s="65">
        <f t="shared" si="1044"/>
        <v>1.9950522703694837</v>
      </c>
      <c r="BV350" s="48">
        <f t="shared" si="1045"/>
        <v>25.130572180991141</v>
      </c>
      <c r="BW350" s="48">
        <f t="shared" si="1046"/>
        <v>99.954544729071898</v>
      </c>
      <c r="BX350" s="48">
        <f t="shared" si="1047"/>
        <v>8.7539781342271166</v>
      </c>
      <c r="BY350" s="48">
        <f t="shared" si="1048"/>
        <v>18.475907748783019</v>
      </c>
      <c r="BZ350" s="48">
        <f t="shared" si="1049"/>
        <v>10.446624371558535</v>
      </c>
      <c r="CA350" s="48">
        <f t="shared" si="1050"/>
        <v>30.051803527252414</v>
      </c>
      <c r="CB350" s="48">
        <f t="shared" si="1051"/>
        <v>28.189841193839278</v>
      </c>
      <c r="CC350" s="48">
        <f t="shared" si="1052"/>
        <v>10.489653658925864</v>
      </c>
      <c r="CD350" s="47">
        <f t="shared" si="1053"/>
        <v>233.48797781501875</v>
      </c>
      <c r="CE350" s="66">
        <v>3912480</v>
      </c>
      <c r="CF350" s="62">
        <v>108000</v>
      </c>
      <c r="CG350" s="74">
        <v>-301536</v>
      </c>
      <c r="CH350" s="75">
        <f t="shared" si="1054"/>
        <v>3718944</v>
      </c>
      <c r="CI350" s="62">
        <v>145200</v>
      </c>
      <c r="CJ350" s="62">
        <v>130023</v>
      </c>
      <c r="CK350" s="62">
        <v>421296</v>
      </c>
      <c r="CL350" s="62">
        <v>240000</v>
      </c>
      <c r="CM350" s="62">
        <f>51900+83100</f>
        <v>135000</v>
      </c>
      <c r="CN350" s="62">
        <v>277500</v>
      </c>
      <c r="CO350" s="62">
        <v>0</v>
      </c>
      <c r="CP350" s="75">
        <f t="shared" si="868"/>
        <v>1349019</v>
      </c>
      <c r="CQ350" s="62">
        <v>75000</v>
      </c>
      <c r="CR350" s="75">
        <f t="shared" si="1055"/>
        <v>1424019</v>
      </c>
      <c r="CS350" s="75">
        <f t="shared" si="1056"/>
        <v>2369925</v>
      </c>
      <c r="CT350" s="62">
        <v>1934186</v>
      </c>
      <c r="CU350" s="47">
        <f t="shared" si="1057"/>
        <v>435739</v>
      </c>
      <c r="CV350" s="76">
        <f t="shared" si="1058"/>
        <v>0.63725751180980406</v>
      </c>
      <c r="CW350" s="75">
        <f t="shared" si="1059"/>
        <v>4746.7299999999996</v>
      </c>
      <c r="CX350" s="77">
        <f t="shared" si="1060"/>
        <v>0.38290950334288443</v>
      </c>
      <c r="CY350" s="75">
        <f t="shared" si="1061"/>
        <v>1452.4633333333334</v>
      </c>
      <c r="CZ350" s="77">
        <f t="shared" si="1062"/>
        <v>0.11716740020823116</v>
      </c>
      <c r="DA350" s="77">
        <f t="shared" si="1063"/>
        <v>0.52009011160157292</v>
      </c>
      <c r="DB350" s="47">
        <f t="shared" si="1064"/>
        <v>96666.666666666672</v>
      </c>
      <c r="DC350" s="69">
        <f t="shared" si="1065"/>
        <v>13041.6</v>
      </c>
      <c r="DD350" s="70">
        <f t="shared" si="1066"/>
        <v>360</v>
      </c>
      <c r="DE350" s="70">
        <f t="shared" si="1067"/>
        <v>-1005.12</v>
      </c>
      <c r="DF350" s="70">
        <f t="shared" si="1068"/>
        <v>12396.48</v>
      </c>
      <c r="DG350" s="70">
        <f t="shared" si="1069"/>
        <v>484</v>
      </c>
      <c r="DH350" s="70">
        <f t="shared" si="1070"/>
        <v>433.41</v>
      </c>
      <c r="DI350" s="70">
        <f t="shared" si="1071"/>
        <v>1404.32</v>
      </c>
      <c r="DJ350" s="70">
        <f t="shared" si="1072"/>
        <v>800</v>
      </c>
      <c r="DK350" s="70">
        <f t="shared" si="1073"/>
        <v>450</v>
      </c>
      <c r="DL350" s="70">
        <f t="shared" si="1074"/>
        <v>925</v>
      </c>
      <c r="DM350" s="70" t="str">
        <f t="shared" si="1075"/>
        <v/>
      </c>
      <c r="DN350" s="70">
        <f t="shared" si="1076"/>
        <v>4496.7299999999996</v>
      </c>
      <c r="DO350" s="70">
        <f t="shared" si="1077"/>
        <v>250</v>
      </c>
      <c r="DP350" s="70">
        <f t="shared" si="1078"/>
        <v>4746.7299999999996</v>
      </c>
      <c r="DQ350" s="70">
        <f t="shared" si="1079"/>
        <v>7899.75</v>
      </c>
      <c r="DR350" s="70">
        <f t="shared" si="1080"/>
        <v>6447.2866666666669</v>
      </c>
      <c r="DS350" s="71">
        <f t="shared" si="1081"/>
        <v>1452.4633333333334</v>
      </c>
      <c r="DT350" s="106">
        <f t="shared" si="1082"/>
        <v>1.0520405792612095</v>
      </c>
      <c r="DU350" s="92">
        <f t="shared" si="1083"/>
        <v>2.9040501819871448E-2</v>
      </c>
      <c r="DV350" s="92" t="str">
        <f t="shared" si="1084"/>
        <v/>
      </c>
      <c r="DW350" s="92">
        <f t="shared" si="1085"/>
        <v>1</v>
      </c>
      <c r="DX350" s="92">
        <f t="shared" si="1086"/>
        <v>3.9043341335604949E-2</v>
      </c>
      <c r="DY350" s="92">
        <f t="shared" si="1087"/>
        <v>3.49623441493069E-2</v>
      </c>
      <c r="DZ350" s="92">
        <f t="shared" si="1088"/>
        <v>0.11328377087689409</v>
      </c>
      <c r="EA350" s="92">
        <f t="shared" si="1089"/>
        <v>6.4534448488603222E-2</v>
      </c>
      <c r="EB350" s="92">
        <f t="shared" si="1090"/>
        <v>3.6300627274839306E-2</v>
      </c>
      <c r="EC350" s="92">
        <f t="shared" si="1091"/>
        <v>7.4617956064947463E-2</v>
      </c>
      <c r="ED350" s="92" t="str">
        <f t="shared" si="1092"/>
        <v/>
      </c>
      <c r="EE350" s="92">
        <f t="shared" si="1093"/>
        <v>0.36274248819019594</v>
      </c>
      <c r="EF350" s="92">
        <f t="shared" si="1094"/>
        <v>2.0167015152688504E-2</v>
      </c>
      <c r="EG350" s="92">
        <f t="shared" si="1095"/>
        <v>0.38290950334288443</v>
      </c>
      <c r="EH350" s="92">
        <f t="shared" si="1096"/>
        <v>0.63725751180980406</v>
      </c>
      <c r="EI350" s="92">
        <f t="shared" si="1097"/>
        <v>0.52009011160157292</v>
      </c>
      <c r="EJ350" s="122">
        <f t="shared" si="1098"/>
        <v>0.11716740020823116</v>
      </c>
    </row>
    <row r="351" spans="2:140" ht="12" hidden="1" customHeight="1" outlineLevel="1">
      <c r="B351" s="121">
        <v>45950</v>
      </c>
      <c r="C351" s="117">
        <v>23229</v>
      </c>
      <c r="D351" s="50" t="s">
        <v>1570</v>
      </c>
      <c r="E351" s="50" t="s">
        <v>1571</v>
      </c>
      <c r="F351" s="50" t="s">
        <v>1572</v>
      </c>
      <c r="G351" s="50" t="s">
        <v>162</v>
      </c>
      <c r="H351" s="50" t="s">
        <v>1573</v>
      </c>
      <c r="I351" s="50" t="s">
        <v>182</v>
      </c>
      <c r="J351" s="52" t="s">
        <v>1574</v>
      </c>
      <c r="K351" s="50" t="s">
        <v>1575</v>
      </c>
      <c r="L351" s="49">
        <v>3</v>
      </c>
      <c r="M351" s="50" t="s">
        <v>159</v>
      </c>
      <c r="N351" s="50" t="s">
        <v>160</v>
      </c>
      <c r="O351" s="50" t="s">
        <v>160</v>
      </c>
      <c r="P351" s="50" t="s">
        <v>177</v>
      </c>
      <c r="Q351" s="53">
        <v>0.09</v>
      </c>
      <c r="R351" s="49">
        <v>45</v>
      </c>
      <c r="S351" s="49">
        <v>12</v>
      </c>
      <c r="T351" s="54">
        <f t="shared" si="867"/>
        <v>57</v>
      </c>
      <c r="U351" s="55">
        <v>55110</v>
      </c>
      <c r="V351" s="49">
        <v>2.57</v>
      </c>
      <c r="W351" s="56">
        <f t="shared" si="1022"/>
        <v>22.178988326848252</v>
      </c>
      <c r="X351" s="49" t="s">
        <v>163</v>
      </c>
      <c r="Y351" s="57" t="s">
        <v>162</v>
      </c>
      <c r="Z351" s="58">
        <v>4470000</v>
      </c>
      <c r="AA351" s="114">
        <v>5.5E-2</v>
      </c>
      <c r="AB351" s="59">
        <v>40</v>
      </c>
      <c r="AC351" s="60">
        <v>40</v>
      </c>
      <c r="AD351" s="61">
        <v>5.5E-2</v>
      </c>
      <c r="AE351" s="62">
        <v>4470000</v>
      </c>
      <c r="AF351" s="63">
        <v>1.19</v>
      </c>
      <c r="AG351" s="59"/>
      <c r="AH351" s="60"/>
      <c r="AI351" s="61"/>
      <c r="AJ351" s="64"/>
      <c r="AK351" s="65">
        <f t="shared" si="1023"/>
        <v>4470000</v>
      </c>
      <c r="AL351" s="66">
        <v>0</v>
      </c>
      <c r="AM351" s="49" t="s">
        <v>163</v>
      </c>
      <c r="AN351" s="67">
        <v>0.9</v>
      </c>
      <c r="AO351" s="62">
        <v>12905172</v>
      </c>
      <c r="AP351" s="62">
        <v>0</v>
      </c>
      <c r="AQ351" s="68">
        <v>754626</v>
      </c>
      <c r="AR351" s="69">
        <f t="shared" si="1024"/>
        <v>78421.052631578947</v>
      </c>
      <c r="AS351" s="70" t="str">
        <f t="shared" si="1025"/>
        <v/>
      </c>
      <c r="AT351" s="70">
        <f t="shared" si="1026"/>
        <v>226406.52631578947</v>
      </c>
      <c r="AU351" s="70" t="str">
        <f t="shared" si="1027"/>
        <v/>
      </c>
      <c r="AV351" s="71">
        <f t="shared" si="1028"/>
        <v>13239.052631578947</v>
      </c>
      <c r="AW351" s="115">
        <f t="shared" si="1029"/>
        <v>43689.42105263158</v>
      </c>
      <c r="AX351" s="116">
        <f t="shared" si="1030"/>
        <v>45.187751769188893</v>
      </c>
      <c r="AY351" s="72">
        <f t="shared" si="1031"/>
        <v>210173.24561403508</v>
      </c>
      <c r="AZ351" s="73">
        <f t="shared" si="1032"/>
        <v>217.38114679731444</v>
      </c>
      <c r="BA351" s="66"/>
      <c r="BB351" s="62">
        <v>1375000</v>
      </c>
      <c r="BC351" s="62">
        <v>1115297</v>
      </c>
      <c r="BD351" s="62">
        <v>8216180</v>
      </c>
      <c r="BE351" s="62">
        <v>1273398</v>
      </c>
      <c r="BF351" s="62">
        <v>1487101</v>
      </c>
      <c r="BG351" s="62">
        <v>963479</v>
      </c>
      <c r="BH351" s="62">
        <v>1906631</v>
      </c>
      <c r="BI351" s="62">
        <v>447947</v>
      </c>
      <c r="BJ351" s="47">
        <f t="shared" si="1033"/>
        <v>16785033</v>
      </c>
      <c r="BK351" s="69" t="str">
        <f t="shared" si="1034"/>
        <v/>
      </c>
      <c r="BL351" s="70">
        <f t="shared" si="1035"/>
        <v>24122.807017543859</v>
      </c>
      <c r="BM351" s="70">
        <f t="shared" si="1036"/>
        <v>19566.614035087718</v>
      </c>
      <c r="BN351" s="70">
        <f t="shared" si="1037"/>
        <v>144143.50877192983</v>
      </c>
      <c r="BO351" s="70">
        <f t="shared" si="1038"/>
        <v>22340.315789473683</v>
      </c>
      <c r="BP351" s="70">
        <f t="shared" si="1039"/>
        <v>26089.491228070176</v>
      </c>
      <c r="BQ351" s="70">
        <f t="shared" si="1040"/>
        <v>16903.140350877195</v>
      </c>
      <c r="BR351" s="70">
        <f t="shared" si="1041"/>
        <v>33449.666666666664</v>
      </c>
      <c r="BS351" s="70">
        <f t="shared" si="1042"/>
        <v>7858.7192982456145</v>
      </c>
      <c r="BT351" s="71">
        <f t="shared" si="1043"/>
        <v>294474.26315789472</v>
      </c>
      <c r="BU351" s="65" t="str">
        <f t="shared" si="1044"/>
        <v/>
      </c>
      <c r="BV351" s="48">
        <f t="shared" si="1045"/>
        <v>24.950099800399201</v>
      </c>
      <c r="BW351" s="48">
        <f t="shared" si="1046"/>
        <v>20.237651968789692</v>
      </c>
      <c r="BX351" s="48">
        <f t="shared" si="1047"/>
        <v>149.08691707494103</v>
      </c>
      <c r="BY351" s="48">
        <f t="shared" si="1048"/>
        <v>23.106477953184541</v>
      </c>
      <c r="BZ351" s="48">
        <f t="shared" si="1049"/>
        <v>26.984231536926149</v>
      </c>
      <c r="CA351" s="48">
        <f t="shared" si="1050"/>
        <v>17.482834331337326</v>
      </c>
      <c r="CB351" s="48">
        <f t="shared" si="1051"/>
        <v>34.596824532752677</v>
      </c>
      <c r="CC351" s="48">
        <f t="shared" si="1052"/>
        <v>8.1282344402104876</v>
      </c>
      <c r="CD351" s="47">
        <f t="shared" si="1053"/>
        <v>304.57327163854109</v>
      </c>
      <c r="CE351" s="66">
        <v>747348</v>
      </c>
      <c r="CF351" s="62">
        <v>18360</v>
      </c>
      <c r="CG351" s="74">
        <v>-57428</v>
      </c>
      <c r="CH351" s="75">
        <f t="shared" si="1054"/>
        <v>708280</v>
      </c>
      <c r="CI351" s="62">
        <v>31054</v>
      </c>
      <c r="CJ351" s="62">
        <v>28210</v>
      </c>
      <c r="CK351" s="62">
        <v>82650</v>
      </c>
      <c r="CL351" s="62">
        <v>32143</v>
      </c>
      <c r="CM351" s="62">
        <f>12825+39000</f>
        <v>51825</v>
      </c>
      <c r="CN351" s="62">
        <v>45190</v>
      </c>
      <c r="CO351" s="62">
        <v>76468</v>
      </c>
      <c r="CP351" s="75">
        <f t="shared" si="868"/>
        <v>347540</v>
      </c>
      <c r="CQ351" s="62">
        <v>14250</v>
      </c>
      <c r="CR351" s="75">
        <f t="shared" si="1055"/>
        <v>361790</v>
      </c>
      <c r="CS351" s="75">
        <f t="shared" si="1056"/>
        <v>360740</v>
      </c>
      <c r="CT351" s="62">
        <v>287334</v>
      </c>
      <c r="CU351" s="47">
        <f t="shared" si="1057"/>
        <v>73406</v>
      </c>
      <c r="CV351" s="76">
        <f t="shared" si="1058"/>
        <v>0.50931834867566494</v>
      </c>
      <c r="CW351" s="75">
        <f t="shared" si="1059"/>
        <v>6347.1929824561403</v>
      </c>
      <c r="CX351" s="77">
        <f t="shared" si="1060"/>
        <v>0.51080081323770266</v>
      </c>
      <c r="CY351" s="75">
        <f t="shared" si="1061"/>
        <v>1287.8245614035088</v>
      </c>
      <c r="CZ351" s="77">
        <f t="shared" si="1062"/>
        <v>0.10363980346755521</v>
      </c>
      <c r="DA351" s="77">
        <f t="shared" si="1063"/>
        <v>0.40567854520810981</v>
      </c>
      <c r="DB351" s="47">
        <f t="shared" si="1064"/>
        <v>78421.052631578947</v>
      </c>
      <c r="DC351" s="69">
        <f t="shared" si="1065"/>
        <v>13111.368421052632</v>
      </c>
      <c r="DD351" s="70">
        <f t="shared" si="1066"/>
        <v>322.10526315789474</v>
      </c>
      <c r="DE351" s="70">
        <f t="shared" si="1067"/>
        <v>-1007.5087719298245</v>
      </c>
      <c r="DF351" s="70">
        <f t="shared" si="1068"/>
        <v>12425.964912280702</v>
      </c>
      <c r="DG351" s="70">
        <f t="shared" si="1069"/>
        <v>544.80701754385962</v>
      </c>
      <c r="DH351" s="70">
        <f t="shared" si="1070"/>
        <v>494.91228070175441</v>
      </c>
      <c r="DI351" s="70">
        <f t="shared" si="1071"/>
        <v>1450</v>
      </c>
      <c r="DJ351" s="70">
        <f t="shared" si="1072"/>
        <v>563.91228070175441</v>
      </c>
      <c r="DK351" s="70">
        <f t="shared" si="1073"/>
        <v>909.21052631578948</v>
      </c>
      <c r="DL351" s="70">
        <f t="shared" si="1074"/>
        <v>792.80701754385962</v>
      </c>
      <c r="DM351" s="70">
        <f t="shared" si="1075"/>
        <v>1341.5438596491229</v>
      </c>
      <c r="DN351" s="70">
        <f t="shared" si="1076"/>
        <v>6097.1929824561403</v>
      </c>
      <c r="DO351" s="70">
        <f t="shared" si="1077"/>
        <v>250</v>
      </c>
      <c r="DP351" s="70">
        <f t="shared" si="1078"/>
        <v>6347.1929824561403</v>
      </c>
      <c r="DQ351" s="70">
        <f t="shared" si="1079"/>
        <v>6328.7719298245611</v>
      </c>
      <c r="DR351" s="70">
        <f t="shared" si="1080"/>
        <v>5040.9473684210525</v>
      </c>
      <c r="DS351" s="71">
        <f t="shared" si="1081"/>
        <v>1287.8245614035088</v>
      </c>
      <c r="DT351" s="106">
        <f t="shared" si="1082"/>
        <v>1.0551589766758909</v>
      </c>
      <c r="DU351" s="92">
        <f t="shared" si="1083"/>
        <v>2.592195177048625E-2</v>
      </c>
      <c r="DV351" s="92" t="str">
        <f t="shared" si="1084"/>
        <v/>
      </c>
      <c r="DW351" s="92">
        <f t="shared" si="1085"/>
        <v>1</v>
      </c>
      <c r="DX351" s="92">
        <f t="shared" si="1086"/>
        <v>4.3844242390015248E-2</v>
      </c>
      <c r="DY351" s="92">
        <f t="shared" si="1087"/>
        <v>3.9828881233410517E-2</v>
      </c>
      <c r="DZ351" s="92">
        <f t="shared" si="1088"/>
        <v>0.11669113909753205</v>
      </c>
      <c r="EA351" s="92">
        <f t="shared" si="1089"/>
        <v>4.5381769921499969E-2</v>
      </c>
      <c r="EB351" s="92">
        <f t="shared" si="1090"/>
        <v>7.3170215169142142E-2</v>
      </c>
      <c r="EC351" s="92">
        <f t="shared" si="1091"/>
        <v>6.3802451008075897E-2</v>
      </c>
      <c r="ED351" s="92">
        <f t="shared" si="1092"/>
        <v>0.10796295250465918</v>
      </c>
      <c r="EE351" s="92">
        <f t="shared" si="1093"/>
        <v>0.490681651324335</v>
      </c>
      <c r="EF351" s="92">
        <f t="shared" si="1094"/>
        <v>2.0119161913367593E-2</v>
      </c>
      <c r="EG351" s="92">
        <f t="shared" si="1095"/>
        <v>0.51080081323770266</v>
      </c>
      <c r="EH351" s="92">
        <f t="shared" si="1096"/>
        <v>0.50931834867566494</v>
      </c>
      <c r="EI351" s="92">
        <f t="shared" si="1097"/>
        <v>0.40567854520810981</v>
      </c>
      <c r="EJ351" s="122">
        <f t="shared" si="1098"/>
        <v>0.10363980346755521</v>
      </c>
    </row>
    <row r="352" spans="2:140" ht="12" hidden="1" customHeight="1" outlineLevel="1">
      <c r="B352" s="121">
        <v>45951</v>
      </c>
      <c r="C352" s="117">
        <v>25163</v>
      </c>
      <c r="D352" s="50" t="s">
        <v>1576</v>
      </c>
      <c r="E352" s="50" t="s">
        <v>451</v>
      </c>
      <c r="F352" s="50" t="s">
        <v>1577</v>
      </c>
      <c r="G352" s="50" t="s">
        <v>162</v>
      </c>
      <c r="H352" s="50" t="s">
        <v>731</v>
      </c>
      <c r="I352" s="50" t="s">
        <v>593</v>
      </c>
      <c r="J352" s="52" t="s">
        <v>594</v>
      </c>
      <c r="K352" s="50" t="s">
        <v>595</v>
      </c>
      <c r="L352" s="49">
        <v>2</v>
      </c>
      <c r="M352" s="50" t="s">
        <v>159</v>
      </c>
      <c r="N352" s="50" t="s">
        <v>160</v>
      </c>
      <c r="O352" s="50" t="s">
        <v>160</v>
      </c>
      <c r="P352" s="50" t="s">
        <v>1578</v>
      </c>
      <c r="Q352" s="53">
        <v>0.09</v>
      </c>
      <c r="R352" s="49">
        <v>40</v>
      </c>
      <c r="S352" s="49">
        <v>9</v>
      </c>
      <c r="T352" s="54">
        <f t="shared" si="867"/>
        <v>49</v>
      </c>
      <c r="U352" s="55">
        <v>34733</v>
      </c>
      <c r="V352" s="49">
        <v>0.97</v>
      </c>
      <c r="W352" s="56">
        <f t="shared" si="1022"/>
        <v>50.515463917525771</v>
      </c>
      <c r="X352" s="49" t="s">
        <v>163</v>
      </c>
      <c r="Y352" s="57" t="s">
        <v>162</v>
      </c>
      <c r="Z352" s="58">
        <v>2044890</v>
      </c>
      <c r="AA352" s="114">
        <v>7.3999999999999996E-2</v>
      </c>
      <c r="AB352" s="59">
        <v>15</v>
      </c>
      <c r="AC352" s="60">
        <v>35</v>
      </c>
      <c r="AD352" s="61">
        <v>7.3999999999999996E-2</v>
      </c>
      <c r="AE352" s="62">
        <v>2044890</v>
      </c>
      <c r="AF352" s="63">
        <v>1.18</v>
      </c>
      <c r="AG352" s="59"/>
      <c r="AH352" s="60"/>
      <c r="AI352" s="61"/>
      <c r="AJ352" s="64"/>
      <c r="AK352" s="65">
        <f t="shared" si="1023"/>
        <v>2044890</v>
      </c>
      <c r="AL352" s="66">
        <v>500</v>
      </c>
      <c r="AM352" s="49" t="s">
        <v>1579</v>
      </c>
      <c r="AN352" s="67">
        <v>0.83</v>
      </c>
      <c r="AO352" s="62">
        <v>11716882</v>
      </c>
      <c r="AP352" s="62">
        <v>193467</v>
      </c>
      <c r="AQ352" s="68">
        <v>446511</v>
      </c>
      <c r="AR352" s="69">
        <f t="shared" si="1024"/>
        <v>41732.448979591834</v>
      </c>
      <c r="AS352" s="70">
        <f t="shared" si="1025"/>
        <v>10.204081632653061</v>
      </c>
      <c r="AT352" s="70">
        <f t="shared" si="1026"/>
        <v>239120.04081632654</v>
      </c>
      <c r="AU352" s="70">
        <f t="shared" si="1027"/>
        <v>3948.3061224489797</v>
      </c>
      <c r="AV352" s="71">
        <f t="shared" si="1028"/>
        <v>9112.4693877551017</v>
      </c>
      <c r="AW352" s="115">
        <f t="shared" si="1029"/>
        <v>159682.63265306121</v>
      </c>
      <c r="AX352" s="116">
        <f t="shared" si="1030"/>
        <v>225.27420608643078</v>
      </c>
      <c r="AY352" s="72">
        <f t="shared" si="1031"/>
        <v>195605.51020408163</v>
      </c>
      <c r="AZ352" s="73">
        <f t="shared" si="1032"/>
        <v>275.95284023838997</v>
      </c>
      <c r="BA352" s="66">
        <v>1400000</v>
      </c>
      <c r="BB352" s="62">
        <v>247140</v>
      </c>
      <c r="BC352" s="62">
        <v>7577309</v>
      </c>
      <c r="BD352" s="62">
        <v>583156</v>
      </c>
      <c r="BE352" s="62">
        <v>1177065</v>
      </c>
      <c r="BF352" s="62">
        <v>1126903</v>
      </c>
      <c r="BG352" s="62">
        <v>1956235</v>
      </c>
      <c r="BH352" s="62">
        <v>2452471</v>
      </c>
      <c r="BI352" s="62">
        <v>447213</v>
      </c>
      <c r="BJ352" s="47">
        <f t="shared" si="1033"/>
        <v>16967492</v>
      </c>
      <c r="BK352" s="69">
        <f t="shared" si="1034"/>
        <v>28571.428571428572</v>
      </c>
      <c r="BL352" s="70">
        <f t="shared" si="1035"/>
        <v>5043.6734693877552</v>
      </c>
      <c r="BM352" s="70">
        <f t="shared" si="1036"/>
        <v>154638.95918367346</v>
      </c>
      <c r="BN352" s="70">
        <f t="shared" si="1037"/>
        <v>11901.142857142857</v>
      </c>
      <c r="BO352" s="70">
        <f t="shared" si="1038"/>
        <v>24021.734693877552</v>
      </c>
      <c r="BP352" s="70">
        <f t="shared" si="1039"/>
        <v>22998.020408163266</v>
      </c>
      <c r="BQ352" s="70">
        <f t="shared" si="1040"/>
        <v>39923.163265306124</v>
      </c>
      <c r="BR352" s="70">
        <f t="shared" si="1041"/>
        <v>50050.428571428572</v>
      </c>
      <c r="BS352" s="70">
        <f t="shared" si="1042"/>
        <v>9126.7959183673465</v>
      </c>
      <c r="BT352" s="71">
        <f t="shared" si="1043"/>
        <v>346275.3469387755</v>
      </c>
      <c r="BU352" s="65">
        <f t="shared" si="1044"/>
        <v>40.307488555552354</v>
      </c>
      <c r="BV352" s="48">
        <f t="shared" si="1045"/>
        <v>7.1154233725851492</v>
      </c>
      <c r="BW352" s="48">
        <f t="shared" si="1046"/>
        <v>218.15878271384562</v>
      </c>
      <c r="BX352" s="48">
        <f t="shared" si="1047"/>
        <v>16.789681282929777</v>
      </c>
      <c r="BY352" s="48">
        <f t="shared" si="1048"/>
        <v>33.888952869029453</v>
      </c>
      <c r="BZ352" s="48">
        <f t="shared" si="1049"/>
        <v>32.444735554084012</v>
      </c>
      <c r="CA352" s="48">
        <f t="shared" si="1050"/>
        <v>56.322085624622119</v>
      </c>
      <c r="CB352" s="48">
        <f t="shared" si="1051"/>
        <v>70.609247689517176</v>
      </c>
      <c r="CC352" s="48">
        <f t="shared" si="1052"/>
        <v>12.875737770995883</v>
      </c>
      <c r="CD352" s="47">
        <f t="shared" si="1053"/>
        <v>488.51213543316157</v>
      </c>
      <c r="CE352" s="66">
        <v>498013</v>
      </c>
      <c r="CF352" s="62">
        <v>17640</v>
      </c>
      <c r="CG352" s="74">
        <v>-38674</v>
      </c>
      <c r="CH352" s="75">
        <f t="shared" si="1054"/>
        <v>476979</v>
      </c>
      <c r="CI352" s="62">
        <v>20825</v>
      </c>
      <c r="CJ352" s="62">
        <v>23849</v>
      </c>
      <c r="CK352" s="62">
        <v>67375</v>
      </c>
      <c r="CL352" s="62">
        <v>31850</v>
      </c>
      <c r="CM352" s="62">
        <f>12250+29400</f>
        <v>41650</v>
      </c>
      <c r="CN352" s="62">
        <v>44100</v>
      </c>
      <c r="CO352" s="62">
        <v>26313</v>
      </c>
      <c r="CP352" s="75">
        <f t="shared" si="868"/>
        <v>255962</v>
      </c>
      <c r="CQ352" s="62">
        <v>14700</v>
      </c>
      <c r="CR352" s="75">
        <f t="shared" si="1055"/>
        <v>270662</v>
      </c>
      <c r="CS352" s="75">
        <f t="shared" si="1056"/>
        <v>221017</v>
      </c>
      <c r="CT352" s="62">
        <v>163701</v>
      </c>
      <c r="CU352" s="47">
        <f t="shared" si="1057"/>
        <v>57316</v>
      </c>
      <c r="CV352" s="76">
        <f t="shared" si="1058"/>
        <v>0.46336840825277426</v>
      </c>
      <c r="CW352" s="75">
        <f t="shared" si="1059"/>
        <v>5523.7142857142853</v>
      </c>
      <c r="CX352" s="77">
        <f t="shared" si="1060"/>
        <v>0.56745055861998117</v>
      </c>
      <c r="CY352" s="75">
        <f t="shared" si="1061"/>
        <v>1169.7142857142858</v>
      </c>
      <c r="CZ352" s="77">
        <f t="shared" si="1062"/>
        <v>0.1201646194067244</v>
      </c>
      <c r="DA352" s="77">
        <f t="shared" si="1063"/>
        <v>0.34320378884604985</v>
      </c>
      <c r="DB352" s="47">
        <f t="shared" si="1064"/>
        <v>41732.448979591834</v>
      </c>
      <c r="DC352" s="69">
        <f t="shared" si="1065"/>
        <v>10163.530612244898</v>
      </c>
      <c r="DD352" s="70">
        <f t="shared" si="1066"/>
        <v>360</v>
      </c>
      <c r="DE352" s="70">
        <f t="shared" si="1067"/>
        <v>-789.26530612244903</v>
      </c>
      <c r="DF352" s="70">
        <f t="shared" si="1068"/>
        <v>9734.2653061224482</v>
      </c>
      <c r="DG352" s="70">
        <f t="shared" si="1069"/>
        <v>425</v>
      </c>
      <c r="DH352" s="70">
        <f t="shared" si="1070"/>
        <v>486.71428571428572</v>
      </c>
      <c r="DI352" s="70">
        <f t="shared" si="1071"/>
        <v>1375</v>
      </c>
      <c r="DJ352" s="70">
        <f t="shared" si="1072"/>
        <v>650</v>
      </c>
      <c r="DK352" s="70">
        <f t="shared" si="1073"/>
        <v>850</v>
      </c>
      <c r="DL352" s="70">
        <f t="shared" si="1074"/>
        <v>900</v>
      </c>
      <c r="DM352" s="70">
        <f t="shared" si="1075"/>
        <v>537</v>
      </c>
      <c r="DN352" s="70">
        <f t="shared" si="1076"/>
        <v>5223.7142857142853</v>
      </c>
      <c r="DO352" s="70">
        <f t="shared" si="1077"/>
        <v>300</v>
      </c>
      <c r="DP352" s="70">
        <f t="shared" si="1078"/>
        <v>5523.7142857142853</v>
      </c>
      <c r="DQ352" s="70">
        <f t="shared" si="1079"/>
        <v>4510.5510204081629</v>
      </c>
      <c r="DR352" s="70">
        <f t="shared" si="1080"/>
        <v>3340.8367346938776</v>
      </c>
      <c r="DS352" s="71">
        <f t="shared" si="1081"/>
        <v>1169.7142857142858</v>
      </c>
      <c r="DT352" s="106">
        <f t="shared" si="1082"/>
        <v>1.0440983774967032</v>
      </c>
      <c r="DU352" s="92">
        <f t="shared" si="1083"/>
        <v>3.6982760247306484E-2</v>
      </c>
      <c r="DV352" s="92" t="str">
        <f t="shared" si="1084"/>
        <v/>
      </c>
      <c r="DW352" s="92">
        <f t="shared" si="1085"/>
        <v>1</v>
      </c>
      <c r="DX352" s="92">
        <f t="shared" si="1086"/>
        <v>4.3660203069736822E-2</v>
      </c>
      <c r="DY352" s="92">
        <f t="shared" si="1087"/>
        <v>5.0000104826417938E-2</v>
      </c>
      <c r="DZ352" s="92">
        <f t="shared" si="1088"/>
        <v>0.14125359816679561</v>
      </c>
      <c r="EA352" s="92">
        <f t="shared" si="1089"/>
        <v>6.6774428224303378E-2</v>
      </c>
      <c r="EB352" s="92">
        <f t="shared" si="1090"/>
        <v>8.7320406139473644E-2</v>
      </c>
      <c r="EC352" s="92">
        <f t="shared" si="1091"/>
        <v>9.2456900618266211E-2</v>
      </c>
      <c r="ED352" s="92">
        <f t="shared" si="1092"/>
        <v>5.5165950702232174E-2</v>
      </c>
      <c r="EE352" s="92">
        <f t="shared" si="1093"/>
        <v>0.53663159174722574</v>
      </c>
      <c r="EF352" s="92">
        <f t="shared" si="1094"/>
        <v>3.0818966872755406E-2</v>
      </c>
      <c r="EG352" s="92">
        <f t="shared" si="1095"/>
        <v>0.56745055861998117</v>
      </c>
      <c r="EH352" s="92">
        <f t="shared" si="1096"/>
        <v>0.46336840825277426</v>
      </c>
      <c r="EI352" s="92">
        <f t="shared" si="1097"/>
        <v>0.34320378884604985</v>
      </c>
      <c r="EJ352" s="122">
        <f t="shared" si="1098"/>
        <v>0.1201646194067244</v>
      </c>
    </row>
    <row r="353" spans="2:140" ht="12" hidden="1" customHeight="1" outlineLevel="1">
      <c r="B353" s="121">
        <v>45953</v>
      </c>
      <c r="C353" s="117" t="s">
        <v>1580</v>
      </c>
      <c r="D353" s="50" t="s">
        <v>1581</v>
      </c>
      <c r="E353" s="50" t="s">
        <v>1087</v>
      </c>
      <c r="F353" s="50" t="s">
        <v>1298</v>
      </c>
      <c r="G353" s="50" t="s">
        <v>162</v>
      </c>
      <c r="H353" s="50" t="s">
        <v>1327</v>
      </c>
      <c r="I353" s="50" t="s">
        <v>438</v>
      </c>
      <c r="J353" s="52" t="s">
        <v>1140</v>
      </c>
      <c r="K353" s="50" t="s">
        <v>230</v>
      </c>
      <c r="L353" s="49">
        <v>3</v>
      </c>
      <c r="M353" s="50" t="s">
        <v>159</v>
      </c>
      <c r="N353" s="50" t="s">
        <v>160</v>
      </c>
      <c r="O353" s="50" t="s">
        <v>160</v>
      </c>
      <c r="P353" s="50" t="s">
        <v>177</v>
      </c>
      <c r="Q353" s="53">
        <v>0.09</v>
      </c>
      <c r="R353" s="49">
        <v>88</v>
      </c>
      <c r="S353" s="49">
        <v>23</v>
      </c>
      <c r="T353" s="54">
        <f t="shared" si="867"/>
        <v>111</v>
      </c>
      <c r="U353" s="55">
        <v>104316</v>
      </c>
      <c r="V353" s="49">
        <v>8.73</v>
      </c>
      <c r="W353" s="56">
        <f t="shared" si="1022"/>
        <v>12.714776632302405</v>
      </c>
      <c r="X353" s="49" t="s">
        <v>163</v>
      </c>
      <c r="Y353" s="57" t="s">
        <v>162</v>
      </c>
      <c r="Z353" s="58">
        <v>14485566</v>
      </c>
      <c r="AA353" s="114">
        <v>0.05</v>
      </c>
      <c r="AB353" s="59">
        <v>40</v>
      </c>
      <c r="AC353" s="60">
        <v>40</v>
      </c>
      <c r="AD353" s="61">
        <v>5.2499999999999998E-2</v>
      </c>
      <c r="AE353" s="62">
        <v>13072400</v>
      </c>
      <c r="AF353" s="63">
        <v>1.1499999999999999</v>
      </c>
      <c r="AG353" s="59"/>
      <c r="AH353" s="60"/>
      <c r="AI353" s="61"/>
      <c r="AJ353" s="64"/>
      <c r="AK353" s="65">
        <f t="shared" si="1023"/>
        <v>13072400</v>
      </c>
      <c r="AL353" s="66">
        <v>500</v>
      </c>
      <c r="AM353" s="49" t="s">
        <v>1582</v>
      </c>
      <c r="AN353" s="67">
        <v>0.91</v>
      </c>
      <c r="AO353" s="62">
        <v>19826706</v>
      </c>
      <c r="AP353" s="62">
        <v>937547</v>
      </c>
      <c r="AQ353" s="68">
        <v>1628426</v>
      </c>
      <c r="AR353" s="69">
        <f t="shared" si="1024"/>
        <v>117769.36936936936</v>
      </c>
      <c r="AS353" s="70">
        <f t="shared" si="1025"/>
        <v>4.5045045045045047</v>
      </c>
      <c r="AT353" s="70">
        <f t="shared" si="1026"/>
        <v>178618.97297297296</v>
      </c>
      <c r="AU353" s="70">
        <f t="shared" si="1027"/>
        <v>8446.3693693693695</v>
      </c>
      <c r="AV353" s="71">
        <f t="shared" si="1028"/>
        <v>14670.504504504504</v>
      </c>
      <c r="AW353" s="115">
        <f t="shared" si="1029"/>
        <v>161186.15315315317</v>
      </c>
      <c r="AX353" s="116">
        <f t="shared" si="1030"/>
        <v>171.51408221174125</v>
      </c>
      <c r="AY353" s="72">
        <f t="shared" si="1031"/>
        <v>190584.43243243243</v>
      </c>
      <c r="AZ353" s="73">
        <f t="shared" si="1032"/>
        <v>202.79604279305187</v>
      </c>
      <c r="BA353" s="66">
        <v>1648000</v>
      </c>
      <c r="BB353" s="62">
        <v>2260715</v>
      </c>
      <c r="BC353" s="62">
        <v>15630948</v>
      </c>
      <c r="BD353" s="62">
        <v>758376</v>
      </c>
      <c r="BE353" s="62">
        <v>2504833</v>
      </c>
      <c r="BF353" s="62">
        <v>2663071</v>
      </c>
      <c r="BG353" s="62">
        <v>2423992</v>
      </c>
      <c r="BH353" s="62">
        <v>3719186</v>
      </c>
      <c r="BI353" s="62">
        <v>1290485</v>
      </c>
      <c r="BJ353" s="47">
        <f t="shared" si="1033"/>
        <v>32899606</v>
      </c>
      <c r="BK353" s="69">
        <f t="shared" si="1034"/>
        <v>14846.846846846847</v>
      </c>
      <c r="BL353" s="70">
        <f t="shared" si="1035"/>
        <v>20366.801801801801</v>
      </c>
      <c r="BM353" s="70">
        <f t="shared" si="1036"/>
        <v>140819.35135135136</v>
      </c>
      <c r="BN353" s="70">
        <f t="shared" si="1037"/>
        <v>6832.2162162162158</v>
      </c>
      <c r="BO353" s="70">
        <f t="shared" si="1038"/>
        <v>22566.063063063062</v>
      </c>
      <c r="BP353" s="70">
        <f t="shared" si="1039"/>
        <v>23991.630630630632</v>
      </c>
      <c r="BQ353" s="70">
        <f t="shared" si="1040"/>
        <v>21837.765765765766</v>
      </c>
      <c r="BR353" s="70">
        <f t="shared" si="1041"/>
        <v>33506.180180180178</v>
      </c>
      <c r="BS353" s="70">
        <f t="shared" si="1042"/>
        <v>11625.990990990991</v>
      </c>
      <c r="BT353" s="71">
        <f t="shared" si="1043"/>
        <v>296392.84684684686</v>
      </c>
      <c r="BU353" s="65">
        <f t="shared" si="1044"/>
        <v>15.798151769623068</v>
      </c>
      <c r="BV353" s="48">
        <f t="shared" si="1045"/>
        <v>21.67179531423751</v>
      </c>
      <c r="BW353" s="48">
        <f t="shared" si="1046"/>
        <v>149.84228689750373</v>
      </c>
      <c r="BX353" s="48">
        <f t="shared" si="1047"/>
        <v>7.2699873461405726</v>
      </c>
      <c r="BY353" s="48">
        <f t="shared" si="1048"/>
        <v>24.011973235170061</v>
      </c>
      <c r="BZ353" s="48">
        <f t="shared" si="1049"/>
        <v>25.528883392768126</v>
      </c>
      <c r="CA353" s="48">
        <f t="shared" si="1050"/>
        <v>23.237010621572914</v>
      </c>
      <c r="CB353" s="48">
        <f t="shared" si="1051"/>
        <v>35.653073354039648</v>
      </c>
      <c r="CC353" s="48">
        <f t="shared" si="1052"/>
        <v>12.370921047586181</v>
      </c>
      <c r="CD353" s="47">
        <f t="shared" si="1053"/>
        <v>315.3840829786418</v>
      </c>
      <c r="CE353" s="66">
        <v>1737012</v>
      </c>
      <c r="CF353" s="62">
        <v>33228</v>
      </c>
      <c r="CG353" s="74">
        <v>-132768</v>
      </c>
      <c r="CH353" s="75">
        <f t="shared" si="1054"/>
        <v>1637472</v>
      </c>
      <c r="CI353" s="62">
        <v>48094</v>
      </c>
      <c r="CJ353" s="62">
        <v>81874</v>
      </c>
      <c r="CK353" s="62">
        <v>161969</v>
      </c>
      <c r="CL353" s="62">
        <v>75654</v>
      </c>
      <c r="CM353" s="62">
        <f>21241+63373</f>
        <v>84614</v>
      </c>
      <c r="CN353" s="62">
        <v>77700</v>
      </c>
      <c r="CO353" s="62">
        <v>138750</v>
      </c>
      <c r="CP353" s="75">
        <f t="shared" si="868"/>
        <v>668655</v>
      </c>
      <c r="CQ353" s="62">
        <v>27750</v>
      </c>
      <c r="CR353" s="75">
        <f t="shared" si="1055"/>
        <v>696405</v>
      </c>
      <c r="CS353" s="75">
        <f t="shared" si="1056"/>
        <v>968817</v>
      </c>
      <c r="CT353" s="62">
        <v>815253</v>
      </c>
      <c r="CU353" s="47">
        <f t="shared" si="1057"/>
        <v>153564</v>
      </c>
      <c r="CV353" s="76">
        <f t="shared" si="1058"/>
        <v>0.59165408629888028</v>
      </c>
      <c r="CW353" s="75">
        <f t="shared" si="1059"/>
        <v>6273.9189189189192</v>
      </c>
      <c r="CX353" s="77">
        <f t="shared" si="1060"/>
        <v>0.42529276836489416</v>
      </c>
      <c r="CY353" s="75">
        <f t="shared" si="1061"/>
        <v>1383.4594594594594</v>
      </c>
      <c r="CZ353" s="77">
        <f t="shared" si="1062"/>
        <v>9.3781145570733429E-2</v>
      </c>
      <c r="DA353" s="77">
        <f t="shared" si="1063"/>
        <v>0.49787294072814681</v>
      </c>
      <c r="DB353" s="47">
        <f t="shared" si="1064"/>
        <v>117769.36936936936</v>
      </c>
      <c r="DC353" s="69">
        <f t="shared" si="1065"/>
        <v>15648.756756756757</v>
      </c>
      <c r="DD353" s="70">
        <f t="shared" si="1066"/>
        <v>299.35135135135135</v>
      </c>
      <c r="DE353" s="70">
        <f t="shared" si="1067"/>
        <v>-1196.1081081081081</v>
      </c>
      <c r="DF353" s="70">
        <f t="shared" si="1068"/>
        <v>14752</v>
      </c>
      <c r="DG353" s="70">
        <f t="shared" si="1069"/>
        <v>433.27927927927925</v>
      </c>
      <c r="DH353" s="70">
        <f t="shared" si="1070"/>
        <v>737.60360360360357</v>
      </c>
      <c r="DI353" s="70">
        <f t="shared" si="1071"/>
        <v>1459.1801801801803</v>
      </c>
      <c r="DJ353" s="70">
        <f t="shared" si="1072"/>
        <v>681.56756756756761</v>
      </c>
      <c r="DK353" s="70">
        <f t="shared" si="1073"/>
        <v>762.2882882882883</v>
      </c>
      <c r="DL353" s="70">
        <f t="shared" si="1074"/>
        <v>700</v>
      </c>
      <c r="DM353" s="70">
        <f t="shared" si="1075"/>
        <v>1250</v>
      </c>
      <c r="DN353" s="70">
        <f t="shared" si="1076"/>
        <v>6023.9189189189192</v>
      </c>
      <c r="DO353" s="70">
        <f t="shared" si="1077"/>
        <v>250</v>
      </c>
      <c r="DP353" s="70">
        <f t="shared" si="1078"/>
        <v>6273.9189189189192</v>
      </c>
      <c r="DQ353" s="70">
        <f t="shared" si="1079"/>
        <v>8728.0810810810817</v>
      </c>
      <c r="DR353" s="70">
        <f t="shared" si="1080"/>
        <v>7344.6216216216217</v>
      </c>
      <c r="DS353" s="71">
        <f t="shared" si="1081"/>
        <v>1383.4594594594594</v>
      </c>
      <c r="DT353" s="106">
        <f t="shared" si="1082"/>
        <v>1.0607888257020579</v>
      </c>
      <c r="DU353" s="92">
        <f t="shared" si="1083"/>
        <v>2.0292255379023273E-2</v>
      </c>
      <c r="DV353" s="92" t="str">
        <f t="shared" si="1084"/>
        <v/>
      </c>
      <c r="DW353" s="92">
        <f t="shared" si="1085"/>
        <v>1</v>
      </c>
      <c r="DX353" s="92">
        <f t="shared" si="1086"/>
        <v>2.9370883899083464E-2</v>
      </c>
      <c r="DY353" s="92">
        <f t="shared" si="1087"/>
        <v>5.0000244278986146E-2</v>
      </c>
      <c r="DZ353" s="92">
        <f t="shared" si="1088"/>
        <v>9.8914057767094637E-2</v>
      </c>
      <c r="EA353" s="92">
        <f t="shared" si="1089"/>
        <v>4.6201706044439232E-2</v>
      </c>
      <c r="EB353" s="92">
        <f t="shared" si="1090"/>
        <v>5.1673555334075943E-2</v>
      </c>
      <c r="EC353" s="92">
        <f t="shared" si="1091"/>
        <v>4.7451193058568326E-2</v>
      </c>
      <c r="ED353" s="92">
        <f t="shared" si="1092"/>
        <v>8.4734273318872011E-2</v>
      </c>
      <c r="EE353" s="92">
        <f t="shared" si="1093"/>
        <v>0.40834591370111978</v>
      </c>
      <c r="EF353" s="92">
        <f t="shared" si="1094"/>
        <v>1.6946854663774404E-2</v>
      </c>
      <c r="EG353" s="92">
        <f t="shared" si="1095"/>
        <v>0.42529276836489416</v>
      </c>
      <c r="EH353" s="92">
        <f t="shared" si="1096"/>
        <v>0.59165408629888028</v>
      </c>
      <c r="EI353" s="92">
        <f t="shared" si="1097"/>
        <v>0.49787294072814681</v>
      </c>
      <c r="EJ353" s="122">
        <f t="shared" si="1098"/>
        <v>9.3781145570733429E-2</v>
      </c>
    </row>
    <row r="354" spans="2:140" ht="12" hidden="1" customHeight="1" outlineLevel="1">
      <c r="B354" s="121">
        <v>45954</v>
      </c>
      <c r="C354" s="117">
        <v>25107</v>
      </c>
      <c r="D354" s="50" t="s">
        <v>1583</v>
      </c>
      <c r="E354" s="50" t="s">
        <v>388</v>
      </c>
      <c r="F354" s="50" t="s">
        <v>1584</v>
      </c>
      <c r="G354" s="50" t="s">
        <v>291</v>
      </c>
      <c r="H354" s="50" t="s">
        <v>259</v>
      </c>
      <c r="I354" s="50" t="s">
        <v>391</v>
      </c>
      <c r="J354" s="52" t="s">
        <v>360</v>
      </c>
      <c r="K354" s="50" t="s">
        <v>294</v>
      </c>
      <c r="L354" s="49">
        <v>7</v>
      </c>
      <c r="M354" s="50" t="s">
        <v>159</v>
      </c>
      <c r="N354" s="50" t="s">
        <v>185</v>
      </c>
      <c r="O354" s="50" t="s">
        <v>318</v>
      </c>
      <c r="P354" s="50" t="s">
        <v>1544</v>
      </c>
      <c r="Q354" s="53">
        <v>0.09</v>
      </c>
      <c r="R354" s="49">
        <v>60</v>
      </c>
      <c r="S354" s="49">
        <v>0</v>
      </c>
      <c r="T354" s="54">
        <f t="shared" si="867"/>
        <v>60</v>
      </c>
      <c r="U354" s="55">
        <v>35994</v>
      </c>
      <c r="V354" s="49">
        <v>4.6970000000000001</v>
      </c>
      <c r="W354" s="56">
        <f t="shared" si="1022"/>
        <v>12.774111134766873</v>
      </c>
      <c r="X354" s="49">
        <v>1983</v>
      </c>
      <c r="Y354" s="57" t="s">
        <v>162</v>
      </c>
      <c r="Z354" s="58">
        <v>3670000</v>
      </c>
      <c r="AA354" s="114">
        <v>7.0000000000000007E-2</v>
      </c>
      <c r="AB354" s="59">
        <v>16</v>
      </c>
      <c r="AC354" s="60">
        <v>35</v>
      </c>
      <c r="AD354" s="61">
        <v>7.0000000000000007E-2</v>
      </c>
      <c r="AE354" s="62">
        <v>3670000</v>
      </c>
      <c r="AF354" s="63">
        <v>1.22</v>
      </c>
      <c r="AG354" s="59"/>
      <c r="AH354" s="60"/>
      <c r="AI354" s="61"/>
      <c r="AJ354" s="64"/>
      <c r="AK354" s="65">
        <f t="shared" si="1023"/>
        <v>3670000</v>
      </c>
      <c r="AL354" s="66">
        <v>500</v>
      </c>
      <c r="AM354" s="49" t="s">
        <v>359</v>
      </c>
      <c r="AN354" s="67">
        <v>0.87</v>
      </c>
      <c r="AO354" s="62">
        <v>9397252</v>
      </c>
      <c r="AP354" s="62">
        <v>344181</v>
      </c>
      <c r="AQ354" s="68">
        <v>500174</v>
      </c>
      <c r="AR354" s="69">
        <f t="shared" si="1024"/>
        <v>61166.666666666664</v>
      </c>
      <c r="AS354" s="70">
        <f t="shared" si="1025"/>
        <v>8.3333333333333339</v>
      </c>
      <c r="AT354" s="70">
        <f t="shared" si="1026"/>
        <v>156620.86666666667</v>
      </c>
      <c r="AU354" s="70">
        <f t="shared" si="1027"/>
        <v>5736.35</v>
      </c>
      <c r="AV354" s="71">
        <f t="shared" si="1028"/>
        <v>8336.2333333333336</v>
      </c>
      <c r="AW354" s="115">
        <f t="shared" si="1029"/>
        <v>70333.333333333328</v>
      </c>
      <c r="AX354" s="116">
        <f t="shared" si="1030"/>
        <v>117.24176251597488</v>
      </c>
      <c r="AY354" s="72">
        <f t="shared" si="1031"/>
        <v>87213.333333333328</v>
      </c>
      <c r="AZ354" s="73">
        <f t="shared" si="1032"/>
        <v>145.37978551980885</v>
      </c>
      <c r="BA354" s="66">
        <v>5800000</v>
      </c>
      <c r="BB354" s="62">
        <v>1115845</v>
      </c>
      <c r="BC354" s="62">
        <v>3104155</v>
      </c>
      <c r="BD354" s="62">
        <v>422000</v>
      </c>
      <c r="BE354" s="62">
        <v>590800</v>
      </c>
      <c r="BF354" s="62">
        <v>678500</v>
      </c>
      <c r="BG354" s="62">
        <v>1007528</v>
      </c>
      <c r="BH354" s="62">
        <v>1340824</v>
      </c>
      <c r="BI354" s="62">
        <v>344000</v>
      </c>
      <c r="BJ354" s="47">
        <f t="shared" si="1033"/>
        <v>14403652</v>
      </c>
      <c r="BK354" s="69">
        <f t="shared" si="1034"/>
        <v>96666.666666666672</v>
      </c>
      <c r="BL354" s="70">
        <f t="shared" si="1035"/>
        <v>18597.416666666668</v>
      </c>
      <c r="BM354" s="70">
        <f t="shared" si="1036"/>
        <v>51735.916666666664</v>
      </c>
      <c r="BN354" s="70">
        <f t="shared" si="1037"/>
        <v>7033.333333333333</v>
      </c>
      <c r="BO354" s="70">
        <f t="shared" si="1038"/>
        <v>9846.6666666666661</v>
      </c>
      <c r="BP354" s="70">
        <f t="shared" si="1039"/>
        <v>11308.333333333334</v>
      </c>
      <c r="BQ354" s="70">
        <f t="shared" si="1040"/>
        <v>16792.133333333335</v>
      </c>
      <c r="BR354" s="70">
        <f t="shared" si="1041"/>
        <v>22347.066666666666</v>
      </c>
      <c r="BS354" s="70">
        <f t="shared" si="1042"/>
        <v>5733.333333333333</v>
      </c>
      <c r="BT354" s="71">
        <f t="shared" si="1043"/>
        <v>240060.86666666667</v>
      </c>
      <c r="BU354" s="65">
        <f t="shared" si="1044"/>
        <v>161.13796743901761</v>
      </c>
      <c r="BV354" s="48">
        <f t="shared" si="1045"/>
        <v>31.000861254653554</v>
      </c>
      <c r="BW354" s="48">
        <f t="shared" si="1046"/>
        <v>86.240901261321326</v>
      </c>
      <c r="BX354" s="48">
        <f t="shared" si="1047"/>
        <v>11.724176251597488</v>
      </c>
      <c r="BY354" s="48">
        <f t="shared" si="1048"/>
        <v>16.413846752236484</v>
      </c>
      <c r="BZ354" s="48">
        <f t="shared" si="1049"/>
        <v>18.850363949547148</v>
      </c>
      <c r="CA354" s="48">
        <f t="shared" si="1050"/>
        <v>27.99155414791354</v>
      </c>
      <c r="CB354" s="48">
        <f t="shared" si="1051"/>
        <v>37.251319664388511</v>
      </c>
      <c r="CC354" s="48">
        <f t="shared" si="1052"/>
        <v>9.5571484136244926</v>
      </c>
      <c r="CD354" s="47">
        <f t="shared" si="1053"/>
        <v>400.16813913430013</v>
      </c>
      <c r="CE354" s="66">
        <v>949200</v>
      </c>
      <c r="CF354" s="62">
        <v>3000</v>
      </c>
      <c r="CG354" s="74">
        <v>-47610</v>
      </c>
      <c r="CH354" s="75">
        <f t="shared" si="1054"/>
        <v>904590</v>
      </c>
      <c r="CI354" s="62">
        <v>45599</v>
      </c>
      <c r="CJ354" s="62">
        <v>38017</v>
      </c>
      <c r="CK354" s="62">
        <v>132229</v>
      </c>
      <c r="CL354" s="62">
        <f>66283+9000</f>
        <v>75283</v>
      </c>
      <c r="CM354" s="62">
        <f>29232+46335</f>
        <v>75567</v>
      </c>
      <c r="CN354" s="62">
        <v>45332</v>
      </c>
      <c r="CO354" s="62">
        <v>128000</v>
      </c>
      <c r="CP354" s="75">
        <f t="shared" si="868"/>
        <v>540027</v>
      </c>
      <c r="CQ354" s="62">
        <v>18000</v>
      </c>
      <c r="CR354" s="75">
        <f t="shared" si="1055"/>
        <v>558027</v>
      </c>
      <c r="CS354" s="75">
        <f t="shared" si="1056"/>
        <v>364563</v>
      </c>
      <c r="CT354" s="62">
        <v>281352</v>
      </c>
      <c r="CU354" s="47">
        <f t="shared" si="1057"/>
        <v>83211</v>
      </c>
      <c r="CV354" s="76">
        <f t="shared" si="1058"/>
        <v>0.40301462541040695</v>
      </c>
      <c r="CW354" s="75">
        <f t="shared" si="1059"/>
        <v>9300.4500000000007</v>
      </c>
      <c r="CX354" s="77">
        <f t="shared" si="1060"/>
        <v>0.61688389215003481</v>
      </c>
      <c r="CY354" s="75">
        <f t="shared" si="1061"/>
        <v>1386.85</v>
      </c>
      <c r="CZ354" s="77">
        <f t="shared" si="1062"/>
        <v>9.1987530262328795E-2</v>
      </c>
      <c r="DA354" s="77">
        <f t="shared" si="1063"/>
        <v>0.31102709514807814</v>
      </c>
      <c r="DB354" s="47">
        <f t="shared" si="1064"/>
        <v>61166.666666666664</v>
      </c>
      <c r="DC354" s="69">
        <f t="shared" si="1065"/>
        <v>15820</v>
      </c>
      <c r="DD354" s="70">
        <f t="shared" si="1066"/>
        <v>50</v>
      </c>
      <c r="DE354" s="70">
        <f t="shared" si="1067"/>
        <v>-793.5</v>
      </c>
      <c r="DF354" s="70">
        <f t="shared" si="1068"/>
        <v>15076.5</v>
      </c>
      <c r="DG354" s="70">
        <f t="shared" si="1069"/>
        <v>759.98333333333335</v>
      </c>
      <c r="DH354" s="70">
        <f t="shared" si="1070"/>
        <v>633.61666666666667</v>
      </c>
      <c r="DI354" s="70">
        <f t="shared" si="1071"/>
        <v>2203.8166666666666</v>
      </c>
      <c r="DJ354" s="70">
        <f t="shared" si="1072"/>
        <v>1254.7166666666667</v>
      </c>
      <c r="DK354" s="70">
        <f t="shared" si="1073"/>
        <v>1259.45</v>
      </c>
      <c r="DL354" s="70">
        <f t="shared" si="1074"/>
        <v>755.5333333333333</v>
      </c>
      <c r="DM354" s="70">
        <f t="shared" si="1075"/>
        <v>2133.3333333333335</v>
      </c>
      <c r="DN354" s="70">
        <f t="shared" si="1076"/>
        <v>9000.4500000000007</v>
      </c>
      <c r="DO354" s="70">
        <f t="shared" si="1077"/>
        <v>300</v>
      </c>
      <c r="DP354" s="70">
        <f t="shared" si="1078"/>
        <v>9300.4500000000007</v>
      </c>
      <c r="DQ354" s="70">
        <f t="shared" si="1079"/>
        <v>6076.05</v>
      </c>
      <c r="DR354" s="70">
        <f t="shared" si="1080"/>
        <v>4689.2</v>
      </c>
      <c r="DS354" s="71">
        <f t="shared" si="1081"/>
        <v>1386.85</v>
      </c>
      <c r="DT354" s="106">
        <f t="shared" si="1082"/>
        <v>1.0493151593539614</v>
      </c>
      <c r="DU354" s="92">
        <f t="shared" si="1083"/>
        <v>3.3164195934069578E-3</v>
      </c>
      <c r="DV354" s="92" t="str">
        <f t="shared" si="1084"/>
        <v/>
      </c>
      <c r="DW354" s="92">
        <f t="shared" si="1085"/>
        <v>1</v>
      </c>
      <c r="DX354" s="92">
        <f t="shared" si="1086"/>
        <v>5.0408472346587956E-2</v>
      </c>
      <c r="DY354" s="92">
        <f t="shared" si="1087"/>
        <v>4.2026774560850771E-2</v>
      </c>
      <c r="DZ354" s="92">
        <f t="shared" si="1088"/>
        <v>0.14617561547220287</v>
      </c>
      <c r="EA354" s="92">
        <f t="shared" si="1089"/>
        <v>8.3223338750152004E-2</v>
      </c>
      <c r="EB354" s="92">
        <f t="shared" si="1090"/>
        <v>8.3537293138327862E-2</v>
      </c>
      <c r="EC354" s="92">
        <f t="shared" si="1091"/>
        <v>5.0113311002774739E-2</v>
      </c>
      <c r="ED354" s="92">
        <f t="shared" si="1092"/>
        <v>0.14150056931869687</v>
      </c>
      <c r="EE354" s="92">
        <f t="shared" si="1093"/>
        <v>0.59698537458959311</v>
      </c>
      <c r="EF354" s="92">
        <f t="shared" si="1094"/>
        <v>1.9898517560441746E-2</v>
      </c>
      <c r="EG354" s="92">
        <f t="shared" si="1095"/>
        <v>0.61688389215003481</v>
      </c>
      <c r="EH354" s="92">
        <f t="shared" si="1096"/>
        <v>0.40301462541040695</v>
      </c>
      <c r="EI354" s="92">
        <f t="shared" si="1097"/>
        <v>0.31102709514807814</v>
      </c>
      <c r="EJ354" s="122">
        <f t="shared" si="1098"/>
        <v>9.1987530262328795E-2</v>
      </c>
    </row>
    <row r="355" spans="2:140" ht="12" hidden="1" customHeight="1" outlineLevel="1">
      <c r="B355" s="121">
        <v>45957</v>
      </c>
      <c r="C355" s="117">
        <v>25609</v>
      </c>
      <c r="D355" s="50" t="s">
        <v>1585</v>
      </c>
      <c r="E355" s="50" t="s">
        <v>850</v>
      </c>
      <c r="F355" s="50" t="s">
        <v>1586</v>
      </c>
      <c r="G355" s="50" t="s">
        <v>249</v>
      </c>
      <c r="H355" s="50" t="s">
        <v>852</v>
      </c>
      <c r="I355" s="50" t="s">
        <v>776</v>
      </c>
      <c r="J355" s="52" t="s">
        <v>230</v>
      </c>
      <c r="K355" s="50" t="s">
        <v>230</v>
      </c>
      <c r="L355" s="49">
        <v>3</v>
      </c>
      <c r="M355" s="50" t="s">
        <v>159</v>
      </c>
      <c r="N355" s="50" t="s">
        <v>160</v>
      </c>
      <c r="O355" s="50" t="s">
        <v>160</v>
      </c>
      <c r="P355" s="50" t="s">
        <v>177</v>
      </c>
      <c r="Q355" s="53">
        <v>0.04</v>
      </c>
      <c r="R355" s="49">
        <v>330</v>
      </c>
      <c r="S355" s="49">
        <v>0</v>
      </c>
      <c r="T355" s="54">
        <f t="shared" si="867"/>
        <v>330</v>
      </c>
      <c r="U355" s="55">
        <v>308337</v>
      </c>
      <c r="V355" s="49">
        <v>19.989999999999998</v>
      </c>
      <c r="W355" s="56">
        <f t="shared" si="1022"/>
        <v>16.508254127063534</v>
      </c>
      <c r="X355" s="49" t="s">
        <v>163</v>
      </c>
      <c r="Y355" s="57" t="s">
        <v>162</v>
      </c>
      <c r="Z355" s="58">
        <v>23500000</v>
      </c>
      <c r="AA355" s="114">
        <v>6.6500000000000004E-2</v>
      </c>
      <c r="AB355" s="59">
        <v>16</v>
      </c>
      <c r="AC355" s="60">
        <v>40</v>
      </c>
      <c r="AD355" s="61">
        <v>6.0199999999999997E-2</v>
      </c>
      <c r="AE355" s="62">
        <v>50000000</v>
      </c>
      <c r="AF355" s="63">
        <v>1.2</v>
      </c>
      <c r="AG355" s="59">
        <v>16</v>
      </c>
      <c r="AH355" s="60">
        <v>40</v>
      </c>
      <c r="AI355" s="61">
        <v>7.6200000000000004E-2</v>
      </c>
      <c r="AJ355" s="64">
        <v>1850000</v>
      </c>
      <c r="AK355" s="65">
        <f t="shared" si="1023"/>
        <v>51850000</v>
      </c>
      <c r="AL355" s="66">
        <v>0</v>
      </c>
      <c r="AM355" s="49" t="s">
        <v>163</v>
      </c>
      <c r="AN355" s="67">
        <v>0.83</v>
      </c>
      <c r="AO355" s="62">
        <v>37462644</v>
      </c>
      <c r="AP355" s="62">
        <v>4021218</v>
      </c>
      <c r="AQ355" s="68">
        <v>8157660</v>
      </c>
      <c r="AR355" s="69">
        <f t="shared" si="1024"/>
        <v>157121.21212121213</v>
      </c>
      <c r="AS355" s="70" t="str">
        <f t="shared" si="1025"/>
        <v/>
      </c>
      <c r="AT355" s="70">
        <f t="shared" si="1026"/>
        <v>113523.16363636364</v>
      </c>
      <c r="AU355" s="70">
        <f t="shared" si="1027"/>
        <v>12185.50909090909</v>
      </c>
      <c r="AV355" s="71">
        <f t="shared" si="1028"/>
        <v>24720.18181818182</v>
      </c>
      <c r="AW355" s="115">
        <f t="shared" si="1029"/>
        <v>158909.09090909091</v>
      </c>
      <c r="AX355" s="116">
        <f t="shared" si="1030"/>
        <v>170.07365317817843</v>
      </c>
      <c r="AY355" s="72">
        <f t="shared" si="1031"/>
        <v>190444.15151515152</v>
      </c>
      <c r="AZ355" s="73">
        <f t="shared" si="1032"/>
        <v>203.82428965709596</v>
      </c>
      <c r="BA355" s="66">
        <v>4530000</v>
      </c>
      <c r="BB355" s="62">
        <v>7230000</v>
      </c>
      <c r="BC355" s="62">
        <v>45210000</v>
      </c>
      <c r="BD355" s="62">
        <v>3153170</v>
      </c>
      <c r="BE355" s="62">
        <v>7253400</v>
      </c>
      <c r="BF355" s="62">
        <v>6392833</v>
      </c>
      <c r="BG355" s="62">
        <v>13223627</v>
      </c>
      <c r="BH355" s="62">
        <v>11324535</v>
      </c>
      <c r="BI355" s="62">
        <v>2037739</v>
      </c>
      <c r="BJ355" s="47">
        <f t="shared" si="1033"/>
        <v>100355304</v>
      </c>
      <c r="BK355" s="69">
        <f t="shared" si="1034"/>
        <v>13727.272727272728</v>
      </c>
      <c r="BL355" s="70">
        <f t="shared" si="1035"/>
        <v>21909.090909090908</v>
      </c>
      <c r="BM355" s="70">
        <f t="shared" si="1036"/>
        <v>137000</v>
      </c>
      <c r="BN355" s="70">
        <f t="shared" si="1037"/>
        <v>9555.060606060606</v>
      </c>
      <c r="BO355" s="70">
        <f t="shared" si="1038"/>
        <v>21980</v>
      </c>
      <c r="BP355" s="70">
        <f t="shared" si="1039"/>
        <v>19372.221212121211</v>
      </c>
      <c r="BQ355" s="70">
        <f t="shared" si="1040"/>
        <v>40071.59696969697</v>
      </c>
      <c r="BR355" s="70">
        <f t="shared" si="1041"/>
        <v>34316.772727272728</v>
      </c>
      <c r="BS355" s="70">
        <f t="shared" si="1042"/>
        <v>6174.9666666666662</v>
      </c>
      <c r="BT355" s="71">
        <f t="shared" si="1043"/>
        <v>304106.98181818181</v>
      </c>
      <c r="BU355" s="65">
        <f t="shared" si="1044"/>
        <v>14.691717179579486</v>
      </c>
      <c r="BV355" s="48">
        <f t="shared" si="1045"/>
        <v>23.448369803169907</v>
      </c>
      <c r="BW355" s="48">
        <f t="shared" si="1046"/>
        <v>146.62528337500851</v>
      </c>
      <c r="BX355" s="48">
        <f t="shared" si="1047"/>
        <v>10.226375686343189</v>
      </c>
      <c r="BY355" s="48">
        <f t="shared" si="1048"/>
        <v>23.52426079257436</v>
      </c>
      <c r="BZ355" s="48">
        <f t="shared" si="1049"/>
        <v>20.733265874676086</v>
      </c>
      <c r="CA355" s="48">
        <f t="shared" si="1050"/>
        <v>42.886928912196723</v>
      </c>
      <c r="CB355" s="48">
        <f t="shared" si="1051"/>
        <v>36.727784858774655</v>
      </c>
      <c r="CC355" s="48">
        <f t="shared" si="1052"/>
        <v>6.6088046520527861</v>
      </c>
      <c r="CD355" s="47">
        <f t="shared" si="1053"/>
        <v>325.47279113437571</v>
      </c>
      <c r="CE355" s="66">
        <v>6283872</v>
      </c>
      <c r="CF355" s="62">
        <v>118800</v>
      </c>
      <c r="CG355" s="74">
        <v>-480200</v>
      </c>
      <c r="CH355" s="75">
        <f t="shared" si="1054"/>
        <v>5922472</v>
      </c>
      <c r="CI355" s="62">
        <v>177250</v>
      </c>
      <c r="CJ355" s="62">
        <v>177674</v>
      </c>
      <c r="CK355" s="62">
        <v>544500</v>
      </c>
      <c r="CL355" s="62">
        <f>247500+82500</f>
        <v>330000</v>
      </c>
      <c r="CM355" s="62">
        <f>86000+178000</f>
        <v>264000</v>
      </c>
      <c r="CN355" s="62">
        <v>259380</v>
      </c>
      <c r="CO355" s="62">
        <v>0</v>
      </c>
      <c r="CP355" s="75">
        <f t="shared" si="868"/>
        <v>1752804</v>
      </c>
      <c r="CQ355" s="62">
        <v>82500</v>
      </c>
      <c r="CR355" s="75">
        <f t="shared" si="1055"/>
        <v>1835304</v>
      </c>
      <c r="CS355" s="75">
        <f t="shared" si="1056"/>
        <v>4169668</v>
      </c>
      <c r="CT355" s="62">
        <v>3496628</v>
      </c>
      <c r="CU355" s="47">
        <f t="shared" si="1057"/>
        <v>673040</v>
      </c>
      <c r="CV355" s="76">
        <f t="shared" si="1058"/>
        <v>0.70404182577815477</v>
      </c>
      <c r="CW355" s="75">
        <f t="shared" si="1059"/>
        <v>5561.5272727272732</v>
      </c>
      <c r="CX355" s="77">
        <f t="shared" si="1060"/>
        <v>0.3098881683189047</v>
      </c>
      <c r="CY355" s="75">
        <f t="shared" si="1061"/>
        <v>2039.5151515151515</v>
      </c>
      <c r="CZ355" s="77">
        <f t="shared" si="1062"/>
        <v>0.11364173608587766</v>
      </c>
      <c r="DA355" s="77">
        <f t="shared" si="1063"/>
        <v>0.5904000896922772</v>
      </c>
      <c r="DB355" s="47">
        <f t="shared" si="1064"/>
        <v>157121.21212121213</v>
      </c>
      <c r="DC355" s="69">
        <f t="shared" si="1065"/>
        <v>19042.036363636365</v>
      </c>
      <c r="DD355" s="70">
        <f t="shared" si="1066"/>
        <v>360</v>
      </c>
      <c r="DE355" s="70">
        <f t="shared" si="1067"/>
        <v>-1455.1515151515152</v>
      </c>
      <c r="DF355" s="70">
        <f t="shared" si="1068"/>
        <v>17946.884848484849</v>
      </c>
      <c r="DG355" s="70">
        <f t="shared" si="1069"/>
        <v>537.12121212121212</v>
      </c>
      <c r="DH355" s="70">
        <f t="shared" si="1070"/>
        <v>538.40606060606058</v>
      </c>
      <c r="DI355" s="70">
        <f t="shared" si="1071"/>
        <v>1650</v>
      </c>
      <c r="DJ355" s="70">
        <f t="shared" si="1072"/>
        <v>1000</v>
      </c>
      <c r="DK355" s="70">
        <f t="shared" si="1073"/>
        <v>800</v>
      </c>
      <c r="DL355" s="70">
        <f t="shared" si="1074"/>
        <v>786</v>
      </c>
      <c r="DM355" s="70" t="str">
        <f t="shared" si="1075"/>
        <v/>
      </c>
      <c r="DN355" s="70">
        <f t="shared" si="1076"/>
        <v>5311.5272727272732</v>
      </c>
      <c r="DO355" s="70">
        <f t="shared" si="1077"/>
        <v>250</v>
      </c>
      <c r="DP355" s="70">
        <f t="shared" si="1078"/>
        <v>5561.5272727272732</v>
      </c>
      <c r="DQ355" s="70">
        <f t="shared" si="1079"/>
        <v>12635.357575757576</v>
      </c>
      <c r="DR355" s="70">
        <f t="shared" si="1080"/>
        <v>10595.842424242424</v>
      </c>
      <c r="DS355" s="71">
        <f t="shared" si="1081"/>
        <v>2039.5151515151515</v>
      </c>
      <c r="DT355" s="106">
        <f t="shared" si="1082"/>
        <v>1.0610218165657854</v>
      </c>
      <c r="DU355" s="92">
        <f t="shared" si="1083"/>
        <v>2.0059191499765639E-2</v>
      </c>
      <c r="DV355" s="92" t="str">
        <f t="shared" si="1084"/>
        <v/>
      </c>
      <c r="DW355" s="92">
        <f t="shared" si="1085"/>
        <v>1</v>
      </c>
      <c r="DX355" s="92">
        <f t="shared" si="1086"/>
        <v>2.9928381257015652E-2</v>
      </c>
      <c r="DY355" s="92">
        <f t="shared" si="1087"/>
        <v>2.9999972984253873E-2</v>
      </c>
      <c r="DZ355" s="92">
        <f t="shared" si="1088"/>
        <v>9.1937961040592514E-2</v>
      </c>
      <c r="EA355" s="92">
        <f t="shared" si="1089"/>
        <v>5.5719976388237884E-2</v>
      </c>
      <c r="EB355" s="92">
        <f t="shared" si="1090"/>
        <v>4.4575981110590308E-2</v>
      </c>
      <c r="EC355" s="92">
        <f t="shared" si="1091"/>
        <v>4.3795901441154979E-2</v>
      </c>
      <c r="ED355" s="92" t="str">
        <f t="shared" si="1092"/>
        <v/>
      </c>
      <c r="EE355" s="92">
        <f t="shared" si="1093"/>
        <v>0.29595817422184523</v>
      </c>
      <c r="EF355" s="92">
        <f t="shared" si="1094"/>
        <v>1.3929994097059471E-2</v>
      </c>
      <c r="EG355" s="92">
        <f t="shared" si="1095"/>
        <v>0.3098881683189047</v>
      </c>
      <c r="EH355" s="92">
        <f t="shared" si="1096"/>
        <v>0.70404182577815477</v>
      </c>
      <c r="EI355" s="92">
        <f t="shared" si="1097"/>
        <v>0.5904000896922772</v>
      </c>
      <c r="EJ355" s="122">
        <f t="shared" si="1098"/>
        <v>0.11364173608587766</v>
      </c>
    </row>
    <row r="356" spans="2:140" ht="12" hidden="1" customHeight="1" outlineLevel="1">
      <c r="B356" s="121">
        <v>45958</v>
      </c>
      <c r="C356" s="117">
        <v>25093</v>
      </c>
      <c r="D356" s="50" t="s">
        <v>1587</v>
      </c>
      <c r="E356" s="50" t="s">
        <v>388</v>
      </c>
      <c r="F356" s="50" t="s">
        <v>1584</v>
      </c>
      <c r="G356" s="50" t="s">
        <v>291</v>
      </c>
      <c r="H356" s="50" t="s">
        <v>1588</v>
      </c>
      <c r="I356" s="50" t="s">
        <v>419</v>
      </c>
      <c r="J356" s="52" t="s">
        <v>609</v>
      </c>
      <c r="K356" s="50" t="s">
        <v>610</v>
      </c>
      <c r="L356" s="49">
        <v>8</v>
      </c>
      <c r="M356" s="50" t="s">
        <v>159</v>
      </c>
      <c r="N356" s="50" t="s">
        <v>185</v>
      </c>
      <c r="O356" s="50" t="s">
        <v>318</v>
      </c>
      <c r="P356" s="50" t="s">
        <v>1351</v>
      </c>
      <c r="Q356" s="53">
        <v>0.09</v>
      </c>
      <c r="R356" s="49">
        <v>194</v>
      </c>
      <c r="S356" s="49">
        <v>2</v>
      </c>
      <c r="T356" s="54">
        <f t="shared" si="867"/>
        <v>196</v>
      </c>
      <c r="U356" s="55">
        <v>118003</v>
      </c>
      <c r="V356" s="49">
        <v>3.11</v>
      </c>
      <c r="W356" s="56">
        <f t="shared" si="1022"/>
        <v>63.022508038585208</v>
      </c>
      <c r="X356" s="49" t="s">
        <v>1589</v>
      </c>
      <c r="Y356" s="57" t="s">
        <v>162</v>
      </c>
      <c r="Z356" s="58">
        <v>7367873</v>
      </c>
      <c r="AA356" s="114">
        <v>2.4E-2</v>
      </c>
      <c r="AB356" s="59">
        <v>31</v>
      </c>
      <c r="AC356" s="60">
        <v>31</v>
      </c>
      <c r="AD356" s="61">
        <v>2.4E-2</v>
      </c>
      <c r="AE356" s="62">
        <v>7367873</v>
      </c>
      <c r="AF356" s="63">
        <v>2.1800000000000002</v>
      </c>
      <c r="AG356" s="59">
        <v>40</v>
      </c>
      <c r="AH356" s="60">
        <v>40</v>
      </c>
      <c r="AI356" s="61">
        <v>6.4000000000000001E-2</v>
      </c>
      <c r="AJ356" s="64">
        <v>4200000</v>
      </c>
      <c r="AK356" s="65">
        <f t="shared" si="1023"/>
        <v>11567873</v>
      </c>
      <c r="AL356" s="66">
        <v>6172676</v>
      </c>
      <c r="AM356" s="49" t="s">
        <v>388</v>
      </c>
      <c r="AN356" s="67">
        <v>0.88</v>
      </c>
      <c r="AO356" s="62">
        <v>18690007</v>
      </c>
      <c r="AP356" s="62">
        <v>773948</v>
      </c>
      <c r="AQ356" s="68">
        <v>1091767</v>
      </c>
      <c r="AR356" s="69">
        <f t="shared" si="1024"/>
        <v>59019.760204081635</v>
      </c>
      <c r="AS356" s="70">
        <f t="shared" si="1025"/>
        <v>31493.244897959183</v>
      </c>
      <c r="AT356" s="70">
        <f t="shared" si="1026"/>
        <v>95357.178571428565</v>
      </c>
      <c r="AU356" s="70">
        <f t="shared" si="1027"/>
        <v>3948.7142857142858</v>
      </c>
      <c r="AV356" s="71">
        <f t="shared" si="1028"/>
        <v>5570.2397959183672</v>
      </c>
      <c r="AW356" s="115">
        <f t="shared" si="1029"/>
        <v>65275.510204081635</v>
      </c>
      <c r="AX356" s="116">
        <f t="shared" si="1030"/>
        <v>108.42097234816065</v>
      </c>
      <c r="AY356" s="72">
        <f t="shared" si="1031"/>
        <v>80941.632653061228</v>
      </c>
      <c r="AZ356" s="73">
        <f t="shared" si="1032"/>
        <v>134.44200571171919</v>
      </c>
      <c r="BA356" s="66">
        <v>14100000</v>
      </c>
      <c r="BB356" s="62">
        <v>644580</v>
      </c>
      <c r="BC356" s="62">
        <v>12149420</v>
      </c>
      <c r="BD356" s="62">
        <v>1279400</v>
      </c>
      <c r="BE356" s="62">
        <v>1791160</v>
      </c>
      <c r="BF356" s="62">
        <v>1792750</v>
      </c>
      <c r="BG356" s="62">
        <v>1209246</v>
      </c>
      <c r="BH356" s="62">
        <v>2573000</v>
      </c>
      <c r="BI356" s="62">
        <v>891000</v>
      </c>
      <c r="BJ356" s="47">
        <f t="shared" si="1033"/>
        <v>36430556</v>
      </c>
      <c r="BK356" s="69">
        <f t="shared" si="1034"/>
        <v>71938.775510204083</v>
      </c>
      <c r="BL356" s="70">
        <f t="shared" si="1035"/>
        <v>3288.6734693877552</v>
      </c>
      <c r="BM356" s="70">
        <f t="shared" si="1036"/>
        <v>61986.836734693876</v>
      </c>
      <c r="BN356" s="70">
        <f t="shared" si="1037"/>
        <v>6527.5510204081629</v>
      </c>
      <c r="BO356" s="70">
        <f t="shared" si="1038"/>
        <v>9138.5714285714294</v>
      </c>
      <c r="BP356" s="70">
        <f t="shared" si="1039"/>
        <v>9146.6836734693879</v>
      </c>
      <c r="BQ356" s="70">
        <f t="shared" si="1040"/>
        <v>6169.6224489795923</v>
      </c>
      <c r="BR356" s="70">
        <f t="shared" si="1041"/>
        <v>13127.551020408164</v>
      </c>
      <c r="BS356" s="70">
        <f t="shared" si="1042"/>
        <v>4545.9183673469388</v>
      </c>
      <c r="BT356" s="71">
        <f t="shared" si="1043"/>
        <v>185870.18367346938</v>
      </c>
      <c r="BU356" s="65">
        <f t="shared" si="1044"/>
        <v>119.48848758082421</v>
      </c>
      <c r="BV356" s="48">
        <f t="shared" si="1045"/>
        <v>5.4624034982161467</v>
      </c>
      <c r="BW356" s="48">
        <f t="shared" si="1046"/>
        <v>102.9585688499445</v>
      </c>
      <c r="BX356" s="48">
        <f t="shared" si="1047"/>
        <v>10.842097234816064</v>
      </c>
      <c r="BY356" s="48">
        <f t="shared" si="1048"/>
        <v>15.178936128742489</v>
      </c>
      <c r="BZ356" s="48">
        <f t="shared" si="1049"/>
        <v>15.192410362448411</v>
      </c>
      <c r="CA356" s="48">
        <f t="shared" si="1050"/>
        <v>10.247586925756124</v>
      </c>
      <c r="CB356" s="48">
        <f t="shared" si="1051"/>
        <v>21.804530393295085</v>
      </c>
      <c r="CC356" s="48">
        <f t="shared" si="1052"/>
        <v>7.5506554918095299</v>
      </c>
      <c r="CD356" s="47">
        <f t="shared" si="1053"/>
        <v>308.72567646585259</v>
      </c>
      <c r="CE356" s="66">
        <v>2334060</v>
      </c>
      <c r="CF356" s="62">
        <v>3000</v>
      </c>
      <c r="CG356" s="74">
        <v>-116853</v>
      </c>
      <c r="CH356" s="75">
        <f t="shared" si="1054"/>
        <v>2220207</v>
      </c>
      <c r="CI356" s="62">
        <v>112500</v>
      </c>
      <c r="CJ356" s="62">
        <v>112600</v>
      </c>
      <c r="CK356" s="62">
        <v>345535</v>
      </c>
      <c r="CL356" s="62">
        <f>122110+11124</f>
        <v>133234</v>
      </c>
      <c r="CM356" s="62">
        <f>90630+169270</f>
        <v>259900</v>
      </c>
      <c r="CN356" s="62">
        <v>154000</v>
      </c>
      <c r="CO356" s="62">
        <v>200000</v>
      </c>
      <c r="CP356" s="75">
        <f t="shared" si="868"/>
        <v>1317769</v>
      </c>
      <c r="CQ356" s="62">
        <v>58800</v>
      </c>
      <c r="CR356" s="75">
        <f t="shared" si="1055"/>
        <v>1376569</v>
      </c>
      <c r="CS356" s="75">
        <f t="shared" si="1056"/>
        <v>902438</v>
      </c>
      <c r="CT356" s="62">
        <v>657585</v>
      </c>
      <c r="CU356" s="47">
        <f t="shared" si="1057"/>
        <v>244853</v>
      </c>
      <c r="CV356" s="76">
        <f t="shared" si="1058"/>
        <v>0.4064657034231493</v>
      </c>
      <c r="CW356" s="75">
        <f t="shared" si="1059"/>
        <v>7023.3112244897957</v>
      </c>
      <c r="CX356" s="77">
        <f t="shared" si="1060"/>
        <v>0.6200183136076951</v>
      </c>
      <c r="CY356" s="75">
        <f t="shared" si="1061"/>
        <v>1249.25</v>
      </c>
      <c r="CZ356" s="77">
        <f t="shared" si="1062"/>
        <v>0.11028386091927464</v>
      </c>
      <c r="DA356" s="77">
        <f t="shared" si="1063"/>
        <v>0.29618184250387464</v>
      </c>
      <c r="DB356" s="47">
        <f t="shared" si="1064"/>
        <v>59019.760204081635</v>
      </c>
      <c r="DC356" s="69">
        <f t="shared" si="1065"/>
        <v>11908.469387755102</v>
      </c>
      <c r="DD356" s="70">
        <f t="shared" si="1066"/>
        <v>15.306122448979592</v>
      </c>
      <c r="DE356" s="70">
        <f t="shared" si="1067"/>
        <v>-596.1887755102041</v>
      </c>
      <c r="DF356" s="70">
        <f t="shared" si="1068"/>
        <v>11327.586734693878</v>
      </c>
      <c r="DG356" s="70">
        <f t="shared" si="1069"/>
        <v>573.9795918367347</v>
      </c>
      <c r="DH356" s="70">
        <f t="shared" si="1070"/>
        <v>574.48979591836735</v>
      </c>
      <c r="DI356" s="70">
        <f t="shared" si="1071"/>
        <v>1762.9336734693877</v>
      </c>
      <c r="DJ356" s="70">
        <f t="shared" si="1072"/>
        <v>679.76530612244903</v>
      </c>
      <c r="DK356" s="70">
        <f t="shared" si="1073"/>
        <v>1326.0204081632653</v>
      </c>
      <c r="DL356" s="70">
        <f t="shared" si="1074"/>
        <v>785.71428571428567</v>
      </c>
      <c r="DM356" s="70">
        <f t="shared" si="1075"/>
        <v>1020.4081632653061</v>
      </c>
      <c r="DN356" s="70">
        <f t="shared" si="1076"/>
        <v>6723.3112244897957</v>
      </c>
      <c r="DO356" s="70">
        <f t="shared" si="1077"/>
        <v>300</v>
      </c>
      <c r="DP356" s="70">
        <f t="shared" si="1078"/>
        <v>7023.3112244897957</v>
      </c>
      <c r="DQ356" s="70">
        <f t="shared" si="1079"/>
        <v>4604.2755102040819</v>
      </c>
      <c r="DR356" s="70">
        <f t="shared" si="1080"/>
        <v>3355.0255102040815</v>
      </c>
      <c r="DS356" s="71">
        <f t="shared" si="1081"/>
        <v>1249.25</v>
      </c>
      <c r="DT356" s="106">
        <f t="shared" si="1082"/>
        <v>1.0512803535886519</v>
      </c>
      <c r="DU356" s="92">
        <f t="shared" si="1083"/>
        <v>1.3512253587165521E-3</v>
      </c>
      <c r="DV356" s="92" t="str">
        <f t="shared" si="1084"/>
        <v/>
      </c>
      <c r="DW356" s="92">
        <f t="shared" si="1085"/>
        <v>1</v>
      </c>
      <c r="DX356" s="92">
        <f t="shared" si="1086"/>
        <v>5.0670950951870707E-2</v>
      </c>
      <c r="DY356" s="92">
        <f t="shared" si="1087"/>
        <v>5.0715991797161256E-2</v>
      </c>
      <c r="DZ356" s="92">
        <f t="shared" si="1088"/>
        <v>0.15563188477470793</v>
      </c>
      <c r="EA356" s="92">
        <f t="shared" si="1089"/>
        <v>6.0009719814413699E-2</v>
      </c>
      <c r="EB356" s="92">
        <f t="shared" si="1090"/>
        <v>0.11706115691014396</v>
      </c>
      <c r="EC356" s="92">
        <f t="shared" si="1091"/>
        <v>6.9362901747449676E-2</v>
      </c>
      <c r="ED356" s="92">
        <f t="shared" si="1092"/>
        <v>9.0081690581103477E-2</v>
      </c>
      <c r="EE356" s="92">
        <f t="shared" si="1093"/>
        <v>0.59353429657685075</v>
      </c>
      <c r="EF356" s="92">
        <f t="shared" si="1094"/>
        <v>2.6484017030844423E-2</v>
      </c>
      <c r="EG356" s="92">
        <f t="shared" si="1095"/>
        <v>0.6200183136076951</v>
      </c>
      <c r="EH356" s="92">
        <f t="shared" si="1096"/>
        <v>0.4064657034231493</v>
      </c>
      <c r="EI356" s="92">
        <f t="shared" si="1097"/>
        <v>0.29618184250387464</v>
      </c>
      <c r="EJ356" s="122">
        <f t="shared" si="1098"/>
        <v>0.11028386091927464</v>
      </c>
    </row>
    <row r="357" spans="2:140" ht="12" hidden="1" customHeight="1" outlineLevel="1">
      <c r="B357" s="121">
        <v>45958</v>
      </c>
      <c r="C357" s="117">
        <v>25271</v>
      </c>
      <c r="D357" s="50" t="s">
        <v>1590</v>
      </c>
      <c r="E357" s="50" t="s">
        <v>1591</v>
      </c>
      <c r="F357" s="50" t="s">
        <v>1592</v>
      </c>
      <c r="G357" s="50" t="s">
        <v>162</v>
      </c>
      <c r="H357" s="50" t="s">
        <v>259</v>
      </c>
      <c r="I357" s="50" t="s">
        <v>321</v>
      </c>
      <c r="J357" s="52" t="s">
        <v>1593</v>
      </c>
      <c r="K357" s="50" t="s">
        <v>1594</v>
      </c>
      <c r="L357" s="49">
        <v>12</v>
      </c>
      <c r="M357" s="50" t="s">
        <v>283</v>
      </c>
      <c r="N357" s="50" t="s">
        <v>160</v>
      </c>
      <c r="O357" s="50" t="s">
        <v>160</v>
      </c>
      <c r="P357" s="50" t="s">
        <v>177</v>
      </c>
      <c r="Q357" s="53">
        <v>0.09</v>
      </c>
      <c r="R357" s="49">
        <v>39</v>
      </c>
      <c r="S357" s="49">
        <v>0</v>
      </c>
      <c r="T357" s="54">
        <f t="shared" si="867"/>
        <v>39</v>
      </c>
      <c r="U357" s="55">
        <v>31190</v>
      </c>
      <c r="V357" s="49">
        <v>3.4289999999999998</v>
      </c>
      <c r="W357" s="56">
        <f t="shared" si="1022"/>
        <v>11.373578302712161</v>
      </c>
      <c r="X357" s="49" t="s">
        <v>163</v>
      </c>
      <c r="Y357" s="57" t="s">
        <v>162</v>
      </c>
      <c r="Z357" s="58">
        <v>8400000</v>
      </c>
      <c r="AA357" s="114">
        <v>0.08</v>
      </c>
      <c r="AB357" s="59">
        <v>15</v>
      </c>
      <c r="AC357" s="60">
        <v>30</v>
      </c>
      <c r="AD357" s="61">
        <v>7.0000000000000007E-2</v>
      </c>
      <c r="AE357" s="62">
        <v>1715000</v>
      </c>
      <c r="AF357" s="63">
        <v>1.34</v>
      </c>
      <c r="AG357" s="59"/>
      <c r="AH357" s="60"/>
      <c r="AI357" s="61"/>
      <c r="AJ357" s="64"/>
      <c r="AK357" s="65">
        <f t="shared" si="1023"/>
        <v>1715000</v>
      </c>
      <c r="AL357" s="66">
        <v>1015054</v>
      </c>
      <c r="AM357" s="49" t="s">
        <v>1595</v>
      </c>
      <c r="AN357" s="67">
        <v>0.78</v>
      </c>
      <c r="AO357" s="62">
        <v>9454879</v>
      </c>
      <c r="AP357" s="62">
        <v>0</v>
      </c>
      <c r="AQ357" s="68">
        <v>680756</v>
      </c>
      <c r="AR357" s="69">
        <f t="shared" si="1024"/>
        <v>43974.358974358976</v>
      </c>
      <c r="AS357" s="70">
        <f t="shared" si="1025"/>
        <v>26027.025641025641</v>
      </c>
      <c r="AT357" s="70">
        <f t="shared" si="1026"/>
        <v>242432.79487179487</v>
      </c>
      <c r="AU357" s="70" t="str">
        <f t="shared" si="1027"/>
        <v/>
      </c>
      <c r="AV357" s="71">
        <f t="shared" si="1028"/>
        <v>17455.282051282051</v>
      </c>
      <c r="AW357" s="115">
        <f t="shared" si="1029"/>
        <v>141672.07692307694</v>
      </c>
      <c r="AX357" s="116">
        <f t="shared" si="1030"/>
        <v>177.1468739980763</v>
      </c>
      <c r="AY357" s="72">
        <f t="shared" si="1031"/>
        <v>172223.33333333334</v>
      </c>
      <c r="AZ357" s="73">
        <f t="shared" si="1032"/>
        <v>215.34818852196219</v>
      </c>
      <c r="BA357" s="66">
        <v>460945</v>
      </c>
      <c r="BB357" s="62">
        <v>1835000</v>
      </c>
      <c r="BC357" s="62">
        <v>3690211</v>
      </c>
      <c r="BD357" s="62">
        <v>366640</v>
      </c>
      <c r="BE357" s="62">
        <v>824859</v>
      </c>
      <c r="BF357" s="62">
        <v>924500</v>
      </c>
      <c r="BG357" s="62">
        <v>1157770</v>
      </c>
      <c r="BH357" s="62">
        <v>1721882</v>
      </c>
      <c r="BI357" s="62">
        <v>188072</v>
      </c>
      <c r="BJ357" s="47">
        <f t="shared" si="1033"/>
        <v>11169879</v>
      </c>
      <c r="BK357" s="69">
        <f t="shared" si="1034"/>
        <v>11819.102564102564</v>
      </c>
      <c r="BL357" s="70">
        <f t="shared" si="1035"/>
        <v>47051.282051282054</v>
      </c>
      <c r="BM357" s="70">
        <f t="shared" si="1036"/>
        <v>94620.794871794875</v>
      </c>
      <c r="BN357" s="70">
        <f t="shared" si="1037"/>
        <v>9401.0256410256407</v>
      </c>
      <c r="BO357" s="70">
        <f t="shared" si="1038"/>
        <v>21150.23076923077</v>
      </c>
      <c r="BP357" s="70">
        <f t="shared" si="1039"/>
        <v>23705.128205128207</v>
      </c>
      <c r="BQ357" s="70">
        <f t="shared" si="1040"/>
        <v>29686.410256410258</v>
      </c>
      <c r="BR357" s="70">
        <f t="shared" si="1041"/>
        <v>44150.820512820515</v>
      </c>
      <c r="BS357" s="70">
        <f t="shared" si="1042"/>
        <v>4822.3589743589746</v>
      </c>
      <c r="BT357" s="71">
        <f t="shared" si="1043"/>
        <v>286407.15384615387</v>
      </c>
      <c r="BU357" s="65">
        <f t="shared" si="1044"/>
        <v>14.778614940686117</v>
      </c>
      <c r="BV357" s="48">
        <f t="shared" si="1045"/>
        <v>58.832959281821097</v>
      </c>
      <c r="BW357" s="48">
        <f t="shared" si="1046"/>
        <v>118.31391471625521</v>
      </c>
      <c r="BX357" s="48">
        <f t="shared" si="1047"/>
        <v>11.755049695415197</v>
      </c>
      <c r="BY357" s="48">
        <f t="shared" si="1048"/>
        <v>26.446264828470664</v>
      </c>
      <c r="BZ357" s="48">
        <f t="shared" si="1049"/>
        <v>29.640910548252645</v>
      </c>
      <c r="CA357" s="48">
        <f t="shared" si="1050"/>
        <v>37.119910227637064</v>
      </c>
      <c r="CB357" s="48">
        <f t="shared" si="1051"/>
        <v>55.206219942289195</v>
      </c>
      <c r="CC357" s="48">
        <f t="shared" si="1052"/>
        <v>6.0298813722346907</v>
      </c>
      <c r="CD357" s="47">
        <f t="shared" si="1053"/>
        <v>358.12372555306189</v>
      </c>
      <c r="CE357" s="66">
        <v>448560</v>
      </c>
      <c r="CF357" s="62">
        <v>7020</v>
      </c>
      <c r="CG357" s="74">
        <v>-34169</v>
      </c>
      <c r="CH357" s="75">
        <f t="shared" si="1054"/>
        <v>421411</v>
      </c>
      <c r="CI357" s="62">
        <f>25500+1560</f>
        <v>27060</v>
      </c>
      <c r="CJ357" s="62">
        <v>16856</v>
      </c>
      <c r="CK357" s="62">
        <v>65000</v>
      </c>
      <c r="CL357" s="62">
        <v>28000</v>
      </c>
      <c r="CM357" s="62">
        <f>32000</f>
        <v>32000</v>
      </c>
      <c r="CN357" s="62">
        <v>32000</v>
      </c>
      <c r="CO357" s="62">
        <v>34000</v>
      </c>
      <c r="CP357" s="75">
        <f t="shared" si="868"/>
        <v>234916</v>
      </c>
      <c r="CQ357" s="62">
        <v>9750</v>
      </c>
      <c r="CR357" s="75">
        <f t="shared" si="1055"/>
        <v>244666</v>
      </c>
      <c r="CS357" s="75">
        <f t="shared" si="1056"/>
        <v>186495</v>
      </c>
      <c r="CT357" s="62">
        <v>131477</v>
      </c>
      <c r="CU357" s="47">
        <f t="shared" si="1057"/>
        <v>55018</v>
      </c>
      <c r="CV357" s="76">
        <f t="shared" si="1058"/>
        <v>0.44254896051598086</v>
      </c>
      <c r="CW357" s="75">
        <f t="shared" si="1059"/>
        <v>6273.4871794871797</v>
      </c>
      <c r="CX357" s="77">
        <f t="shared" si="1060"/>
        <v>0.58058759738117893</v>
      </c>
      <c r="CY357" s="75">
        <f t="shared" si="1061"/>
        <v>1410.7179487179487</v>
      </c>
      <c r="CZ357" s="77">
        <f t="shared" si="1062"/>
        <v>0.1305566299883012</v>
      </c>
      <c r="DA357" s="77">
        <f t="shared" si="1063"/>
        <v>0.31199233052767961</v>
      </c>
      <c r="DB357" s="47">
        <f t="shared" si="1064"/>
        <v>43974.358974358976</v>
      </c>
      <c r="DC357" s="69">
        <f t="shared" si="1065"/>
        <v>11501.538461538461</v>
      </c>
      <c r="DD357" s="70">
        <f t="shared" si="1066"/>
        <v>180</v>
      </c>
      <c r="DE357" s="70">
        <f t="shared" si="1067"/>
        <v>-876.12820512820508</v>
      </c>
      <c r="DF357" s="70">
        <f t="shared" si="1068"/>
        <v>10805.410256410256</v>
      </c>
      <c r="DG357" s="70">
        <f t="shared" si="1069"/>
        <v>693.84615384615381</v>
      </c>
      <c r="DH357" s="70">
        <f t="shared" si="1070"/>
        <v>432.20512820512823</v>
      </c>
      <c r="DI357" s="70">
        <f t="shared" si="1071"/>
        <v>1666.6666666666667</v>
      </c>
      <c r="DJ357" s="70">
        <f t="shared" si="1072"/>
        <v>717.9487179487179</v>
      </c>
      <c r="DK357" s="70">
        <f t="shared" si="1073"/>
        <v>820.51282051282055</v>
      </c>
      <c r="DL357" s="70">
        <f t="shared" si="1074"/>
        <v>820.51282051282055</v>
      </c>
      <c r="DM357" s="70">
        <f t="shared" si="1075"/>
        <v>871.79487179487182</v>
      </c>
      <c r="DN357" s="70">
        <f t="shared" si="1076"/>
        <v>6023.4871794871797</v>
      </c>
      <c r="DO357" s="70">
        <f t="shared" si="1077"/>
        <v>250</v>
      </c>
      <c r="DP357" s="70">
        <f t="shared" si="1078"/>
        <v>6273.4871794871797</v>
      </c>
      <c r="DQ357" s="70">
        <f t="shared" si="1079"/>
        <v>4781.9230769230771</v>
      </c>
      <c r="DR357" s="70">
        <f t="shared" si="1080"/>
        <v>3371.2051282051284</v>
      </c>
      <c r="DS357" s="71">
        <f t="shared" si="1081"/>
        <v>1410.7179487179487</v>
      </c>
      <c r="DT357" s="106">
        <f t="shared" si="1082"/>
        <v>1.0644240420871784</v>
      </c>
      <c r="DU357" s="92">
        <f t="shared" si="1083"/>
        <v>1.6658321685955043E-2</v>
      </c>
      <c r="DV357" s="92" t="str">
        <f t="shared" si="1084"/>
        <v/>
      </c>
      <c r="DW357" s="92">
        <f t="shared" si="1085"/>
        <v>1</v>
      </c>
      <c r="DX357" s="92">
        <f t="shared" si="1086"/>
        <v>6.4212846840732682E-2</v>
      </c>
      <c r="DY357" s="92">
        <f t="shared" si="1087"/>
        <v>3.9998955888669259E-2</v>
      </c>
      <c r="DZ357" s="92">
        <f t="shared" si="1088"/>
        <v>0.15424371931439854</v>
      </c>
      <c r="EA357" s="92">
        <f t="shared" si="1089"/>
        <v>6.6443448320048601E-2</v>
      </c>
      <c r="EB357" s="92">
        <f t="shared" si="1090"/>
        <v>7.5935369508626976E-2</v>
      </c>
      <c r="EC357" s="92">
        <f t="shared" si="1091"/>
        <v>7.5935369508626976E-2</v>
      </c>
      <c r="ED357" s="92">
        <f t="shared" si="1092"/>
        <v>8.0681330102916157E-2</v>
      </c>
      <c r="EE357" s="92">
        <f t="shared" si="1093"/>
        <v>0.5574510394840192</v>
      </c>
      <c r="EF357" s="92">
        <f t="shared" si="1094"/>
        <v>2.3136557897159779E-2</v>
      </c>
      <c r="EG357" s="92">
        <f t="shared" si="1095"/>
        <v>0.58058759738117893</v>
      </c>
      <c r="EH357" s="92">
        <f t="shared" si="1096"/>
        <v>0.44254896051598086</v>
      </c>
      <c r="EI357" s="92">
        <f t="shared" si="1097"/>
        <v>0.31199233052767961</v>
      </c>
      <c r="EJ357" s="122">
        <f t="shared" si="1098"/>
        <v>0.1305566299883012</v>
      </c>
    </row>
    <row r="358" spans="2:140" ht="12" hidden="1" customHeight="1" outlineLevel="1">
      <c r="B358" s="121">
        <v>45959</v>
      </c>
      <c r="C358" s="117">
        <v>25443</v>
      </c>
      <c r="D358" s="50" t="s">
        <v>1596</v>
      </c>
      <c r="E358" s="50" t="s">
        <v>1597</v>
      </c>
      <c r="F358" s="50" t="s">
        <v>1598</v>
      </c>
      <c r="G358" s="50" t="s">
        <v>249</v>
      </c>
      <c r="H358" s="50" t="s">
        <v>433</v>
      </c>
      <c r="I358" s="50" t="s">
        <v>672</v>
      </c>
      <c r="J358" s="52" t="s">
        <v>595</v>
      </c>
      <c r="K358" s="50" t="s">
        <v>529</v>
      </c>
      <c r="L358" s="49">
        <v>7</v>
      </c>
      <c r="M358" s="50" t="s">
        <v>159</v>
      </c>
      <c r="N358" s="50" t="s">
        <v>160</v>
      </c>
      <c r="O358" s="50" t="s">
        <v>160</v>
      </c>
      <c r="P358" s="50" t="s">
        <v>1351</v>
      </c>
      <c r="Q358" s="53">
        <v>0.04</v>
      </c>
      <c r="R358" s="49">
        <v>46</v>
      </c>
      <c r="S358" s="49">
        <v>0</v>
      </c>
      <c r="T358" s="54">
        <f t="shared" si="867"/>
        <v>46</v>
      </c>
      <c r="U358" s="55">
        <v>30616</v>
      </c>
      <c r="V358" s="49">
        <v>5.84</v>
      </c>
      <c r="W358" s="56">
        <f t="shared" si="1022"/>
        <v>7.8767123287671232</v>
      </c>
      <c r="X358" s="49">
        <v>1970</v>
      </c>
      <c r="Y358" s="57" t="s">
        <v>162</v>
      </c>
      <c r="Z358" s="58">
        <v>3200000</v>
      </c>
      <c r="AA358" s="114">
        <v>5.9499999999999997E-2</v>
      </c>
      <c r="AB358" s="59">
        <v>17</v>
      </c>
      <c r="AC358" s="60">
        <v>40</v>
      </c>
      <c r="AD358" s="61">
        <v>6.1899999999999997E-2</v>
      </c>
      <c r="AE358" s="62">
        <v>6550000</v>
      </c>
      <c r="AF358" s="63">
        <v>1.2</v>
      </c>
      <c r="AG358" s="59"/>
      <c r="AH358" s="60"/>
      <c r="AI358" s="61"/>
      <c r="AJ358" s="64"/>
      <c r="AK358" s="65">
        <f t="shared" si="1023"/>
        <v>6550000</v>
      </c>
      <c r="AL358" s="66">
        <v>9380000</v>
      </c>
      <c r="AM358" s="49" t="s">
        <v>1599</v>
      </c>
      <c r="AN358" s="67">
        <v>0.83</v>
      </c>
      <c r="AO358" s="62">
        <v>8399052</v>
      </c>
      <c r="AP358" s="62">
        <v>537304</v>
      </c>
      <c r="AQ358" s="68">
        <v>579429</v>
      </c>
      <c r="AR358" s="69">
        <f t="shared" si="1024"/>
        <v>142391.30434782608</v>
      </c>
      <c r="AS358" s="70">
        <f t="shared" si="1025"/>
        <v>203913.04347826086</v>
      </c>
      <c r="AT358" s="70">
        <f t="shared" si="1026"/>
        <v>182588.08695652173</v>
      </c>
      <c r="AU358" s="70">
        <f t="shared" si="1027"/>
        <v>11680.521739130434</v>
      </c>
      <c r="AV358" s="71">
        <f t="shared" si="1028"/>
        <v>12596.282608695652</v>
      </c>
      <c r="AW358" s="115">
        <f t="shared" si="1029"/>
        <v>142682.60869565216</v>
      </c>
      <c r="AX358" s="116">
        <f t="shared" si="1030"/>
        <v>214.37810295270447</v>
      </c>
      <c r="AY358" s="72">
        <f t="shared" si="1031"/>
        <v>176924.78260869565</v>
      </c>
      <c r="AZ358" s="73">
        <f t="shared" si="1032"/>
        <v>265.82636529918994</v>
      </c>
      <c r="BA358" s="66">
        <v>9380000</v>
      </c>
      <c r="BB358" s="62">
        <v>695650</v>
      </c>
      <c r="BC358" s="62">
        <v>5867750</v>
      </c>
      <c r="BD358" s="62">
        <v>656340</v>
      </c>
      <c r="BE358" s="62">
        <v>918800</v>
      </c>
      <c r="BF358" s="62">
        <v>1509670</v>
      </c>
      <c r="BG358" s="62">
        <v>936936</v>
      </c>
      <c r="BH358" s="62">
        <v>2873000</v>
      </c>
      <c r="BI358" s="62">
        <v>433095</v>
      </c>
      <c r="BJ358" s="47">
        <f t="shared" si="1033"/>
        <v>23271241</v>
      </c>
      <c r="BK358" s="69">
        <f t="shared" si="1034"/>
        <v>203913.04347826086</v>
      </c>
      <c r="BL358" s="70">
        <f t="shared" si="1035"/>
        <v>15122.826086956522</v>
      </c>
      <c r="BM358" s="70">
        <f t="shared" si="1036"/>
        <v>127559.78260869565</v>
      </c>
      <c r="BN358" s="70">
        <f t="shared" si="1037"/>
        <v>14268.260869565218</v>
      </c>
      <c r="BO358" s="70">
        <f t="shared" si="1038"/>
        <v>19973.91304347826</v>
      </c>
      <c r="BP358" s="70">
        <f t="shared" si="1039"/>
        <v>32818.913043478264</v>
      </c>
      <c r="BQ358" s="70">
        <f t="shared" si="1040"/>
        <v>20368.17391304348</v>
      </c>
      <c r="BR358" s="70">
        <f t="shared" si="1041"/>
        <v>62456.521739130432</v>
      </c>
      <c r="BS358" s="70">
        <f t="shared" si="1042"/>
        <v>9415.108695652174</v>
      </c>
      <c r="BT358" s="71">
        <f t="shared" si="1043"/>
        <v>505896.54347826086</v>
      </c>
      <c r="BU358" s="65">
        <f t="shared" si="1044"/>
        <v>306.37575124118109</v>
      </c>
      <c r="BV358" s="48">
        <f t="shared" si="1045"/>
        <v>22.721779461719361</v>
      </c>
      <c r="BW358" s="48">
        <f t="shared" si="1046"/>
        <v>191.6563234909851</v>
      </c>
      <c r="BX358" s="48">
        <f t="shared" si="1047"/>
        <v>21.437810295270445</v>
      </c>
      <c r="BY358" s="48">
        <f t="shared" si="1048"/>
        <v>30.010452051215051</v>
      </c>
      <c r="BZ358" s="48">
        <f t="shared" si="1049"/>
        <v>49.309837993206166</v>
      </c>
      <c r="CA358" s="48">
        <f t="shared" si="1050"/>
        <v>30.602822053828064</v>
      </c>
      <c r="CB358" s="48">
        <f t="shared" si="1051"/>
        <v>93.839822315129339</v>
      </c>
      <c r="CC358" s="48">
        <f t="shared" si="1052"/>
        <v>14.146034753070291</v>
      </c>
      <c r="CD358" s="47">
        <f t="shared" si="1053"/>
        <v>760.10063365560495</v>
      </c>
      <c r="CE358" s="66">
        <v>999144</v>
      </c>
      <c r="CF358" s="62">
        <v>6624</v>
      </c>
      <c r="CG358" s="74">
        <v>-50288</v>
      </c>
      <c r="CH358" s="75">
        <f t="shared" si="1054"/>
        <v>955480</v>
      </c>
      <c r="CI358" s="62">
        <f>22410+1840</f>
        <v>24250</v>
      </c>
      <c r="CJ358" s="62">
        <v>60000</v>
      </c>
      <c r="CK358" s="62">
        <v>178880</v>
      </c>
      <c r="CL358" s="62">
        <f>1200+31220</f>
        <v>32420</v>
      </c>
      <c r="CM358" s="62">
        <v>12000</v>
      </c>
      <c r="CN358" s="62">
        <v>46526</v>
      </c>
      <c r="CO358" s="62">
        <v>0</v>
      </c>
      <c r="CP358" s="75">
        <f t="shared" si="868"/>
        <v>354076</v>
      </c>
      <c r="CQ358" s="62">
        <v>16100</v>
      </c>
      <c r="CR358" s="75">
        <f t="shared" si="1055"/>
        <v>370176</v>
      </c>
      <c r="CS358" s="75">
        <f t="shared" si="1056"/>
        <v>601404</v>
      </c>
      <c r="CT358" s="62">
        <v>449473</v>
      </c>
      <c r="CU358" s="47">
        <f t="shared" si="1057"/>
        <v>151931</v>
      </c>
      <c r="CV358" s="76">
        <f t="shared" si="1058"/>
        <v>0.62942604764097632</v>
      </c>
      <c r="CW358" s="75">
        <f t="shared" si="1059"/>
        <v>8047.304347826087</v>
      </c>
      <c r="CX358" s="77">
        <f t="shared" si="1060"/>
        <v>0.38742412190731362</v>
      </c>
      <c r="CY358" s="75">
        <f t="shared" si="1061"/>
        <v>3302.8478260869565</v>
      </c>
      <c r="CZ358" s="77">
        <f t="shared" si="1062"/>
        <v>0.15901013103361661</v>
      </c>
      <c r="DA358" s="77">
        <f t="shared" si="1063"/>
        <v>0.47041591660735965</v>
      </c>
      <c r="DB358" s="47">
        <f t="shared" si="1064"/>
        <v>142391.30434782608</v>
      </c>
      <c r="DC358" s="69">
        <f t="shared" si="1065"/>
        <v>21720.521739130436</v>
      </c>
      <c r="DD358" s="70">
        <f t="shared" si="1066"/>
        <v>144</v>
      </c>
      <c r="DE358" s="70">
        <f t="shared" si="1067"/>
        <v>-1093.2173913043478</v>
      </c>
      <c r="DF358" s="70">
        <f t="shared" si="1068"/>
        <v>20771.304347826088</v>
      </c>
      <c r="DG358" s="70">
        <f t="shared" si="1069"/>
        <v>527.17391304347825</v>
      </c>
      <c r="DH358" s="70">
        <f t="shared" si="1070"/>
        <v>1304.3478260869565</v>
      </c>
      <c r="DI358" s="70">
        <f t="shared" si="1071"/>
        <v>3888.695652173913</v>
      </c>
      <c r="DJ358" s="70">
        <f t="shared" si="1072"/>
        <v>704.78260869565213</v>
      </c>
      <c r="DK358" s="70">
        <f t="shared" si="1073"/>
        <v>260.86956521739131</v>
      </c>
      <c r="DL358" s="70">
        <f t="shared" si="1074"/>
        <v>1011.4347826086956</v>
      </c>
      <c r="DM358" s="70" t="str">
        <f t="shared" si="1075"/>
        <v/>
      </c>
      <c r="DN358" s="70">
        <f t="shared" si="1076"/>
        <v>7697.304347826087</v>
      </c>
      <c r="DO358" s="70">
        <f t="shared" si="1077"/>
        <v>350</v>
      </c>
      <c r="DP358" s="70">
        <f t="shared" si="1078"/>
        <v>8047.304347826087</v>
      </c>
      <c r="DQ358" s="70">
        <f t="shared" si="1079"/>
        <v>13074</v>
      </c>
      <c r="DR358" s="70">
        <f t="shared" si="1080"/>
        <v>9771.152173913044</v>
      </c>
      <c r="DS358" s="71">
        <f t="shared" si="1081"/>
        <v>3302.8478260869565</v>
      </c>
      <c r="DT358" s="106">
        <f t="shared" si="1082"/>
        <v>1.0456984970904677</v>
      </c>
      <c r="DU358" s="92">
        <f t="shared" si="1083"/>
        <v>6.9326411855821155E-3</v>
      </c>
      <c r="DV358" s="92" t="str">
        <f t="shared" si="1084"/>
        <v/>
      </c>
      <c r="DW358" s="92">
        <f t="shared" si="1085"/>
        <v>1</v>
      </c>
      <c r="DX358" s="92">
        <f t="shared" si="1086"/>
        <v>2.5379913760622933E-2</v>
      </c>
      <c r="DY358" s="92">
        <f t="shared" si="1087"/>
        <v>6.2795662912881481E-2</v>
      </c>
      <c r="DZ358" s="92">
        <f t="shared" si="1088"/>
        <v>0.18721480303093732</v>
      </c>
      <c r="EA358" s="92">
        <f t="shared" si="1089"/>
        <v>3.3930589860593628E-2</v>
      </c>
      <c r="EB358" s="92">
        <f t="shared" si="1090"/>
        <v>1.2559132582576297E-2</v>
      </c>
      <c r="EC358" s="92">
        <f t="shared" si="1091"/>
        <v>4.8693850211412065E-2</v>
      </c>
      <c r="ED358" s="92" t="str">
        <f t="shared" si="1092"/>
        <v/>
      </c>
      <c r="EE358" s="92">
        <f t="shared" si="1093"/>
        <v>0.37057395235902374</v>
      </c>
      <c r="EF358" s="92">
        <f t="shared" si="1094"/>
        <v>1.6850169548289863E-2</v>
      </c>
      <c r="EG358" s="92">
        <f t="shared" si="1095"/>
        <v>0.38742412190731362</v>
      </c>
      <c r="EH358" s="92">
        <f t="shared" si="1096"/>
        <v>0.62942604764097632</v>
      </c>
      <c r="EI358" s="92">
        <f t="shared" si="1097"/>
        <v>0.47041591660735965</v>
      </c>
      <c r="EJ358" s="122">
        <f t="shared" si="1098"/>
        <v>0.15901013103361661</v>
      </c>
    </row>
    <row r="359" spans="2:140" ht="12" hidden="1" customHeight="1" outlineLevel="1">
      <c r="B359" s="121">
        <v>45959</v>
      </c>
      <c r="C359" s="117">
        <v>25480</v>
      </c>
      <c r="D359" s="50" t="s">
        <v>1600</v>
      </c>
      <c r="E359" s="50" t="s">
        <v>1601</v>
      </c>
      <c r="F359" s="50" t="s">
        <v>846</v>
      </c>
      <c r="G359" s="50" t="s">
        <v>162</v>
      </c>
      <c r="H359" s="50" t="s">
        <v>1602</v>
      </c>
      <c r="I359" s="50" t="s">
        <v>749</v>
      </c>
      <c r="J359" s="52" t="s">
        <v>230</v>
      </c>
      <c r="K359" s="50" t="s">
        <v>230</v>
      </c>
      <c r="L359" s="49">
        <v>3</v>
      </c>
      <c r="M359" s="50" t="s">
        <v>159</v>
      </c>
      <c r="N359" s="50" t="s">
        <v>244</v>
      </c>
      <c r="O359" s="50" t="s">
        <v>160</v>
      </c>
      <c r="P359" s="50" t="s">
        <v>177</v>
      </c>
      <c r="Q359" s="53">
        <v>0.04</v>
      </c>
      <c r="R359" s="49">
        <v>216</v>
      </c>
      <c r="S359" s="49">
        <v>0</v>
      </c>
      <c r="T359" s="54">
        <f t="shared" si="867"/>
        <v>216</v>
      </c>
      <c r="U359" s="55">
        <v>183511</v>
      </c>
      <c r="V359" s="49">
        <v>26.95</v>
      </c>
      <c r="W359" s="56">
        <f t="shared" si="1022"/>
        <v>8.0148423005565856</v>
      </c>
      <c r="X359" s="49" t="s">
        <v>163</v>
      </c>
      <c r="Y359" s="57" t="s">
        <v>162</v>
      </c>
      <c r="Z359" s="58">
        <v>12158991</v>
      </c>
      <c r="AA359" s="114">
        <v>6.7500000000000004E-2</v>
      </c>
      <c r="AB359" s="59">
        <v>16</v>
      </c>
      <c r="AC359" s="60">
        <v>40</v>
      </c>
      <c r="AD359" s="61">
        <v>0.06</v>
      </c>
      <c r="AE359" s="62">
        <v>31180000</v>
      </c>
      <c r="AF359" s="63">
        <v>1.1499999999999999</v>
      </c>
      <c r="AG359" s="59"/>
      <c r="AH359" s="60"/>
      <c r="AI359" s="61"/>
      <c r="AJ359" s="64"/>
      <c r="AK359" s="65">
        <f t="shared" si="1023"/>
        <v>31180000</v>
      </c>
      <c r="AL359" s="66">
        <v>2223279</v>
      </c>
      <c r="AM359" s="49" t="s">
        <v>1603</v>
      </c>
      <c r="AN359" s="67">
        <v>0.88</v>
      </c>
      <c r="AO359" s="62">
        <v>26973315</v>
      </c>
      <c r="AP359" s="62">
        <v>2402801</v>
      </c>
      <c r="AQ359" s="68">
        <v>6768821</v>
      </c>
      <c r="AR359" s="69">
        <f t="shared" si="1024"/>
        <v>144351.85185185185</v>
      </c>
      <c r="AS359" s="70">
        <f t="shared" si="1025"/>
        <v>10292.958333333334</v>
      </c>
      <c r="AT359" s="70">
        <f t="shared" si="1026"/>
        <v>124876.45833333333</v>
      </c>
      <c r="AU359" s="70">
        <f t="shared" si="1027"/>
        <v>11124.078703703704</v>
      </c>
      <c r="AV359" s="71">
        <f t="shared" si="1028"/>
        <v>31337.134259259259</v>
      </c>
      <c r="AW359" s="115">
        <f t="shared" si="1029"/>
        <v>176032.65740740742</v>
      </c>
      <c r="AX359" s="116">
        <f t="shared" si="1030"/>
        <v>207.19768297268283</v>
      </c>
      <c r="AY359" s="72">
        <f t="shared" si="1031"/>
        <v>202662.52314814818</v>
      </c>
      <c r="AZ359" s="73">
        <f t="shared" si="1032"/>
        <v>238.54213098942299</v>
      </c>
      <c r="BA359" s="66">
        <v>4475000</v>
      </c>
      <c r="BB359" s="62">
        <v>12695525</v>
      </c>
      <c r="BC359" s="62">
        <v>25327529</v>
      </c>
      <c r="BD359" s="62">
        <v>1976153</v>
      </c>
      <c r="BE359" s="62">
        <v>3775898</v>
      </c>
      <c r="BF359" s="62">
        <v>2313581</v>
      </c>
      <c r="BG359" s="62">
        <v>8990038</v>
      </c>
      <c r="BH359" s="62">
        <v>7689242</v>
      </c>
      <c r="BI359" s="62">
        <v>760024</v>
      </c>
      <c r="BJ359" s="47">
        <f t="shared" si="1033"/>
        <v>68002990</v>
      </c>
      <c r="BK359" s="69">
        <f t="shared" si="1034"/>
        <v>20717.592592592591</v>
      </c>
      <c r="BL359" s="70">
        <f t="shared" si="1035"/>
        <v>58775.578703703701</v>
      </c>
      <c r="BM359" s="70">
        <f t="shared" si="1036"/>
        <v>117257.07870370371</v>
      </c>
      <c r="BN359" s="70">
        <f t="shared" si="1037"/>
        <v>9148.8564814814818</v>
      </c>
      <c r="BO359" s="70">
        <f t="shared" si="1038"/>
        <v>17481.009259259259</v>
      </c>
      <c r="BP359" s="70">
        <f t="shared" si="1039"/>
        <v>10711.023148148148</v>
      </c>
      <c r="BQ359" s="70">
        <f t="shared" si="1040"/>
        <v>41620.546296296299</v>
      </c>
      <c r="BR359" s="70">
        <f t="shared" si="1041"/>
        <v>35598.342592592591</v>
      </c>
      <c r="BS359" s="70">
        <f t="shared" si="1042"/>
        <v>3518.6296296296296</v>
      </c>
      <c r="BT359" s="71">
        <f t="shared" si="1043"/>
        <v>314828.65740740742</v>
      </c>
      <c r="BU359" s="65">
        <f t="shared" si="1044"/>
        <v>24.385459182283352</v>
      </c>
      <c r="BV359" s="48">
        <f t="shared" si="1045"/>
        <v>69.181275236906785</v>
      </c>
      <c r="BW359" s="48">
        <f t="shared" si="1046"/>
        <v>138.01640773577606</v>
      </c>
      <c r="BX359" s="48">
        <f t="shared" si="1047"/>
        <v>10.768580630043976</v>
      </c>
      <c r="BY359" s="48">
        <f t="shared" si="1048"/>
        <v>20.575867386696164</v>
      </c>
      <c r="BZ359" s="48">
        <f t="shared" si="1049"/>
        <v>12.607315092828223</v>
      </c>
      <c r="CA359" s="48">
        <f t="shared" si="1050"/>
        <v>48.989096021491896</v>
      </c>
      <c r="CB359" s="48">
        <f t="shared" si="1051"/>
        <v>41.900714398591909</v>
      </c>
      <c r="CC359" s="48">
        <f t="shared" si="1052"/>
        <v>4.1415718948727873</v>
      </c>
      <c r="CD359" s="47">
        <f t="shared" si="1053"/>
        <v>370.56628757949113</v>
      </c>
      <c r="CE359" s="66">
        <v>3543156</v>
      </c>
      <c r="CF359" s="62">
        <v>77760</v>
      </c>
      <c r="CG359" s="74">
        <v>-271569</v>
      </c>
      <c r="CH359" s="75">
        <f t="shared" si="1054"/>
        <v>3349347</v>
      </c>
      <c r="CI359" s="62">
        <f>90451+1500</f>
        <v>91951</v>
      </c>
      <c r="CJ359" s="62">
        <v>108854</v>
      </c>
      <c r="CK359" s="62">
        <v>378040</v>
      </c>
      <c r="CL359" s="62">
        <v>140832</v>
      </c>
      <c r="CM359" s="62">
        <f>8424+38664</f>
        <v>47088</v>
      </c>
      <c r="CN359" s="62">
        <v>112141</v>
      </c>
      <c r="CO359" s="62">
        <v>0</v>
      </c>
      <c r="CP359" s="75">
        <f t="shared" si="868"/>
        <v>878906</v>
      </c>
      <c r="CQ359" s="62">
        <v>54000</v>
      </c>
      <c r="CR359" s="75">
        <f t="shared" si="1055"/>
        <v>932906</v>
      </c>
      <c r="CS359" s="75">
        <f t="shared" si="1056"/>
        <v>2470441</v>
      </c>
      <c r="CT359" s="62">
        <v>2089859</v>
      </c>
      <c r="CU359" s="47">
        <f t="shared" si="1057"/>
        <v>380582</v>
      </c>
      <c r="CV359" s="76">
        <f t="shared" si="1058"/>
        <v>0.7375888494085564</v>
      </c>
      <c r="CW359" s="75">
        <f t="shared" si="1059"/>
        <v>4319.0092592592591</v>
      </c>
      <c r="CX359" s="77">
        <f t="shared" si="1060"/>
        <v>0.2785336962697505</v>
      </c>
      <c r="CY359" s="75">
        <f t="shared" si="1061"/>
        <v>1761.9537037037037</v>
      </c>
      <c r="CZ359" s="77">
        <f t="shared" si="1062"/>
        <v>0.11362871628409955</v>
      </c>
      <c r="DA359" s="77">
        <f t="shared" si="1063"/>
        <v>0.62396013312445675</v>
      </c>
      <c r="DB359" s="47">
        <f t="shared" si="1064"/>
        <v>144351.85185185185</v>
      </c>
      <c r="DC359" s="69">
        <f t="shared" si="1065"/>
        <v>16403.5</v>
      </c>
      <c r="DD359" s="70">
        <f t="shared" si="1066"/>
        <v>360</v>
      </c>
      <c r="DE359" s="70">
        <f t="shared" si="1067"/>
        <v>-1257.2638888888889</v>
      </c>
      <c r="DF359" s="70">
        <f t="shared" si="1068"/>
        <v>15506.236111111111</v>
      </c>
      <c r="DG359" s="70">
        <f t="shared" si="1069"/>
        <v>425.69907407407408</v>
      </c>
      <c r="DH359" s="70">
        <f t="shared" si="1070"/>
        <v>503.9537037037037</v>
      </c>
      <c r="DI359" s="70">
        <f t="shared" si="1071"/>
        <v>1750.1851851851852</v>
      </c>
      <c r="DJ359" s="70">
        <f t="shared" si="1072"/>
        <v>652</v>
      </c>
      <c r="DK359" s="70">
        <f t="shared" si="1073"/>
        <v>218</v>
      </c>
      <c r="DL359" s="70">
        <f t="shared" si="1074"/>
        <v>519.1712962962963</v>
      </c>
      <c r="DM359" s="70" t="str">
        <f t="shared" si="1075"/>
        <v/>
      </c>
      <c r="DN359" s="70">
        <f t="shared" si="1076"/>
        <v>4069.0092592592591</v>
      </c>
      <c r="DO359" s="70">
        <f t="shared" si="1077"/>
        <v>250</v>
      </c>
      <c r="DP359" s="70">
        <f t="shared" si="1078"/>
        <v>4319.0092592592591</v>
      </c>
      <c r="DQ359" s="70">
        <f t="shared" si="1079"/>
        <v>11437.226851851852</v>
      </c>
      <c r="DR359" s="70">
        <f t="shared" si="1080"/>
        <v>9675.2731481481478</v>
      </c>
      <c r="DS359" s="71">
        <f t="shared" si="1081"/>
        <v>1761.9537037037037</v>
      </c>
      <c r="DT359" s="106">
        <f t="shared" si="1082"/>
        <v>1.0578647121364253</v>
      </c>
      <c r="DU359" s="92">
        <f t="shared" si="1083"/>
        <v>2.3216465776761858E-2</v>
      </c>
      <c r="DV359" s="92" t="str">
        <f t="shared" si="1084"/>
        <v/>
      </c>
      <c r="DW359" s="92">
        <f t="shared" si="1085"/>
        <v>1</v>
      </c>
      <c r="DX359" s="92">
        <f t="shared" si="1086"/>
        <v>2.7453411067888754E-2</v>
      </c>
      <c r="DY359" s="92">
        <f t="shared" si="1087"/>
        <v>3.2500066430859509E-2</v>
      </c>
      <c r="DZ359" s="92">
        <f t="shared" si="1088"/>
        <v>0.1128697623745763</v>
      </c>
      <c r="EA359" s="92">
        <f t="shared" si="1089"/>
        <v>4.2047599129024255E-2</v>
      </c>
      <c r="EB359" s="92">
        <f t="shared" si="1090"/>
        <v>1.4058859831483569E-2</v>
      </c>
      <c r="EC359" s="92">
        <f t="shared" si="1091"/>
        <v>3.3481451757611261E-2</v>
      </c>
      <c r="ED359" s="92" t="str">
        <f t="shared" si="1092"/>
        <v/>
      </c>
      <c r="EE359" s="92">
        <f t="shared" si="1093"/>
        <v>0.26241115059144365</v>
      </c>
      <c r="EF359" s="92">
        <f t="shared" si="1094"/>
        <v>1.6122545678306847E-2</v>
      </c>
      <c r="EG359" s="92">
        <f t="shared" si="1095"/>
        <v>0.2785336962697505</v>
      </c>
      <c r="EH359" s="92">
        <f t="shared" si="1096"/>
        <v>0.7375888494085564</v>
      </c>
      <c r="EI359" s="92">
        <f t="shared" si="1097"/>
        <v>0.62396013312445675</v>
      </c>
      <c r="EJ359" s="122">
        <f t="shared" si="1098"/>
        <v>0.11362871628409955</v>
      </c>
    </row>
    <row r="360" spans="2:140" ht="12" hidden="1" customHeight="1" outlineLevel="1">
      <c r="B360" s="121">
        <v>45960</v>
      </c>
      <c r="C360" s="117" t="s">
        <v>1604</v>
      </c>
      <c r="D360" s="50" t="s">
        <v>1605</v>
      </c>
      <c r="E360" s="50" t="s">
        <v>1606</v>
      </c>
      <c r="F360" s="50" t="s">
        <v>1607</v>
      </c>
      <c r="G360" s="50" t="s">
        <v>291</v>
      </c>
      <c r="H360" s="50" t="s">
        <v>1608</v>
      </c>
      <c r="I360" s="50" t="s">
        <v>1609</v>
      </c>
      <c r="J360" s="52" t="s">
        <v>199</v>
      </c>
      <c r="K360" s="50" t="s">
        <v>199</v>
      </c>
      <c r="L360" s="49">
        <v>3</v>
      </c>
      <c r="M360" s="50" t="s">
        <v>159</v>
      </c>
      <c r="N360" s="50" t="s">
        <v>160</v>
      </c>
      <c r="O360" s="50" t="s">
        <v>318</v>
      </c>
      <c r="P360" s="50" t="s">
        <v>177</v>
      </c>
      <c r="Q360" s="53">
        <v>0.09</v>
      </c>
      <c r="R360" s="49">
        <v>88</v>
      </c>
      <c r="S360" s="49">
        <v>0</v>
      </c>
      <c r="T360" s="54">
        <f t="shared" si="867"/>
        <v>88</v>
      </c>
      <c r="U360" s="55">
        <v>72900</v>
      </c>
      <c r="V360" s="49">
        <v>1.712</v>
      </c>
      <c r="W360" s="56">
        <f t="shared" si="1022"/>
        <v>51.401869158878505</v>
      </c>
      <c r="X360" s="49" t="s">
        <v>163</v>
      </c>
      <c r="Y360" s="57" t="s">
        <v>162</v>
      </c>
      <c r="Z360" s="58">
        <v>15600000</v>
      </c>
      <c r="AA360" s="114">
        <v>7.0000000000000007E-2</v>
      </c>
      <c r="AB360" s="59">
        <v>15</v>
      </c>
      <c r="AC360" s="60">
        <v>40</v>
      </c>
      <c r="AD360" s="61">
        <v>7.0000000000000007E-2</v>
      </c>
      <c r="AE360" s="62">
        <v>7000000</v>
      </c>
      <c r="AF360" s="63">
        <v>1.21</v>
      </c>
      <c r="AG360" s="59"/>
      <c r="AH360" s="60"/>
      <c r="AI360" s="61"/>
      <c r="AJ360" s="64"/>
      <c r="AK360" s="65">
        <f t="shared" si="1023"/>
        <v>7000000</v>
      </c>
      <c r="AL360" s="66">
        <v>3500000</v>
      </c>
      <c r="AM360" s="49" t="s">
        <v>1610</v>
      </c>
      <c r="AN360" s="67">
        <v>0.86</v>
      </c>
      <c r="AO360" s="62">
        <v>18623129</v>
      </c>
      <c r="AP360" s="62">
        <v>632098</v>
      </c>
      <c r="AQ360" s="68">
        <v>1324859</v>
      </c>
      <c r="AR360" s="69">
        <f t="shared" si="1024"/>
        <v>79545.454545454544</v>
      </c>
      <c r="AS360" s="70">
        <f t="shared" si="1025"/>
        <v>39772.727272727272</v>
      </c>
      <c r="AT360" s="70">
        <f t="shared" si="1026"/>
        <v>211626.46590909091</v>
      </c>
      <c r="AU360" s="70">
        <f t="shared" si="1027"/>
        <v>7182.931818181818</v>
      </c>
      <c r="AV360" s="71">
        <f t="shared" si="1028"/>
        <v>15055.21590909091</v>
      </c>
      <c r="AW360" s="115">
        <f t="shared" si="1029"/>
        <v>183415.22727272726</v>
      </c>
      <c r="AX360" s="116">
        <f t="shared" si="1030"/>
        <v>221.40658436213991</v>
      </c>
      <c r="AY360" s="72">
        <f t="shared" si="1031"/>
        <v>219548.02272727271</v>
      </c>
      <c r="AZ360" s="73">
        <f t="shared" si="1032"/>
        <v>265.02367626886149</v>
      </c>
      <c r="BA360" s="66">
        <v>1575000</v>
      </c>
      <c r="BB360" s="62">
        <v>1515000</v>
      </c>
      <c r="BC360" s="62">
        <v>14625540</v>
      </c>
      <c r="BD360" s="62">
        <v>807027</v>
      </c>
      <c r="BE360" s="62">
        <v>2372659</v>
      </c>
      <c r="BF360" s="62">
        <v>2245719</v>
      </c>
      <c r="BG360" s="62">
        <v>2217633</v>
      </c>
      <c r="BH360" s="62">
        <v>3405200</v>
      </c>
      <c r="BI360" s="62">
        <v>359351</v>
      </c>
      <c r="BJ360" s="47">
        <f t="shared" si="1033"/>
        <v>29123129</v>
      </c>
      <c r="BK360" s="69">
        <f t="shared" si="1034"/>
        <v>17897.727272727272</v>
      </c>
      <c r="BL360" s="70">
        <f t="shared" si="1035"/>
        <v>17215.909090909092</v>
      </c>
      <c r="BM360" s="70">
        <f t="shared" si="1036"/>
        <v>166199.31818181818</v>
      </c>
      <c r="BN360" s="70">
        <f t="shared" si="1037"/>
        <v>9170.761363636364</v>
      </c>
      <c r="BO360" s="70">
        <f t="shared" si="1038"/>
        <v>26962.034090909092</v>
      </c>
      <c r="BP360" s="70">
        <f t="shared" si="1039"/>
        <v>25519.534090909092</v>
      </c>
      <c r="BQ360" s="70">
        <f t="shared" si="1040"/>
        <v>25200.375</v>
      </c>
      <c r="BR360" s="70">
        <f t="shared" si="1041"/>
        <v>38695.454545454544</v>
      </c>
      <c r="BS360" s="70">
        <f t="shared" si="1042"/>
        <v>4083.534090909091</v>
      </c>
      <c r="BT360" s="71">
        <f t="shared" si="1043"/>
        <v>330944.64772727271</v>
      </c>
      <c r="BU360" s="65">
        <f t="shared" si="1044"/>
        <v>21.604938271604937</v>
      </c>
      <c r="BV360" s="48">
        <f t="shared" si="1045"/>
        <v>20.781893004115226</v>
      </c>
      <c r="BW360" s="48">
        <f t="shared" si="1046"/>
        <v>200.62469135802471</v>
      </c>
      <c r="BX360" s="48">
        <f t="shared" si="1047"/>
        <v>11.070329218106997</v>
      </c>
      <c r="BY360" s="48">
        <f t="shared" si="1048"/>
        <v>32.546762688614542</v>
      </c>
      <c r="BZ360" s="48">
        <f t="shared" si="1049"/>
        <v>30.805473251028808</v>
      </c>
      <c r="CA360" s="48">
        <f t="shared" si="1050"/>
        <v>30.420205761316872</v>
      </c>
      <c r="CB360" s="48">
        <f t="shared" si="1051"/>
        <v>46.710562414266121</v>
      </c>
      <c r="CC360" s="48">
        <f t="shared" si="1052"/>
        <v>4.9293689986282576</v>
      </c>
      <c r="CD360" s="47">
        <f t="shared" si="1053"/>
        <v>399.49422496570645</v>
      </c>
      <c r="CE360" s="66">
        <v>1241196</v>
      </c>
      <c r="CF360" s="62">
        <v>24372</v>
      </c>
      <c r="CG360" s="74">
        <v>-94918</v>
      </c>
      <c r="CH360" s="75">
        <f t="shared" si="1054"/>
        <v>1170650</v>
      </c>
      <c r="CI360" s="62">
        <v>47900</v>
      </c>
      <c r="CJ360" s="62">
        <v>57952</v>
      </c>
      <c r="CK360" s="62">
        <v>124600</v>
      </c>
      <c r="CL360" s="62">
        <v>61400</v>
      </c>
      <c r="CM360" s="62">
        <f>11000+59200</f>
        <v>70200</v>
      </c>
      <c r="CN360" s="62">
        <v>75000</v>
      </c>
      <c r="CO360" s="62">
        <v>70000</v>
      </c>
      <c r="CP360" s="75">
        <f t="shared" si="868"/>
        <v>507052</v>
      </c>
      <c r="CQ360" s="62">
        <v>26400</v>
      </c>
      <c r="CR360" s="75">
        <f t="shared" si="1055"/>
        <v>533452</v>
      </c>
      <c r="CS360" s="75">
        <f t="shared" si="1056"/>
        <v>663598</v>
      </c>
      <c r="CT360" s="62">
        <v>539502</v>
      </c>
      <c r="CU360" s="47">
        <f t="shared" si="1057"/>
        <v>124096</v>
      </c>
      <c r="CV360" s="76">
        <f t="shared" si="1058"/>
        <v>0.56686285397001668</v>
      </c>
      <c r="CW360" s="75">
        <f t="shared" si="1059"/>
        <v>6061.954545454545</v>
      </c>
      <c r="CX360" s="77">
        <f t="shared" si="1060"/>
        <v>0.45568871994191262</v>
      </c>
      <c r="CY360" s="75">
        <f t="shared" si="1061"/>
        <v>1410.1818181818182</v>
      </c>
      <c r="CZ360" s="77">
        <f t="shared" si="1062"/>
        <v>0.10600606500662026</v>
      </c>
      <c r="DA360" s="77">
        <f t="shared" si="1063"/>
        <v>0.46085678896339638</v>
      </c>
      <c r="DB360" s="47">
        <f t="shared" si="1064"/>
        <v>79545.454545454544</v>
      </c>
      <c r="DC360" s="69">
        <f t="shared" si="1065"/>
        <v>14104.5</v>
      </c>
      <c r="DD360" s="70">
        <f t="shared" si="1066"/>
        <v>276.95454545454544</v>
      </c>
      <c r="DE360" s="70">
        <f t="shared" si="1067"/>
        <v>-1078.6136363636363</v>
      </c>
      <c r="DF360" s="70">
        <f t="shared" si="1068"/>
        <v>13302.84090909091</v>
      </c>
      <c r="DG360" s="70">
        <f t="shared" si="1069"/>
        <v>544.31818181818187</v>
      </c>
      <c r="DH360" s="70">
        <f t="shared" si="1070"/>
        <v>658.5454545454545</v>
      </c>
      <c r="DI360" s="70">
        <f t="shared" si="1071"/>
        <v>1415.909090909091</v>
      </c>
      <c r="DJ360" s="70">
        <f t="shared" si="1072"/>
        <v>697.72727272727275</v>
      </c>
      <c r="DK360" s="70">
        <f t="shared" si="1073"/>
        <v>797.72727272727275</v>
      </c>
      <c r="DL360" s="70">
        <f t="shared" si="1074"/>
        <v>852.27272727272725</v>
      </c>
      <c r="DM360" s="70">
        <f t="shared" si="1075"/>
        <v>795.4545454545455</v>
      </c>
      <c r="DN360" s="70">
        <f t="shared" si="1076"/>
        <v>5761.954545454545</v>
      </c>
      <c r="DO360" s="70">
        <f t="shared" si="1077"/>
        <v>300</v>
      </c>
      <c r="DP360" s="70">
        <f t="shared" si="1078"/>
        <v>6061.954545454545</v>
      </c>
      <c r="DQ360" s="70">
        <f t="shared" si="1079"/>
        <v>7540.886363636364</v>
      </c>
      <c r="DR360" s="70">
        <f t="shared" si="1080"/>
        <v>6130.704545454545</v>
      </c>
      <c r="DS360" s="71">
        <f t="shared" si="1081"/>
        <v>1410.1818181818182</v>
      </c>
      <c r="DT360" s="106">
        <f t="shared" si="1082"/>
        <v>1.0602622474693546</v>
      </c>
      <c r="DU360" s="92">
        <f t="shared" si="1083"/>
        <v>2.0819203006876522E-2</v>
      </c>
      <c r="DV360" s="92" t="str">
        <f t="shared" si="1084"/>
        <v/>
      </c>
      <c r="DW360" s="92">
        <f t="shared" si="1085"/>
        <v>1</v>
      </c>
      <c r="DX360" s="92">
        <f t="shared" si="1086"/>
        <v>4.0917439029598941E-2</v>
      </c>
      <c r="DY360" s="92">
        <f t="shared" si="1087"/>
        <v>4.9504121641822919E-2</v>
      </c>
      <c r="DZ360" s="92">
        <f t="shared" si="1088"/>
        <v>0.10643659505402982</v>
      </c>
      <c r="EA360" s="92">
        <f t="shared" si="1089"/>
        <v>5.2449493870926407E-2</v>
      </c>
      <c r="EB360" s="92">
        <f t="shared" si="1090"/>
        <v>5.9966685174902834E-2</v>
      </c>
      <c r="EC360" s="92">
        <f t="shared" si="1091"/>
        <v>6.4066971340708156E-2</v>
      </c>
      <c r="ED360" s="92">
        <f t="shared" si="1092"/>
        <v>5.9795839917994274E-2</v>
      </c>
      <c r="EE360" s="92">
        <f t="shared" si="1093"/>
        <v>0.43313714602998332</v>
      </c>
      <c r="EF360" s="92">
        <f t="shared" si="1094"/>
        <v>2.255157391192927E-2</v>
      </c>
      <c r="EG360" s="92">
        <f t="shared" si="1095"/>
        <v>0.45568871994191262</v>
      </c>
      <c r="EH360" s="92">
        <f t="shared" si="1096"/>
        <v>0.56686285397001668</v>
      </c>
      <c r="EI360" s="92">
        <f t="shared" si="1097"/>
        <v>0.46085678896339638</v>
      </c>
      <c r="EJ360" s="122">
        <f t="shared" si="1098"/>
        <v>0.10600606500662026</v>
      </c>
    </row>
    <row r="361" spans="2:140" ht="12" hidden="1" customHeight="1" outlineLevel="1">
      <c r="B361" s="121">
        <v>45960</v>
      </c>
      <c r="C361" s="117">
        <v>25473</v>
      </c>
      <c r="D361" s="50" t="s">
        <v>1611</v>
      </c>
      <c r="E361" s="50" t="s">
        <v>1536</v>
      </c>
      <c r="F361" s="50" t="s">
        <v>1612</v>
      </c>
      <c r="G361" s="50" t="s">
        <v>291</v>
      </c>
      <c r="H361" s="50" t="s">
        <v>1382</v>
      </c>
      <c r="I361" s="50" t="s">
        <v>306</v>
      </c>
      <c r="J361" s="52" t="s">
        <v>1613</v>
      </c>
      <c r="K361" s="50" t="s">
        <v>176</v>
      </c>
      <c r="L361" s="49">
        <v>6</v>
      </c>
      <c r="M361" s="50" t="s">
        <v>159</v>
      </c>
      <c r="N361" s="50" t="s">
        <v>160</v>
      </c>
      <c r="O361" s="50" t="s">
        <v>160</v>
      </c>
      <c r="P361" s="50" t="s">
        <v>1351</v>
      </c>
      <c r="Q361" s="53">
        <v>0.04</v>
      </c>
      <c r="R361" s="49">
        <v>180</v>
      </c>
      <c r="S361" s="49">
        <v>0</v>
      </c>
      <c r="T361" s="54">
        <f t="shared" si="867"/>
        <v>180</v>
      </c>
      <c r="U361" s="55">
        <v>191251</v>
      </c>
      <c r="V361" s="49">
        <v>14.67</v>
      </c>
      <c r="W361" s="56">
        <f t="shared" si="1022"/>
        <v>12.269938650306749</v>
      </c>
      <c r="X361" s="49">
        <v>2006</v>
      </c>
      <c r="Y361" s="57" t="s">
        <v>162</v>
      </c>
      <c r="Z361" s="58">
        <v>16553000</v>
      </c>
      <c r="AA361" s="114">
        <v>5.7500000000000002E-2</v>
      </c>
      <c r="AB361" s="59">
        <v>15</v>
      </c>
      <c r="AC361" s="60">
        <v>40</v>
      </c>
      <c r="AD361" s="61">
        <v>5.7500000000000002E-2</v>
      </c>
      <c r="AE361" s="62">
        <v>16553000</v>
      </c>
      <c r="AF361" s="63">
        <v>1.57</v>
      </c>
      <c r="AG361" s="59">
        <v>15</v>
      </c>
      <c r="AH361" s="60">
        <v>40</v>
      </c>
      <c r="AI361" s="61">
        <v>6.25E-2</v>
      </c>
      <c r="AJ361" s="64">
        <v>4800000</v>
      </c>
      <c r="AK361" s="65">
        <f t="shared" si="1023"/>
        <v>21353000</v>
      </c>
      <c r="AL361" s="66">
        <v>0</v>
      </c>
      <c r="AM361" s="49" t="s">
        <v>163</v>
      </c>
      <c r="AN361" s="67">
        <v>0.87</v>
      </c>
      <c r="AO361" s="62">
        <v>9830722</v>
      </c>
      <c r="AP361" s="62">
        <v>1050100</v>
      </c>
      <c r="AQ361" s="68">
        <v>210107</v>
      </c>
      <c r="AR361" s="69">
        <f t="shared" si="1024"/>
        <v>118627.77777777778</v>
      </c>
      <c r="AS361" s="70" t="str">
        <f t="shared" si="1025"/>
        <v/>
      </c>
      <c r="AT361" s="70">
        <f t="shared" si="1026"/>
        <v>54615.12222222222</v>
      </c>
      <c r="AU361" s="70">
        <f t="shared" si="1027"/>
        <v>5833.8888888888887</v>
      </c>
      <c r="AV361" s="71">
        <f t="shared" si="1028"/>
        <v>1167.2611111111112</v>
      </c>
      <c r="AW361" s="115">
        <f t="shared" si="1029"/>
        <v>25000</v>
      </c>
      <c r="AX361" s="116">
        <f t="shared" si="1030"/>
        <v>23.529288735745173</v>
      </c>
      <c r="AY361" s="72">
        <f t="shared" si="1031"/>
        <v>31350</v>
      </c>
      <c r="AZ361" s="73">
        <f t="shared" si="1032"/>
        <v>29.505728074624447</v>
      </c>
      <c r="BA361" s="66">
        <v>18740000</v>
      </c>
      <c r="BB361" s="62">
        <v>135000</v>
      </c>
      <c r="BC361" s="62">
        <v>4365000</v>
      </c>
      <c r="BD361" s="62">
        <v>450000</v>
      </c>
      <c r="BE361" s="62">
        <v>693000</v>
      </c>
      <c r="BF361" s="62">
        <v>347500</v>
      </c>
      <c r="BG361" s="62">
        <v>1756479</v>
      </c>
      <c r="BH361" s="62">
        <v>3685046</v>
      </c>
      <c r="BI361" s="62">
        <v>800000</v>
      </c>
      <c r="BJ361" s="47">
        <f t="shared" si="1033"/>
        <v>30972025</v>
      </c>
      <c r="BK361" s="69">
        <f t="shared" si="1034"/>
        <v>104111.11111111111</v>
      </c>
      <c r="BL361" s="70">
        <f t="shared" si="1035"/>
        <v>750</v>
      </c>
      <c r="BM361" s="70">
        <f t="shared" si="1036"/>
        <v>24250</v>
      </c>
      <c r="BN361" s="70">
        <f t="shared" si="1037"/>
        <v>2500</v>
      </c>
      <c r="BO361" s="70">
        <f t="shared" si="1038"/>
        <v>3850</v>
      </c>
      <c r="BP361" s="70">
        <f t="shared" si="1039"/>
        <v>1930.5555555555557</v>
      </c>
      <c r="BQ361" s="70">
        <f t="shared" si="1040"/>
        <v>9758.2166666666672</v>
      </c>
      <c r="BR361" s="70">
        <f t="shared" si="1041"/>
        <v>20472.477777777778</v>
      </c>
      <c r="BS361" s="70">
        <f t="shared" si="1042"/>
        <v>4444.4444444444443</v>
      </c>
      <c r="BT361" s="71">
        <f t="shared" si="1043"/>
        <v>172066.80555555556</v>
      </c>
      <c r="BU361" s="65">
        <f t="shared" si="1044"/>
        <v>97.986415757303234</v>
      </c>
      <c r="BV361" s="48">
        <f t="shared" si="1045"/>
        <v>0.70587866207235517</v>
      </c>
      <c r="BW361" s="48">
        <f t="shared" si="1046"/>
        <v>22.823410073672818</v>
      </c>
      <c r="BX361" s="48">
        <f t="shared" si="1047"/>
        <v>2.3529288735745171</v>
      </c>
      <c r="BY361" s="48">
        <f t="shared" si="1048"/>
        <v>3.6235104653047565</v>
      </c>
      <c r="BZ361" s="48">
        <f t="shared" si="1049"/>
        <v>1.816983963482544</v>
      </c>
      <c r="CA361" s="48">
        <f t="shared" si="1050"/>
        <v>9.1841558998384318</v>
      </c>
      <c r="CB361" s="48">
        <f t="shared" si="1051"/>
        <v>19.268113630778402</v>
      </c>
      <c r="CC361" s="48">
        <f t="shared" si="1052"/>
        <v>4.1829846641324755</v>
      </c>
      <c r="CD361" s="47">
        <f t="shared" si="1053"/>
        <v>161.94438199015954</v>
      </c>
      <c r="CE361" s="66">
        <v>2847852</v>
      </c>
      <c r="CF361" s="62">
        <v>64800</v>
      </c>
      <c r="CG361" s="74">
        <v>-218449</v>
      </c>
      <c r="CH361" s="75">
        <f t="shared" si="1054"/>
        <v>2694203</v>
      </c>
      <c r="CI361" s="62">
        <f>64000+7200</f>
        <v>71200</v>
      </c>
      <c r="CJ361" s="62">
        <v>107768</v>
      </c>
      <c r="CK361" s="62">
        <v>277965</v>
      </c>
      <c r="CL361" s="62">
        <v>127500</v>
      </c>
      <c r="CM361" s="62">
        <v>162000</v>
      </c>
      <c r="CN361" s="62">
        <v>201447</v>
      </c>
      <c r="CO361" s="62">
        <v>0</v>
      </c>
      <c r="CP361" s="75">
        <f t="shared" si="868"/>
        <v>947880</v>
      </c>
      <c r="CQ361" s="62">
        <v>54000</v>
      </c>
      <c r="CR361" s="75">
        <f t="shared" si="1055"/>
        <v>1001880</v>
      </c>
      <c r="CS361" s="75">
        <f t="shared" si="1056"/>
        <v>1746323</v>
      </c>
      <c r="CT361" s="62">
        <v>1402078</v>
      </c>
      <c r="CU361" s="47">
        <f t="shared" si="1057"/>
        <v>344245</v>
      </c>
      <c r="CV361" s="76">
        <f t="shared" si="1058"/>
        <v>0.64817795837952819</v>
      </c>
      <c r="CW361" s="75">
        <f t="shared" si="1059"/>
        <v>5566</v>
      </c>
      <c r="CX361" s="77">
        <f t="shared" si="1060"/>
        <v>0.37186507475494607</v>
      </c>
      <c r="CY361" s="75">
        <f t="shared" si="1061"/>
        <v>1912.4722222222222</v>
      </c>
      <c r="CZ361" s="77">
        <f t="shared" si="1062"/>
        <v>0.12777248039587216</v>
      </c>
      <c r="DA361" s="77">
        <f t="shared" si="1063"/>
        <v>0.520405477983656</v>
      </c>
      <c r="DB361" s="47">
        <f t="shared" si="1064"/>
        <v>118627.77777777778</v>
      </c>
      <c r="DC361" s="69">
        <f t="shared" si="1065"/>
        <v>15821.4</v>
      </c>
      <c r="DD361" s="70">
        <f t="shared" si="1066"/>
        <v>360</v>
      </c>
      <c r="DE361" s="70">
        <f t="shared" si="1067"/>
        <v>-1213.6055555555556</v>
      </c>
      <c r="DF361" s="70">
        <f t="shared" si="1068"/>
        <v>14967.794444444444</v>
      </c>
      <c r="DG361" s="70">
        <f t="shared" si="1069"/>
        <v>395.55555555555554</v>
      </c>
      <c r="DH361" s="70">
        <f t="shared" si="1070"/>
        <v>598.71111111111111</v>
      </c>
      <c r="DI361" s="70">
        <f t="shared" si="1071"/>
        <v>1544.25</v>
      </c>
      <c r="DJ361" s="70">
        <f t="shared" si="1072"/>
        <v>708.33333333333337</v>
      </c>
      <c r="DK361" s="70">
        <f t="shared" si="1073"/>
        <v>900</v>
      </c>
      <c r="DL361" s="70">
        <f t="shared" si="1074"/>
        <v>1119.1500000000001</v>
      </c>
      <c r="DM361" s="70" t="str">
        <f t="shared" si="1075"/>
        <v/>
      </c>
      <c r="DN361" s="70">
        <f t="shared" si="1076"/>
        <v>5266</v>
      </c>
      <c r="DO361" s="70">
        <f t="shared" si="1077"/>
        <v>300</v>
      </c>
      <c r="DP361" s="70">
        <f t="shared" si="1078"/>
        <v>5566</v>
      </c>
      <c r="DQ361" s="70">
        <f t="shared" si="1079"/>
        <v>9701.7944444444438</v>
      </c>
      <c r="DR361" s="70">
        <f t="shared" si="1080"/>
        <v>7789.3222222222221</v>
      </c>
      <c r="DS361" s="71">
        <f t="shared" si="1081"/>
        <v>1912.4722222222222</v>
      </c>
      <c r="DT361" s="106">
        <f t="shared" si="1082"/>
        <v>1.0570294814459045</v>
      </c>
      <c r="DU361" s="92">
        <f t="shared" si="1083"/>
        <v>2.4051639761369131E-2</v>
      </c>
      <c r="DV361" s="92" t="str">
        <f t="shared" si="1084"/>
        <v/>
      </c>
      <c r="DW361" s="92">
        <f t="shared" si="1085"/>
        <v>1</v>
      </c>
      <c r="DX361" s="92">
        <f t="shared" si="1086"/>
        <v>2.6427110355084601E-2</v>
      </c>
      <c r="DY361" s="92">
        <f t="shared" si="1087"/>
        <v>3.9999955459926365E-2</v>
      </c>
      <c r="DZ361" s="92">
        <f t="shared" si="1088"/>
        <v>0.10317151305970634</v>
      </c>
      <c r="EA361" s="92">
        <f t="shared" si="1089"/>
        <v>4.7323828234175379E-2</v>
      </c>
      <c r="EB361" s="92">
        <f t="shared" si="1090"/>
        <v>6.0129099403422828E-2</v>
      </c>
      <c r="EC361" s="92">
        <f t="shared" si="1091"/>
        <v>7.4770535108156289E-2</v>
      </c>
      <c r="ED361" s="92" t="str">
        <f t="shared" si="1092"/>
        <v/>
      </c>
      <c r="EE361" s="92">
        <f t="shared" si="1093"/>
        <v>0.35182204162047181</v>
      </c>
      <c r="EF361" s="92">
        <f t="shared" si="1094"/>
        <v>2.0043033134474277E-2</v>
      </c>
      <c r="EG361" s="92">
        <f t="shared" si="1095"/>
        <v>0.37186507475494607</v>
      </c>
      <c r="EH361" s="92">
        <f t="shared" si="1096"/>
        <v>0.64817795837952819</v>
      </c>
      <c r="EI361" s="92">
        <f t="shared" si="1097"/>
        <v>0.520405477983656</v>
      </c>
      <c r="EJ361" s="122">
        <f t="shared" si="1098"/>
        <v>0.12777248039587216</v>
      </c>
    </row>
    <row r="362" spans="2:140" ht="12" hidden="1" customHeight="1" outlineLevel="1">
      <c r="B362" s="121">
        <v>45965</v>
      </c>
      <c r="C362" s="117">
        <v>25479</v>
      </c>
      <c r="D362" s="50" t="s">
        <v>1614</v>
      </c>
      <c r="E362" s="50" t="s">
        <v>1615</v>
      </c>
      <c r="F362" s="50" t="s">
        <v>846</v>
      </c>
      <c r="G362" s="50" t="s">
        <v>162</v>
      </c>
      <c r="H362" s="50" t="s">
        <v>1602</v>
      </c>
      <c r="I362" s="50" t="s">
        <v>749</v>
      </c>
      <c r="J362" s="52" t="s">
        <v>230</v>
      </c>
      <c r="K362" s="50" t="s">
        <v>230</v>
      </c>
      <c r="L362" s="49">
        <v>3</v>
      </c>
      <c r="M362" s="50" t="s">
        <v>159</v>
      </c>
      <c r="N362" s="50" t="s">
        <v>244</v>
      </c>
      <c r="O362" s="50" t="s">
        <v>160</v>
      </c>
      <c r="P362" s="50" t="s">
        <v>177</v>
      </c>
      <c r="Q362" s="53">
        <v>0.04</v>
      </c>
      <c r="R362" s="49">
        <v>206</v>
      </c>
      <c r="S362" s="49">
        <v>23</v>
      </c>
      <c r="T362" s="54">
        <f t="shared" si="867"/>
        <v>229</v>
      </c>
      <c r="U362" s="55">
        <v>209358</v>
      </c>
      <c r="V362" s="49">
        <v>19.93</v>
      </c>
      <c r="W362" s="56">
        <f t="shared" ref="W362:W416" si="1099">IFERROR(IF(T362&gt;0,T362/V362,""),"")</f>
        <v>11.490215755143002</v>
      </c>
      <c r="X362" s="49" t="s">
        <v>163</v>
      </c>
      <c r="Y362" s="57" t="s">
        <v>162</v>
      </c>
      <c r="Z362" s="58">
        <v>33160000</v>
      </c>
      <c r="AA362" s="114">
        <v>0.06</v>
      </c>
      <c r="AB362" s="59">
        <v>16</v>
      </c>
      <c r="AC362" s="60">
        <v>40</v>
      </c>
      <c r="AD362" s="61">
        <v>0.06</v>
      </c>
      <c r="AE362" s="62">
        <v>33160000</v>
      </c>
      <c r="AF362" s="63">
        <v>1.1499999999999999</v>
      </c>
      <c r="AG362" s="59"/>
      <c r="AH362" s="60"/>
      <c r="AI362" s="61"/>
      <c r="AJ362" s="64"/>
      <c r="AK362" s="65">
        <f t="shared" ref="AK362:AK416" si="1100">IFERROR(IF(AE362&gt;0,AJ362+AE362,""),"")</f>
        <v>33160000</v>
      </c>
      <c r="AL362" s="66">
        <v>1749156</v>
      </c>
      <c r="AM362" s="49" t="s">
        <v>1616</v>
      </c>
      <c r="AN362" s="67">
        <v>0.88</v>
      </c>
      <c r="AO362" s="62">
        <v>22871097</v>
      </c>
      <c r="AP362" s="62">
        <v>2551240</v>
      </c>
      <c r="AQ362" s="68">
        <v>4593347</v>
      </c>
      <c r="AR362" s="69">
        <f t="shared" ref="AR362:AR416" si="1101">IFERROR(IF(AK362&gt;0,AK362/T362,""),"")</f>
        <v>144803.49344978167</v>
      </c>
      <c r="AS362" s="70">
        <f t="shared" ref="AS362:AS416" si="1102">IFERROR(IF(AL362&gt;0,AL362/T362,""),"")</f>
        <v>7638.235807860262</v>
      </c>
      <c r="AT362" s="70">
        <f t="shared" ref="AT362:AT416" si="1103">IFERROR(IF(AO362&gt;0,AO362/T362,""),"")</f>
        <v>99873.786026200876</v>
      </c>
      <c r="AU362" s="70">
        <f t="shared" ref="AU362:AU416" si="1104">IFERROR(IF(AP362&gt;0,AP362/T362,""),"")</f>
        <v>11140.786026200873</v>
      </c>
      <c r="AV362" s="71">
        <f t="shared" ref="AV362:AV416" si="1105">IFERROR(IF(AQ362&gt;0,AQ362/T362,""),"")</f>
        <v>20058.283842794761</v>
      </c>
      <c r="AW362" s="115">
        <f t="shared" ref="AW362:AW416" si="1106">IFERROR(IF(SUM(BB362:BC362)&gt;0,SUM(BB362:BC362)/T362,""),"")</f>
        <v>150852.01746724889</v>
      </c>
      <c r="AX362" s="116">
        <f t="shared" ref="AX362:AX416" si="1107">IFERROR(IF(SUM(BB362:BC362)&gt;0,SUM(BB362:BC362)/U362,""),"")</f>
        <v>165.00497712053038</v>
      </c>
      <c r="AY362" s="72">
        <f t="shared" ref="AY362:AY416" si="1108">IFERROR(IF(SUM(BL362:BO362)&gt;0,SUM(BL362:BO362),""),"")</f>
        <v>178294.64192139736</v>
      </c>
      <c r="AZ362" s="73">
        <f t="shared" ref="AZ362:AZ416" si="1109">IFERROR(IF(SUM(BV362:BY362)&gt;0,SUM(BV362:BY362),""),"")</f>
        <v>195.02227285319884</v>
      </c>
      <c r="BA362" s="66">
        <v>2575000</v>
      </c>
      <c r="BB362" s="62">
        <v>6600334</v>
      </c>
      <c r="BC362" s="62">
        <v>27944778</v>
      </c>
      <c r="BD362" s="62">
        <v>1727256</v>
      </c>
      <c r="BE362" s="62">
        <v>4557105</v>
      </c>
      <c r="BF362" s="62">
        <v>2607142</v>
      </c>
      <c r="BG362" s="62">
        <v>9025217</v>
      </c>
      <c r="BH362" s="62">
        <v>7247042</v>
      </c>
      <c r="BI362" s="62">
        <v>808578</v>
      </c>
      <c r="BJ362" s="47">
        <f t="shared" ref="BJ362:BJ416" si="1110">IFERROR(IF(SUM(BA362:BI362)&gt;0,SUM(BA362:BI362),""),"")</f>
        <v>63092452</v>
      </c>
      <c r="BK362" s="69">
        <f t="shared" ref="BK362:BK416" si="1111">IFERROR(IF(BA362&gt;0,BA362/$T362,""),"")</f>
        <v>11244.541484716157</v>
      </c>
      <c r="BL362" s="70">
        <f t="shared" ref="BL362:BL416" si="1112">IFERROR(IF(BB362&gt;0,BB362/$T362,""),"")</f>
        <v>28822.419213973801</v>
      </c>
      <c r="BM362" s="70">
        <f t="shared" ref="BM362:BM416" si="1113">IFERROR(IF(BC362&gt;0,BC362/$T362,""),"")</f>
        <v>122029.59825327511</v>
      </c>
      <c r="BN362" s="70">
        <f t="shared" ref="BN362:BN416" si="1114">IFERROR(IF(BD362&gt;0,BD362/$T362,""),"")</f>
        <v>7542.6026200873366</v>
      </c>
      <c r="BO362" s="70">
        <f t="shared" ref="BO362:BO416" si="1115">IFERROR(IF(BE362&gt;0,BE362/$T362,""),"")</f>
        <v>19900.021834061135</v>
      </c>
      <c r="BP362" s="70">
        <f t="shared" ref="BP362:BP416" si="1116">IFERROR(IF(BF362&gt;0,BF362/$T362,""),"")</f>
        <v>11384.899563318777</v>
      </c>
      <c r="BQ362" s="70">
        <f t="shared" ref="BQ362:BQ416" si="1117">IFERROR(IF(BG362&gt;0,BG362/$T362,""),"")</f>
        <v>39411.427947598255</v>
      </c>
      <c r="BR362" s="70">
        <f t="shared" ref="BR362:BR416" si="1118">IFERROR(IF(BH362&gt;0,BH362/$T362,""),"")</f>
        <v>31646.471615720526</v>
      </c>
      <c r="BS362" s="70">
        <f t="shared" ref="BS362:BS416" si="1119">IFERROR(IF(BI362&gt;0,BI362/$T362,""),"")</f>
        <v>3530.9082969432316</v>
      </c>
      <c r="BT362" s="71">
        <f t="shared" ref="BT362:BT416" si="1120">IFERROR(IF(BJ362&gt;0,BJ362/$T362,""),"")</f>
        <v>275512.89082969434</v>
      </c>
      <c r="BU362" s="65">
        <f t="shared" ref="BU362:BU416" si="1121">IFERROR(IF(BA362&gt;0,BA362/$U362,""),"")</f>
        <v>12.299506109152743</v>
      </c>
      <c r="BV362" s="48">
        <f t="shared" ref="BV362:BV416" si="1122">IFERROR(IF(BB362&gt;0,BB362/$U362,""),"")</f>
        <v>31.526543050659637</v>
      </c>
      <c r="BW362" s="48">
        <f t="shared" ref="BW362:BW416" si="1123">IFERROR(IF(BC362&gt;0,BC362/$U362,""),"")</f>
        <v>133.47843406987076</v>
      </c>
      <c r="BX362" s="48">
        <f t="shared" ref="BX362:BX416" si="1124">IFERROR(IF(BD362&gt;0,BD362/$U362,""),"")</f>
        <v>8.25025076662941</v>
      </c>
      <c r="BY362" s="48">
        <f t="shared" ref="BY362:BY416" si="1125">IFERROR(IF(BE362&gt;0,BE362/$U362,""),"")</f>
        <v>21.767044966039034</v>
      </c>
      <c r="BZ362" s="48">
        <f t="shared" ref="BZ362:BZ416" si="1126">IFERROR(IF(BF362&gt;0,BF362/$U362,""),"")</f>
        <v>12.453032604438331</v>
      </c>
      <c r="CA362" s="48">
        <f t="shared" ref="CA362:CA416" si="1127">IFERROR(IF(BG362&gt;0,BG362/$U362,""),"")</f>
        <v>43.109014224438525</v>
      </c>
      <c r="CB362" s="48">
        <f t="shared" ref="CB362:CB416" si="1128">IFERROR(IF(BH362&gt;0,BH362/$U362,""),"")</f>
        <v>34.615548486324862</v>
      </c>
      <c r="CC362" s="48">
        <f t="shared" ref="CC362:CC416" si="1129">IFERROR(IF(BI362&gt;0,BI362/$U362,""),"")</f>
        <v>3.8621786604763133</v>
      </c>
      <c r="CD362" s="47">
        <f t="shared" ref="CD362:CD416" si="1130">IFERROR(IF(BJ362&gt;0,BJ362/$U362,""),"")</f>
        <v>301.3615529380296</v>
      </c>
      <c r="CE362" s="66">
        <v>3769572</v>
      </c>
      <c r="CF362" s="62">
        <v>82440</v>
      </c>
      <c r="CG362" s="74">
        <v>-288901</v>
      </c>
      <c r="CH362" s="75">
        <f t="shared" ref="CH362:CH416" si="1131">IFERROR(IF(SUM(CE362:CG362)&gt;0,SUM(CE362:CG362),""),"")</f>
        <v>3563111</v>
      </c>
      <c r="CI362" s="62">
        <f>96582+9160</f>
        <v>105742</v>
      </c>
      <c r="CJ362" s="62">
        <v>115801</v>
      </c>
      <c r="CK362" s="62">
        <v>378040</v>
      </c>
      <c r="CL362" s="62">
        <v>162361</v>
      </c>
      <c r="CM362" s="62">
        <f>8931+40991</f>
        <v>49922</v>
      </c>
      <c r="CN362" s="62">
        <v>136255</v>
      </c>
      <c r="CO362" s="62">
        <v>0</v>
      </c>
      <c r="CP362" s="75">
        <f t="shared" si="868"/>
        <v>948121</v>
      </c>
      <c r="CQ362" s="62">
        <v>57250</v>
      </c>
      <c r="CR362" s="75">
        <f t="shared" ref="CR362:CR416" si="1132">IFERROR(IF(SUM(CP362:CQ362)&gt;0,SUM(CP362:CQ362),""),"")</f>
        <v>1005371</v>
      </c>
      <c r="CS362" s="75">
        <f t="shared" ref="CS362:CS416" si="1133">IFERROR(IF(CH362-CR362&gt;0,CH362-CP362,""),"")</f>
        <v>2614990</v>
      </c>
      <c r="CT362" s="62">
        <v>2217543</v>
      </c>
      <c r="CU362" s="47">
        <f t="shared" ref="CU362:CU416" si="1134">IFERROR(IF(CS362-CT362&gt;0,CS362-CT362,""),"")</f>
        <v>397447</v>
      </c>
      <c r="CV362" s="76">
        <f t="shared" ref="CV362:CV416" si="1135">IFERROR(IF(CU362&gt;0,CS362/CH362,""),"")</f>
        <v>0.73390640931478135</v>
      </c>
      <c r="CW362" s="75">
        <f t="shared" ref="CW362:CW416" si="1136">IFERROR(IF(CU362&gt;0,CR362/T362,""),"")</f>
        <v>4390.2663755458516</v>
      </c>
      <c r="CX362" s="77">
        <f t="shared" ref="CX362:CX416" si="1137">IFERROR(IF(CU362&gt;0,CR362/CH362,""),"")</f>
        <v>0.28216101042038827</v>
      </c>
      <c r="CY362" s="75">
        <f t="shared" ref="CY362:CY416" si="1138">IFERROR(IF(CU362&gt;0,CU362/T362,""),"")</f>
        <v>1735.5764192139738</v>
      </c>
      <c r="CZ362" s="77">
        <f t="shared" ref="CZ362:CZ416" si="1139">IFERROR(IF(CU362&gt;0,CU362/CH362,""),"")</f>
        <v>0.11154493923989457</v>
      </c>
      <c r="DA362" s="77">
        <f t="shared" ref="DA362:DA416" si="1140">IFERROR(IF(CT362&gt;0,CT362/CH362,""),"")</f>
        <v>0.62236147007488685</v>
      </c>
      <c r="DB362" s="47">
        <f t="shared" ref="DB362:DB416" si="1141">IFERROR(IF(AR362&gt;0,AR362,""),"")</f>
        <v>144803.49344978167</v>
      </c>
      <c r="DC362" s="69">
        <f t="shared" ref="DC362:DL365" si="1142">IFERROR(IF(ABS(CE362)&gt;0,CE362/$T362,""),"")</f>
        <v>16461.013100436681</v>
      </c>
      <c r="DD362" s="70">
        <f t="shared" si="1142"/>
        <v>360</v>
      </c>
      <c r="DE362" s="70">
        <f t="shared" si="1142"/>
        <v>-1261.5764192139738</v>
      </c>
      <c r="DF362" s="70">
        <f t="shared" si="1142"/>
        <v>15559.436681222707</v>
      </c>
      <c r="DG362" s="70">
        <f t="shared" si="1142"/>
        <v>461.75545851528386</v>
      </c>
      <c r="DH362" s="70">
        <f t="shared" si="1142"/>
        <v>505.68122270742356</v>
      </c>
      <c r="DI362" s="70">
        <f t="shared" si="1142"/>
        <v>1650.8296943231442</v>
      </c>
      <c r="DJ362" s="70">
        <f t="shared" si="1142"/>
        <v>709</v>
      </c>
      <c r="DK362" s="70">
        <f t="shared" si="1142"/>
        <v>218</v>
      </c>
      <c r="DL362" s="70">
        <f t="shared" si="1142"/>
        <v>595</v>
      </c>
      <c r="DM362" s="70" t="str">
        <f t="shared" ref="DM362:DS365" si="1143">IFERROR(IF(ABS(CO362)&gt;0,CO362/$T362,""),"")</f>
        <v/>
      </c>
      <c r="DN362" s="70">
        <f t="shared" si="1143"/>
        <v>4140.2663755458516</v>
      </c>
      <c r="DO362" s="70">
        <f t="shared" si="1143"/>
        <v>250</v>
      </c>
      <c r="DP362" s="70">
        <f t="shared" si="1143"/>
        <v>4390.2663755458516</v>
      </c>
      <c r="DQ362" s="70">
        <f t="shared" si="1143"/>
        <v>11419.170305676857</v>
      </c>
      <c r="DR362" s="70">
        <f t="shared" si="1143"/>
        <v>9683.5938864628824</v>
      </c>
      <c r="DS362" s="71">
        <f t="shared" si="1143"/>
        <v>1735.5764192139738</v>
      </c>
      <c r="DT362" s="106">
        <f t="shared" ref="DT362:EC365" si="1144">IFERROR(IF(ABS(CE362&gt;0),CE362/$CH362,""),"")</f>
        <v>1.0579440270033686</v>
      </c>
      <c r="DU362" s="92">
        <f t="shared" si="1144"/>
        <v>2.3137084418644267E-2</v>
      </c>
      <c r="DV362" s="92" t="str">
        <f t="shared" si="1144"/>
        <v/>
      </c>
      <c r="DW362" s="92">
        <f t="shared" si="1144"/>
        <v>1</v>
      </c>
      <c r="DX362" s="92">
        <f t="shared" si="1144"/>
        <v>2.9676875067883093E-2</v>
      </c>
      <c r="DY362" s="92">
        <f t="shared" si="1144"/>
        <v>3.2499969829735867E-2</v>
      </c>
      <c r="DZ362" s="92">
        <f t="shared" si="1144"/>
        <v>0.10609829443988694</v>
      </c>
      <c r="EA362" s="92">
        <f t="shared" si="1144"/>
        <v>4.5567202368941073E-2</v>
      </c>
      <c r="EB362" s="92">
        <f t="shared" si="1144"/>
        <v>1.4010790009067919E-2</v>
      </c>
      <c r="EC362" s="92">
        <f t="shared" si="1144"/>
        <v>3.8240458969703725E-2</v>
      </c>
      <c r="ED362" s="92" t="str">
        <f t="shared" ref="ED362:EJ365" si="1145">IFERROR(IF(ABS(CO362&gt;0),CO362/$CH362,""),"")</f>
        <v/>
      </c>
      <c r="EE362" s="92">
        <f t="shared" si="1145"/>
        <v>0.2660935906852186</v>
      </c>
      <c r="EF362" s="92">
        <f t="shared" si="1145"/>
        <v>1.6067419735169633E-2</v>
      </c>
      <c r="EG362" s="92">
        <f t="shared" si="1145"/>
        <v>0.28216101042038827</v>
      </c>
      <c r="EH362" s="92">
        <f t="shared" si="1145"/>
        <v>0.73390640931478135</v>
      </c>
      <c r="EI362" s="92">
        <f t="shared" si="1145"/>
        <v>0.62236147007488685</v>
      </c>
      <c r="EJ362" s="122">
        <f t="shared" si="1145"/>
        <v>0.11154493923989457</v>
      </c>
    </row>
    <row r="363" spans="2:140" ht="12" hidden="1" customHeight="1" outlineLevel="1">
      <c r="B363" s="121">
        <v>45971</v>
      </c>
      <c r="C363" s="117">
        <v>25474</v>
      </c>
      <c r="D363" s="50" t="s">
        <v>1617</v>
      </c>
      <c r="E363" s="50" t="s">
        <v>1618</v>
      </c>
      <c r="F363" s="50" t="s">
        <v>1619</v>
      </c>
      <c r="G363" s="50" t="s">
        <v>249</v>
      </c>
      <c r="H363" s="50" t="s">
        <v>253</v>
      </c>
      <c r="I363" s="50" t="s">
        <v>248</v>
      </c>
      <c r="J363" s="52" t="s">
        <v>876</v>
      </c>
      <c r="K363" s="50" t="s">
        <v>184</v>
      </c>
      <c r="L363" s="49">
        <v>9</v>
      </c>
      <c r="M363" s="50" t="s">
        <v>159</v>
      </c>
      <c r="N363" s="50" t="s">
        <v>160</v>
      </c>
      <c r="O363" s="50" t="s">
        <v>160</v>
      </c>
      <c r="P363" s="50" t="s">
        <v>177</v>
      </c>
      <c r="Q363" s="53">
        <v>0.04</v>
      </c>
      <c r="R363" s="49">
        <v>279</v>
      </c>
      <c r="S363" s="49">
        <v>0</v>
      </c>
      <c r="T363" s="54">
        <f t="shared" si="867"/>
        <v>279</v>
      </c>
      <c r="U363" s="55">
        <v>241710</v>
      </c>
      <c r="V363" s="49">
        <v>1.81</v>
      </c>
      <c r="W363" s="56">
        <f t="shared" si="1099"/>
        <v>154.14364640883977</v>
      </c>
      <c r="X363" s="49" t="s">
        <v>163</v>
      </c>
      <c r="Y363" s="57" t="s">
        <v>162</v>
      </c>
      <c r="Z363" s="58">
        <v>59251211</v>
      </c>
      <c r="AA363" s="114">
        <v>6.25E-2</v>
      </c>
      <c r="AB363" s="59">
        <v>15</v>
      </c>
      <c r="AC363" s="60">
        <v>42.5</v>
      </c>
      <c r="AD363" s="61">
        <v>0.06</v>
      </c>
      <c r="AE363" s="62">
        <v>38497036</v>
      </c>
      <c r="AF363" s="63">
        <v>1.2</v>
      </c>
      <c r="AG363" s="59"/>
      <c r="AH363" s="60"/>
      <c r="AI363" s="61"/>
      <c r="AJ363" s="64"/>
      <c r="AK363" s="65">
        <f t="shared" si="1100"/>
        <v>38497036</v>
      </c>
      <c r="AL363" s="66">
        <v>6000000</v>
      </c>
      <c r="AM363" s="49" t="s">
        <v>857</v>
      </c>
      <c r="AN363" s="67">
        <v>0.86</v>
      </c>
      <c r="AO363" s="62">
        <v>36242681</v>
      </c>
      <c r="AP363" s="62">
        <v>936137</v>
      </c>
      <c r="AQ363" s="68">
        <v>5223620</v>
      </c>
      <c r="AR363" s="69">
        <f t="shared" si="1101"/>
        <v>137982.20788530467</v>
      </c>
      <c r="AS363" s="70">
        <f t="shared" si="1102"/>
        <v>21505.37634408602</v>
      </c>
      <c r="AT363" s="70">
        <f t="shared" si="1103"/>
        <v>129902.08243727598</v>
      </c>
      <c r="AU363" s="70">
        <f t="shared" si="1104"/>
        <v>3355.3297491039425</v>
      </c>
      <c r="AV363" s="71">
        <f t="shared" si="1105"/>
        <v>18722.652329749104</v>
      </c>
      <c r="AW363" s="115">
        <f t="shared" si="1106"/>
        <v>169102.79928315413</v>
      </c>
      <c r="AX363" s="116">
        <f t="shared" si="1107"/>
        <v>195.19126639361218</v>
      </c>
      <c r="AY363" s="72">
        <f t="shared" si="1108"/>
        <v>202416.05017921142</v>
      </c>
      <c r="AZ363" s="73">
        <f t="shared" si="1109"/>
        <v>233.64394522361508</v>
      </c>
      <c r="BA363" s="66">
        <v>3750000</v>
      </c>
      <c r="BB363" s="62">
        <v>1951685</v>
      </c>
      <c r="BC363" s="62">
        <v>45227996</v>
      </c>
      <c r="BD363" s="62">
        <v>2689242</v>
      </c>
      <c r="BE363" s="62">
        <v>6605155</v>
      </c>
      <c r="BF363" s="62">
        <v>4762652</v>
      </c>
      <c r="BG363" s="62">
        <v>16572120</v>
      </c>
      <c r="BH363" s="62">
        <v>10570069</v>
      </c>
      <c r="BI363" s="62">
        <v>1105625</v>
      </c>
      <c r="BJ363" s="47">
        <f t="shared" si="1110"/>
        <v>93234544</v>
      </c>
      <c r="BK363" s="69">
        <f t="shared" si="1111"/>
        <v>13440.860215053763</v>
      </c>
      <c r="BL363" s="70">
        <f t="shared" si="1112"/>
        <v>6995.2867383512548</v>
      </c>
      <c r="BM363" s="70">
        <f t="shared" si="1113"/>
        <v>162107.51254480286</v>
      </c>
      <c r="BN363" s="70">
        <f t="shared" si="1114"/>
        <v>9638.8602150537627</v>
      </c>
      <c r="BO363" s="70">
        <f t="shared" si="1115"/>
        <v>23674.390681003584</v>
      </c>
      <c r="BP363" s="70">
        <f t="shared" si="1116"/>
        <v>17070.437275985663</v>
      </c>
      <c r="BQ363" s="70">
        <f t="shared" si="1117"/>
        <v>59398.279569892475</v>
      </c>
      <c r="BR363" s="70">
        <f t="shared" si="1118"/>
        <v>37885.551971326167</v>
      </c>
      <c r="BS363" s="70">
        <f t="shared" si="1119"/>
        <v>3962.8136200716845</v>
      </c>
      <c r="BT363" s="71">
        <f t="shared" si="1120"/>
        <v>334173.99283154123</v>
      </c>
      <c r="BU363" s="65">
        <f t="shared" si="1121"/>
        <v>15.514459476231847</v>
      </c>
      <c r="BV363" s="48">
        <f t="shared" si="1122"/>
        <v>8.0744900914318816</v>
      </c>
      <c r="BW363" s="48">
        <f t="shared" si="1123"/>
        <v>187.11677630218031</v>
      </c>
      <c r="BX363" s="48">
        <f t="shared" si="1124"/>
        <v>11.125902941541517</v>
      </c>
      <c r="BY363" s="48">
        <f t="shared" si="1125"/>
        <v>27.326775888461381</v>
      </c>
      <c r="BZ363" s="48">
        <f t="shared" si="1126"/>
        <v>19.703992387571883</v>
      </c>
      <c r="CA363" s="48">
        <f t="shared" si="1127"/>
        <v>68.561995780067022</v>
      </c>
      <c r="CB363" s="48">
        <f t="shared" si="1128"/>
        <v>43.730375243059868</v>
      </c>
      <c r="CC363" s="48">
        <f t="shared" si="1129"/>
        <v>4.574179802242357</v>
      </c>
      <c r="CD363" s="47">
        <f t="shared" si="1130"/>
        <v>385.72894791278804</v>
      </c>
      <c r="CE363" s="66">
        <v>4003332</v>
      </c>
      <c r="CF363" s="62">
        <v>100440</v>
      </c>
      <c r="CG363" s="74">
        <v>-307783</v>
      </c>
      <c r="CH363" s="75">
        <f t="shared" si="1131"/>
        <v>3795989</v>
      </c>
      <c r="CI363" s="62">
        <f>84258+6975+11160+11160+5000</f>
        <v>118553</v>
      </c>
      <c r="CJ363" s="62">
        <v>116684</v>
      </c>
      <c r="CK363" s="62">
        <v>276395</v>
      </c>
      <c r="CL363" s="62">
        <v>221003</v>
      </c>
      <c r="CM363" s="62">
        <f>13950+53010</f>
        <v>66960</v>
      </c>
      <c r="CN363" s="62">
        <v>149265</v>
      </c>
      <c r="CO363" s="62">
        <v>0</v>
      </c>
      <c r="CP363" s="75">
        <f t="shared" si="868"/>
        <v>948860</v>
      </c>
      <c r="CQ363" s="62">
        <v>69750</v>
      </c>
      <c r="CR363" s="75">
        <f t="shared" si="1132"/>
        <v>1018610</v>
      </c>
      <c r="CS363" s="75">
        <f t="shared" si="1133"/>
        <v>2847129</v>
      </c>
      <c r="CT363" s="62">
        <v>2309822</v>
      </c>
      <c r="CU363" s="47">
        <f t="shared" si="1134"/>
        <v>537307</v>
      </c>
      <c r="CV363" s="76">
        <f t="shared" si="1135"/>
        <v>0.75003615658527989</v>
      </c>
      <c r="CW363" s="75">
        <f t="shared" si="1136"/>
        <v>3650.9318996415773</v>
      </c>
      <c r="CX363" s="77">
        <f t="shared" si="1137"/>
        <v>0.26833850150777572</v>
      </c>
      <c r="CY363" s="75">
        <f t="shared" si="1138"/>
        <v>1925.831541218638</v>
      </c>
      <c r="CZ363" s="77">
        <f t="shared" si="1139"/>
        <v>0.14154598445885908</v>
      </c>
      <c r="DA363" s="77">
        <f t="shared" si="1140"/>
        <v>0.60849017212642076</v>
      </c>
      <c r="DB363" s="47">
        <f t="shared" si="1141"/>
        <v>137982.20788530467</v>
      </c>
      <c r="DC363" s="69">
        <f t="shared" si="1142"/>
        <v>14348.860215053763</v>
      </c>
      <c r="DD363" s="70">
        <f t="shared" si="1142"/>
        <v>360</v>
      </c>
      <c r="DE363" s="70">
        <f t="shared" si="1142"/>
        <v>-1103.1648745519713</v>
      </c>
      <c r="DF363" s="70">
        <f t="shared" si="1142"/>
        <v>13605.695340501792</v>
      </c>
      <c r="DG363" s="70">
        <f t="shared" si="1142"/>
        <v>424.92114695340501</v>
      </c>
      <c r="DH363" s="70">
        <f t="shared" si="1142"/>
        <v>418.22222222222223</v>
      </c>
      <c r="DI363" s="70">
        <f t="shared" si="1142"/>
        <v>990.66308243727599</v>
      </c>
      <c r="DJ363" s="70">
        <f t="shared" si="1142"/>
        <v>792.12544802867387</v>
      </c>
      <c r="DK363" s="70">
        <f t="shared" si="1142"/>
        <v>240</v>
      </c>
      <c r="DL363" s="70">
        <f t="shared" si="1142"/>
        <v>535</v>
      </c>
      <c r="DM363" s="70" t="str">
        <f t="shared" si="1143"/>
        <v/>
      </c>
      <c r="DN363" s="70">
        <f t="shared" si="1143"/>
        <v>3400.9318996415773</v>
      </c>
      <c r="DO363" s="70">
        <f t="shared" si="1143"/>
        <v>250</v>
      </c>
      <c r="DP363" s="70">
        <f t="shared" si="1143"/>
        <v>3650.9318996415773</v>
      </c>
      <c r="DQ363" s="70">
        <f t="shared" si="1143"/>
        <v>10204.763440860215</v>
      </c>
      <c r="DR363" s="70">
        <f t="shared" si="1143"/>
        <v>8278.9318996415768</v>
      </c>
      <c r="DS363" s="71">
        <f t="shared" si="1143"/>
        <v>1925.831541218638</v>
      </c>
      <c r="DT363" s="106">
        <f t="shared" si="1144"/>
        <v>1.0546216019066441</v>
      </c>
      <c r="DU363" s="92">
        <f t="shared" si="1144"/>
        <v>2.6459507654000052E-2</v>
      </c>
      <c r="DV363" s="92" t="str">
        <f t="shared" si="1144"/>
        <v/>
      </c>
      <c r="DW363" s="92">
        <f t="shared" si="1144"/>
        <v>1</v>
      </c>
      <c r="DX363" s="92">
        <f t="shared" si="1144"/>
        <v>3.123112316711139E-2</v>
      </c>
      <c r="DY363" s="92">
        <f t="shared" si="1144"/>
        <v>3.0738761361004997E-2</v>
      </c>
      <c r="DZ363" s="92">
        <f t="shared" si="1144"/>
        <v>7.2812381700789963E-2</v>
      </c>
      <c r="EA363" s="92">
        <f t="shared" si="1144"/>
        <v>5.8220137097341432E-2</v>
      </c>
      <c r="EB363" s="92">
        <f t="shared" si="1144"/>
        <v>1.7639671769333367E-2</v>
      </c>
      <c r="EC363" s="92">
        <f t="shared" si="1144"/>
        <v>3.9321768319138965E-2</v>
      </c>
      <c r="ED363" s="92" t="str">
        <f t="shared" si="1145"/>
        <v/>
      </c>
      <c r="EE363" s="92">
        <f t="shared" si="1145"/>
        <v>0.24996384341472011</v>
      </c>
      <c r="EF363" s="92">
        <f t="shared" si="1145"/>
        <v>1.837465809305559E-2</v>
      </c>
      <c r="EG363" s="92">
        <f t="shared" si="1145"/>
        <v>0.26833850150777572</v>
      </c>
      <c r="EH363" s="92">
        <f t="shared" si="1145"/>
        <v>0.75003615658527989</v>
      </c>
      <c r="EI363" s="92">
        <f t="shared" si="1145"/>
        <v>0.60849017212642076</v>
      </c>
      <c r="EJ363" s="122">
        <f t="shared" si="1145"/>
        <v>0.14154598445885908</v>
      </c>
    </row>
    <row r="364" spans="2:140" ht="12" hidden="1" customHeight="1" outlineLevel="1">
      <c r="B364" s="121">
        <v>45971</v>
      </c>
      <c r="C364" s="117">
        <v>25088</v>
      </c>
      <c r="D364" s="50" t="s">
        <v>1620</v>
      </c>
      <c r="E364" s="50" t="s">
        <v>1621</v>
      </c>
      <c r="F364" s="50" t="s">
        <v>1622</v>
      </c>
      <c r="G364" s="50" t="s">
        <v>162</v>
      </c>
      <c r="H364" s="50" t="s">
        <v>1334</v>
      </c>
      <c r="I364" s="50" t="s">
        <v>321</v>
      </c>
      <c r="J364" s="52" t="s">
        <v>1623</v>
      </c>
      <c r="K364" s="50" t="s">
        <v>1336</v>
      </c>
      <c r="L364" s="49">
        <v>2</v>
      </c>
      <c r="M364" s="50" t="s">
        <v>283</v>
      </c>
      <c r="N364" s="50" t="s">
        <v>244</v>
      </c>
      <c r="O364" s="50" t="s">
        <v>160</v>
      </c>
      <c r="P364" s="50" t="s">
        <v>177</v>
      </c>
      <c r="Q364" s="53">
        <v>0.09</v>
      </c>
      <c r="R364" s="49">
        <v>52</v>
      </c>
      <c r="S364" s="49">
        <v>0</v>
      </c>
      <c r="T364" s="54">
        <f t="shared" si="867"/>
        <v>52</v>
      </c>
      <c r="U364" s="55">
        <v>41670</v>
      </c>
      <c r="V364" s="49">
        <v>5.24</v>
      </c>
      <c r="W364" s="56">
        <f t="shared" si="1099"/>
        <v>9.9236641221374047</v>
      </c>
      <c r="X364" s="49" t="s">
        <v>163</v>
      </c>
      <c r="Y364" s="57" t="s">
        <v>162</v>
      </c>
      <c r="Z364" s="58">
        <v>9000000</v>
      </c>
      <c r="AA364" s="114">
        <v>8.5000000000000006E-2</v>
      </c>
      <c r="AB364" s="59">
        <v>15</v>
      </c>
      <c r="AC364" s="60">
        <v>35</v>
      </c>
      <c r="AD364" s="61">
        <v>7.0000000000000007E-2</v>
      </c>
      <c r="AE364" s="62">
        <v>2195000</v>
      </c>
      <c r="AF364" s="63">
        <v>1.1499999999999999</v>
      </c>
      <c r="AG364" s="59"/>
      <c r="AH364" s="60"/>
      <c r="AI364" s="61"/>
      <c r="AJ364" s="64"/>
      <c r="AK364" s="65">
        <f t="shared" si="1100"/>
        <v>2195000</v>
      </c>
      <c r="AL364" s="66">
        <v>0</v>
      </c>
      <c r="AM364" s="49" t="s">
        <v>163</v>
      </c>
      <c r="AN364" s="67">
        <v>0.78</v>
      </c>
      <c r="AO364" s="62">
        <v>9172808</v>
      </c>
      <c r="AP364" s="62">
        <v>196116</v>
      </c>
      <c r="AQ364" s="68">
        <v>399563</v>
      </c>
      <c r="AR364" s="69">
        <f t="shared" si="1101"/>
        <v>42211.538461538461</v>
      </c>
      <c r="AS364" s="70" t="str">
        <f t="shared" si="1102"/>
        <v/>
      </c>
      <c r="AT364" s="70">
        <f t="shared" si="1103"/>
        <v>176400.15384615384</v>
      </c>
      <c r="AU364" s="70">
        <f t="shared" si="1104"/>
        <v>3771.4615384615386</v>
      </c>
      <c r="AV364" s="71">
        <f t="shared" si="1105"/>
        <v>7683.9038461538457</v>
      </c>
      <c r="AW364" s="115">
        <f t="shared" si="1106"/>
        <v>117229.34615384616</v>
      </c>
      <c r="AX364" s="116">
        <f t="shared" si="1107"/>
        <v>146.29052075833934</v>
      </c>
      <c r="AY364" s="72">
        <f t="shared" si="1108"/>
        <v>142919.63461538462</v>
      </c>
      <c r="AZ364" s="73">
        <f t="shared" si="1109"/>
        <v>178.34943604511642</v>
      </c>
      <c r="BA364" s="66">
        <v>500000</v>
      </c>
      <c r="BB364" s="62">
        <v>1244958</v>
      </c>
      <c r="BC364" s="62">
        <v>4850968</v>
      </c>
      <c r="BD364" s="62">
        <v>423215</v>
      </c>
      <c r="BE364" s="62">
        <v>912680</v>
      </c>
      <c r="BF364" s="62">
        <v>606000</v>
      </c>
      <c r="BG364" s="62">
        <v>1271446</v>
      </c>
      <c r="BH364" s="62">
        <v>1358656</v>
      </c>
      <c r="BI364" s="62">
        <v>200135</v>
      </c>
      <c r="BJ364" s="47">
        <f t="shared" si="1110"/>
        <v>11368058</v>
      </c>
      <c r="BK364" s="69">
        <f t="shared" si="1111"/>
        <v>9615.3846153846152</v>
      </c>
      <c r="BL364" s="70">
        <f t="shared" si="1112"/>
        <v>23941.5</v>
      </c>
      <c r="BM364" s="70">
        <f t="shared" si="1113"/>
        <v>93287.846153846156</v>
      </c>
      <c r="BN364" s="70">
        <f t="shared" si="1114"/>
        <v>8138.75</v>
      </c>
      <c r="BO364" s="70">
        <f t="shared" si="1115"/>
        <v>17551.538461538461</v>
      </c>
      <c r="BP364" s="70">
        <f t="shared" si="1116"/>
        <v>11653.846153846154</v>
      </c>
      <c r="BQ364" s="70">
        <f t="shared" si="1117"/>
        <v>24450.884615384617</v>
      </c>
      <c r="BR364" s="70">
        <f t="shared" si="1118"/>
        <v>26128</v>
      </c>
      <c r="BS364" s="70">
        <f t="shared" si="1119"/>
        <v>3848.75</v>
      </c>
      <c r="BT364" s="71">
        <f t="shared" si="1120"/>
        <v>218616.5</v>
      </c>
      <c r="BU364" s="65">
        <f t="shared" si="1121"/>
        <v>11.999040076793856</v>
      </c>
      <c r="BV364" s="48">
        <f t="shared" si="1122"/>
        <v>29.876601871850252</v>
      </c>
      <c r="BW364" s="48">
        <f t="shared" si="1123"/>
        <v>116.41391888648909</v>
      </c>
      <c r="BX364" s="48">
        <f t="shared" si="1124"/>
        <v>10.156347492200624</v>
      </c>
      <c r="BY364" s="48">
        <f t="shared" si="1125"/>
        <v>21.902567794576434</v>
      </c>
      <c r="BZ364" s="48">
        <f t="shared" si="1126"/>
        <v>14.542836573074155</v>
      </c>
      <c r="CA364" s="48">
        <f t="shared" si="1127"/>
        <v>30.512263018958482</v>
      </c>
      <c r="CB364" s="48">
        <f t="shared" si="1128"/>
        <v>32.605135589152866</v>
      </c>
      <c r="CC364" s="48">
        <f t="shared" si="1129"/>
        <v>4.8028557715382769</v>
      </c>
      <c r="CD364" s="47">
        <f t="shared" si="1130"/>
        <v>272.81156707463401</v>
      </c>
      <c r="CE364" s="66">
        <v>505500</v>
      </c>
      <c r="CF364" s="62">
        <v>9360</v>
      </c>
      <c r="CG364" s="74">
        <v>-38615</v>
      </c>
      <c r="CH364" s="75">
        <f t="shared" si="1131"/>
        <v>476245</v>
      </c>
      <c r="CI364" s="62">
        <f>29000+2080+6000</f>
        <v>37080</v>
      </c>
      <c r="CJ364" s="62">
        <v>19050</v>
      </c>
      <c r="CK364" s="62">
        <v>65000</v>
      </c>
      <c r="CL364" s="62">
        <v>37000</v>
      </c>
      <c r="CM364" s="62">
        <f>47000</f>
        <v>47000</v>
      </c>
      <c r="CN364" s="62">
        <v>40000</v>
      </c>
      <c r="CO364" s="62">
        <v>24000</v>
      </c>
      <c r="CP364" s="75">
        <f t="shared" si="868"/>
        <v>269130</v>
      </c>
      <c r="CQ364" s="62">
        <v>13000</v>
      </c>
      <c r="CR364" s="75">
        <f t="shared" si="1132"/>
        <v>282130</v>
      </c>
      <c r="CS364" s="75">
        <f t="shared" si="1133"/>
        <v>207115</v>
      </c>
      <c r="CT364" s="62">
        <v>168275</v>
      </c>
      <c r="CU364" s="47">
        <f t="shared" si="1134"/>
        <v>38840</v>
      </c>
      <c r="CV364" s="76">
        <f t="shared" si="1135"/>
        <v>0.43489170489978896</v>
      </c>
      <c r="CW364" s="75">
        <f t="shared" si="1136"/>
        <v>5425.5769230769229</v>
      </c>
      <c r="CX364" s="77">
        <f t="shared" si="1137"/>
        <v>0.59240516960807987</v>
      </c>
      <c r="CY364" s="75">
        <f t="shared" si="1138"/>
        <v>746.92307692307691</v>
      </c>
      <c r="CZ364" s="77">
        <f t="shared" si="1139"/>
        <v>8.155466199120201E-2</v>
      </c>
      <c r="DA364" s="77">
        <f t="shared" si="1140"/>
        <v>0.35333704290858697</v>
      </c>
      <c r="DB364" s="47">
        <f t="shared" si="1141"/>
        <v>42211.538461538461</v>
      </c>
      <c r="DC364" s="69">
        <f t="shared" si="1142"/>
        <v>9721.1538461538457</v>
      </c>
      <c r="DD364" s="70">
        <f t="shared" si="1142"/>
        <v>180</v>
      </c>
      <c r="DE364" s="70">
        <f t="shared" si="1142"/>
        <v>-742.59615384615381</v>
      </c>
      <c r="DF364" s="70">
        <f t="shared" si="1142"/>
        <v>9158.5576923076915</v>
      </c>
      <c r="DG364" s="70">
        <f t="shared" si="1142"/>
        <v>713.07692307692309</v>
      </c>
      <c r="DH364" s="70">
        <f t="shared" si="1142"/>
        <v>366.34615384615387</v>
      </c>
      <c r="DI364" s="70">
        <f t="shared" si="1142"/>
        <v>1250</v>
      </c>
      <c r="DJ364" s="70">
        <f t="shared" si="1142"/>
        <v>711.53846153846155</v>
      </c>
      <c r="DK364" s="70">
        <f t="shared" si="1142"/>
        <v>903.84615384615381</v>
      </c>
      <c r="DL364" s="70">
        <f t="shared" si="1142"/>
        <v>769.23076923076928</v>
      </c>
      <c r="DM364" s="70">
        <f t="shared" si="1143"/>
        <v>461.53846153846155</v>
      </c>
      <c r="DN364" s="70">
        <f t="shared" si="1143"/>
        <v>5175.5769230769229</v>
      </c>
      <c r="DO364" s="70">
        <f t="shared" si="1143"/>
        <v>250</v>
      </c>
      <c r="DP364" s="70">
        <f t="shared" si="1143"/>
        <v>5425.5769230769229</v>
      </c>
      <c r="DQ364" s="70">
        <f t="shared" si="1143"/>
        <v>3982.9807692307691</v>
      </c>
      <c r="DR364" s="70">
        <f t="shared" si="1143"/>
        <v>3236.0576923076924</v>
      </c>
      <c r="DS364" s="71">
        <f t="shared" si="1143"/>
        <v>746.92307692307691</v>
      </c>
      <c r="DT364" s="106">
        <f t="shared" si="1144"/>
        <v>1.0614284664405926</v>
      </c>
      <c r="DU364" s="92">
        <f t="shared" si="1144"/>
        <v>1.9653749645665571E-2</v>
      </c>
      <c r="DV364" s="92" t="str">
        <f t="shared" si="1144"/>
        <v/>
      </c>
      <c r="DW364" s="92">
        <f t="shared" si="1144"/>
        <v>1</v>
      </c>
      <c r="DX364" s="92">
        <f t="shared" si="1144"/>
        <v>7.7859085134752065E-2</v>
      </c>
      <c r="DY364" s="92">
        <f t="shared" si="1144"/>
        <v>4.0000419951915507E-2</v>
      </c>
      <c r="DZ364" s="92">
        <f t="shared" si="1144"/>
        <v>0.13648437253934426</v>
      </c>
      <c r="EA364" s="92">
        <f t="shared" si="1144"/>
        <v>7.7691104368549799E-2</v>
      </c>
      <c r="EB364" s="92">
        <f t="shared" si="1144"/>
        <v>9.8688700143833533E-2</v>
      </c>
      <c r="EC364" s="92">
        <f t="shared" si="1144"/>
        <v>8.3990383101134922E-2</v>
      </c>
      <c r="ED364" s="92">
        <f t="shared" si="1145"/>
        <v>5.0394229860680949E-2</v>
      </c>
      <c r="EE364" s="92">
        <f t="shared" si="1145"/>
        <v>0.56510829510021099</v>
      </c>
      <c r="EF364" s="92">
        <f t="shared" si="1145"/>
        <v>2.729687450786885E-2</v>
      </c>
      <c r="EG364" s="92">
        <f t="shared" si="1145"/>
        <v>0.59240516960807987</v>
      </c>
      <c r="EH364" s="92">
        <f t="shared" si="1145"/>
        <v>0.43489170489978896</v>
      </c>
      <c r="EI364" s="92">
        <f t="shared" si="1145"/>
        <v>0.35333704290858697</v>
      </c>
      <c r="EJ364" s="122">
        <f t="shared" si="1145"/>
        <v>8.155466199120201E-2</v>
      </c>
    </row>
    <row r="365" spans="2:140" ht="12" hidden="1" customHeight="1" outlineLevel="1">
      <c r="B365" s="121">
        <v>45971</v>
      </c>
      <c r="C365" s="117">
        <v>25187</v>
      </c>
      <c r="D365" s="50" t="s">
        <v>1624</v>
      </c>
      <c r="E365" s="50" t="s">
        <v>357</v>
      </c>
      <c r="F365" s="50" t="s">
        <v>358</v>
      </c>
      <c r="G365" s="50" t="s">
        <v>162</v>
      </c>
      <c r="H365" s="50" t="s">
        <v>1625</v>
      </c>
      <c r="I365" s="50" t="s">
        <v>163</v>
      </c>
      <c r="J365" s="52" t="s">
        <v>360</v>
      </c>
      <c r="K365" s="50" t="s">
        <v>294</v>
      </c>
      <c r="L365" s="49">
        <v>7</v>
      </c>
      <c r="M365" s="50" t="s">
        <v>159</v>
      </c>
      <c r="N365" s="50" t="s">
        <v>361</v>
      </c>
      <c r="O365" s="50" t="s">
        <v>318</v>
      </c>
      <c r="P365" s="50" t="s">
        <v>231</v>
      </c>
      <c r="Q365" s="53">
        <v>0.09</v>
      </c>
      <c r="R365" s="49">
        <v>110</v>
      </c>
      <c r="S365" s="49">
        <v>0</v>
      </c>
      <c r="T365" s="54">
        <f t="shared" ref="T365:T414" si="1146">IFERROR(IF(SUM(R365:S365)&gt;0,SUM(R365:S365),""),"")</f>
        <v>110</v>
      </c>
      <c r="U365" s="55">
        <v>114460</v>
      </c>
      <c r="V365" s="49">
        <v>3.63</v>
      </c>
      <c r="W365" s="56">
        <f t="shared" si="1099"/>
        <v>30.303030303030305</v>
      </c>
      <c r="X365" s="49">
        <v>1973</v>
      </c>
      <c r="Y365" s="57" t="s">
        <v>162</v>
      </c>
      <c r="Z365" s="58">
        <v>12250000</v>
      </c>
      <c r="AA365" s="114">
        <v>6.7500000000000004E-2</v>
      </c>
      <c r="AB365" s="59"/>
      <c r="AC365" s="60"/>
      <c r="AD365" s="61"/>
      <c r="AE365" s="62"/>
      <c r="AF365" s="63"/>
      <c r="AG365" s="59"/>
      <c r="AH365" s="60"/>
      <c r="AI365" s="61"/>
      <c r="AJ365" s="64"/>
      <c r="AK365" s="65" t="str">
        <f t="shared" si="1100"/>
        <v/>
      </c>
      <c r="AL365" s="66">
        <v>0</v>
      </c>
      <c r="AM365" s="49" t="s">
        <v>163</v>
      </c>
      <c r="AN365" s="67">
        <v>0.87</v>
      </c>
      <c r="AO365" s="62">
        <v>17847199</v>
      </c>
      <c r="AP365" s="62">
        <v>608072</v>
      </c>
      <c r="AQ365" s="68">
        <v>468937</v>
      </c>
      <c r="AR365" s="69" t="str">
        <f t="shared" si="1101"/>
        <v/>
      </c>
      <c r="AS365" s="70" t="str">
        <f t="shared" si="1102"/>
        <v/>
      </c>
      <c r="AT365" s="70">
        <f t="shared" si="1103"/>
        <v>162247.26363636364</v>
      </c>
      <c r="AU365" s="70">
        <f t="shared" si="1104"/>
        <v>5527.9272727272728</v>
      </c>
      <c r="AV365" s="71">
        <f t="shared" si="1105"/>
        <v>4263.0636363636368</v>
      </c>
      <c r="AW365" s="115">
        <f t="shared" si="1106"/>
        <v>207272.72727272726</v>
      </c>
      <c r="AX365" s="116">
        <f t="shared" si="1107"/>
        <v>199.19622575572254</v>
      </c>
      <c r="AY365" s="72">
        <f t="shared" si="1108"/>
        <v>248831.70909090911</v>
      </c>
      <c r="AZ365" s="73">
        <f t="shared" si="1109"/>
        <v>239.13583784728289</v>
      </c>
      <c r="BA365" s="66">
        <v>2800000</v>
      </c>
      <c r="BB365" s="62">
        <v>3786506</v>
      </c>
      <c r="BC365" s="62">
        <v>19013494</v>
      </c>
      <c r="BD365" s="62">
        <v>1220208</v>
      </c>
      <c r="BE365" s="62">
        <v>3351280</v>
      </c>
      <c r="BF365" s="62">
        <v>3466326</v>
      </c>
      <c r="BG365" s="62">
        <v>1366525</v>
      </c>
      <c r="BH365" s="62">
        <v>4379822</v>
      </c>
      <c r="BI365" s="62">
        <v>749520</v>
      </c>
      <c r="BJ365" s="47">
        <f t="shared" si="1110"/>
        <v>40133681</v>
      </c>
      <c r="BK365" s="69">
        <f t="shared" si="1111"/>
        <v>25454.545454545456</v>
      </c>
      <c r="BL365" s="70">
        <f t="shared" si="1112"/>
        <v>34422.781818181815</v>
      </c>
      <c r="BM365" s="70">
        <f t="shared" si="1113"/>
        <v>172849.94545454546</v>
      </c>
      <c r="BN365" s="70">
        <f t="shared" si="1114"/>
        <v>11092.8</v>
      </c>
      <c r="BO365" s="70">
        <f t="shared" si="1115"/>
        <v>30466.18181818182</v>
      </c>
      <c r="BP365" s="70">
        <f t="shared" si="1116"/>
        <v>31512.054545454546</v>
      </c>
      <c r="BQ365" s="70">
        <f t="shared" si="1117"/>
        <v>12422.954545454546</v>
      </c>
      <c r="BR365" s="70">
        <f t="shared" si="1118"/>
        <v>39816.563636363637</v>
      </c>
      <c r="BS365" s="70">
        <f t="shared" si="1119"/>
        <v>6813.818181818182</v>
      </c>
      <c r="BT365" s="71">
        <f t="shared" si="1120"/>
        <v>364851.64545454545</v>
      </c>
      <c r="BU365" s="65">
        <f t="shared" si="1121"/>
        <v>24.462694391053642</v>
      </c>
      <c r="BV365" s="48">
        <f t="shared" si="1122"/>
        <v>33.081478245675342</v>
      </c>
      <c r="BW365" s="48">
        <f t="shared" si="1123"/>
        <v>166.11474751004718</v>
      </c>
      <c r="BX365" s="48">
        <f t="shared" si="1124"/>
        <v>10.660562641970994</v>
      </c>
      <c r="BY365" s="48">
        <f t="shared" si="1125"/>
        <v>29.279049449589376</v>
      </c>
      <c r="BZ365" s="48">
        <f t="shared" si="1126"/>
        <v>30.28416914205836</v>
      </c>
      <c r="CA365" s="48">
        <f t="shared" si="1127"/>
        <v>11.938886947405207</v>
      </c>
      <c r="CB365" s="48">
        <f t="shared" si="1128"/>
        <v>38.265088240433336</v>
      </c>
      <c r="CC365" s="48">
        <f t="shared" si="1129"/>
        <v>6.5483138214223313</v>
      </c>
      <c r="CD365" s="47">
        <f t="shared" si="1130"/>
        <v>350.6349903896558</v>
      </c>
      <c r="CE365" s="66">
        <v>1531812</v>
      </c>
      <c r="CF365" s="62">
        <v>26400</v>
      </c>
      <c r="CG365" s="74">
        <v>-116866</v>
      </c>
      <c r="CH365" s="75">
        <f t="shared" si="1131"/>
        <v>1441346</v>
      </c>
      <c r="CI365" s="62">
        <f>80037+4400</f>
        <v>84437</v>
      </c>
      <c r="CJ365" s="62">
        <v>72067</v>
      </c>
      <c r="CK365" s="62">
        <v>261060</v>
      </c>
      <c r="CL365" s="62">
        <v>208077</v>
      </c>
      <c r="CM365" s="62">
        <f>30650+99276</f>
        <v>129926</v>
      </c>
      <c r="CN365" s="62">
        <v>66973</v>
      </c>
      <c r="CO365" s="62">
        <v>40000</v>
      </c>
      <c r="CP365" s="75">
        <f t="shared" ref="CP365:CP414" si="1147">IFERROR(IF(SUM(CI365:CO365)&gt;0,SUM(CI365:CO365),""),"")</f>
        <v>862540</v>
      </c>
      <c r="CQ365" s="62">
        <v>27500</v>
      </c>
      <c r="CR365" s="75">
        <f t="shared" si="1132"/>
        <v>890040</v>
      </c>
      <c r="CS365" s="75">
        <f t="shared" si="1133"/>
        <v>578806</v>
      </c>
      <c r="CT365" s="62">
        <v>0</v>
      </c>
      <c r="CU365" s="47">
        <f t="shared" si="1134"/>
        <v>578806</v>
      </c>
      <c r="CV365" s="76">
        <f t="shared" si="1135"/>
        <v>0.4015732516689261</v>
      </c>
      <c r="CW365" s="75">
        <f t="shared" si="1136"/>
        <v>8091.272727272727</v>
      </c>
      <c r="CX365" s="77">
        <f t="shared" si="1137"/>
        <v>0.61750613662507126</v>
      </c>
      <c r="CY365" s="75">
        <f t="shared" si="1138"/>
        <v>5261.8727272727274</v>
      </c>
      <c r="CZ365" s="77">
        <f t="shared" si="1139"/>
        <v>0.4015732516689261</v>
      </c>
      <c r="DA365" s="77" t="str">
        <f t="shared" si="1140"/>
        <v/>
      </c>
      <c r="DB365" s="47" t="str">
        <f t="shared" si="1141"/>
        <v/>
      </c>
      <c r="DC365" s="69">
        <f t="shared" si="1142"/>
        <v>13925.563636363637</v>
      </c>
      <c r="DD365" s="70">
        <f t="shared" si="1142"/>
        <v>240</v>
      </c>
      <c r="DE365" s="70">
        <f t="shared" si="1142"/>
        <v>-1062.4181818181819</v>
      </c>
      <c r="DF365" s="70">
        <f t="shared" si="1142"/>
        <v>13103.145454545454</v>
      </c>
      <c r="DG365" s="70">
        <f t="shared" si="1142"/>
        <v>767.60909090909092</v>
      </c>
      <c r="DH365" s="70">
        <f t="shared" si="1142"/>
        <v>655.15454545454543</v>
      </c>
      <c r="DI365" s="70">
        <f t="shared" si="1142"/>
        <v>2373.2727272727275</v>
      </c>
      <c r="DJ365" s="70">
        <f t="shared" si="1142"/>
        <v>1891.6090909090908</v>
      </c>
      <c r="DK365" s="70">
        <f t="shared" si="1142"/>
        <v>1181.1454545454546</v>
      </c>
      <c r="DL365" s="70">
        <f t="shared" si="1142"/>
        <v>608.84545454545457</v>
      </c>
      <c r="DM365" s="70">
        <f t="shared" si="1143"/>
        <v>363.63636363636363</v>
      </c>
      <c r="DN365" s="70">
        <f t="shared" si="1143"/>
        <v>7841.272727272727</v>
      </c>
      <c r="DO365" s="70">
        <f t="shared" si="1143"/>
        <v>250</v>
      </c>
      <c r="DP365" s="70">
        <f t="shared" si="1143"/>
        <v>8091.272727272727</v>
      </c>
      <c r="DQ365" s="70">
        <f t="shared" si="1143"/>
        <v>5261.8727272727274</v>
      </c>
      <c r="DR365" s="70" t="str">
        <f t="shared" si="1143"/>
        <v/>
      </c>
      <c r="DS365" s="71">
        <f t="shared" si="1143"/>
        <v>5261.8727272727274</v>
      </c>
      <c r="DT365" s="106">
        <f t="shared" si="1144"/>
        <v>1.0627649433238098</v>
      </c>
      <c r="DU365" s="92">
        <f t="shared" si="1144"/>
        <v>1.8316212762237518E-2</v>
      </c>
      <c r="DV365" s="92" t="str">
        <f t="shared" si="1144"/>
        <v/>
      </c>
      <c r="DW365" s="92">
        <f t="shared" si="1144"/>
        <v>1</v>
      </c>
      <c r="DX365" s="92">
        <f t="shared" si="1144"/>
        <v>5.8582047613827633E-2</v>
      </c>
      <c r="DY365" s="92">
        <f t="shared" si="1144"/>
        <v>4.9999791861218612E-2</v>
      </c>
      <c r="DZ365" s="92">
        <f t="shared" si="1144"/>
        <v>0.18112236756476238</v>
      </c>
      <c r="EA365" s="92">
        <f t="shared" si="1144"/>
        <v>0.14436297738364001</v>
      </c>
      <c r="EB365" s="92">
        <f t="shared" si="1144"/>
        <v>9.0142131035851211E-2</v>
      </c>
      <c r="EC365" s="92">
        <f t="shared" si="1144"/>
        <v>4.6465595353232324E-2</v>
      </c>
      <c r="ED365" s="92">
        <f t="shared" si="1145"/>
        <v>2.7751837518541697E-2</v>
      </c>
      <c r="EE365" s="92">
        <f t="shared" si="1145"/>
        <v>0.5984267483310739</v>
      </c>
      <c r="EF365" s="92">
        <f t="shared" si="1145"/>
        <v>1.9079388293997416E-2</v>
      </c>
      <c r="EG365" s="92">
        <f t="shared" si="1145"/>
        <v>0.61750613662507126</v>
      </c>
      <c r="EH365" s="92">
        <f t="shared" si="1145"/>
        <v>0.4015732516689261</v>
      </c>
      <c r="EI365" s="92" t="str">
        <f t="shared" si="1145"/>
        <v/>
      </c>
      <c r="EJ365" s="122">
        <f t="shared" si="1145"/>
        <v>0.4015732516689261</v>
      </c>
    </row>
    <row r="366" spans="2:140" ht="12" hidden="1" customHeight="1" outlineLevel="1">
      <c r="B366" s="121">
        <v>45980</v>
      </c>
      <c r="C366" s="117">
        <v>25196</v>
      </c>
      <c r="D366" s="50" t="s">
        <v>1626</v>
      </c>
      <c r="E366" s="50" t="s">
        <v>691</v>
      </c>
      <c r="F366" s="50" t="s">
        <v>180</v>
      </c>
      <c r="G366" s="50" t="s">
        <v>291</v>
      </c>
      <c r="H366" s="50" t="s">
        <v>731</v>
      </c>
      <c r="I366" s="50" t="s">
        <v>174</v>
      </c>
      <c r="J366" s="52" t="s">
        <v>541</v>
      </c>
      <c r="K366" s="50" t="s">
        <v>542</v>
      </c>
      <c r="L366" s="49">
        <v>11</v>
      </c>
      <c r="M366" s="50" t="s">
        <v>159</v>
      </c>
      <c r="N366" s="50" t="s">
        <v>160</v>
      </c>
      <c r="O366" s="50" t="s">
        <v>318</v>
      </c>
      <c r="P366" s="50" t="s">
        <v>231</v>
      </c>
      <c r="Q366" s="53">
        <v>0.09</v>
      </c>
      <c r="R366" s="49">
        <v>70</v>
      </c>
      <c r="S366" s="49">
        <v>13</v>
      </c>
      <c r="T366" s="54">
        <f t="shared" si="1146"/>
        <v>83</v>
      </c>
      <c r="U366" s="55">
        <v>80946</v>
      </c>
      <c r="V366" s="49">
        <v>5.84</v>
      </c>
      <c r="W366" s="56">
        <f t="shared" si="1099"/>
        <v>14.212328767123289</v>
      </c>
      <c r="X366" s="49" t="s">
        <v>163</v>
      </c>
      <c r="Y366" s="57" t="s">
        <v>162</v>
      </c>
      <c r="Z366" s="58">
        <v>4500000</v>
      </c>
      <c r="AA366" s="114">
        <v>7.2499999999999995E-2</v>
      </c>
      <c r="AB366" s="59">
        <v>15</v>
      </c>
      <c r="AC366" s="60">
        <v>35</v>
      </c>
      <c r="AD366" s="61">
        <v>7.2499999999999995E-2</v>
      </c>
      <c r="AE366" s="62">
        <v>7500000</v>
      </c>
      <c r="AF366" s="63">
        <v>1.18</v>
      </c>
      <c r="AG366" s="59"/>
      <c r="AH366" s="60"/>
      <c r="AI366" s="61"/>
      <c r="AJ366" s="64"/>
      <c r="AK366" s="65">
        <f t="shared" si="1100"/>
        <v>7500000</v>
      </c>
      <c r="AL366" s="66">
        <v>888799</v>
      </c>
      <c r="AM366" s="49" t="s">
        <v>1627</v>
      </c>
      <c r="AN366" s="67">
        <v>0.83</v>
      </c>
      <c r="AO366" s="62">
        <v>17424699</v>
      </c>
      <c r="AP366" s="62">
        <v>417453</v>
      </c>
      <c r="AQ366" s="68">
        <v>826699</v>
      </c>
      <c r="AR366" s="69">
        <f t="shared" si="1101"/>
        <v>90361.445783132527</v>
      </c>
      <c r="AS366" s="70">
        <f t="shared" si="1102"/>
        <v>10708.421686746988</v>
      </c>
      <c r="AT366" s="70">
        <f t="shared" si="1103"/>
        <v>209936.13253012049</v>
      </c>
      <c r="AU366" s="70">
        <f t="shared" si="1104"/>
        <v>5029.5542168674701</v>
      </c>
      <c r="AV366" s="71">
        <f t="shared" si="1105"/>
        <v>9960.2289156626503</v>
      </c>
      <c r="AW366" s="115">
        <f t="shared" si="1106"/>
        <v>172030.57831325301</v>
      </c>
      <c r="AX366" s="116">
        <f t="shared" si="1107"/>
        <v>176.39584414300893</v>
      </c>
      <c r="AY366" s="72">
        <f t="shared" si="1108"/>
        <v>204206.32530120481</v>
      </c>
      <c r="AZ366" s="73">
        <f t="shared" si="1109"/>
        <v>209.38804882267189</v>
      </c>
      <c r="BA366" s="66">
        <v>910000</v>
      </c>
      <c r="BB366" s="62">
        <v>2766206</v>
      </c>
      <c r="BC366" s="62">
        <v>11512332</v>
      </c>
      <c r="BD366" s="62">
        <v>713926</v>
      </c>
      <c r="BE366" s="62">
        <v>1956661</v>
      </c>
      <c r="BF366" s="62">
        <v>1401952</v>
      </c>
      <c r="BG366" s="62">
        <v>1219117</v>
      </c>
      <c r="BH366" s="62">
        <v>2906204</v>
      </c>
      <c r="BI366" s="62">
        <v>338100</v>
      </c>
      <c r="BJ366" s="47">
        <f t="shared" si="1110"/>
        <v>23724498</v>
      </c>
      <c r="BK366" s="69">
        <f t="shared" si="1111"/>
        <v>10963.855421686747</v>
      </c>
      <c r="BL366" s="70">
        <f t="shared" si="1112"/>
        <v>33327.783132530123</v>
      </c>
      <c r="BM366" s="70">
        <f t="shared" si="1113"/>
        <v>138702.7951807229</v>
      </c>
      <c r="BN366" s="70">
        <f t="shared" si="1114"/>
        <v>8601.5180722891564</v>
      </c>
      <c r="BO366" s="70">
        <f t="shared" si="1115"/>
        <v>23574.22891566265</v>
      </c>
      <c r="BP366" s="70">
        <f t="shared" si="1116"/>
        <v>16890.98795180723</v>
      </c>
      <c r="BQ366" s="70">
        <f t="shared" si="1117"/>
        <v>14688.156626506025</v>
      </c>
      <c r="BR366" s="70">
        <f t="shared" si="1118"/>
        <v>35014.506024096387</v>
      </c>
      <c r="BS366" s="70">
        <f t="shared" si="1119"/>
        <v>4073.4939759036147</v>
      </c>
      <c r="BT366" s="71">
        <f t="shared" si="1120"/>
        <v>285837.32530120481</v>
      </c>
      <c r="BU366" s="65">
        <f t="shared" si="1121"/>
        <v>11.242062609640994</v>
      </c>
      <c r="BV366" s="48">
        <f t="shared" si="1122"/>
        <v>34.17347367380723</v>
      </c>
      <c r="BW366" s="48">
        <f t="shared" si="1123"/>
        <v>142.22237046920168</v>
      </c>
      <c r="BX366" s="48">
        <f t="shared" si="1124"/>
        <v>8.8197810886269856</v>
      </c>
      <c r="BY366" s="48">
        <f t="shared" si="1125"/>
        <v>24.172423591036001</v>
      </c>
      <c r="BZ366" s="48">
        <f t="shared" si="1126"/>
        <v>17.319595779902652</v>
      </c>
      <c r="CA366" s="48">
        <f t="shared" si="1127"/>
        <v>15.060867738986484</v>
      </c>
      <c r="CB366" s="48">
        <f t="shared" si="1128"/>
        <v>35.902997059768239</v>
      </c>
      <c r="CC366" s="48">
        <f t="shared" si="1129"/>
        <v>4.1768586465050772</v>
      </c>
      <c r="CD366" s="47">
        <f t="shared" si="1130"/>
        <v>293.09043065747534</v>
      </c>
      <c r="CE366" s="66">
        <v>849960</v>
      </c>
      <c r="CF366" s="62">
        <v>14940</v>
      </c>
      <c r="CG366" s="74">
        <v>-64868</v>
      </c>
      <c r="CH366" s="75">
        <f t="shared" si="1131"/>
        <v>800032</v>
      </c>
      <c r="CI366" s="62">
        <f>29220+2800</f>
        <v>32020</v>
      </c>
      <c r="CJ366" s="62">
        <v>40002</v>
      </c>
      <c r="CK366" s="62">
        <v>101571</v>
      </c>
      <c r="CL366" s="62">
        <v>48179</v>
      </c>
      <c r="CM366" s="62">
        <f>15228+43884</f>
        <v>59112</v>
      </c>
      <c r="CN366" s="62">
        <v>80946</v>
      </c>
      <c r="CO366" s="62">
        <v>0</v>
      </c>
      <c r="CP366" s="75">
        <f t="shared" si="1147"/>
        <v>361830</v>
      </c>
      <c r="CQ366" s="62">
        <v>20750</v>
      </c>
      <c r="CR366" s="75">
        <f t="shared" si="1132"/>
        <v>382580</v>
      </c>
      <c r="CS366" s="75">
        <f t="shared" si="1133"/>
        <v>438202</v>
      </c>
      <c r="CT366" s="62">
        <v>354492</v>
      </c>
      <c r="CU366" s="47">
        <f t="shared" si="1134"/>
        <v>83710</v>
      </c>
      <c r="CV366" s="76">
        <f t="shared" si="1135"/>
        <v>0.54773059077636899</v>
      </c>
      <c r="CW366" s="75">
        <f t="shared" si="1136"/>
        <v>4609.3975903614455</v>
      </c>
      <c r="CX366" s="77">
        <f t="shared" si="1137"/>
        <v>0.47820587176512941</v>
      </c>
      <c r="CY366" s="75">
        <f t="shared" si="1138"/>
        <v>1008.5542168674699</v>
      </c>
      <c r="CZ366" s="77">
        <f t="shared" si="1139"/>
        <v>0.10463331466741331</v>
      </c>
      <c r="DA366" s="77">
        <f t="shared" si="1140"/>
        <v>0.44309727610895566</v>
      </c>
      <c r="DB366" s="47">
        <f t="shared" si="1141"/>
        <v>90361.445783132527</v>
      </c>
      <c r="DC366" s="69">
        <f t="shared" ref="DC366:DC416" si="1148">IFERROR(IF(ABS(CE366)&gt;0,CE366/$T366,""),"")</f>
        <v>10240.481927710844</v>
      </c>
      <c r="DD366" s="70">
        <f t="shared" ref="DD366:DD416" si="1149">IFERROR(IF(ABS(CF366)&gt;0,CF366/$T366,""),"")</f>
        <v>180</v>
      </c>
      <c r="DE366" s="70">
        <f t="shared" ref="DE366:DE416" si="1150">IFERROR(IF(ABS(CG366)&gt;0,CG366/$T366,""),"")</f>
        <v>-781.54216867469881</v>
      </c>
      <c r="DF366" s="70">
        <f t="shared" ref="DF366:DF416" si="1151">IFERROR(IF(ABS(CH366)&gt;0,CH366/$T366,""),"")</f>
        <v>9638.9397590361441</v>
      </c>
      <c r="DG366" s="70">
        <f t="shared" ref="DG366:DG416" si="1152">IFERROR(IF(ABS(CI366)&gt;0,CI366/$T366,""),"")</f>
        <v>385.7831325301205</v>
      </c>
      <c r="DH366" s="70">
        <f>IFERROR(IF(ABS(CK366)&gt;0,CK366/$T366,""),"")</f>
        <v>1223.7469879518073</v>
      </c>
      <c r="DI366" s="70">
        <f>IFERROR(IF(ABS(CL366)&gt;0,CL366/$T366,""),"")</f>
        <v>580.46987951807228</v>
      </c>
      <c r="DJ366" s="70" t="str">
        <f>IFERROR(IF(ABS(#REF!)&gt;0,#REF!/$T366,""),"")</f>
        <v/>
      </c>
      <c r="DK366" s="70">
        <f t="shared" ref="DK366:DK416" si="1153">IFERROR(IF(ABS(CM366)&gt;0,CM366/$T366,""),"")</f>
        <v>712.19277108433732</v>
      </c>
      <c r="DL366" s="70">
        <f t="shared" ref="DL366:DL416" si="1154">IFERROR(IF(ABS(CN366)&gt;0,CN366/$T366,""),"")</f>
        <v>975.25301204819277</v>
      </c>
      <c r="DM366" s="70" t="str">
        <f t="shared" ref="DM366:DM416" si="1155">IFERROR(IF(ABS(CO366)&gt;0,CO366/$T366,""),"")</f>
        <v/>
      </c>
      <c r="DN366" s="70">
        <f t="shared" ref="DN366:DN416" si="1156">IFERROR(IF(ABS(CP366)&gt;0,CP366/$T366,""),"")</f>
        <v>4359.3975903614455</v>
      </c>
      <c r="DO366" s="70">
        <f t="shared" ref="DO366:DO416" si="1157">IFERROR(IF(ABS(CQ366)&gt;0,CQ366/$T366,""),"")</f>
        <v>250</v>
      </c>
      <c r="DP366" s="70">
        <f t="shared" ref="DP366:DP416" si="1158">IFERROR(IF(ABS(CR366)&gt;0,CR366/$T366,""),"")</f>
        <v>4609.3975903614455</v>
      </c>
      <c r="DQ366" s="70">
        <f t="shared" ref="DQ366:DQ416" si="1159">IFERROR(IF(ABS(CS366)&gt;0,CS366/$T366,""),"")</f>
        <v>5279.5421686746986</v>
      </c>
      <c r="DR366" s="70">
        <f t="shared" ref="DR366:DR416" si="1160">IFERROR(IF(ABS(CT366)&gt;0,CT366/$T366,""),"")</f>
        <v>4270.9879518072294</v>
      </c>
      <c r="DS366" s="71">
        <f t="shared" ref="DS366:DS416" si="1161">IFERROR(IF(ABS(CU366)&gt;0,CU366/$T366,""),"")</f>
        <v>1008.5542168674699</v>
      </c>
      <c r="DT366" s="106">
        <f t="shared" ref="DT366:DT416" si="1162">IFERROR(IF(ABS(CE366&gt;0),CE366/$CH366,""),"")</f>
        <v>1.0624075036998519</v>
      </c>
      <c r="DU366" s="92">
        <f t="shared" ref="DU366:DU416" si="1163">IFERROR(IF(ABS(CF366&gt;0),CF366/$CH366,""),"")</f>
        <v>1.8674253029878806E-2</v>
      </c>
      <c r="DV366" s="92" t="str">
        <f t="shared" ref="DV366:DV416" si="1164">IFERROR(IF(ABS(CG366&gt;0),CG366/$CH366,""),"")</f>
        <v/>
      </c>
      <c r="DW366" s="92">
        <f t="shared" ref="DW366:DW416" si="1165">IFERROR(IF(ABS(CH366&gt;0),CH366/$CH366,""),"")</f>
        <v>1</v>
      </c>
      <c r="DX366" s="92">
        <f t="shared" ref="DX366:DX416" si="1166">IFERROR(IF(ABS(CI366&gt;0),CI366/$CH366,""),"")</f>
        <v>4.0023399064037436E-2</v>
      </c>
      <c r="DY366" s="92">
        <f>IFERROR(IF(ABS(CK366&gt;0),CK366/$CH366,""),"")</f>
        <v>0.12695867165313388</v>
      </c>
      <c r="DZ366" s="92">
        <f>IFERROR(IF(ABS(CL366&gt;0),CL366/$CH366,""),"")</f>
        <v>6.0221341146354149E-2</v>
      </c>
      <c r="EA366" s="92" t="str">
        <f>IFERROR(IF(ABS(#REF!&gt;0),#REF!/$CH366,""),"")</f>
        <v/>
      </c>
      <c r="EB366" s="92">
        <f t="shared" ref="EB366:EB416" si="1167">IFERROR(IF(ABS(CM366&gt;0),CM366/$CH366,""),"")</f>
        <v>7.3887044518219272E-2</v>
      </c>
      <c r="EC366" s="92">
        <f t="shared" ref="EC366:EC416" si="1168">IFERROR(IF(ABS(CN366&gt;0),CN366/$CH366,""),"")</f>
        <v>0.10117845286188552</v>
      </c>
      <c r="ED366" s="92" t="str">
        <f t="shared" ref="ED366:ED416" si="1169">IFERROR(IF(ABS(CO366&gt;0),CO366/$CH366,""),"")</f>
        <v/>
      </c>
      <c r="EE366" s="92">
        <f t="shared" ref="EE366:EE416" si="1170">IFERROR(IF(ABS(CP366&gt;0),CP366/$CH366,""),"")</f>
        <v>0.45226940922363107</v>
      </c>
      <c r="EF366" s="92">
        <f t="shared" ref="EF366:EF416" si="1171">IFERROR(IF(ABS(CQ366&gt;0),CQ366/$CH366,""),"")</f>
        <v>2.593646254149834E-2</v>
      </c>
      <c r="EG366" s="92">
        <f t="shared" ref="EG366:EG416" si="1172">IFERROR(IF(ABS(CR366&gt;0),CR366/$CH366,""),"")</f>
        <v>0.47820587176512941</v>
      </c>
      <c r="EH366" s="92">
        <f t="shared" ref="EH366:EH416" si="1173">IFERROR(IF(ABS(CS366&gt;0),CS366/$CH366,""),"")</f>
        <v>0.54773059077636899</v>
      </c>
      <c r="EI366" s="92">
        <f t="shared" ref="EI366:EI416" si="1174">IFERROR(IF(ABS(CT366&gt;0),CT366/$CH366,""),"")</f>
        <v>0.44309727610895566</v>
      </c>
      <c r="EJ366" s="122">
        <f t="shared" ref="EJ366:EJ416" si="1175">IFERROR(IF(ABS(CU366&gt;0),CU366/$CH366,""),"")</f>
        <v>0.10463331466741331</v>
      </c>
    </row>
    <row r="367" spans="2:140" ht="12" hidden="1" customHeight="1" outlineLevel="1">
      <c r="B367" s="121">
        <v>45981</v>
      </c>
      <c r="C367" s="117">
        <v>25177</v>
      </c>
      <c r="D367" s="50" t="s">
        <v>1628</v>
      </c>
      <c r="E367" s="50" t="s">
        <v>1591</v>
      </c>
      <c r="F367" s="50" t="s">
        <v>1592</v>
      </c>
      <c r="G367" s="50" t="s">
        <v>249</v>
      </c>
      <c r="H367" s="50" t="s">
        <v>968</v>
      </c>
      <c r="I367" s="50" t="s">
        <v>321</v>
      </c>
      <c r="J367" s="52" t="s">
        <v>311</v>
      </c>
      <c r="K367" s="50" t="s">
        <v>312</v>
      </c>
      <c r="L367" s="49">
        <v>10</v>
      </c>
      <c r="M367" s="50" t="s">
        <v>283</v>
      </c>
      <c r="N367" s="50" t="s">
        <v>244</v>
      </c>
      <c r="O367" s="50" t="s">
        <v>160</v>
      </c>
      <c r="P367" s="50" t="s">
        <v>177</v>
      </c>
      <c r="Q367" s="53">
        <v>0.09</v>
      </c>
      <c r="R367" s="49">
        <v>39</v>
      </c>
      <c r="S367" s="49">
        <v>0</v>
      </c>
      <c r="T367" s="54">
        <f t="shared" si="1146"/>
        <v>39</v>
      </c>
      <c r="U367" s="55">
        <v>36084</v>
      </c>
      <c r="V367" s="49">
        <v>7.1639999999999997</v>
      </c>
      <c r="W367" s="56">
        <f t="shared" si="1099"/>
        <v>5.4438860971524292</v>
      </c>
      <c r="X367" s="49" t="s">
        <v>163</v>
      </c>
      <c r="Y367" s="57" t="s">
        <v>162</v>
      </c>
      <c r="Z367" s="58">
        <v>8200000</v>
      </c>
      <c r="AA367" s="114">
        <v>0.08</v>
      </c>
      <c r="AB367" s="59">
        <v>15</v>
      </c>
      <c r="AC367" s="60">
        <v>35</v>
      </c>
      <c r="AD367" s="61">
        <v>7.0000000000000007E-2</v>
      </c>
      <c r="AE367" s="62">
        <v>1350000</v>
      </c>
      <c r="AF367" s="63">
        <v>1.34</v>
      </c>
      <c r="AG367" s="59"/>
      <c r="AH367" s="60"/>
      <c r="AI367" s="61"/>
      <c r="AJ367" s="64"/>
      <c r="AK367" s="65">
        <f t="shared" si="1100"/>
        <v>1350000</v>
      </c>
      <c r="AL367" s="66">
        <v>250</v>
      </c>
      <c r="AM367" s="49" t="s">
        <v>1629</v>
      </c>
      <c r="AN367" s="67">
        <v>0.78</v>
      </c>
      <c r="AO367" s="62">
        <v>10189663</v>
      </c>
      <c r="AP367" s="62">
        <v>138988</v>
      </c>
      <c r="AQ367" s="68">
        <v>376410</v>
      </c>
      <c r="AR367" s="69">
        <f t="shared" si="1101"/>
        <v>34615.384615384617</v>
      </c>
      <c r="AS367" s="70">
        <f t="shared" si="1102"/>
        <v>6.4102564102564106</v>
      </c>
      <c r="AT367" s="70">
        <f t="shared" si="1103"/>
        <v>261273.41025641025</v>
      </c>
      <c r="AU367" s="70">
        <f t="shared" si="1104"/>
        <v>3563.7948717948716</v>
      </c>
      <c r="AV367" s="71">
        <f t="shared" si="1105"/>
        <v>9651.538461538461</v>
      </c>
      <c r="AW367" s="115">
        <f t="shared" si="1106"/>
        <v>154307.43589743591</v>
      </c>
      <c r="AX367" s="116">
        <f t="shared" si="1107"/>
        <v>166.77724199091008</v>
      </c>
      <c r="AY367" s="72">
        <f t="shared" si="1108"/>
        <v>186809.20512820515</v>
      </c>
      <c r="AZ367" s="73">
        <f t="shared" si="1109"/>
        <v>201.90552599490078</v>
      </c>
      <c r="BA367" s="66">
        <v>247311</v>
      </c>
      <c r="BB367" s="62">
        <v>2189529</v>
      </c>
      <c r="BC367" s="62">
        <v>3828461</v>
      </c>
      <c r="BD367" s="62">
        <v>372851</v>
      </c>
      <c r="BE367" s="62">
        <v>894718</v>
      </c>
      <c r="BF367" s="62">
        <v>929500</v>
      </c>
      <c r="BG367" s="62">
        <v>1176651</v>
      </c>
      <c r="BH367" s="62">
        <v>1730000</v>
      </c>
      <c r="BI367" s="62">
        <v>170892</v>
      </c>
      <c r="BJ367" s="47">
        <f t="shared" si="1110"/>
        <v>11539913</v>
      </c>
      <c r="BK367" s="69">
        <f t="shared" si="1111"/>
        <v>6341.3076923076924</v>
      </c>
      <c r="BL367" s="70">
        <f t="shared" si="1112"/>
        <v>56141.769230769234</v>
      </c>
      <c r="BM367" s="70">
        <f t="shared" si="1113"/>
        <v>98165.666666666672</v>
      </c>
      <c r="BN367" s="70">
        <f t="shared" si="1114"/>
        <v>9560.2820512820508</v>
      </c>
      <c r="BO367" s="70">
        <f t="shared" si="1115"/>
        <v>22941.48717948718</v>
      </c>
      <c r="BP367" s="70">
        <f t="shared" si="1116"/>
        <v>23833.333333333332</v>
      </c>
      <c r="BQ367" s="70">
        <f t="shared" si="1117"/>
        <v>30170.538461538461</v>
      </c>
      <c r="BR367" s="70">
        <f t="shared" si="1118"/>
        <v>44358.974358974359</v>
      </c>
      <c r="BS367" s="70">
        <f t="shared" si="1119"/>
        <v>4381.8461538461543</v>
      </c>
      <c r="BT367" s="71">
        <f t="shared" si="1120"/>
        <v>295895.20512820513</v>
      </c>
      <c r="BU367" s="65">
        <f t="shared" si="1121"/>
        <v>6.8537578982374461</v>
      </c>
      <c r="BV367" s="48">
        <f t="shared" si="1122"/>
        <v>60.678666444961756</v>
      </c>
      <c r="BW367" s="48">
        <f t="shared" si="1123"/>
        <v>106.09857554594834</v>
      </c>
      <c r="BX367" s="48">
        <f t="shared" si="1124"/>
        <v>10.332862210397961</v>
      </c>
      <c r="BY367" s="48">
        <f t="shared" si="1125"/>
        <v>24.795421793592727</v>
      </c>
      <c r="BZ367" s="48">
        <f t="shared" si="1126"/>
        <v>25.759339319365925</v>
      </c>
      <c r="CA367" s="48">
        <f t="shared" si="1127"/>
        <v>32.608663119388098</v>
      </c>
      <c r="CB367" s="48">
        <f t="shared" si="1128"/>
        <v>47.943686952665999</v>
      </c>
      <c r="CC367" s="48">
        <f t="shared" si="1129"/>
        <v>4.7359494512803462</v>
      </c>
      <c r="CD367" s="47">
        <f t="shared" si="1130"/>
        <v>319.80692273583861</v>
      </c>
      <c r="CE367" s="66">
        <v>398508</v>
      </c>
      <c r="CF367" s="62">
        <v>9360</v>
      </c>
      <c r="CG367" s="74">
        <v>-30590</v>
      </c>
      <c r="CH367" s="75">
        <f t="shared" si="1131"/>
        <v>377278</v>
      </c>
      <c r="CI367" s="62">
        <f>22000+7560</f>
        <v>29560</v>
      </c>
      <c r="CJ367" s="62">
        <v>15091</v>
      </c>
      <c r="CK367" s="62">
        <v>65000</v>
      </c>
      <c r="CL367" s="62">
        <v>27000</v>
      </c>
      <c r="CM367" s="62">
        <f>36500</f>
        <v>36500</v>
      </c>
      <c r="CN367" s="62">
        <v>39000</v>
      </c>
      <c r="CO367" s="62">
        <v>16389</v>
      </c>
      <c r="CP367" s="75">
        <f t="shared" si="1147"/>
        <v>228540</v>
      </c>
      <c r="CQ367" s="62">
        <v>9750</v>
      </c>
      <c r="CR367" s="75">
        <f t="shared" si="1132"/>
        <v>238290</v>
      </c>
      <c r="CS367" s="75">
        <f t="shared" si="1133"/>
        <v>148738</v>
      </c>
      <c r="CT367" s="62">
        <v>103495</v>
      </c>
      <c r="CU367" s="47">
        <f t="shared" si="1134"/>
        <v>45243</v>
      </c>
      <c r="CV367" s="76">
        <f t="shared" si="1135"/>
        <v>0.39423979134749443</v>
      </c>
      <c r="CW367" s="75">
        <f t="shared" si="1136"/>
        <v>6110</v>
      </c>
      <c r="CX367" s="77">
        <f t="shared" si="1137"/>
        <v>0.63160322096703225</v>
      </c>
      <c r="CY367" s="75">
        <f t="shared" si="1138"/>
        <v>1160.0769230769231</v>
      </c>
      <c r="CZ367" s="77">
        <f t="shared" si="1139"/>
        <v>0.11991952883550061</v>
      </c>
      <c r="DA367" s="77">
        <f t="shared" si="1140"/>
        <v>0.27432026251199382</v>
      </c>
      <c r="DB367" s="47">
        <f t="shared" si="1141"/>
        <v>34615.384615384617</v>
      </c>
      <c r="DC367" s="69">
        <f t="shared" si="1148"/>
        <v>10218.153846153846</v>
      </c>
      <c r="DD367" s="70">
        <f t="shared" si="1149"/>
        <v>240</v>
      </c>
      <c r="DE367" s="70">
        <f t="shared" si="1150"/>
        <v>-784.35897435897436</v>
      </c>
      <c r="DF367" s="70">
        <f t="shared" si="1151"/>
        <v>9673.7948717948711</v>
      </c>
      <c r="DG367" s="70">
        <f t="shared" si="1152"/>
        <v>757.9487179487179</v>
      </c>
      <c r="DH367" s="70">
        <f t="shared" ref="DH367:DH416" si="1176">IFERROR(IF(ABS(CJ367)&gt;0,CJ367/$T367,""),"")</f>
        <v>386.94871794871796</v>
      </c>
      <c r="DI367" s="70">
        <f t="shared" ref="DI367:DI416" si="1177">IFERROR(IF(ABS(CK367)&gt;0,CK367/$T367,""),"")</f>
        <v>1666.6666666666667</v>
      </c>
      <c r="DJ367" s="70">
        <f t="shared" ref="DJ367:DJ416" si="1178">IFERROR(IF(ABS(CL367)&gt;0,CL367/$T367,""),"")</f>
        <v>692.30769230769226</v>
      </c>
      <c r="DK367" s="70">
        <f t="shared" si="1153"/>
        <v>935.89743589743591</v>
      </c>
      <c r="DL367" s="70">
        <f t="shared" si="1154"/>
        <v>1000</v>
      </c>
      <c r="DM367" s="70">
        <f t="shared" si="1155"/>
        <v>420.23076923076923</v>
      </c>
      <c r="DN367" s="70">
        <f t="shared" si="1156"/>
        <v>5860</v>
      </c>
      <c r="DO367" s="70">
        <f t="shared" si="1157"/>
        <v>250</v>
      </c>
      <c r="DP367" s="70">
        <f t="shared" si="1158"/>
        <v>6110</v>
      </c>
      <c r="DQ367" s="70">
        <f t="shared" si="1159"/>
        <v>3813.7948717948716</v>
      </c>
      <c r="DR367" s="70">
        <f t="shared" si="1160"/>
        <v>2653.7179487179487</v>
      </c>
      <c r="DS367" s="71">
        <f t="shared" si="1161"/>
        <v>1160.0769230769231</v>
      </c>
      <c r="DT367" s="106">
        <f t="shared" si="1162"/>
        <v>1.0562715027115284</v>
      </c>
      <c r="DU367" s="92">
        <f t="shared" si="1163"/>
        <v>2.480929182194562E-2</v>
      </c>
      <c r="DV367" s="92" t="str">
        <f t="shared" si="1164"/>
        <v/>
      </c>
      <c r="DW367" s="92">
        <f t="shared" si="1165"/>
        <v>1</v>
      </c>
      <c r="DX367" s="92">
        <f t="shared" si="1166"/>
        <v>7.8350712206913739E-2</v>
      </c>
      <c r="DY367" s="92">
        <f t="shared" ref="DY367:DY416" si="1179">IFERROR(IF(ABS(CJ367&gt;0),CJ367/$CH367,""),"")</f>
        <v>3.9999681932156132E-2</v>
      </c>
      <c r="DZ367" s="92">
        <f t="shared" ref="DZ367:DZ416" si="1180">IFERROR(IF(ABS(CK367&gt;0),CK367/$CH367,""),"")</f>
        <v>0.17228674876351124</v>
      </c>
      <c r="EA367" s="92">
        <f t="shared" ref="EA367:EA416" si="1181">IFERROR(IF(ABS(CL367&gt;0),CL367/$CH367,""),"")</f>
        <v>7.1565264870996986E-2</v>
      </c>
      <c r="EB367" s="92">
        <f t="shared" si="1167"/>
        <v>9.6745635844125558E-2</v>
      </c>
      <c r="EC367" s="92">
        <f t="shared" si="1168"/>
        <v>0.10337204925810675</v>
      </c>
      <c r="ED367" s="92">
        <f t="shared" si="1169"/>
        <v>4.3440115776695168E-2</v>
      </c>
      <c r="EE367" s="92">
        <f t="shared" si="1170"/>
        <v>0.60576020865250557</v>
      </c>
      <c r="EF367" s="92">
        <f t="shared" si="1171"/>
        <v>2.5843012314526688E-2</v>
      </c>
      <c r="EG367" s="92">
        <f t="shared" si="1172"/>
        <v>0.63160322096703225</v>
      </c>
      <c r="EH367" s="92">
        <f t="shared" si="1173"/>
        <v>0.39423979134749443</v>
      </c>
      <c r="EI367" s="92">
        <f t="shared" si="1174"/>
        <v>0.27432026251199382</v>
      </c>
      <c r="EJ367" s="122">
        <f t="shared" si="1175"/>
        <v>0.11991952883550061</v>
      </c>
    </row>
    <row r="368" spans="2:140" ht="12" hidden="1" customHeight="1" outlineLevel="1">
      <c r="B368" s="121">
        <v>45995</v>
      </c>
      <c r="C368" s="117">
        <v>25402</v>
      </c>
      <c r="D368" s="50" t="s">
        <v>1630</v>
      </c>
      <c r="E368" s="50" t="s">
        <v>1082</v>
      </c>
      <c r="F368" s="50" t="s">
        <v>1631</v>
      </c>
      <c r="G368" s="50" t="s">
        <v>162</v>
      </c>
      <c r="H368" s="50" t="s">
        <v>1632</v>
      </c>
      <c r="I368" s="50" t="s">
        <v>776</v>
      </c>
      <c r="J368" s="52" t="s">
        <v>1438</v>
      </c>
      <c r="K368" s="50" t="s">
        <v>176</v>
      </c>
      <c r="L368" s="49">
        <v>6</v>
      </c>
      <c r="M368" s="50" t="s">
        <v>159</v>
      </c>
      <c r="N368" s="50" t="s">
        <v>160</v>
      </c>
      <c r="O368" s="50" t="s">
        <v>160</v>
      </c>
      <c r="P368" s="50" t="s">
        <v>177</v>
      </c>
      <c r="Q368" s="53">
        <v>0.04</v>
      </c>
      <c r="R368" s="49">
        <v>360</v>
      </c>
      <c r="S368" s="49">
        <v>0</v>
      </c>
      <c r="T368" s="54">
        <f t="shared" si="1146"/>
        <v>360</v>
      </c>
      <c r="U368" s="55">
        <v>344088</v>
      </c>
      <c r="V368" s="49">
        <v>16.47</v>
      </c>
      <c r="W368" s="56">
        <f t="shared" si="1099"/>
        <v>21.857923497267763</v>
      </c>
      <c r="X368" s="49" t="s">
        <v>163</v>
      </c>
      <c r="Y368" s="57" t="s">
        <v>162</v>
      </c>
      <c r="Z368" s="58">
        <v>44600000</v>
      </c>
      <c r="AA368" s="114">
        <v>5.57E-2</v>
      </c>
      <c r="AB368" s="59">
        <v>16</v>
      </c>
      <c r="AC368" s="60">
        <v>40</v>
      </c>
      <c r="AD368" s="61">
        <v>5.57E-2</v>
      </c>
      <c r="AE368" s="62">
        <v>44600000</v>
      </c>
      <c r="AF368" s="63">
        <v>1.22</v>
      </c>
      <c r="AG368" s="59">
        <v>16</v>
      </c>
      <c r="AH368" s="60">
        <v>40</v>
      </c>
      <c r="AI368" s="61">
        <v>6.7699999999999996E-2</v>
      </c>
      <c r="AJ368" s="64">
        <v>2000000</v>
      </c>
      <c r="AK368" s="65">
        <f t="shared" si="1100"/>
        <v>46600000</v>
      </c>
      <c r="AL368" s="66">
        <v>0</v>
      </c>
      <c r="AM368" s="49" t="s">
        <v>163</v>
      </c>
      <c r="AN368" s="67">
        <v>0.82</v>
      </c>
      <c r="AO368" s="62">
        <v>32241874</v>
      </c>
      <c r="AP368" s="62">
        <v>3402484</v>
      </c>
      <c r="AQ368" s="68">
        <v>4512015</v>
      </c>
      <c r="AR368" s="69">
        <f t="shared" si="1101"/>
        <v>129444.44444444444</v>
      </c>
      <c r="AS368" s="70" t="str">
        <f t="shared" si="1102"/>
        <v/>
      </c>
      <c r="AT368" s="70">
        <f t="shared" si="1103"/>
        <v>89560.761111111118</v>
      </c>
      <c r="AU368" s="70">
        <f t="shared" si="1104"/>
        <v>9451.3444444444449</v>
      </c>
      <c r="AV368" s="71">
        <f t="shared" si="1105"/>
        <v>12533.375</v>
      </c>
      <c r="AW368" s="115">
        <f t="shared" si="1106"/>
        <v>121266.66666666667</v>
      </c>
      <c r="AX368" s="116">
        <f t="shared" si="1107"/>
        <v>126.8745204715073</v>
      </c>
      <c r="AY368" s="72">
        <f t="shared" si="1108"/>
        <v>145156.19999999998</v>
      </c>
      <c r="AZ368" s="73">
        <f t="shared" si="1109"/>
        <v>151.86880100439424</v>
      </c>
      <c r="BA368" s="66">
        <v>4900000</v>
      </c>
      <c r="BB368" s="62">
        <v>9056000</v>
      </c>
      <c r="BC368" s="62">
        <v>34600000</v>
      </c>
      <c r="BD368" s="62">
        <v>2182800</v>
      </c>
      <c r="BE368" s="62">
        <v>6417432</v>
      </c>
      <c r="BF368" s="62">
        <v>5177934</v>
      </c>
      <c r="BG368" s="62">
        <v>8766595</v>
      </c>
      <c r="BH368" s="62">
        <v>9928725</v>
      </c>
      <c r="BI368" s="62">
        <v>1194103</v>
      </c>
      <c r="BJ368" s="47">
        <f t="shared" si="1110"/>
        <v>82223589</v>
      </c>
      <c r="BK368" s="69">
        <f t="shared" si="1111"/>
        <v>13611.111111111111</v>
      </c>
      <c r="BL368" s="70">
        <f t="shared" si="1112"/>
        <v>25155.555555555555</v>
      </c>
      <c r="BM368" s="70">
        <f t="shared" si="1113"/>
        <v>96111.111111111109</v>
      </c>
      <c r="BN368" s="70">
        <f t="shared" si="1114"/>
        <v>6063.333333333333</v>
      </c>
      <c r="BO368" s="70">
        <f t="shared" si="1115"/>
        <v>17826.2</v>
      </c>
      <c r="BP368" s="70">
        <f t="shared" si="1116"/>
        <v>14383.15</v>
      </c>
      <c r="BQ368" s="70">
        <f t="shared" si="1117"/>
        <v>24351.652777777777</v>
      </c>
      <c r="BR368" s="70">
        <f t="shared" si="1118"/>
        <v>27579.791666666668</v>
      </c>
      <c r="BS368" s="70">
        <f t="shared" si="1119"/>
        <v>3316.9527777777776</v>
      </c>
      <c r="BT368" s="71">
        <f t="shared" si="1120"/>
        <v>228398.85833333334</v>
      </c>
      <c r="BU368" s="65">
        <f t="shared" si="1121"/>
        <v>14.240543116877078</v>
      </c>
      <c r="BV368" s="48">
        <f t="shared" si="1122"/>
        <v>26.318848666620166</v>
      </c>
      <c r="BW368" s="48">
        <f t="shared" si="1123"/>
        <v>100.55567180488713</v>
      </c>
      <c r="BX368" s="48">
        <f t="shared" si="1124"/>
        <v>6.3437260235753641</v>
      </c>
      <c r="BY368" s="48">
        <f t="shared" si="1125"/>
        <v>18.650554509311572</v>
      </c>
      <c r="BZ368" s="48">
        <f t="shared" si="1126"/>
        <v>15.04828415986608</v>
      </c>
      <c r="CA368" s="48">
        <f t="shared" si="1127"/>
        <v>25.477770221571227</v>
      </c>
      <c r="CB368" s="48">
        <f t="shared" si="1128"/>
        <v>28.855191113901096</v>
      </c>
      <c r="CC368" s="48">
        <f t="shared" si="1129"/>
        <v>3.4703418892841364</v>
      </c>
      <c r="CD368" s="47">
        <f t="shared" si="1130"/>
        <v>238.96093150589385</v>
      </c>
      <c r="CE368" s="66">
        <v>5611104</v>
      </c>
      <c r="CF368" s="62">
        <v>86400</v>
      </c>
      <c r="CG368" s="74">
        <v>-427313</v>
      </c>
      <c r="CH368" s="75">
        <f t="shared" si="1131"/>
        <v>5270191</v>
      </c>
      <c r="CI368" s="62">
        <f>175000+14400+8500</f>
        <v>197900</v>
      </c>
      <c r="CJ368" s="62">
        <v>210808</v>
      </c>
      <c r="CK368" s="62">
        <v>475000</v>
      </c>
      <c r="CL368" s="62">
        <v>108000</v>
      </c>
      <c r="CM368" s="62">
        <f>411000</f>
        <v>411000</v>
      </c>
      <c r="CN368" s="62">
        <v>375000</v>
      </c>
      <c r="CO368" s="62">
        <v>0</v>
      </c>
      <c r="CP368" s="75">
        <f t="shared" si="1147"/>
        <v>1777708</v>
      </c>
      <c r="CQ368" s="62">
        <v>90000</v>
      </c>
      <c r="CR368" s="75">
        <f t="shared" si="1132"/>
        <v>1867708</v>
      </c>
      <c r="CS368" s="75">
        <f t="shared" si="1133"/>
        <v>3492483</v>
      </c>
      <c r="CT368" s="62">
        <v>2931090</v>
      </c>
      <c r="CU368" s="47">
        <f t="shared" si="1134"/>
        <v>561393</v>
      </c>
      <c r="CV368" s="76">
        <f t="shared" si="1135"/>
        <v>0.66268622901902419</v>
      </c>
      <c r="CW368" s="75">
        <f t="shared" si="1136"/>
        <v>5188.0777777777776</v>
      </c>
      <c r="CX368" s="77">
        <f t="shared" si="1137"/>
        <v>0.35439095091620021</v>
      </c>
      <c r="CY368" s="75">
        <f t="shared" si="1138"/>
        <v>1559.425</v>
      </c>
      <c r="CZ368" s="77">
        <f t="shared" si="1139"/>
        <v>0.10652232528194898</v>
      </c>
      <c r="DA368" s="77">
        <f t="shared" si="1140"/>
        <v>0.55616390373707514</v>
      </c>
      <c r="DB368" s="47">
        <f t="shared" si="1141"/>
        <v>129444.44444444444</v>
      </c>
      <c r="DC368" s="69">
        <f t="shared" si="1148"/>
        <v>15586.4</v>
      </c>
      <c r="DD368" s="70">
        <f t="shared" si="1149"/>
        <v>240</v>
      </c>
      <c r="DE368" s="70">
        <f t="shared" si="1150"/>
        <v>-1186.9805555555556</v>
      </c>
      <c r="DF368" s="70">
        <f t="shared" si="1151"/>
        <v>14639.419444444444</v>
      </c>
      <c r="DG368" s="70">
        <f t="shared" si="1152"/>
        <v>549.72222222222217</v>
      </c>
      <c r="DH368" s="70">
        <f t="shared" si="1176"/>
        <v>585.57777777777778</v>
      </c>
      <c r="DI368" s="70">
        <f t="shared" si="1177"/>
        <v>1319.4444444444443</v>
      </c>
      <c r="DJ368" s="70">
        <f t="shared" si="1178"/>
        <v>300</v>
      </c>
      <c r="DK368" s="70">
        <f t="shared" si="1153"/>
        <v>1141.6666666666667</v>
      </c>
      <c r="DL368" s="70">
        <f t="shared" si="1154"/>
        <v>1041.6666666666667</v>
      </c>
      <c r="DM368" s="70" t="str">
        <f t="shared" si="1155"/>
        <v/>
      </c>
      <c r="DN368" s="70">
        <f t="shared" si="1156"/>
        <v>4938.0777777777776</v>
      </c>
      <c r="DO368" s="70">
        <f t="shared" si="1157"/>
        <v>250</v>
      </c>
      <c r="DP368" s="70">
        <f t="shared" si="1158"/>
        <v>5188.0777777777776</v>
      </c>
      <c r="DQ368" s="70">
        <f t="shared" si="1159"/>
        <v>9701.3416666666672</v>
      </c>
      <c r="DR368" s="70">
        <f t="shared" si="1160"/>
        <v>8141.916666666667</v>
      </c>
      <c r="DS368" s="71">
        <f t="shared" si="1161"/>
        <v>1559.425</v>
      </c>
      <c r="DT368" s="106">
        <f t="shared" si="1162"/>
        <v>1.0646870293695239</v>
      </c>
      <c r="DU368" s="92">
        <f t="shared" si="1163"/>
        <v>1.6394092737815384E-2</v>
      </c>
      <c r="DV368" s="92" t="str">
        <f t="shared" si="1164"/>
        <v/>
      </c>
      <c r="DW368" s="92">
        <f t="shared" si="1165"/>
        <v>1</v>
      </c>
      <c r="DX368" s="92">
        <f t="shared" si="1166"/>
        <v>3.7550821213121116E-2</v>
      </c>
      <c r="DY368" s="92">
        <f t="shared" si="1179"/>
        <v>4.0000068308719744E-2</v>
      </c>
      <c r="DZ368" s="92">
        <f t="shared" si="1180"/>
        <v>9.0129560769239669E-2</v>
      </c>
      <c r="EA368" s="92">
        <f t="shared" si="1181"/>
        <v>2.0492615922269232E-2</v>
      </c>
      <c r="EB368" s="92">
        <f t="shared" si="1167"/>
        <v>7.79857883708579E-2</v>
      </c>
      <c r="EC368" s="92">
        <f t="shared" si="1168"/>
        <v>7.1154916396768159E-2</v>
      </c>
      <c r="ED368" s="92" t="str">
        <f t="shared" si="1169"/>
        <v/>
      </c>
      <c r="EE368" s="92">
        <f t="shared" si="1170"/>
        <v>0.33731377098097581</v>
      </c>
      <c r="EF368" s="92">
        <f t="shared" si="1171"/>
        <v>1.7077179935224358E-2</v>
      </c>
      <c r="EG368" s="92">
        <f t="shared" si="1172"/>
        <v>0.35439095091620021</v>
      </c>
      <c r="EH368" s="92">
        <f t="shared" si="1173"/>
        <v>0.66268622901902419</v>
      </c>
      <c r="EI368" s="92">
        <f t="shared" si="1174"/>
        <v>0.55616390373707514</v>
      </c>
      <c r="EJ368" s="122">
        <f t="shared" si="1175"/>
        <v>0.10652232528194898</v>
      </c>
    </row>
    <row r="369" spans="2:140" ht="12" hidden="1" customHeight="1" outlineLevel="1">
      <c r="B369" s="121">
        <v>45996</v>
      </c>
      <c r="C369" s="117">
        <v>25494</v>
      </c>
      <c r="D369" s="50" t="s">
        <v>1633</v>
      </c>
      <c r="E369" s="50" t="s">
        <v>171</v>
      </c>
      <c r="F369" s="50" t="s">
        <v>154</v>
      </c>
      <c r="G369" s="50" t="s">
        <v>291</v>
      </c>
      <c r="H369" s="50" t="s">
        <v>173</v>
      </c>
      <c r="I369" s="50" t="s">
        <v>248</v>
      </c>
      <c r="J369" s="52" t="s">
        <v>183</v>
      </c>
      <c r="K369" s="50" t="s">
        <v>184</v>
      </c>
      <c r="L369" s="49">
        <v>9</v>
      </c>
      <c r="M369" s="50" t="s">
        <v>159</v>
      </c>
      <c r="N369" s="50" t="s">
        <v>160</v>
      </c>
      <c r="O369" s="50" t="s">
        <v>160</v>
      </c>
      <c r="P369" s="50" t="s">
        <v>177</v>
      </c>
      <c r="Q369" s="53">
        <v>0.04</v>
      </c>
      <c r="R369" s="49">
        <v>336</v>
      </c>
      <c r="S369" s="49">
        <v>0</v>
      </c>
      <c r="T369" s="54">
        <f t="shared" si="1146"/>
        <v>336</v>
      </c>
      <c r="U369" s="55">
        <v>338412</v>
      </c>
      <c r="V369" s="49">
        <v>17.2</v>
      </c>
      <c r="W369" s="56">
        <f t="shared" si="1099"/>
        <v>19.534883720930232</v>
      </c>
      <c r="X369" s="49" t="s">
        <v>163</v>
      </c>
      <c r="Y369" s="57" t="s">
        <v>162</v>
      </c>
      <c r="Z369" s="58">
        <v>23900000</v>
      </c>
      <c r="AA369" s="114">
        <v>5.0999999999999997E-2</v>
      </c>
      <c r="AB369" s="59">
        <v>17</v>
      </c>
      <c r="AC369" s="60">
        <v>40</v>
      </c>
      <c r="AD369" s="61">
        <v>5.9499999999999997E-2</v>
      </c>
      <c r="AE369" s="62">
        <v>41290000</v>
      </c>
      <c r="AF369" s="63">
        <v>1.1499999999999999</v>
      </c>
      <c r="AG369" s="59"/>
      <c r="AH369" s="60"/>
      <c r="AI369" s="61"/>
      <c r="AJ369" s="64"/>
      <c r="AK369" s="65">
        <f t="shared" si="1100"/>
        <v>41290000</v>
      </c>
      <c r="AL369" s="66">
        <v>3700000</v>
      </c>
      <c r="AM369" s="49" t="s">
        <v>1634</v>
      </c>
      <c r="AN369" s="67">
        <v>0.88</v>
      </c>
      <c r="AO369" s="62">
        <v>38090749</v>
      </c>
      <c r="AP369" s="62">
        <v>3119122</v>
      </c>
      <c r="AQ369" s="68">
        <v>6995966</v>
      </c>
      <c r="AR369" s="69">
        <f t="shared" si="1101"/>
        <v>122886.90476190476</v>
      </c>
      <c r="AS369" s="70">
        <f t="shared" si="1102"/>
        <v>11011.904761904761</v>
      </c>
      <c r="AT369" s="70">
        <f t="shared" si="1103"/>
        <v>113365.32440476191</v>
      </c>
      <c r="AU369" s="70">
        <f t="shared" si="1104"/>
        <v>9283.1011904761908</v>
      </c>
      <c r="AV369" s="71">
        <f t="shared" si="1105"/>
        <v>20821.327380952382</v>
      </c>
      <c r="AW369" s="115">
        <f t="shared" si="1106"/>
        <v>118756.12797619047</v>
      </c>
      <c r="AX369" s="116">
        <f t="shared" si="1107"/>
        <v>117.90970473860266</v>
      </c>
      <c r="AY369" s="72">
        <f t="shared" si="1108"/>
        <v>141915.02380952382</v>
      </c>
      <c r="AZ369" s="73">
        <f t="shared" si="1109"/>
        <v>140.90353769960876</v>
      </c>
      <c r="BA369" s="66">
        <v>5149214</v>
      </c>
      <c r="BB369" s="62">
        <v>7364100</v>
      </c>
      <c r="BC369" s="62">
        <v>32537959</v>
      </c>
      <c r="BD369" s="62">
        <v>2195102</v>
      </c>
      <c r="BE369" s="62">
        <v>5586287</v>
      </c>
      <c r="BF369" s="62">
        <v>5285894</v>
      </c>
      <c r="BG369" s="62">
        <v>14116002</v>
      </c>
      <c r="BH369" s="62">
        <v>8811000</v>
      </c>
      <c r="BI369" s="62">
        <v>2025191</v>
      </c>
      <c r="BJ369" s="47">
        <f t="shared" si="1110"/>
        <v>83070749</v>
      </c>
      <c r="BK369" s="69">
        <f t="shared" si="1111"/>
        <v>15325.041666666666</v>
      </c>
      <c r="BL369" s="70">
        <f t="shared" si="1112"/>
        <v>21916.964285714286</v>
      </c>
      <c r="BM369" s="70">
        <f t="shared" si="1113"/>
        <v>96839.163690476184</v>
      </c>
      <c r="BN369" s="70">
        <f t="shared" si="1114"/>
        <v>6533.041666666667</v>
      </c>
      <c r="BO369" s="70">
        <f t="shared" si="1115"/>
        <v>16625.854166666668</v>
      </c>
      <c r="BP369" s="70">
        <f t="shared" si="1116"/>
        <v>15731.827380952382</v>
      </c>
      <c r="BQ369" s="70">
        <f t="shared" si="1117"/>
        <v>42011.910714285717</v>
      </c>
      <c r="BR369" s="70">
        <f t="shared" si="1118"/>
        <v>26223.214285714286</v>
      </c>
      <c r="BS369" s="70">
        <f t="shared" si="1119"/>
        <v>6027.354166666667</v>
      </c>
      <c r="BT369" s="71">
        <f t="shared" si="1120"/>
        <v>247234.37202380953</v>
      </c>
      <c r="BU369" s="65">
        <f t="shared" si="1121"/>
        <v>15.215813860028604</v>
      </c>
      <c r="BV369" s="48">
        <f t="shared" si="1122"/>
        <v>21.760753164781391</v>
      </c>
      <c r="BW369" s="48">
        <f t="shared" si="1123"/>
        <v>96.148951573821265</v>
      </c>
      <c r="BX369" s="48">
        <f t="shared" si="1124"/>
        <v>6.4864780208739639</v>
      </c>
      <c r="BY369" s="48">
        <f t="shared" si="1125"/>
        <v>16.507354940132146</v>
      </c>
      <c r="BZ369" s="48">
        <f t="shared" si="1126"/>
        <v>15.619700247036157</v>
      </c>
      <c r="CA369" s="48">
        <f t="shared" si="1127"/>
        <v>41.712474734938475</v>
      </c>
      <c r="CB369" s="48">
        <f t="shared" si="1128"/>
        <v>26.036310769121663</v>
      </c>
      <c r="CC369" s="48">
        <f t="shared" si="1129"/>
        <v>5.9843947614150794</v>
      </c>
      <c r="CD369" s="47">
        <f t="shared" si="1130"/>
        <v>245.47223207214873</v>
      </c>
      <c r="CE369" s="66">
        <v>5296380</v>
      </c>
      <c r="CF369" s="62">
        <v>80640</v>
      </c>
      <c r="CG369" s="74">
        <v>-403277</v>
      </c>
      <c r="CH369" s="75">
        <f t="shared" si="1131"/>
        <v>4973743</v>
      </c>
      <c r="CI369" s="62">
        <f>174720+13440+25000+33600</f>
        <v>246760</v>
      </c>
      <c r="CJ369" s="62">
        <v>198826</v>
      </c>
      <c r="CK369" s="62">
        <v>554736</v>
      </c>
      <c r="CL369" s="62">
        <v>319200</v>
      </c>
      <c r="CM369" s="62">
        <f>46900+87500</f>
        <v>134400</v>
      </c>
      <c r="CN369" s="62">
        <v>275987</v>
      </c>
      <c r="CO369" s="62">
        <v>0</v>
      </c>
      <c r="CP369" s="75">
        <f t="shared" si="1147"/>
        <v>1729909</v>
      </c>
      <c r="CQ369" s="62">
        <v>84000</v>
      </c>
      <c r="CR369" s="75">
        <f t="shared" si="1132"/>
        <v>1813909</v>
      </c>
      <c r="CS369" s="75">
        <f t="shared" si="1133"/>
        <v>3243834</v>
      </c>
      <c r="CT369" s="62">
        <v>2708949</v>
      </c>
      <c r="CU369" s="47">
        <f t="shared" si="1134"/>
        <v>534885</v>
      </c>
      <c r="CV369" s="76">
        <f t="shared" si="1135"/>
        <v>0.65219171959628797</v>
      </c>
      <c r="CW369" s="75">
        <f t="shared" si="1136"/>
        <v>5398.5386904761908</v>
      </c>
      <c r="CX369" s="77">
        <f t="shared" si="1137"/>
        <v>0.36469696966650672</v>
      </c>
      <c r="CY369" s="75">
        <f t="shared" si="1138"/>
        <v>1591.9196428571429</v>
      </c>
      <c r="CZ369" s="77">
        <f t="shared" si="1139"/>
        <v>0.10754174471821322</v>
      </c>
      <c r="DA369" s="77">
        <f t="shared" si="1140"/>
        <v>0.54464997487807476</v>
      </c>
      <c r="DB369" s="47">
        <f t="shared" si="1141"/>
        <v>122886.90476190476</v>
      </c>
      <c r="DC369" s="69">
        <f t="shared" si="1148"/>
        <v>15763.035714285714</v>
      </c>
      <c r="DD369" s="70">
        <f t="shared" si="1149"/>
        <v>240</v>
      </c>
      <c r="DE369" s="70">
        <f t="shared" si="1150"/>
        <v>-1200.2291666666667</v>
      </c>
      <c r="DF369" s="70">
        <f t="shared" si="1151"/>
        <v>14802.806547619048</v>
      </c>
      <c r="DG369" s="70">
        <f t="shared" si="1152"/>
        <v>734.40476190476193</v>
      </c>
      <c r="DH369" s="70">
        <f t="shared" si="1176"/>
        <v>591.74404761904759</v>
      </c>
      <c r="DI369" s="70">
        <f t="shared" si="1177"/>
        <v>1651</v>
      </c>
      <c r="DJ369" s="70">
        <f t="shared" si="1178"/>
        <v>950</v>
      </c>
      <c r="DK369" s="70">
        <f t="shared" si="1153"/>
        <v>400</v>
      </c>
      <c r="DL369" s="70">
        <f t="shared" si="1154"/>
        <v>821.38988095238096</v>
      </c>
      <c r="DM369" s="70" t="str">
        <f t="shared" si="1155"/>
        <v/>
      </c>
      <c r="DN369" s="70">
        <f t="shared" si="1156"/>
        <v>5148.5386904761908</v>
      </c>
      <c r="DO369" s="70">
        <f t="shared" si="1157"/>
        <v>250</v>
      </c>
      <c r="DP369" s="70">
        <f t="shared" si="1158"/>
        <v>5398.5386904761908</v>
      </c>
      <c r="DQ369" s="70">
        <f t="shared" si="1159"/>
        <v>9654.2678571428569</v>
      </c>
      <c r="DR369" s="70">
        <f t="shared" si="1160"/>
        <v>8062.3482142857147</v>
      </c>
      <c r="DS369" s="71">
        <f t="shared" si="1161"/>
        <v>1591.9196428571429</v>
      </c>
      <c r="DT369" s="106">
        <f t="shared" si="1162"/>
        <v>1.0648680480676223</v>
      </c>
      <c r="DU369" s="92">
        <f t="shared" si="1163"/>
        <v>1.6213141692282853E-2</v>
      </c>
      <c r="DV369" s="92" t="str">
        <f t="shared" si="1164"/>
        <v/>
      </c>
      <c r="DW369" s="92">
        <f t="shared" si="1165"/>
        <v>1</v>
      </c>
      <c r="DX369" s="92">
        <f t="shared" si="1166"/>
        <v>4.9612535267704823E-2</v>
      </c>
      <c r="DY369" s="92">
        <f t="shared" si="1179"/>
        <v>3.9975125373385795E-2</v>
      </c>
      <c r="DZ369" s="92">
        <f t="shared" si="1180"/>
        <v>0.1115329038914958</v>
      </c>
      <c r="EA369" s="92">
        <f t="shared" si="1181"/>
        <v>6.4177019198619636E-2</v>
      </c>
      <c r="EB369" s="92">
        <f t="shared" si="1167"/>
        <v>2.7021902820471424E-2</v>
      </c>
      <c r="EC369" s="92">
        <f t="shared" si="1168"/>
        <v>5.5488793852034576E-2</v>
      </c>
      <c r="ED369" s="92" t="str">
        <f t="shared" si="1169"/>
        <v/>
      </c>
      <c r="EE369" s="92">
        <f t="shared" si="1170"/>
        <v>0.34780828040371203</v>
      </c>
      <c r="EF369" s="92">
        <f t="shared" si="1171"/>
        <v>1.6888689262794639E-2</v>
      </c>
      <c r="EG369" s="92">
        <f t="shared" si="1172"/>
        <v>0.36469696966650672</v>
      </c>
      <c r="EH369" s="92">
        <f t="shared" si="1173"/>
        <v>0.65219171959628797</v>
      </c>
      <c r="EI369" s="92">
        <f t="shared" si="1174"/>
        <v>0.54464997487807476</v>
      </c>
      <c r="EJ369" s="122">
        <f t="shared" si="1175"/>
        <v>0.10754174471821322</v>
      </c>
    </row>
    <row r="370" spans="2:140" ht="12" hidden="1" customHeight="1" outlineLevel="1">
      <c r="B370" s="121">
        <v>46009</v>
      </c>
      <c r="C370" s="117" t="s">
        <v>1635</v>
      </c>
      <c r="D370" s="50" t="s">
        <v>612</v>
      </c>
      <c r="E370" s="50" t="s">
        <v>1392</v>
      </c>
      <c r="F370" s="50" t="s">
        <v>607</v>
      </c>
      <c r="G370" s="50" t="s">
        <v>249</v>
      </c>
      <c r="H370" s="50" t="s">
        <v>608</v>
      </c>
      <c r="I370" s="50" t="s">
        <v>167</v>
      </c>
      <c r="J370" s="52" t="s">
        <v>613</v>
      </c>
      <c r="K370" s="50" t="s">
        <v>230</v>
      </c>
      <c r="L370" s="49">
        <v>3</v>
      </c>
      <c r="M370" s="50" t="s">
        <v>159</v>
      </c>
      <c r="N370" s="50" t="s">
        <v>244</v>
      </c>
      <c r="O370" s="50" t="s">
        <v>160</v>
      </c>
      <c r="P370" s="50" t="s">
        <v>177</v>
      </c>
      <c r="Q370" s="53">
        <v>0.09</v>
      </c>
      <c r="R370" s="49">
        <v>38</v>
      </c>
      <c r="S370" s="49">
        <v>0</v>
      </c>
      <c r="T370" s="54">
        <f t="shared" si="1146"/>
        <v>38</v>
      </c>
      <c r="U370" s="55">
        <v>31880</v>
      </c>
      <c r="V370" s="49">
        <v>2.85</v>
      </c>
      <c r="W370" s="56">
        <f t="shared" si="1099"/>
        <v>13.333333333333332</v>
      </c>
      <c r="X370" s="49" t="s">
        <v>163</v>
      </c>
      <c r="Y370" s="57" t="s">
        <v>162</v>
      </c>
      <c r="Z370" s="58">
        <v>5710000</v>
      </c>
      <c r="AA370" s="114">
        <v>6.3E-2</v>
      </c>
      <c r="AB370" s="59">
        <v>18</v>
      </c>
      <c r="AC370" s="60">
        <v>35</v>
      </c>
      <c r="AD370" s="61">
        <v>0.05</v>
      </c>
      <c r="AE370" s="62">
        <v>2515000</v>
      </c>
      <c r="AF370" s="63">
        <v>1.1499999999999999</v>
      </c>
      <c r="AG370" s="59"/>
      <c r="AH370" s="60"/>
      <c r="AI370" s="61"/>
      <c r="AJ370" s="64"/>
      <c r="AK370" s="65">
        <f t="shared" si="1100"/>
        <v>2515000</v>
      </c>
      <c r="AL370" s="66">
        <v>500</v>
      </c>
      <c r="AM370" s="49" t="s">
        <v>1636</v>
      </c>
      <c r="AN370" s="67">
        <v>0.89</v>
      </c>
      <c r="AO370" s="62">
        <v>7324492</v>
      </c>
      <c r="AP370" s="62">
        <v>175225</v>
      </c>
      <c r="AQ370" s="68">
        <v>366084</v>
      </c>
      <c r="AR370" s="69">
        <f t="shared" si="1101"/>
        <v>66184.210526315786</v>
      </c>
      <c r="AS370" s="70">
        <f t="shared" si="1102"/>
        <v>13.157894736842104</v>
      </c>
      <c r="AT370" s="70">
        <f t="shared" si="1103"/>
        <v>192749.78947368421</v>
      </c>
      <c r="AU370" s="70">
        <f t="shared" si="1104"/>
        <v>4611.1842105263158</v>
      </c>
      <c r="AV370" s="71">
        <f t="shared" si="1105"/>
        <v>9633.78947368421</v>
      </c>
      <c r="AW370" s="115">
        <f t="shared" si="1106"/>
        <v>77464</v>
      </c>
      <c r="AX370" s="116">
        <f t="shared" si="1107"/>
        <v>92.334755332496869</v>
      </c>
      <c r="AY370" s="72">
        <f t="shared" si="1108"/>
        <v>103751.02631578947</v>
      </c>
      <c r="AZ370" s="73">
        <f t="shared" si="1109"/>
        <v>123.66809912170638</v>
      </c>
      <c r="BA370" s="66">
        <v>1500000</v>
      </c>
      <c r="BB370" s="62">
        <v>1395104</v>
      </c>
      <c r="BC370" s="62">
        <v>1548528</v>
      </c>
      <c r="BD370" s="62">
        <v>269122</v>
      </c>
      <c r="BE370" s="62">
        <v>729785</v>
      </c>
      <c r="BF370" s="62">
        <v>797338</v>
      </c>
      <c r="BG370" s="62">
        <v>503704</v>
      </c>
      <c r="BH370" s="62">
        <v>1040503</v>
      </c>
      <c r="BI370" s="62">
        <v>56018</v>
      </c>
      <c r="BJ370" s="47">
        <f t="shared" si="1110"/>
        <v>7840102</v>
      </c>
      <c r="BK370" s="69">
        <f t="shared" si="1111"/>
        <v>39473.684210526313</v>
      </c>
      <c r="BL370" s="70">
        <f t="shared" si="1112"/>
        <v>36713.26315789474</v>
      </c>
      <c r="BM370" s="70">
        <f t="shared" si="1113"/>
        <v>40750.73684210526</v>
      </c>
      <c r="BN370" s="70">
        <f t="shared" si="1114"/>
        <v>7082.1578947368425</v>
      </c>
      <c r="BO370" s="70">
        <f t="shared" si="1115"/>
        <v>19204.86842105263</v>
      </c>
      <c r="BP370" s="70">
        <f t="shared" si="1116"/>
        <v>20982.57894736842</v>
      </c>
      <c r="BQ370" s="70">
        <f t="shared" si="1117"/>
        <v>13255.368421052632</v>
      </c>
      <c r="BR370" s="70">
        <f t="shared" si="1118"/>
        <v>27381.657894736843</v>
      </c>
      <c r="BS370" s="70">
        <f t="shared" si="1119"/>
        <v>1474.1578947368421</v>
      </c>
      <c r="BT370" s="71">
        <f t="shared" si="1120"/>
        <v>206318.47368421053</v>
      </c>
      <c r="BU370" s="65">
        <f t="shared" si="1121"/>
        <v>47.051442910915938</v>
      </c>
      <c r="BV370" s="48">
        <f t="shared" si="1122"/>
        <v>43.761104140526975</v>
      </c>
      <c r="BW370" s="48">
        <f t="shared" si="1123"/>
        <v>48.573651191969887</v>
      </c>
      <c r="BX370" s="48">
        <f t="shared" si="1124"/>
        <v>8.4417189460476791</v>
      </c>
      <c r="BY370" s="48">
        <f t="shared" si="1125"/>
        <v>22.891624843161857</v>
      </c>
      <c r="BZ370" s="48">
        <f t="shared" si="1126"/>
        <v>25.010602258469259</v>
      </c>
      <c r="CA370" s="48">
        <f t="shared" si="1127"/>
        <v>15.8</v>
      </c>
      <c r="CB370" s="48">
        <f t="shared" si="1128"/>
        <v>32.638111668757844</v>
      </c>
      <c r="CC370" s="48">
        <f t="shared" si="1129"/>
        <v>1.7571518193224591</v>
      </c>
      <c r="CD370" s="47">
        <f t="shared" si="1130"/>
        <v>245.92540777917191</v>
      </c>
      <c r="CE370" s="66">
        <v>408996</v>
      </c>
      <c r="CF370" s="62">
        <v>9120</v>
      </c>
      <c r="CG370" s="74">
        <v>-31359</v>
      </c>
      <c r="CH370" s="75">
        <f t="shared" si="1131"/>
        <v>386757</v>
      </c>
      <c r="CI370" s="62">
        <f>15850+1520+600</f>
        <v>17970</v>
      </c>
      <c r="CJ370" s="62">
        <v>18240</v>
      </c>
      <c r="CK370" s="62">
        <v>43472</v>
      </c>
      <c r="CL370" s="62">
        <v>26100</v>
      </c>
      <c r="CM370" s="62">
        <f>22000+8000</f>
        <v>30000</v>
      </c>
      <c r="CN370" s="62">
        <v>18150</v>
      </c>
      <c r="CO370" s="62">
        <v>47500</v>
      </c>
      <c r="CP370" s="75">
        <f t="shared" si="1147"/>
        <v>201432</v>
      </c>
      <c r="CQ370" s="62">
        <v>9500</v>
      </c>
      <c r="CR370" s="75">
        <f t="shared" si="1132"/>
        <v>210932</v>
      </c>
      <c r="CS370" s="75">
        <f t="shared" si="1133"/>
        <v>185325</v>
      </c>
      <c r="CT370" s="62">
        <v>152315</v>
      </c>
      <c r="CU370" s="47">
        <f t="shared" si="1134"/>
        <v>33010</v>
      </c>
      <c r="CV370" s="76">
        <f t="shared" si="1135"/>
        <v>0.4791768474778737</v>
      </c>
      <c r="CW370" s="75">
        <f t="shared" si="1136"/>
        <v>5550.8421052631575</v>
      </c>
      <c r="CX370" s="77">
        <f t="shared" si="1137"/>
        <v>0.54538637956132663</v>
      </c>
      <c r="CY370" s="75">
        <f t="shared" si="1138"/>
        <v>868.68421052631584</v>
      </c>
      <c r="CZ370" s="77">
        <f t="shared" si="1139"/>
        <v>8.5350749954105548E-2</v>
      </c>
      <c r="DA370" s="77">
        <f t="shared" si="1140"/>
        <v>0.39382609752376818</v>
      </c>
      <c r="DB370" s="47">
        <f t="shared" si="1141"/>
        <v>66184.210526315786</v>
      </c>
      <c r="DC370" s="69">
        <f t="shared" si="1148"/>
        <v>10763.052631578947</v>
      </c>
      <c r="DD370" s="70">
        <f t="shared" si="1149"/>
        <v>240</v>
      </c>
      <c r="DE370" s="70">
        <f t="shared" si="1150"/>
        <v>-825.23684210526312</v>
      </c>
      <c r="DF370" s="70">
        <f t="shared" si="1151"/>
        <v>10177.815789473685</v>
      </c>
      <c r="DG370" s="70">
        <f t="shared" si="1152"/>
        <v>472.89473684210526</v>
      </c>
      <c r="DH370" s="70">
        <f t="shared" si="1176"/>
        <v>480</v>
      </c>
      <c r="DI370" s="70">
        <f t="shared" si="1177"/>
        <v>1144</v>
      </c>
      <c r="DJ370" s="70">
        <f t="shared" si="1178"/>
        <v>686.84210526315792</v>
      </c>
      <c r="DK370" s="70">
        <f t="shared" si="1153"/>
        <v>789.47368421052636</v>
      </c>
      <c r="DL370" s="70">
        <f t="shared" si="1154"/>
        <v>477.63157894736844</v>
      </c>
      <c r="DM370" s="70">
        <f t="shared" si="1155"/>
        <v>1250</v>
      </c>
      <c r="DN370" s="70">
        <f t="shared" si="1156"/>
        <v>5300.8421052631575</v>
      </c>
      <c r="DO370" s="70">
        <f t="shared" si="1157"/>
        <v>250</v>
      </c>
      <c r="DP370" s="70">
        <f t="shared" si="1158"/>
        <v>5550.8421052631575</v>
      </c>
      <c r="DQ370" s="70">
        <f t="shared" si="1159"/>
        <v>4876.9736842105267</v>
      </c>
      <c r="DR370" s="70">
        <f t="shared" si="1160"/>
        <v>4008.2894736842104</v>
      </c>
      <c r="DS370" s="71">
        <f t="shared" si="1161"/>
        <v>868.68421052631584</v>
      </c>
      <c r="DT370" s="106">
        <f t="shared" si="1162"/>
        <v>1.057501221697345</v>
      </c>
      <c r="DU370" s="92">
        <f t="shared" si="1163"/>
        <v>2.3580697957632311E-2</v>
      </c>
      <c r="DV370" s="92" t="str">
        <f t="shared" si="1164"/>
        <v/>
      </c>
      <c r="DW370" s="92">
        <f t="shared" si="1165"/>
        <v>1</v>
      </c>
      <c r="DX370" s="92">
        <f t="shared" si="1166"/>
        <v>4.6463283146782088E-2</v>
      </c>
      <c r="DY370" s="92">
        <f t="shared" si="1179"/>
        <v>4.7161395915264623E-2</v>
      </c>
      <c r="DZ370" s="92">
        <f t="shared" si="1180"/>
        <v>0.11240132693138069</v>
      </c>
      <c r="EA370" s="92">
        <f t="shared" si="1181"/>
        <v>6.7484234286645101E-2</v>
      </c>
      <c r="EB370" s="92">
        <f t="shared" si="1167"/>
        <v>7.7568085386948399E-2</v>
      </c>
      <c r="EC370" s="92">
        <f t="shared" si="1168"/>
        <v>4.692869165910378E-2</v>
      </c>
      <c r="ED370" s="92">
        <f t="shared" si="1169"/>
        <v>0.12281613519600162</v>
      </c>
      <c r="EE370" s="92">
        <f t="shared" si="1170"/>
        <v>0.5208231525221263</v>
      </c>
      <c r="EF370" s="92">
        <f t="shared" si="1171"/>
        <v>2.4563227039200324E-2</v>
      </c>
      <c r="EG370" s="92">
        <f t="shared" si="1172"/>
        <v>0.54538637956132663</v>
      </c>
      <c r="EH370" s="92">
        <f t="shared" si="1173"/>
        <v>0.4791768474778737</v>
      </c>
      <c r="EI370" s="92">
        <f t="shared" si="1174"/>
        <v>0.39382609752376818</v>
      </c>
      <c r="EJ370" s="122">
        <f t="shared" si="1175"/>
        <v>8.5350749954105548E-2</v>
      </c>
    </row>
    <row r="371" spans="2:140" ht="12" hidden="1" customHeight="1" outlineLevel="1">
      <c r="B371" s="121">
        <v>46009</v>
      </c>
      <c r="C371" s="117">
        <v>25483</v>
      </c>
      <c r="D371" s="50" t="s">
        <v>1637</v>
      </c>
      <c r="E371" s="50" t="s">
        <v>1274</v>
      </c>
      <c r="F371" s="50" t="s">
        <v>1638</v>
      </c>
      <c r="G371" s="50" t="s">
        <v>249</v>
      </c>
      <c r="H371" s="50" t="s">
        <v>1346</v>
      </c>
      <c r="I371" s="50" t="s">
        <v>156</v>
      </c>
      <c r="J371" s="52" t="s">
        <v>191</v>
      </c>
      <c r="K371" s="50" t="s">
        <v>1575</v>
      </c>
      <c r="L371" s="49">
        <v>3</v>
      </c>
      <c r="M371" s="50" t="s">
        <v>159</v>
      </c>
      <c r="N371" s="50" t="s">
        <v>244</v>
      </c>
      <c r="O371" s="50" t="s">
        <v>160</v>
      </c>
      <c r="P371" s="50" t="s">
        <v>1639</v>
      </c>
      <c r="Q371" s="53">
        <v>0.04</v>
      </c>
      <c r="R371" s="49">
        <v>220</v>
      </c>
      <c r="S371" s="49">
        <v>0</v>
      </c>
      <c r="T371" s="54">
        <f t="shared" si="1146"/>
        <v>220</v>
      </c>
      <c r="U371" s="55">
        <v>179486</v>
      </c>
      <c r="V371" s="49">
        <v>21.89</v>
      </c>
      <c r="W371" s="56">
        <f t="shared" si="1099"/>
        <v>10.050251256281406</v>
      </c>
      <c r="X371" s="49">
        <v>2007</v>
      </c>
      <c r="Y371" s="57" t="s">
        <v>162</v>
      </c>
      <c r="Z371" s="58">
        <v>12579512</v>
      </c>
      <c r="AA371" s="114">
        <v>6.5199999999999994E-2</v>
      </c>
      <c r="AB371" s="59">
        <v>15</v>
      </c>
      <c r="AC371" s="60">
        <v>40</v>
      </c>
      <c r="AD371" s="61">
        <v>5.6800000000000003E-2</v>
      </c>
      <c r="AE371" s="62">
        <v>28790000</v>
      </c>
      <c r="AF371" s="63">
        <v>1.1499999999999999</v>
      </c>
      <c r="AG371" s="59"/>
      <c r="AH371" s="60"/>
      <c r="AI371" s="61"/>
      <c r="AJ371" s="64"/>
      <c r="AK371" s="65">
        <f t="shared" si="1100"/>
        <v>28790000</v>
      </c>
      <c r="AL371" s="66">
        <v>0</v>
      </c>
      <c r="AM371" s="49" t="s">
        <v>163</v>
      </c>
      <c r="AN371" s="67">
        <v>0.84</v>
      </c>
      <c r="AO371" s="62">
        <v>16858965</v>
      </c>
      <c r="AP371" s="62">
        <v>2098893</v>
      </c>
      <c r="AQ371" s="68">
        <v>4074889</v>
      </c>
      <c r="AR371" s="69">
        <f t="shared" si="1101"/>
        <v>130863.63636363637</v>
      </c>
      <c r="AS371" s="70" t="str">
        <f t="shared" si="1102"/>
        <v/>
      </c>
      <c r="AT371" s="70">
        <f t="shared" si="1103"/>
        <v>76631.659090909088</v>
      </c>
      <c r="AU371" s="70">
        <f t="shared" si="1104"/>
        <v>9540.4227272727276</v>
      </c>
      <c r="AV371" s="71">
        <f t="shared" si="1105"/>
        <v>18522.222727272729</v>
      </c>
      <c r="AW371" s="115">
        <f t="shared" si="1106"/>
        <v>41119.545454545456</v>
      </c>
      <c r="AX371" s="116">
        <f t="shared" si="1107"/>
        <v>50.401145493241813</v>
      </c>
      <c r="AY371" s="72">
        <f t="shared" si="1108"/>
        <v>50694.236363636366</v>
      </c>
      <c r="AZ371" s="73">
        <f t="shared" si="1109"/>
        <v>62.137058043524284</v>
      </c>
      <c r="BA371" s="66">
        <v>31500000</v>
      </c>
      <c r="BB371" s="62">
        <v>1092000</v>
      </c>
      <c r="BC371" s="62">
        <v>7954300</v>
      </c>
      <c r="BD371" s="62">
        <v>904630</v>
      </c>
      <c r="BE371" s="62">
        <v>1201802</v>
      </c>
      <c r="BF371" s="62">
        <v>2946066</v>
      </c>
      <c r="BG371" s="62">
        <v>4620884</v>
      </c>
      <c r="BH371" s="62">
        <v>6579333</v>
      </c>
      <c r="BI371" s="62">
        <v>743497</v>
      </c>
      <c r="BJ371" s="47">
        <f t="shared" si="1110"/>
        <v>57542512</v>
      </c>
      <c r="BK371" s="69">
        <f t="shared" si="1111"/>
        <v>143181.81818181818</v>
      </c>
      <c r="BL371" s="70">
        <f t="shared" si="1112"/>
        <v>4963.636363636364</v>
      </c>
      <c r="BM371" s="70">
        <f t="shared" si="1113"/>
        <v>36155.909090909088</v>
      </c>
      <c r="BN371" s="70">
        <f t="shared" si="1114"/>
        <v>4111.954545454545</v>
      </c>
      <c r="BO371" s="70">
        <f t="shared" si="1115"/>
        <v>5462.7363636363634</v>
      </c>
      <c r="BP371" s="70">
        <f t="shared" si="1116"/>
        <v>13391.209090909091</v>
      </c>
      <c r="BQ371" s="70">
        <f t="shared" si="1117"/>
        <v>21004.018181818181</v>
      </c>
      <c r="BR371" s="70">
        <f t="shared" si="1118"/>
        <v>29906.05909090909</v>
      </c>
      <c r="BS371" s="70">
        <f t="shared" si="1119"/>
        <v>3379.5318181818184</v>
      </c>
      <c r="BT371" s="71">
        <f t="shared" si="1120"/>
        <v>261556.87272727274</v>
      </c>
      <c r="BU371" s="65">
        <f t="shared" si="1121"/>
        <v>175.50115329329307</v>
      </c>
      <c r="BV371" s="48">
        <f t="shared" si="1122"/>
        <v>6.0840399808341594</v>
      </c>
      <c r="BW371" s="48">
        <f t="shared" si="1123"/>
        <v>44.31710551240765</v>
      </c>
      <c r="BX371" s="48">
        <f t="shared" si="1124"/>
        <v>5.0401145493241817</v>
      </c>
      <c r="BY371" s="48">
        <f t="shared" si="1125"/>
        <v>6.695798000958292</v>
      </c>
      <c r="BZ371" s="48">
        <f t="shared" si="1126"/>
        <v>16.413904148512977</v>
      </c>
      <c r="CA371" s="48">
        <f t="shared" si="1127"/>
        <v>25.745094324905562</v>
      </c>
      <c r="CB371" s="48">
        <f t="shared" si="1128"/>
        <v>36.656524742876883</v>
      </c>
      <c r="CC371" s="48">
        <f t="shared" si="1129"/>
        <v>4.1423676498445561</v>
      </c>
      <c r="CD371" s="47">
        <f t="shared" si="1130"/>
        <v>320.59610220295735</v>
      </c>
      <c r="CE371" s="66">
        <v>3426816</v>
      </c>
      <c r="CF371" s="62">
        <f>11880+54648+12672</f>
        <v>79200</v>
      </c>
      <c r="CG371" s="74">
        <v>-262951</v>
      </c>
      <c r="CH371" s="75">
        <f t="shared" si="1131"/>
        <v>3243065</v>
      </c>
      <c r="CI371" s="62">
        <f>48200+8800+43185+27500</f>
        <v>127685</v>
      </c>
      <c r="CJ371" s="62">
        <v>97292</v>
      </c>
      <c r="CK371" s="62">
        <v>253000</v>
      </c>
      <c r="CL371" s="62">
        <v>94600</v>
      </c>
      <c r="CM371" s="62">
        <f>55382+87618</f>
        <v>143000</v>
      </c>
      <c r="CN371" s="62">
        <v>88000</v>
      </c>
      <c r="CO371" s="62">
        <v>260095</v>
      </c>
      <c r="CP371" s="75">
        <f t="shared" si="1147"/>
        <v>1063672</v>
      </c>
      <c r="CQ371" s="62">
        <v>77000</v>
      </c>
      <c r="CR371" s="75">
        <f t="shared" si="1132"/>
        <v>1140672</v>
      </c>
      <c r="CS371" s="75">
        <f t="shared" si="1133"/>
        <v>2179393</v>
      </c>
      <c r="CT371" s="62">
        <v>1823202</v>
      </c>
      <c r="CU371" s="47">
        <f t="shared" si="1134"/>
        <v>356191</v>
      </c>
      <c r="CV371" s="76">
        <f t="shared" si="1135"/>
        <v>0.67201644123691628</v>
      </c>
      <c r="CW371" s="75">
        <f t="shared" si="1136"/>
        <v>5184.8727272727274</v>
      </c>
      <c r="CX371" s="77">
        <f t="shared" si="1137"/>
        <v>0.35172653030389461</v>
      </c>
      <c r="CY371" s="75">
        <f t="shared" si="1138"/>
        <v>1619.05</v>
      </c>
      <c r="CZ371" s="77">
        <f t="shared" si="1139"/>
        <v>0.10983159449471411</v>
      </c>
      <c r="DA371" s="77">
        <f t="shared" si="1140"/>
        <v>0.56218484674220226</v>
      </c>
      <c r="DB371" s="47">
        <f t="shared" si="1141"/>
        <v>130863.63636363637</v>
      </c>
      <c r="DC371" s="69">
        <f t="shared" si="1148"/>
        <v>15576.436363636363</v>
      </c>
      <c r="DD371" s="70">
        <f t="shared" si="1149"/>
        <v>360</v>
      </c>
      <c r="DE371" s="70">
        <f t="shared" si="1150"/>
        <v>-1195.2318181818182</v>
      </c>
      <c r="DF371" s="70">
        <f t="shared" si="1151"/>
        <v>14741.204545454546</v>
      </c>
      <c r="DG371" s="70">
        <f t="shared" si="1152"/>
        <v>580.38636363636363</v>
      </c>
      <c r="DH371" s="70">
        <f t="shared" si="1176"/>
        <v>442.23636363636365</v>
      </c>
      <c r="DI371" s="70">
        <f t="shared" si="1177"/>
        <v>1150</v>
      </c>
      <c r="DJ371" s="70">
        <f t="shared" si="1178"/>
        <v>430</v>
      </c>
      <c r="DK371" s="70">
        <f t="shared" si="1153"/>
        <v>650</v>
      </c>
      <c r="DL371" s="70">
        <f t="shared" si="1154"/>
        <v>400</v>
      </c>
      <c r="DM371" s="70">
        <f t="shared" si="1155"/>
        <v>1182.25</v>
      </c>
      <c r="DN371" s="70">
        <f t="shared" si="1156"/>
        <v>4834.8727272727274</v>
      </c>
      <c r="DO371" s="70">
        <f t="shared" si="1157"/>
        <v>350</v>
      </c>
      <c r="DP371" s="70">
        <f t="shared" si="1158"/>
        <v>5184.8727272727274</v>
      </c>
      <c r="DQ371" s="70">
        <f t="shared" si="1159"/>
        <v>9906.3318181818177</v>
      </c>
      <c r="DR371" s="70">
        <f t="shared" si="1160"/>
        <v>8287.2818181818184</v>
      </c>
      <c r="DS371" s="71">
        <f t="shared" si="1161"/>
        <v>1619.05</v>
      </c>
      <c r="DT371" s="106">
        <f t="shared" si="1162"/>
        <v>1.0566596722544876</v>
      </c>
      <c r="DU371" s="92">
        <f t="shared" si="1163"/>
        <v>2.4421342156262672E-2</v>
      </c>
      <c r="DV371" s="92" t="str">
        <f t="shared" si="1164"/>
        <v/>
      </c>
      <c r="DW371" s="92">
        <f t="shared" si="1165"/>
        <v>1</v>
      </c>
      <c r="DX371" s="92">
        <f t="shared" si="1166"/>
        <v>3.9371705469979791E-2</v>
      </c>
      <c r="DY371" s="92">
        <f t="shared" si="1179"/>
        <v>3.0000015417513987E-2</v>
      </c>
      <c r="DZ371" s="92">
        <f t="shared" si="1180"/>
        <v>7.8012620776950203E-2</v>
      </c>
      <c r="EA371" s="92">
        <f t="shared" si="1181"/>
        <v>2.9169936464424857E-2</v>
      </c>
      <c r="EB371" s="92">
        <f t="shared" si="1167"/>
        <v>4.4094090004363158E-2</v>
      </c>
      <c r="EC371" s="92">
        <f t="shared" si="1168"/>
        <v>2.7134824618069635E-2</v>
      </c>
      <c r="ED371" s="92">
        <f t="shared" si="1169"/>
        <v>8.020036601178207E-2</v>
      </c>
      <c r="EE371" s="92">
        <f t="shared" si="1170"/>
        <v>0.32798355876308366</v>
      </c>
      <c r="EF371" s="92">
        <f t="shared" si="1171"/>
        <v>2.3742971540810929E-2</v>
      </c>
      <c r="EG371" s="92">
        <f t="shared" si="1172"/>
        <v>0.35172653030389461</v>
      </c>
      <c r="EH371" s="92">
        <f t="shared" si="1173"/>
        <v>0.67201644123691628</v>
      </c>
      <c r="EI371" s="92">
        <f t="shared" si="1174"/>
        <v>0.56218484674220226</v>
      </c>
      <c r="EJ371" s="122">
        <f t="shared" si="1175"/>
        <v>0.10983159449471411</v>
      </c>
    </row>
    <row r="372" spans="2:140" ht="15.95" customHeight="1" collapsed="1">
      <c r="B372" s="211">
        <v>2026</v>
      </c>
      <c r="C372" s="117"/>
      <c r="D372" s="50"/>
      <c r="E372" s="50"/>
      <c r="F372" s="50"/>
      <c r="G372" s="50"/>
      <c r="H372" s="50"/>
      <c r="I372" s="50"/>
      <c r="J372" s="52"/>
      <c r="K372" s="50"/>
      <c r="L372" s="49"/>
      <c r="M372" s="50"/>
      <c r="N372" s="50"/>
      <c r="O372" s="50"/>
      <c r="P372" s="50"/>
      <c r="Q372" s="53"/>
      <c r="R372" s="49"/>
      <c r="S372" s="49"/>
      <c r="T372" s="54" t="str">
        <f t="shared" si="1146"/>
        <v/>
      </c>
      <c r="U372" s="55"/>
      <c r="V372" s="49"/>
      <c r="W372" s="56" t="str">
        <f t="shared" si="1099"/>
        <v/>
      </c>
      <c r="X372" s="49"/>
      <c r="Y372" s="57"/>
      <c r="Z372" s="58"/>
      <c r="AA372" s="114"/>
      <c r="AB372" s="59"/>
      <c r="AC372" s="60"/>
      <c r="AD372" s="61"/>
      <c r="AE372" s="62"/>
      <c r="AF372" s="63"/>
      <c r="AG372" s="59"/>
      <c r="AH372" s="60"/>
      <c r="AI372" s="61"/>
      <c r="AJ372" s="64"/>
      <c r="AK372" s="65" t="str">
        <f t="shared" si="1100"/>
        <v/>
      </c>
      <c r="AL372" s="66"/>
      <c r="AM372" s="49"/>
      <c r="AN372" s="67"/>
      <c r="AO372" s="62"/>
      <c r="AP372" s="62"/>
      <c r="AQ372" s="68"/>
      <c r="AR372" s="69" t="str">
        <f t="shared" si="1101"/>
        <v/>
      </c>
      <c r="AS372" s="70" t="str">
        <f t="shared" si="1102"/>
        <v/>
      </c>
      <c r="AT372" s="70" t="str">
        <f t="shared" si="1103"/>
        <v/>
      </c>
      <c r="AU372" s="70" t="str">
        <f t="shared" si="1104"/>
        <v/>
      </c>
      <c r="AV372" s="71" t="str">
        <f t="shared" si="1105"/>
        <v/>
      </c>
      <c r="AW372" s="115" t="str">
        <f t="shared" si="1106"/>
        <v/>
      </c>
      <c r="AX372" s="116" t="str">
        <f t="shared" si="1107"/>
        <v/>
      </c>
      <c r="AY372" s="72" t="str">
        <f t="shared" si="1108"/>
        <v/>
      </c>
      <c r="AZ372" s="73" t="str">
        <f t="shared" si="1109"/>
        <v/>
      </c>
      <c r="BA372" s="66"/>
      <c r="BB372" s="62"/>
      <c r="BC372" s="62"/>
      <c r="BD372" s="62"/>
      <c r="BE372" s="62"/>
      <c r="BF372" s="62"/>
      <c r="BG372" s="62"/>
      <c r="BH372" s="62"/>
      <c r="BI372" s="62"/>
      <c r="BJ372" s="47" t="str">
        <f t="shared" si="1110"/>
        <v/>
      </c>
      <c r="BK372" s="69" t="str">
        <f t="shared" si="1111"/>
        <v/>
      </c>
      <c r="BL372" s="70" t="str">
        <f t="shared" si="1112"/>
        <v/>
      </c>
      <c r="BM372" s="70" t="str">
        <f t="shared" si="1113"/>
        <v/>
      </c>
      <c r="BN372" s="70" t="str">
        <f t="shared" si="1114"/>
        <v/>
      </c>
      <c r="BO372" s="70" t="str">
        <f t="shared" si="1115"/>
        <v/>
      </c>
      <c r="BP372" s="70" t="str">
        <f t="shared" si="1116"/>
        <v/>
      </c>
      <c r="BQ372" s="70" t="str">
        <f t="shared" si="1117"/>
        <v/>
      </c>
      <c r="BR372" s="70" t="str">
        <f t="shared" si="1118"/>
        <v/>
      </c>
      <c r="BS372" s="70" t="str">
        <f t="shared" si="1119"/>
        <v/>
      </c>
      <c r="BT372" s="71" t="str">
        <f t="shared" si="1120"/>
        <v/>
      </c>
      <c r="BU372" s="65" t="str">
        <f t="shared" si="1121"/>
        <v/>
      </c>
      <c r="BV372" s="48" t="str">
        <f t="shared" si="1122"/>
        <v/>
      </c>
      <c r="BW372" s="48" t="str">
        <f t="shared" si="1123"/>
        <v/>
      </c>
      <c r="BX372" s="48" t="str">
        <f t="shared" si="1124"/>
        <v/>
      </c>
      <c r="BY372" s="48" t="str">
        <f t="shared" si="1125"/>
        <v/>
      </c>
      <c r="BZ372" s="48" t="str">
        <f t="shared" si="1126"/>
        <v/>
      </c>
      <c r="CA372" s="48" t="str">
        <f t="shared" si="1127"/>
        <v/>
      </c>
      <c r="CB372" s="48" t="str">
        <f t="shared" si="1128"/>
        <v/>
      </c>
      <c r="CC372" s="48" t="str">
        <f t="shared" si="1129"/>
        <v/>
      </c>
      <c r="CD372" s="47" t="str">
        <f t="shared" si="1130"/>
        <v/>
      </c>
      <c r="CE372" s="66"/>
      <c r="CF372" s="62"/>
      <c r="CG372" s="74"/>
      <c r="CH372" s="75" t="str">
        <f t="shared" si="1131"/>
        <v/>
      </c>
      <c r="CI372" s="62"/>
      <c r="CJ372" s="62"/>
      <c r="CK372" s="62"/>
      <c r="CL372" s="62"/>
      <c r="CM372" s="62"/>
      <c r="CN372" s="62"/>
      <c r="CO372" s="62"/>
      <c r="CP372" s="75" t="str">
        <f t="shared" si="1147"/>
        <v/>
      </c>
      <c r="CQ372" s="62"/>
      <c r="CR372" s="75" t="str">
        <f t="shared" si="1132"/>
        <v/>
      </c>
      <c r="CS372" s="75" t="str">
        <f t="shared" si="1133"/>
        <v/>
      </c>
      <c r="CT372" s="62"/>
      <c r="CU372" s="47" t="str">
        <f t="shared" si="1134"/>
        <v/>
      </c>
      <c r="CV372" s="76" t="str">
        <f t="shared" si="1135"/>
        <v/>
      </c>
      <c r="CW372" s="75" t="str">
        <f t="shared" si="1136"/>
        <v/>
      </c>
      <c r="CX372" s="77" t="str">
        <f t="shared" si="1137"/>
        <v/>
      </c>
      <c r="CY372" s="75" t="str">
        <f t="shared" si="1138"/>
        <v/>
      </c>
      <c r="CZ372" s="77" t="str">
        <f t="shared" si="1139"/>
        <v/>
      </c>
      <c r="DA372" s="77" t="str">
        <f t="shared" si="1140"/>
        <v/>
      </c>
      <c r="DB372" s="47" t="str">
        <f t="shared" si="1141"/>
        <v/>
      </c>
      <c r="DC372" s="69" t="str">
        <f t="shared" si="1148"/>
        <v/>
      </c>
      <c r="DD372" s="70" t="str">
        <f t="shared" si="1149"/>
        <v/>
      </c>
      <c r="DE372" s="70" t="str">
        <f t="shared" si="1150"/>
        <v/>
      </c>
      <c r="DF372" s="70" t="str">
        <f t="shared" si="1151"/>
        <v/>
      </c>
      <c r="DG372" s="70" t="str">
        <f t="shared" si="1152"/>
        <v/>
      </c>
      <c r="DH372" s="70" t="str">
        <f t="shared" si="1176"/>
        <v/>
      </c>
      <c r="DI372" s="70" t="str">
        <f t="shared" si="1177"/>
        <v/>
      </c>
      <c r="DJ372" s="70" t="str">
        <f t="shared" si="1178"/>
        <v/>
      </c>
      <c r="DK372" s="70" t="str">
        <f t="shared" si="1153"/>
        <v/>
      </c>
      <c r="DL372" s="70" t="str">
        <f t="shared" si="1154"/>
        <v/>
      </c>
      <c r="DM372" s="70" t="str">
        <f t="shared" si="1155"/>
        <v/>
      </c>
      <c r="DN372" s="70" t="str">
        <f t="shared" si="1156"/>
        <v/>
      </c>
      <c r="DO372" s="70" t="str">
        <f t="shared" si="1157"/>
        <v/>
      </c>
      <c r="DP372" s="70" t="str">
        <f t="shared" si="1158"/>
        <v/>
      </c>
      <c r="DQ372" s="70" t="str">
        <f t="shared" si="1159"/>
        <v/>
      </c>
      <c r="DR372" s="70" t="str">
        <f t="shared" si="1160"/>
        <v/>
      </c>
      <c r="DS372" s="71" t="str">
        <f t="shared" si="1161"/>
        <v/>
      </c>
      <c r="DT372" s="106" t="str">
        <f t="shared" si="1162"/>
        <v/>
      </c>
      <c r="DU372" s="92" t="str">
        <f t="shared" si="1163"/>
        <v/>
      </c>
      <c r="DV372" s="92" t="str">
        <f t="shared" si="1164"/>
        <v/>
      </c>
      <c r="DW372" s="92" t="str">
        <f t="shared" si="1165"/>
        <v/>
      </c>
      <c r="DX372" s="92" t="str">
        <f t="shared" si="1166"/>
        <v/>
      </c>
      <c r="DY372" s="92" t="str">
        <f t="shared" si="1179"/>
        <v/>
      </c>
      <c r="DZ372" s="92" t="str">
        <f t="shared" si="1180"/>
        <v/>
      </c>
      <c r="EA372" s="92" t="str">
        <f t="shared" si="1181"/>
        <v/>
      </c>
      <c r="EB372" s="92" t="str">
        <f t="shared" si="1167"/>
        <v/>
      </c>
      <c r="EC372" s="92" t="str">
        <f t="shared" si="1168"/>
        <v/>
      </c>
      <c r="ED372" s="92" t="str">
        <f t="shared" si="1169"/>
        <v/>
      </c>
      <c r="EE372" s="92" t="str">
        <f t="shared" si="1170"/>
        <v/>
      </c>
      <c r="EF372" s="92" t="str">
        <f t="shared" si="1171"/>
        <v/>
      </c>
      <c r="EG372" s="92" t="str">
        <f t="shared" si="1172"/>
        <v/>
      </c>
      <c r="EH372" s="92" t="str">
        <f t="shared" si="1173"/>
        <v/>
      </c>
      <c r="EI372" s="92" t="str">
        <f t="shared" si="1174"/>
        <v/>
      </c>
      <c r="EJ372" s="122" t="str">
        <f t="shared" si="1175"/>
        <v/>
      </c>
    </row>
    <row r="373" spans="2:140" ht="12" customHeight="1" outlineLevel="1">
      <c r="B373" s="121">
        <v>46027</v>
      </c>
      <c r="C373" s="117">
        <v>25490</v>
      </c>
      <c r="D373" s="50" t="s">
        <v>1640</v>
      </c>
      <c r="E373" s="50" t="s">
        <v>1641</v>
      </c>
      <c r="F373" s="50" t="s">
        <v>1642</v>
      </c>
      <c r="G373" s="50" t="s">
        <v>162</v>
      </c>
      <c r="H373" s="50" t="s">
        <v>699</v>
      </c>
      <c r="I373" s="50" t="s">
        <v>419</v>
      </c>
      <c r="J373" s="52" t="s">
        <v>1643</v>
      </c>
      <c r="K373" s="50" t="s">
        <v>548</v>
      </c>
      <c r="L373" s="49">
        <v>11</v>
      </c>
      <c r="M373" s="50" t="s">
        <v>159</v>
      </c>
      <c r="N373" s="50" t="s">
        <v>244</v>
      </c>
      <c r="O373" s="50" t="s">
        <v>160</v>
      </c>
      <c r="P373" s="50" t="s">
        <v>177</v>
      </c>
      <c r="Q373" s="53">
        <v>0.04</v>
      </c>
      <c r="R373" s="49">
        <v>196</v>
      </c>
      <c r="S373" s="49">
        <v>0</v>
      </c>
      <c r="T373" s="54">
        <f t="shared" si="1146"/>
        <v>196</v>
      </c>
      <c r="U373" s="55">
        <v>127792</v>
      </c>
      <c r="V373" s="49">
        <v>4.4320000000000004</v>
      </c>
      <c r="W373" s="56">
        <f t="shared" si="1099"/>
        <v>44.22382671480144</v>
      </c>
      <c r="X373" s="49" t="s">
        <v>163</v>
      </c>
      <c r="Y373" s="57" t="s">
        <v>162</v>
      </c>
      <c r="Z373" s="58">
        <v>14000000</v>
      </c>
      <c r="AA373" s="114">
        <v>5.8999999999999997E-2</v>
      </c>
      <c r="AB373" s="59">
        <v>40</v>
      </c>
      <c r="AC373" s="60">
        <v>40</v>
      </c>
      <c r="AD373" s="61">
        <v>5.8999999999999997E-2</v>
      </c>
      <c r="AE373" s="62">
        <v>14000000</v>
      </c>
      <c r="AF373" s="63">
        <v>1.22</v>
      </c>
      <c r="AG373" s="59"/>
      <c r="AH373" s="60"/>
      <c r="AI373" s="61"/>
      <c r="AJ373" s="64"/>
      <c r="AK373" s="65">
        <f t="shared" si="1100"/>
        <v>14000000</v>
      </c>
      <c r="AL373" s="66">
        <v>0</v>
      </c>
      <c r="AM373" s="49" t="s">
        <v>163</v>
      </c>
      <c r="AN373" s="67">
        <v>0.8</v>
      </c>
      <c r="AO373" s="62">
        <v>14358302</v>
      </c>
      <c r="AP373" s="62">
        <v>1155777</v>
      </c>
      <c r="AQ373" s="68">
        <v>3620202</v>
      </c>
      <c r="AR373" s="69">
        <f t="shared" si="1101"/>
        <v>71428.571428571435</v>
      </c>
      <c r="AS373" s="70" t="str">
        <f t="shared" si="1102"/>
        <v/>
      </c>
      <c r="AT373" s="70">
        <f t="shared" si="1103"/>
        <v>73256.642857142855</v>
      </c>
      <c r="AU373" s="70">
        <f t="shared" si="1104"/>
        <v>5896.8214285714284</v>
      </c>
      <c r="AV373" s="71">
        <f t="shared" si="1105"/>
        <v>18470.418367346938</v>
      </c>
      <c r="AW373" s="115">
        <f t="shared" si="1106"/>
        <v>111168.69897959183</v>
      </c>
      <c r="AX373" s="116">
        <f t="shared" si="1107"/>
        <v>170.50413953925127</v>
      </c>
      <c r="AY373" s="72">
        <f t="shared" si="1108"/>
        <v>128399.84693877552</v>
      </c>
      <c r="AZ373" s="73">
        <f t="shared" si="1109"/>
        <v>196.93228058094405</v>
      </c>
      <c r="BA373" s="66">
        <v>0</v>
      </c>
      <c r="BB373" s="62">
        <v>1623529</v>
      </c>
      <c r="BC373" s="62">
        <v>20165536</v>
      </c>
      <c r="BD373" s="62">
        <v>1089453</v>
      </c>
      <c r="BE373" s="62">
        <v>2287852</v>
      </c>
      <c r="BF373" s="62">
        <v>2077851</v>
      </c>
      <c r="BG373" s="62">
        <v>4231857</v>
      </c>
      <c r="BH373" s="62">
        <v>4502427</v>
      </c>
      <c r="BI373" s="62">
        <v>250000</v>
      </c>
      <c r="BJ373" s="47">
        <f t="shared" si="1110"/>
        <v>36228505</v>
      </c>
      <c r="BK373" s="69" t="str">
        <f t="shared" si="1111"/>
        <v/>
      </c>
      <c r="BL373" s="70">
        <f t="shared" si="1112"/>
        <v>8283.3112244897966</v>
      </c>
      <c r="BM373" s="70">
        <f t="shared" si="1113"/>
        <v>102885.38775510204</v>
      </c>
      <c r="BN373" s="70">
        <f t="shared" si="1114"/>
        <v>5558.4336734693879</v>
      </c>
      <c r="BO373" s="70">
        <f t="shared" si="1115"/>
        <v>11672.714285714286</v>
      </c>
      <c r="BP373" s="70">
        <f t="shared" si="1116"/>
        <v>10601.280612244898</v>
      </c>
      <c r="BQ373" s="70">
        <f t="shared" si="1117"/>
        <v>21591.107142857141</v>
      </c>
      <c r="BR373" s="70">
        <f t="shared" si="1118"/>
        <v>22971.566326530614</v>
      </c>
      <c r="BS373" s="70">
        <f t="shared" si="1119"/>
        <v>1275.5102040816328</v>
      </c>
      <c r="BT373" s="71">
        <f t="shared" si="1120"/>
        <v>184839.31122448979</v>
      </c>
      <c r="BU373" s="65" t="str">
        <f t="shared" si="1121"/>
        <v/>
      </c>
      <c r="BV373" s="48">
        <f t="shared" si="1122"/>
        <v>12.704465068235884</v>
      </c>
      <c r="BW373" s="48">
        <f t="shared" si="1123"/>
        <v>157.79967447101541</v>
      </c>
      <c r="BX373" s="48">
        <f t="shared" si="1124"/>
        <v>8.5252050206585697</v>
      </c>
      <c r="BY373" s="48">
        <f t="shared" si="1125"/>
        <v>17.902936021034179</v>
      </c>
      <c r="BZ373" s="48">
        <f t="shared" si="1126"/>
        <v>16.259632840866409</v>
      </c>
      <c r="CA373" s="48">
        <f t="shared" si="1127"/>
        <v>33.115195004382123</v>
      </c>
      <c r="CB373" s="48">
        <f t="shared" si="1128"/>
        <v>35.232463690997875</v>
      </c>
      <c r="CC373" s="48">
        <f t="shared" si="1129"/>
        <v>1.956303993990234</v>
      </c>
      <c r="CD373" s="47">
        <f t="shared" si="1130"/>
        <v>283.49587611118068</v>
      </c>
      <c r="CE373" s="66">
        <v>1948152</v>
      </c>
      <c r="CF373" s="62">
        <f>47040+169788</f>
        <v>216828</v>
      </c>
      <c r="CG373" s="74">
        <v>-162374</v>
      </c>
      <c r="CH373" s="75">
        <f t="shared" si="1131"/>
        <v>2002606</v>
      </c>
      <c r="CI373" s="62">
        <f>57428+7840</f>
        <v>65268</v>
      </c>
      <c r="CJ373" s="62">
        <v>70091</v>
      </c>
      <c r="CK373" s="62">
        <v>240700</v>
      </c>
      <c r="CL373" s="62">
        <v>116912</v>
      </c>
      <c r="CM373" s="62">
        <f>42174+112884</f>
        <v>155058</v>
      </c>
      <c r="CN373" s="62">
        <v>140000</v>
      </c>
      <c r="CO373" s="62">
        <v>0</v>
      </c>
      <c r="CP373" s="75">
        <f t="shared" si="1147"/>
        <v>788029</v>
      </c>
      <c r="CQ373" s="62">
        <v>58800</v>
      </c>
      <c r="CR373" s="75">
        <f t="shared" si="1132"/>
        <v>846829</v>
      </c>
      <c r="CS373" s="75">
        <f t="shared" si="1133"/>
        <v>1214577</v>
      </c>
      <c r="CT373" s="62">
        <v>947675</v>
      </c>
      <c r="CU373" s="47">
        <f t="shared" si="1134"/>
        <v>266902</v>
      </c>
      <c r="CV373" s="76">
        <f t="shared" si="1135"/>
        <v>0.60649823280265813</v>
      </c>
      <c r="CW373" s="75">
        <f t="shared" si="1136"/>
        <v>4320.5561224489793</v>
      </c>
      <c r="CX373" s="77">
        <f t="shared" si="1137"/>
        <v>0.42286350884797108</v>
      </c>
      <c r="CY373" s="75">
        <f t="shared" si="1138"/>
        <v>1361.7448979591836</v>
      </c>
      <c r="CZ373" s="77">
        <f t="shared" si="1139"/>
        <v>0.13327733962646671</v>
      </c>
      <c r="DA373" s="77">
        <f t="shared" si="1140"/>
        <v>0.47322089317619143</v>
      </c>
      <c r="DB373" s="47">
        <f t="shared" si="1141"/>
        <v>71428.571428571435</v>
      </c>
      <c r="DC373" s="69">
        <f t="shared" si="1148"/>
        <v>9939.5510204081638</v>
      </c>
      <c r="DD373" s="70">
        <f t="shared" si="1149"/>
        <v>1106.2653061224489</v>
      </c>
      <c r="DE373" s="70">
        <f t="shared" si="1150"/>
        <v>-828.4387755102041</v>
      </c>
      <c r="DF373" s="70">
        <f t="shared" si="1151"/>
        <v>10217.377551020409</v>
      </c>
      <c r="DG373" s="70">
        <f t="shared" si="1152"/>
        <v>333</v>
      </c>
      <c r="DH373" s="70">
        <f t="shared" si="1176"/>
        <v>357.60714285714283</v>
      </c>
      <c r="DI373" s="70">
        <f t="shared" si="1177"/>
        <v>1228.0612244897959</v>
      </c>
      <c r="DJ373" s="70">
        <f t="shared" si="1178"/>
        <v>596.48979591836735</v>
      </c>
      <c r="DK373" s="70">
        <f t="shared" si="1153"/>
        <v>791.11224489795916</v>
      </c>
      <c r="DL373" s="70">
        <f t="shared" si="1154"/>
        <v>714.28571428571433</v>
      </c>
      <c r="DM373" s="70" t="str">
        <f t="shared" si="1155"/>
        <v/>
      </c>
      <c r="DN373" s="70">
        <f t="shared" si="1156"/>
        <v>4020.5561224489797</v>
      </c>
      <c r="DO373" s="70">
        <f t="shared" si="1157"/>
        <v>300</v>
      </c>
      <c r="DP373" s="70">
        <f t="shared" si="1158"/>
        <v>4320.5561224489793</v>
      </c>
      <c r="DQ373" s="70">
        <f t="shared" si="1159"/>
        <v>6196.8214285714284</v>
      </c>
      <c r="DR373" s="70">
        <f t="shared" si="1160"/>
        <v>4835.0765306122448</v>
      </c>
      <c r="DS373" s="71">
        <f t="shared" si="1161"/>
        <v>1361.7448979591836</v>
      </c>
      <c r="DT373" s="106">
        <f t="shared" si="1162"/>
        <v>0.97280843061490874</v>
      </c>
      <c r="DU373" s="92">
        <f t="shared" si="1163"/>
        <v>0.10827292038473868</v>
      </c>
      <c r="DV373" s="92" t="str">
        <f t="shared" si="1164"/>
        <v/>
      </c>
      <c r="DW373" s="92">
        <f t="shared" si="1165"/>
        <v>1</v>
      </c>
      <c r="DX373" s="92">
        <f t="shared" si="1166"/>
        <v>3.2591533232198447E-2</v>
      </c>
      <c r="DY373" s="92">
        <f t="shared" si="1179"/>
        <v>3.4999895136636962E-2</v>
      </c>
      <c r="DZ373" s="92">
        <f t="shared" si="1180"/>
        <v>0.12019338801541592</v>
      </c>
      <c r="EA373" s="92">
        <f t="shared" si="1181"/>
        <v>5.8379930949972188E-2</v>
      </c>
      <c r="EB373" s="92">
        <f t="shared" si="1167"/>
        <v>7.7428111171143996E-2</v>
      </c>
      <c r="EC373" s="92">
        <f t="shared" si="1168"/>
        <v>6.9908908691974359E-2</v>
      </c>
      <c r="ED373" s="92" t="str">
        <f t="shared" si="1169"/>
        <v/>
      </c>
      <c r="EE373" s="92">
        <f t="shared" si="1170"/>
        <v>0.39350176719734187</v>
      </c>
      <c r="EF373" s="92">
        <f t="shared" si="1171"/>
        <v>2.9361741650629231E-2</v>
      </c>
      <c r="EG373" s="92">
        <f t="shared" si="1172"/>
        <v>0.42286350884797108</v>
      </c>
      <c r="EH373" s="92">
        <f t="shared" si="1173"/>
        <v>0.60649823280265813</v>
      </c>
      <c r="EI373" s="92">
        <f t="shared" si="1174"/>
        <v>0.47322089317619143</v>
      </c>
      <c r="EJ373" s="122">
        <f t="shared" si="1175"/>
        <v>0.13327733962646671</v>
      </c>
    </row>
    <row r="374" spans="2:140" ht="12" customHeight="1" outlineLevel="1">
      <c r="B374" s="272">
        <v>46028</v>
      </c>
      <c r="C374" s="117">
        <v>25491</v>
      </c>
      <c r="D374" s="50" t="s">
        <v>1644</v>
      </c>
      <c r="E374" s="50" t="s">
        <v>1142</v>
      </c>
      <c r="F374" s="50" t="s">
        <v>1645</v>
      </c>
      <c r="G374" s="50" t="s">
        <v>249</v>
      </c>
      <c r="H374" s="50" t="s">
        <v>1646</v>
      </c>
      <c r="I374" s="50" t="s">
        <v>802</v>
      </c>
      <c r="J374" s="52" t="s">
        <v>1140</v>
      </c>
      <c r="K374" s="50" t="s">
        <v>230</v>
      </c>
      <c r="L374" s="49">
        <v>3</v>
      </c>
      <c r="M374" s="50" t="s">
        <v>159</v>
      </c>
      <c r="N374" s="50" t="s">
        <v>244</v>
      </c>
      <c r="O374" s="50" t="s">
        <v>160</v>
      </c>
      <c r="P374" s="50" t="s">
        <v>177</v>
      </c>
      <c r="Q374" s="53">
        <v>0.04</v>
      </c>
      <c r="R374" s="49">
        <v>260</v>
      </c>
      <c r="S374" s="49">
        <v>0</v>
      </c>
      <c r="T374" s="54">
        <f t="shared" si="1146"/>
        <v>260</v>
      </c>
      <c r="U374" s="55">
        <v>216108</v>
      </c>
      <c r="V374" s="49">
        <v>11</v>
      </c>
      <c r="W374" s="56">
        <f t="shared" si="1099"/>
        <v>23.636363636363637</v>
      </c>
      <c r="X374" s="49" t="s">
        <v>163</v>
      </c>
      <c r="Y374" s="57" t="s">
        <v>162</v>
      </c>
      <c r="Z374" s="58">
        <v>18475000</v>
      </c>
      <c r="AA374" s="114">
        <v>6.4500000000000002E-2</v>
      </c>
      <c r="AB374" s="59">
        <v>15</v>
      </c>
      <c r="AC374" s="60">
        <v>40</v>
      </c>
      <c r="AD374" s="61">
        <v>6.0999999999999999E-2</v>
      </c>
      <c r="AE374" s="62">
        <v>36725000</v>
      </c>
      <c r="AF374" s="63">
        <v>1.18</v>
      </c>
      <c r="AG374" s="59"/>
      <c r="AH374" s="60"/>
      <c r="AI374" s="61"/>
      <c r="AJ374" s="64"/>
      <c r="AK374" s="65">
        <f t="shared" si="1100"/>
        <v>36725000</v>
      </c>
      <c r="AL374" s="66">
        <v>0</v>
      </c>
      <c r="AM374" s="49" t="s">
        <v>163</v>
      </c>
      <c r="AN374" s="67">
        <v>0.86</v>
      </c>
      <c r="AO374" s="62">
        <v>30049036</v>
      </c>
      <c r="AP374" s="62">
        <v>1136110</v>
      </c>
      <c r="AQ374" s="68">
        <v>6723697</v>
      </c>
      <c r="AR374" s="69">
        <f t="shared" si="1101"/>
        <v>141250</v>
      </c>
      <c r="AS374" s="70" t="str">
        <f t="shared" si="1102"/>
        <v/>
      </c>
      <c r="AT374" s="70">
        <f t="shared" si="1103"/>
        <v>115573.21538461538</v>
      </c>
      <c r="AU374" s="70">
        <f t="shared" si="1104"/>
        <v>4369.6538461538457</v>
      </c>
      <c r="AV374" s="71">
        <f t="shared" si="1105"/>
        <v>25860.373076923075</v>
      </c>
      <c r="AW374" s="115">
        <f t="shared" si="1106"/>
        <v>149164.6</v>
      </c>
      <c r="AX374" s="116">
        <f t="shared" si="1107"/>
        <v>179.46025135580359</v>
      </c>
      <c r="AY374" s="72">
        <f t="shared" si="1108"/>
        <v>180793.60000000001</v>
      </c>
      <c r="AZ374" s="73">
        <f t="shared" si="1109"/>
        <v>217.51316934125532</v>
      </c>
      <c r="BA374" s="66">
        <v>3495082</v>
      </c>
      <c r="BB374" s="62">
        <v>5659371</v>
      </c>
      <c r="BC374" s="62">
        <v>33123425</v>
      </c>
      <c r="BD374" s="62">
        <v>2450834</v>
      </c>
      <c r="BE374" s="62">
        <v>5772706</v>
      </c>
      <c r="BF374" s="62">
        <v>3972154</v>
      </c>
      <c r="BG374" s="62">
        <v>12342027</v>
      </c>
      <c r="BH374" s="62">
        <v>8843509</v>
      </c>
      <c r="BI374" s="62">
        <v>2081059</v>
      </c>
      <c r="BJ374" s="47">
        <f t="shared" si="1110"/>
        <v>77740167</v>
      </c>
      <c r="BK374" s="69">
        <f t="shared" si="1111"/>
        <v>13442.623076923077</v>
      </c>
      <c r="BL374" s="70">
        <f t="shared" si="1112"/>
        <v>21766.811538461538</v>
      </c>
      <c r="BM374" s="70">
        <f t="shared" si="1113"/>
        <v>127397.78846153847</v>
      </c>
      <c r="BN374" s="70">
        <f t="shared" si="1114"/>
        <v>9426.2846153846149</v>
      </c>
      <c r="BO374" s="70">
        <f t="shared" si="1115"/>
        <v>22202.715384615385</v>
      </c>
      <c r="BP374" s="70">
        <f t="shared" si="1116"/>
        <v>15277.515384615384</v>
      </c>
      <c r="BQ374" s="70">
        <f t="shared" si="1117"/>
        <v>47469.334615384614</v>
      </c>
      <c r="BR374" s="70">
        <f t="shared" si="1118"/>
        <v>34013.49615384615</v>
      </c>
      <c r="BS374" s="70">
        <f t="shared" si="1119"/>
        <v>8004.0730769230768</v>
      </c>
      <c r="BT374" s="71">
        <f t="shared" si="1120"/>
        <v>299000.64230769232</v>
      </c>
      <c r="BU374" s="65">
        <f t="shared" si="1121"/>
        <v>16.172848760804783</v>
      </c>
      <c r="BV374" s="48">
        <f t="shared" si="1122"/>
        <v>26.187697817757787</v>
      </c>
      <c r="BW374" s="48">
        <f t="shared" si="1123"/>
        <v>153.2725535380458</v>
      </c>
      <c r="BX374" s="48">
        <f t="shared" si="1124"/>
        <v>11.34078331204768</v>
      </c>
      <c r="BY374" s="48">
        <f t="shared" si="1125"/>
        <v>26.712134673404037</v>
      </c>
      <c r="BZ374" s="48">
        <f t="shared" si="1126"/>
        <v>18.380411646028836</v>
      </c>
      <c r="CA374" s="48">
        <f t="shared" si="1127"/>
        <v>57.110458659559107</v>
      </c>
      <c r="CB374" s="48">
        <f t="shared" si="1128"/>
        <v>40.92171044107576</v>
      </c>
      <c r="CC374" s="48">
        <f t="shared" si="1129"/>
        <v>9.6297175486330904</v>
      </c>
      <c r="CD374" s="47">
        <f t="shared" si="1130"/>
        <v>359.72831639735688</v>
      </c>
      <c r="CE374" s="66">
        <v>4245300</v>
      </c>
      <c r="CF374" s="62">
        <v>78000</v>
      </c>
      <c r="CG374" s="74">
        <v>-324248</v>
      </c>
      <c r="CH374" s="75">
        <f t="shared" si="1131"/>
        <v>3999052</v>
      </c>
      <c r="CI374" s="62">
        <f>40050+8000+4000+10400+15000</f>
        <v>77450</v>
      </c>
      <c r="CJ374" s="62">
        <v>160000</v>
      </c>
      <c r="CK374" s="62">
        <v>311050</v>
      </c>
      <c r="CL374" s="62">
        <v>187900</v>
      </c>
      <c r="CM374" s="62">
        <f>40000+66400</f>
        <v>106400</v>
      </c>
      <c r="CN374" s="62">
        <v>182000</v>
      </c>
      <c r="CO374" s="62">
        <v>0</v>
      </c>
      <c r="CP374" s="75">
        <f t="shared" si="1147"/>
        <v>1024800</v>
      </c>
      <c r="CQ374" s="62">
        <v>65000</v>
      </c>
      <c r="CR374" s="75">
        <f t="shared" si="1132"/>
        <v>1089800</v>
      </c>
      <c r="CS374" s="75">
        <f t="shared" si="1133"/>
        <v>2974252</v>
      </c>
      <c r="CT374" s="62">
        <v>2455583</v>
      </c>
      <c r="CU374" s="47">
        <f t="shared" si="1134"/>
        <v>518669</v>
      </c>
      <c r="CV374" s="76">
        <f t="shared" si="1135"/>
        <v>0.74373926620609088</v>
      </c>
      <c r="CW374" s="75">
        <f t="shared" si="1136"/>
        <v>4191.5384615384619</v>
      </c>
      <c r="CX374" s="77">
        <f t="shared" si="1137"/>
        <v>0.27251458595687178</v>
      </c>
      <c r="CY374" s="75">
        <f t="shared" si="1138"/>
        <v>1994.8807692307691</v>
      </c>
      <c r="CZ374" s="77">
        <f t="shared" si="1139"/>
        <v>0.12969798842325631</v>
      </c>
      <c r="DA374" s="77">
        <f t="shared" si="1140"/>
        <v>0.61404127778283457</v>
      </c>
      <c r="DB374" s="47">
        <f t="shared" si="1141"/>
        <v>141250</v>
      </c>
      <c r="DC374" s="69">
        <f t="shared" si="1148"/>
        <v>16328.076923076924</v>
      </c>
      <c r="DD374" s="70">
        <f t="shared" si="1149"/>
        <v>300</v>
      </c>
      <c r="DE374" s="70">
        <f t="shared" si="1150"/>
        <v>-1247.1076923076923</v>
      </c>
      <c r="DF374" s="70">
        <f t="shared" si="1151"/>
        <v>15380.969230769231</v>
      </c>
      <c r="DG374" s="70">
        <f t="shared" si="1152"/>
        <v>297.88461538461536</v>
      </c>
      <c r="DH374" s="70">
        <f t="shared" si="1176"/>
        <v>615.38461538461536</v>
      </c>
      <c r="DI374" s="70">
        <f t="shared" si="1177"/>
        <v>1196.3461538461538</v>
      </c>
      <c r="DJ374" s="70">
        <f t="shared" si="1178"/>
        <v>722.69230769230774</v>
      </c>
      <c r="DK374" s="70">
        <f t="shared" si="1153"/>
        <v>409.23076923076923</v>
      </c>
      <c r="DL374" s="70">
        <f t="shared" si="1154"/>
        <v>700</v>
      </c>
      <c r="DM374" s="70" t="str">
        <f t="shared" si="1155"/>
        <v/>
      </c>
      <c r="DN374" s="70">
        <f t="shared" si="1156"/>
        <v>3941.5384615384614</v>
      </c>
      <c r="DO374" s="70">
        <f t="shared" si="1157"/>
        <v>250</v>
      </c>
      <c r="DP374" s="70">
        <f t="shared" si="1158"/>
        <v>4191.5384615384619</v>
      </c>
      <c r="DQ374" s="70">
        <f t="shared" si="1159"/>
        <v>11439.430769230768</v>
      </c>
      <c r="DR374" s="70">
        <f t="shared" si="1160"/>
        <v>9444.5499999999993</v>
      </c>
      <c r="DS374" s="71">
        <f t="shared" si="1161"/>
        <v>1994.8807692307691</v>
      </c>
      <c r="DT374" s="106">
        <f t="shared" si="1162"/>
        <v>1.0615765936526957</v>
      </c>
      <c r="DU374" s="92">
        <f t="shared" si="1163"/>
        <v>1.9504622595555146E-2</v>
      </c>
      <c r="DV374" s="92" t="str">
        <f t="shared" si="1164"/>
        <v/>
      </c>
      <c r="DW374" s="92">
        <f t="shared" si="1165"/>
        <v>1</v>
      </c>
      <c r="DX374" s="92">
        <f t="shared" si="1166"/>
        <v>1.936709000033008E-2</v>
      </c>
      <c r="DY374" s="92">
        <f t="shared" si="1179"/>
        <v>4.0009482247292609E-2</v>
      </c>
      <c r="DZ374" s="92">
        <f t="shared" si="1180"/>
        <v>7.778093408137729E-2</v>
      </c>
      <c r="EA374" s="92">
        <f t="shared" si="1181"/>
        <v>4.6986135714164254E-2</v>
      </c>
      <c r="EB374" s="92">
        <f t="shared" si="1167"/>
        <v>2.6606305694449585E-2</v>
      </c>
      <c r="EC374" s="92">
        <f t="shared" si="1168"/>
        <v>4.5510786056295341E-2</v>
      </c>
      <c r="ED374" s="92" t="str">
        <f t="shared" si="1169"/>
        <v/>
      </c>
      <c r="EE374" s="92">
        <f t="shared" si="1170"/>
        <v>0.25626073379390918</v>
      </c>
      <c r="EF374" s="92">
        <f t="shared" si="1171"/>
        <v>1.6253852162962622E-2</v>
      </c>
      <c r="EG374" s="92">
        <f t="shared" si="1172"/>
        <v>0.27251458595687178</v>
      </c>
      <c r="EH374" s="92">
        <f t="shared" si="1173"/>
        <v>0.74373926620609088</v>
      </c>
      <c r="EI374" s="92">
        <f t="shared" si="1174"/>
        <v>0.61404127778283457</v>
      </c>
      <c r="EJ374" s="122">
        <f t="shared" si="1175"/>
        <v>0.12969798842325631</v>
      </c>
    </row>
    <row r="375" spans="2:140" ht="12" customHeight="1" outlineLevel="1">
      <c r="B375" s="272">
        <v>46028</v>
      </c>
      <c r="C375" s="117">
        <v>21608</v>
      </c>
      <c r="D375" s="50" t="s">
        <v>1647</v>
      </c>
      <c r="E375" s="50" t="s">
        <v>1648</v>
      </c>
      <c r="F375" s="50" t="s">
        <v>1649</v>
      </c>
      <c r="G375" s="50" t="s">
        <v>162</v>
      </c>
      <c r="H375" s="50" t="s">
        <v>310</v>
      </c>
      <c r="I375" s="50" t="s">
        <v>1033</v>
      </c>
      <c r="J375" s="52" t="s">
        <v>230</v>
      </c>
      <c r="K375" s="50" t="s">
        <v>230</v>
      </c>
      <c r="L375" s="49">
        <v>3</v>
      </c>
      <c r="M375" s="50" t="s">
        <v>159</v>
      </c>
      <c r="N375" s="50" t="s">
        <v>160</v>
      </c>
      <c r="O375" s="50" t="s">
        <v>160</v>
      </c>
      <c r="P375" s="50" t="s">
        <v>177</v>
      </c>
      <c r="Q375" s="53">
        <v>0.04</v>
      </c>
      <c r="R375" s="49">
        <v>174</v>
      </c>
      <c r="S375" s="49">
        <v>0</v>
      </c>
      <c r="T375" s="54">
        <f t="shared" si="1146"/>
        <v>174</v>
      </c>
      <c r="U375" s="55">
        <v>136869</v>
      </c>
      <c r="V375" s="49">
        <v>2.2599999999999998</v>
      </c>
      <c r="W375" s="56">
        <f t="shared" si="1099"/>
        <v>76.991150442477888</v>
      </c>
      <c r="X375" s="49" t="s">
        <v>163</v>
      </c>
      <c r="Y375" s="57" t="s">
        <v>162</v>
      </c>
      <c r="Z375" s="58">
        <v>23849000</v>
      </c>
      <c r="AA375" s="114">
        <v>3.8199999999999998E-2</v>
      </c>
      <c r="AB375" s="59">
        <v>18</v>
      </c>
      <c r="AC375" s="60">
        <v>40</v>
      </c>
      <c r="AD375" s="61">
        <v>3.8199999999999998E-2</v>
      </c>
      <c r="AE375" s="62">
        <v>22549000</v>
      </c>
      <c r="AF375" s="63">
        <v>1.1499999999999999</v>
      </c>
      <c r="AG375" s="59"/>
      <c r="AH375" s="60"/>
      <c r="AI375" s="61"/>
      <c r="AJ375" s="64"/>
      <c r="AK375" s="65">
        <f t="shared" si="1100"/>
        <v>22549000</v>
      </c>
      <c r="AL375" s="66">
        <v>0</v>
      </c>
      <c r="AM375" s="49" t="s">
        <v>163</v>
      </c>
      <c r="AN375" s="67">
        <v>0.87</v>
      </c>
      <c r="AO375" s="62">
        <v>22549000</v>
      </c>
      <c r="AP375" s="62">
        <v>1294573</v>
      </c>
      <c r="AQ375" s="68">
        <v>3946875</v>
      </c>
      <c r="AR375" s="69">
        <f t="shared" si="1101"/>
        <v>129591.9540229885</v>
      </c>
      <c r="AS375" s="70" t="str">
        <f t="shared" si="1102"/>
        <v/>
      </c>
      <c r="AT375" s="70">
        <f t="shared" si="1103"/>
        <v>129591.9540229885</v>
      </c>
      <c r="AU375" s="70">
        <f t="shared" si="1104"/>
        <v>7440.0747126436781</v>
      </c>
      <c r="AV375" s="71">
        <f t="shared" si="1105"/>
        <v>22683.189655172413</v>
      </c>
      <c r="AW375" s="115">
        <f t="shared" si="1106"/>
        <v>111675.28735632185</v>
      </c>
      <c r="AX375" s="116">
        <f t="shared" si="1107"/>
        <v>141.97152021275818</v>
      </c>
      <c r="AY375" s="72">
        <f t="shared" si="1108"/>
        <v>141072.9540229885</v>
      </c>
      <c r="AZ375" s="73">
        <f t="shared" si="1109"/>
        <v>179.34443884298125</v>
      </c>
      <c r="BA375" s="66">
        <v>1740000</v>
      </c>
      <c r="BB375" s="62">
        <v>2763000</v>
      </c>
      <c r="BC375" s="62">
        <v>16668500</v>
      </c>
      <c r="BD375" s="62">
        <v>1657705</v>
      </c>
      <c r="BE375" s="62">
        <v>3457489</v>
      </c>
      <c r="BF375" s="62">
        <v>3126600</v>
      </c>
      <c r="BG375" s="62">
        <v>4677010</v>
      </c>
      <c r="BH375" s="62">
        <v>5366084</v>
      </c>
      <c r="BI375" s="62">
        <v>709319</v>
      </c>
      <c r="BJ375" s="47">
        <f t="shared" si="1110"/>
        <v>40165707</v>
      </c>
      <c r="BK375" s="69">
        <f t="shared" si="1111"/>
        <v>10000</v>
      </c>
      <c r="BL375" s="70">
        <f t="shared" si="1112"/>
        <v>15879.310344827587</v>
      </c>
      <c r="BM375" s="70">
        <f t="shared" si="1113"/>
        <v>95795.977011494251</v>
      </c>
      <c r="BN375" s="70">
        <f t="shared" si="1114"/>
        <v>9527.0402298850568</v>
      </c>
      <c r="BO375" s="70">
        <f t="shared" si="1115"/>
        <v>19870.626436781607</v>
      </c>
      <c r="BP375" s="70">
        <f t="shared" si="1116"/>
        <v>17968.96551724138</v>
      </c>
      <c r="BQ375" s="70">
        <f>IFERROR(IF(BH375&gt;0,BH375/$T375,""),"")</f>
        <v>30839.563218390806</v>
      </c>
      <c r="BR375" s="70" t="str">
        <f>IFERROR(IF(#REF!&gt;0,#REF!/$T375,""),"")</f>
        <v/>
      </c>
      <c r="BS375" s="70">
        <f t="shared" si="1119"/>
        <v>4076.5459770114944</v>
      </c>
      <c r="BT375" s="71">
        <f t="shared" si="1120"/>
        <v>230837.39655172414</v>
      </c>
      <c r="BU375" s="65">
        <f t="shared" si="1121"/>
        <v>12.712886044319751</v>
      </c>
      <c r="BV375" s="48">
        <f t="shared" si="1122"/>
        <v>20.187186287618086</v>
      </c>
      <c r="BW375" s="48">
        <f t="shared" si="1123"/>
        <v>121.7843339251401</v>
      </c>
      <c r="BX375" s="48">
        <f t="shared" si="1124"/>
        <v>12.111617678217858</v>
      </c>
      <c r="BY375" s="48">
        <f t="shared" si="1125"/>
        <v>25.2613009520052</v>
      </c>
      <c r="BZ375" s="48">
        <f t="shared" si="1126"/>
        <v>22.843741095500075</v>
      </c>
      <c r="CA375" s="48">
        <f>IFERROR(IF(BH375&gt;0,BH375/$U375,""),"")</f>
        <v>39.205985285199716</v>
      </c>
      <c r="CB375" s="48" t="str">
        <f>IFERROR(IF(#REF!&gt;0,#REF!/$U375,""),"")</f>
        <v/>
      </c>
      <c r="CC375" s="48">
        <f t="shared" si="1129"/>
        <v>5.1824664460177248</v>
      </c>
      <c r="CD375" s="47">
        <f t="shared" si="1130"/>
        <v>293.46095171295178</v>
      </c>
      <c r="CE375" s="66">
        <v>2179020</v>
      </c>
      <c r="CF375" s="62">
        <v>41760</v>
      </c>
      <c r="CG375" s="74">
        <v>-166559</v>
      </c>
      <c r="CH375" s="75">
        <f t="shared" si="1131"/>
        <v>2054221</v>
      </c>
      <c r="CI375" s="62">
        <f>56900+3500+4000+4350+6960</f>
        <v>75710</v>
      </c>
      <c r="CJ375" s="62">
        <v>82500</v>
      </c>
      <c r="CK375" s="62">
        <v>213000</v>
      </c>
      <c r="CL375" s="62">
        <v>63300</v>
      </c>
      <c r="CM375" s="62">
        <v>150000</v>
      </c>
      <c r="CN375" s="62">
        <v>69676</v>
      </c>
      <c r="CO375" s="62">
        <v>0</v>
      </c>
      <c r="CP375" s="75">
        <f t="shared" si="1147"/>
        <v>654186</v>
      </c>
      <c r="CQ375" s="62">
        <v>43500</v>
      </c>
      <c r="CR375" s="75">
        <f t="shared" si="1132"/>
        <v>697686</v>
      </c>
      <c r="CS375" s="75">
        <f t="shared" si="1133"/>
        <v>1400035</v>
      </c>
      <c r="CT375" s="62">
        <v>1123339</v>
      </c>
      <c r="CU375" s="47">
        <f t="shared" si="1134"/>
        <v>276696</v>
      </c>
      <c r="CV375" s="76">
        <f t="shared" si="1135"/>
        <v>0.68154059373358566</v>
      </c>
      <c r="CW375" s="75">
        <f t="shared" si="1136"/>
        <v>4009.6896551724139</v>
      </c>
      <c r="CX375" s="77">
        <f t="shared" si="1137"/>
        <v>0.3396353167453745</v>
      </c>
      <c r="CY375" s="75">
        <f t="shared" si="1138"/>
        <v>1590.2068965517242</v>
      </c>
      <c r="CZ375" s="77">
        <f t="shared" si="1139"/>
        <v>0.13469631553761743</v>
      </c>
      <c r="DA375" s="77">
        <f t="shared" si="1140"/>
        <v>0.54684427819596826</v>
      </c>
      <c r="DB375" s="47">
        <f t="shared" si="1141"/>
        <v>129591.9540229885</v>
      </c>
      <c r="DC375" s="69">
        <f t="shared" si="1148"/>
        <v>12523.103448275862</v>
      </c>
      <c r="DD375" s="70">
        <f t="shared" si="1149"/>
        <v>240</v>
      </c>
      <c r="DE375" s="70">
        <f t="shared" si="1150"/>
        <v>-957.23563218390802</v>
      </c>
      <c r="DF375" s="70">
        <f t="shared" si="1151"/>
        <v>11805.867816091954</v>
      </c>
      <c r="DG375" s="70">
        <f t="shared" si="1152"/>
        <v>435.11494252873564</v>
      </c>
      <c r="DH375" s="70">
        <f t="shared" si="1176"/>
        <v>474.13793103448273</v>
      </c>
      <c r="DI375" s="70">
        <f t="shared" si="1177"/>
        <v>1224.1379310344828</v>
      </c>
      <c r="DJ375" s="70">
        <f t="shared" si="1178"/>
        <v>363.79310344827587</v>
      </c>
      <c r="DK375" s="70">
        <f t="shared" si="1153"/>
        <v>862.06896551724139</v>
      </c>
      <c r="DL375" s="70">
        <f t="shared" si="1154"/>
        <v>400.43678160919541</v>
      </c>
      <c r="DM375" s="70" t="str">
        <f t="shared" si="1155"/>
        <v/>
      </c>
      <c r="DN375" s="70">
        <f t="shared" si="1156"/>
        <v>3759.6896551724139</v>
      </c>
      <c r="DO375" s="70">
        <f t="shared" si="1157"/>
        <v>250</v>
      </c>
      <c r="DP375" s="70">
        <f t="shared" si="1158"/>
        <v>4009.6896551724139</v>
      </c>
      <c r="DQ375" s="70">
        <f t="shared" si="1159"/>
        <v>8046.1781609195405</v>
      </c>
      <c r="DR375" s="70">
        <f t="shared" si="1160"/>
        <v>6455.9712643678158</v>
      </c>
      <c r="DS375" s="71">
        <f t="shared" si="1161"/>
        <v>1590.2068965517242</v>
      </c>
      <c r="DT375" s="106">
        <f t="shared" si="1162"/>
        <v>1.0607524701577873</v>
      </c>
      <c r="DU375" s="92">
        <f t="shared" si="1163"/>
        <v>2.0328874059801744E-2</v>
      </c>
      <c r="DV375" s="92" t="str">
        <f t="shared" si="1164"/>
        <v/>
      </c>
      <c r="DW375" s="92">
        <f t="shared" si="1165"/>
        <v>1</v>
      </c>
      <c r="DX375" s="92">
        <f t="shared" si="1166"/>
        <v>3.6855820284185589E-2</v>
      </c>
      <c r="DY375" s="92">
        <f t="shared" si="1179"/>
        <v>4.0161209529062353E-2</v>
      </c>
      <c r="DZ375" s="92">
        <f t="shared" si="1180"/>
        <v>0.10368894096594281</v>
      </c>
      <c r="EA375" s="92">
        <f t="shared" si="1181"/>
        <v>3.0814600765935115E-2</v>
      </c>
      <c r="EB375" s="92">
        <f t="shared" si="1167"/>
        <v>7.3020380961931558E-2</v>
      </c>
      <c r="EC375" s="92">
        <f t="shared" si="1168"/>
        <v>3.3918453759356954E-2</v>
      </c>
      <c r="ED375" s="92" t="str">
        <f t="shared" si="1169"/>
        <v/>
      </c>
      <c r="EE375" s="92">
        <f t="shared" si="1170"/>
        <v>0.31845940626641439</v>
      </c>
      <c r="EF375" s="92">
        <f t="shared" si="1171"/>
        <v>2.1175910478960152E-2</v>
      </c>
      <c r="EG375" s="92">
        <f t="shared" si="1172"/>
        <v>0.3396353167453745</v>
      </c>
      <c r="EH375" s="92">
        <f t="shared" si="1173"/>
        <v>0.68154059373358566</v>
      </c>
      <c r="EI375" s="92">
        <f t="shared" si="1174"/>
        <v>0.54684427819596826</v>
      </c>
      <c r="EJ375" s="122">
        <f t="shared" si="1175"/>
        <v>0.13469631553761743</v>
      </c>
    </row>
    <row r="376" spans="2:140" ht="12" customHeight="1" outlineLevel="1">
      <c r="B376" s="272">
        <v>46030</v>
      </c>
      <c r="C376" s="117">
        <v>25477</v>
      </c>
      <c r="D376" s="50" t="s">
        <v>1650</v>
      </c>
      <c r="E376" s="50" t="s">
        <v>1651</v>
      </c>
      <c r="F376" s="50" t="s">
        <v>1652</v>
      </c>
      <c r="G376" s="50" t="s">
        <v>162</v>
      </c>
      <c r="H376" s="50" t="s">
        <v>852</v>
      </c>
      <c r="I376" s="50" t="s">
        <v>852</v>
      </c>
      <c r="J376" s="52" t="s">
        <v>230</v>
      </c>
      <c r="K376" s="50" t="s">
        <v>230</v>
      </c>
      <c r="L376" s="49">
        <v>3</v>
      </c>
      <c r="M376" s="50" t="s">
        <v>159</v>
      </c>
      <c r="N376" s="50" t="s">
        <v>160</v>
      </c>
      <c r="O376" s="50" t="s">
        <v>160</v>
      </c>
      <c r="P376" s="50" t="s">
        <v>177</v>
      </c>
      <c r="Q376" s="53">
        <v>0.04</v>
      </c>
      <c r="R376" s="49">
        <v>248</v>
      </c>
      <c r="S376" s="49">
        <v>0</v>
      </c>
      <c r="T376" s="54">
        <f t="shared" si="1146"/>
        <v>248</v>
      </c>
      <c r="U376" s="55">
        <v>234911</v>
      </c>
      <c r="V376" s="49">
        <v>16.95</v>
      </c>
      <c r="W376" s="56">
        <f t="shared" si="1099"/>
        <v>14.631268436578171</v>
      </c>
      <c r="X376" s="49" t="s">
        <v>163</v>
      </c>
      <c r="Y376" s="57" t="s">
        <v>162</v>
      </c>
      <c r="Z376" s="58">
        <v>40000000</v>
      </c>
      <c r="AA376" s="114">
        <v>5.6399999999999999E-2</v>
      </c>
      <c r="AB376" s="59">
        <v>15</v>
      </c>
      <c r="AC376" s="60">
        <v>40</v>
      </c>
      <c r="AD376" s="61">
        <v>5.6399999999999999E-2</v>
      </c>
      <c r="AE376" s="62">
        <v>37153662</v>
      </c>
      <c r="AF376" s="63">
        <v>1.17</v>
      </c>
      <c r="AG376" s="59"/>
      <c r="AH376" s="60"/>
      <c r="AI376" s="61"/>
      <c r="AJ376" s="64"/>
      <c r="AK376" s="65">
        <f t="shared" si="1100"/>
        <v>37153662</v>
      </c>
      <c r="AL376" s="66">
        <v>0</v>
      </c>
      <c r="AM376" s="49" t="s">
        <v>163</v>
      </c>
      <c r="AN376" s="67">
        <v>0.85</v>
      </c>
      <c r="AO376" s="62">
        <v>27948631</v>
      </c>
      <c r="AP376" s="62">
        <v>535343</v>
      </c>
      <c r="AQ376" s="68">
        <v>4426527</v>
      </c>
      <c r="AR376" s="69">
        <f t="shared" si="1101"/>
        <v>149813.15322580645</v>
      </c>
      <c r="AS376" s="70" t="str">
        <f t="shared" si="1102"/>
        <v/>
      </c>
      <c r="AT376" s="70">
        <f>IFERROR(IF(AP376&gt;0,AP376/T376,""),"")</f>
        <v>2158.641129032258</v>
      </c>
      <c r="AU376" s="70" t="str">
        <f>IFERROR(IF(#REF!&gt;0,#REF!/T376,""),"")</f>
        <v/>
      </c>
      <c r="AV376" s="71">
        <f t="shared" si="1105"/>
        <v>17848.899193548386</v>
      </c>
      <c r="AW376" s="115">
        <f t="shared" si="1106"/>
        <v>143880.5806451613</v>
      </c>
      <c r="AX376" s="116">
        <f t="shared" si="1107"/>
        <v>151.89745903767809</v>
      </c>
      <c r="AY376" s="72">
        <f t="shared" si="1108"/>
        <v>170720.9193548387</v>
      </c>
      <c r="AZ376" s="73">
        <f t="shared" si="1109"/>
        <v>180.23331389334686</v>
      </c>
      <c r="BA376" s="66">
        <v>2100000</v>
      </c>
      <c r="BB376" s="62">
        <v>7234884</v>
      </c>
      <c r="BC376" s="62">
        <v>28447500</v>
      </c>
      <c r="BD376" s="62">
        <v>1456904</v>
      </c>
      <c r="BE376" s="62">
        <v>5199500</v>
      </c>
      <c r="BF376" s="62">
        <v>5369633</v>
      </c>
      <c r="BG376" s="62">
        <v>11050742</v>
      </c>
      <c r="BH376" s="62">
        <v>8325000</v>
      </c>
      <c r="BI376" s="62">
        <v>1630000</v>
      </c>
      <c r="BJ376" s="47">
        <f t="shared" si="1110"/>
        <v>70814163</v>
      </c>
      <c r="BK376" s="69">
        <f t="shared" si="1111"/>
        <v>8467.7419354838712</v>
      </c>
      <c r="BL376" s="70">
        <f t="shared" si="1112"/>
        <v>29172.919354838708</v>
      </c>
      <c r="BM376" s="70">
        <f t="shared" si="1113"/>
        <v>114707.66129032258</v>
      </c>
      <c r="BN376" s="70">
        <f t="shared" si="1114"/>
        <v>5874.6129032258068</v>
      </c>
      <c r="BO376" s="70">
        <f t="shared" si="1115"/>
        <v>20965.725806451614</v>
      </c>
      <c r="BP376" s="70">
        <f t="shared" si="1116"/>
        <v>21651.745967741936</v>
      </c>
      <c r="BQ376" s="70">
        <f t="shared" si="1117"/>
        <v>44559.443548387098</v>
      </c>
      <c r="BR376" s="70">
        <f t="shared" si="1118"/>
        <v>33568.548387096773</v>
      </c>
      <c r="BS376" s="70">
        <f t="shared" si="1119"/>
        <v>6572.5806451612907</v>
      </c>
      <c r="BT376" s="71">
        <f t="shared" si="1120"/>
        <v>285540.9798387097</v>
      </c>
      <c r="BU376" s="65">
        <f t="shared" si="1121"/>
        <v>8.9395558317831014</v>
      </c>
      <c r="BV376" s="48">
        <f t="shared" si="1122"/>
        <v>30.798404502130595</v>
      </c>
      <c r="BW376" s="48">
        <f t="shared" si="1123"/>
        <v>121.09905453554751</v>
      </c>
      <c r="BX376" s="48">
        <f t="shared" si="1124"/>
        <v>6.2019403093086316</v>
      </c>
      <c r="BY376" s="48">
        <f t="shared" si="1125"/>
        <v>22.13391454636011</v>
      </c>
      <c r="BZ376" s="48">
        <f t="shared" si="1126"/>
        <v>22.858159047469041</v>
      </c>
      <c r="CA376" s="48">
        <f t="shared" si="1127"/>
        <v>47.042250043633544</v>
      </c>
      <c r="CB376" s="48">
        <f t="shared" si="1128"/>
        <v>35.438953475997295</v>
      </c>
      <c r="CC376" s="48">
        <f t="shared" si="1129"/>
        <v>6.9387980980030735</v>
      </c>
      <c r="CD376" s="47">
        <f t="shared" si="1130"/>
        <v>301.45103039023292</v>
      </c>
      <c r="CE376" s="66">
        <v>4252248</v>
      </c>
      <c r="CF376" s="62">
        <v>59520</v>
      </c>
      <c r="CG376" s="74">
        <v>-323383</v>
      </c>
      <c r="CH376" s="75">
        <f t="shared" si="1131"/>
        <v>3988385</v>
      </c>
      <c r="CI376" s="62">
        <f>96000+9920+10000+4500+12400</f>
        <v>132820</v>
      </c>
      <c r="CJ376" s="62">
        <v>159800</v>
      </c>
      <c r="CK376" s="62">
        <v>259000</v>
      </c>
      <c r="CL376" s="62">
        <v>127000</v>
      </c>
      <c r="CM376" s="62">
        <f>120000+125000</f>
        <v>245000</v>
      </c>
      <c r="CN376" s="62">
        <v>248000</v>
      </c>
      <c r="CO376" s="62">
        <v>0</v>
      </c>
      <c r="CP376" s="75">
        <f t="shared" si="1147"/>
        <v>1171620</v>
      </c>
      <c r="CQ376" s="62">
        <v>62000</v>
      </c>
      <c r="CR376" s="75">
        <f t="shared" si="1132"/>
        <v>1233620</v>
      </c>
      <c r="CS376" s="75">
        <f t="shared" si="1133"/>
        <v>2816765</v>
      </c>
      <c r="CT376" s="62">
        <v>2342151</v>
      </c>
      <c r="CU376" s="47">
        <f t="shared" si="1134"/>
        <v>474614</v>
      </c>
      <c r="CV376" s="76">
        <f t="shared" si="1135"/>
        <v>0.70624200020810424</v>
      </c>
      <c r="CW376" s="75">
        <f t="shared" si="1136"/>
        <v>4974.2741935483873</v>
      </c>
      <c r="CX376" s="77">
        <f t="shared" si="1137"/>
        <v>0.30930313898984174</v>
      </c>
      <c r="CY376" s="75">
        <f t="shared" si="1138"/>
        <v>1913.766129032258</v>
      </c>
      <c r="CZ376" s="77">
        <f t="shared" si="1139"/>
        <v>0.11899904347248322</v>
      </c>
      <c r="DA376" s="77">
        <f t="shared" si="1140"/>
        <v>0.5872429567356211</v>
      </c>
      <c r="DB376" s="47">
        <f t="shared" si="1141"/>
        <v>149813.15322580645</v>
      </c>
      <c r="DC376" s="69">
        <f t="shared" si="1148"/>
        <v>17146.16129032258</v>
      </c>
      <c r="DD376" s="70">
        <f t="shared" si="1149"/>
        <v>240</v>
      </c>
      <c r="DE376" s="70">
        <f t="shared" si="1150"/>
        <v>-1303.9637096774193</v>
      </c>
      <c r="DF376" s="70">
        <f t="shared" si="1151"/>
        <v>16082.197580645161</v>
      </c>
      <c r="DG376" s="70">
        <f t="shared" si="1152"/>
        <v>535.56451612903231</v>
      </c>
      <c r="DH376" s="70">
        <f t="shared" si="1176"/>
        <v>644.35483870967744</v>
      </c>
      <c r="DI376" s="70">
        <f t="shared" si="1177"/>
        <v>1044.3548387096773</v>
      </c>
      <c r="DJ376" s="70">
        <f t="shared" si="1178"/>
        <v>512.09677419354841</v>
      </c>
      <c r="DK376" s="70">
        <f t="shared" si="1153"/>
        <v>987.90322580645159</v>
      </c>
      <c r="DL376" s="70">
        <f t="shared" si="1154"/>
        <v>1000</v>
      </c>
      <c r="DM376" s="70" t="str">
        <f t="shared" si="1155"/>
        <v/>
      </c>
      <c r="DN376" s="70">
        <f t="shared" si="1156"/>
        <v>4724.2741935483873</v>
      </c>
      <c r="DO376" s="70">
        <f t="shared" si="1157"/>
        <v>250</v>
      </c>
      <c r="DP376" s="70">
        <f t="shared" si="1158"/>
        <v>4974.2741935483873</v>
      </c>
      <c r="DQ376" s="70">
        <f t="shared" si="1159"/>
        <v>11357.923387096775</v>
      </c>
      <c r="DR376" s="70">
        <f t="shared" si="1160"/>
        <v>9444.157258064517</v>
      </c>
      <c r="DS376" s="71">
        <f t="shared" si="1161"/>
        <v>1913.766129032258</v>
      </c>
      <c r="DT376" s="106">
        <f t="shared" si="1162"/>
        <v>1.0661578558739941</v>
      </c>
      <c r="DU376" s="92">
        <f t="shared" si="1163"/>
        <v>1.4923333630028195E-2</v>
      </c>
      <c r="DV376" s="92" t="str">
        <f t="shared" si="1164"/>
        <v/>
      </c>
      <c r="DW376" s="92">
        <f t="shared" si="1165"/>
        <v>1</v>
      </c>
      <c r="DX376" s="92">
        <f t="shared" si="1166"/>
        <v>3.3301699810825688E-2</v>
      </c>
      <c r="DY376" s="92">
        <f t="shared" si="1179"/>
        <v>4.0066342642448009E-2</v>
      </c>
      <c r="DZ376" s="92">
        <f t="shared" si="1180"/>
        <v>6.4938565359161662E-2</v>
      </c>
      <c r="EA376" s="92">
        <f t="shared" si="1181"/>
        <v>3.1842462550631397E-2</v>
      </c>
      <c r="EB376" s="92">
        <f t="shared" si="1167"/>
        <v>6.1428372637044822E-2</v>
      </c>
      <c r="EC376" s="92">
        <f t="shared" si="1168"/>
        <v>6.2180556791784143E-2</v>
      </c>
      <c r="ED376" s="92" t="str">
        <f t="shared" si="1169"/>
        <v/>
      </c>
      <c r="EE376" s="92">
        <f t="shared" si="1170"/>
        <v>0.29375799979189571</v>
      </c>
      <c r="EF376" s="92">
        <f t="shared" si="1171"/>
        <v>1.5545139197946036E-2</v>
      </c>
      <c r="EG376" s="92">
        <f t="shared" si="1172"/>
        <v>0.30930313898984174</v>
      </c>
      <c r="EH376" s="92">
        <f t="shared" si="1173"/>
        <v>0.70624200020810424</v>
      </c>
      <c r="EI376" s="92">
        <f t="shared" si="1174"/>
        <v>0.5872429567356211</v>
      </c>
      <c r="EJ376" s="122">
        <f t="shared" si="1175"/>
        <v>0.11899904347248322</v>
      </c>
    </row>
    <row r="377" spans="2:140" ht="12" customHeight="1" outlineLevel="1">
      <c r="B377" s="272">
        <v>46036</v>
      </c>
      <c r="C377" s="117" t="s">
        <v>1653</v>
      </c>
      <c r="D377" s="50" t="s">
        <v>718</v>
      </c>
      <c r="E377" s="50" t="s">
        <v>1392</v>
      </c>
      <c r="F377" s="50" t="s">
        <v>607</v>
      </c>
      <c r="G377" s="50" t="s">
        <v>249</v>
      </c>
      <c r="H377" s="50" t="s">
        <v>608</v>
      </c>
      <c r="I377" s="50" t="s">
        <v>1654</v>
      </c>
      <c r="J377" s="52" t="s">
        <v>719</v>
      </c>
      <c r="K377" s="50" t="s">
        <v>720</v>
      </c>
      <c r="L377" s="49">
        <v>2</v>
      </c>
      <c r="M377" s="50" t="s">
        <v>283</v>
      </c>
      <c r="N377" s="50" t="s">
        <v>244</v>
      </c>
      <c r="O377" s="50" t="s">
        <v>160</v>
      </c>
      <c r="P377" s="50" t="s">
        <v>177</v>
      </c>
      <c r="Q377" s="53">
        <v>0.09</v>
      </c>
      <c r="R377" s="49">
        <v>52</v>
      </c>
      <c r="S377" s="49">
        <v>0</v>
      </c>
      <c r="T377" s="54">
        <f t="shared" si="1146"/>
        <v>52</v>
      </c>
      <c r="U377" s="55">
        <v>43680</v>
      </c>
      <c r="V377" s="49">
        <v>1.48</v>
      </c>
      <c r="W377" s="56">
        <f t="shared" si="1099"/>
        <v>35.135135135135137</v>
      </c>
      <c r="X377" s="49" t="s">
        <v>163</v>
      </c>
      <c r="Y377" s="57" t="s">
        <v>162</v>
      </c>
      <c r="Z377" s="58">
        <v>7456973</v>
      </c>
      <c r="AA377" s="114">
        <v>5.2499999999999998E-2</v>
      </c>
      <c r="AB377" s="59">
        <v>18</v>
      </c>
      <c r="AC377" s="60">
        <v>35</v>
      </c>
      <c r="AD377" s="61">
        <v>0.05</v>
      </c>
      <c r="AE377" s="62">
        <v>1950000</v>
      </c>
      <c r="AF377" s="63">
        <v>1.19</v>
      </c>
      <c r="AG377" s="59"/>
      <c r="AH377" s="60"/>
      <c r="AI377" s="61"/>
      <c r="AJ377" s="64"/>
      <c r="AK377" s="65">
        <f t="shared" si="1100"/>
        <v>1950000</v>
      </c>
      <c r="AL377" s="66">
        <v>0</v>
      </c>
      <c r="AM377" s="49" t="s">
        <v>163</v>
      </c>
      <c r="AN377" s="67">
        <v>0.88</v>
      </c>
      <c r="AO377" s="62">
        <v>8083241</v>
      </c>
      <c r="AP377" s="62">
        <v>140400</v>
      </c>
      <c r="AQ377" s="68">
        <v>164825</v>
      </c>
      <c r="AR377" s="69">
        <f t="shared" si="1101"/>
        <v>37500</v>
      </c>
      <c r="AS377" s="70" t="str">
        <f t="shared" si="1102"/>
        <v/>
      </c>
      <c r="AT377" s="70">
        <f t="shared" si="1103"/>
        <v>155446.94230769231</v>
      </c>
      <c r="AU377" s="70">
        <f t="shared" si="1104"/>
        <v>2700</v>
      </c>
      <c r="AV377" s="71">
        <f t="shared" si="1105"/>
        <v>3169.7115384615386</v>
      </c>
      <c r="AW377" s="115">
        <f t="shared" si="1106"/>
        <v>115479.63461538461</v>
      </c>
      <c r="AX377" s="116">
        <f t="shared" si="1107"/>
        <v>137.47575549450551</v>
      </c>
      <c r="AY377" s="72">
        <f t="shared" si="1108"/>
        <v>138751.90384615384</v>
      </c>
      <c r="AZ377" s="73">
        <f t="shared" si="1109"/>
        <v>165.18083791208792</v>
      </c>
      <c r="BA377" s="66">
        <v>187000</v>
      </c>
      <c r="BB377" s="62">
        <v>1123605</v>
      </c>
      <c r="BC377" s="62">
        <v>4881336</v>
      </c>
      <c r="BD377" s="62">
        <v>324094</v>
      </c>
      <c r="BE377" s="62">
        <v>886064</v>
      </c>
      <c r="BF377" s="62">
        <v>731611</v>
      </c>
      <c r="BG377" s="62">
        <v>592766</v>
      </c>
      <c r="BH377" s="62">
        <v>1222347</v>
      </c>
      <c r="BI377" s="62">
        <v>84778</v>
      </c>
      <c r="BJ377" s="47">
        <f t="shared" si="1110"/>
        <v>10033601</v>
      </c>
      <c r="BK377" s="69">
        <f t="shared" si="1111"/>
        <v>3596.1538461538462</v>
      </c>
      <c r="BL377" s="70">
        <f t="shared" si="1112"/>
        <v>21607.788461538461</v>
      </c>
      <c r="BM377" s="70">
        <f t="shared" si="1113"/>
        <v>93871.846153846156</v>
      </c>
      <c r="BN377" s="70">
        <f t="shared" si="1114"/>
        <v>6232.5769230769229</v>
      </c>
      <c r="BO377" s="70">
        <f t="shared" si="1115"/>
        <v>17039.692307692309</v>
      </c>
      <c r="BP377" s="70">
        <f t="shared" si="1116"/>
        <v>14069.442307692309</v>
      </c>
      <c r="BQ377" s="70">
        <f t="shared" si="1117"/>
        <v>11399.346153846154</v>
      </c>
      <c r="BR377" s="70">
        <f t="shared" si="1118"/>
        <v>23506.673076923078</v>
      </c>
      <c r="BS377" s="70">
        <f t="shared" si="1119"/>
        <v>1630.3461538461538</v>
      </c>
      <c r="BT377" s="71">
        <f t="shared" si="1120"/>
        <v>192953.86538461538</v>
      </c>
      <c r="BU377" s="65">
        <f t="shared" si="1121"/>
        <v>4.281135531135531</v>
      </c>
      <c r="BV377" s="48">
        <f t="shared" si="1122"/>
        <v>25.723557692307693</v>
      </c>
      <c r="BW377" s="48">
        <f t="shared" si="1123"/>
        <v>111.7521978021978</v>
      </c>
      <c r="BX377" s="48">
        <f t="shared" si="1124"/>
        <v>7.4197344322344323</v>
      </c>
      <c r="BY377" s="48">
        <f t="shared" si="1125"/>
        <v>20.285347985347986</v>
      </c>
      <c r="BZ377" s="48">
        <f t="shared" si="1126"/>
        <v>16.74933608058608</v>
      </c>
      <c r="CA377" s="48">
        <f t="shared" si="1127"/>
        <v>13.570650183150184</v>
      </c>
      <c r="CB377" s="48">
        <f t="shared" si="1128"/>
        <v>27.984134615384615</v>
      </c>
      <c r="CC377" s="48">
        <f t="shared" si="1129"/>
        <v>1.9408882783882784</v>
      </c>
      <c r="CD377" s="47">
        <f t="shared" si="1130"/>
        <v>229.7069826007326</v>
      </c>
      <c r="CE377" s="66">
        <v>419280</v>
      </c>
      <c r="CF377" s="62">
        <v>12480</v>
      </c>
      <c r="CG377" s="74">
        <v>-32382</v>
      </c>
      <c r="CH377" s="75">
        <f t="shared" si="1131"/>
        <v>399378</v>
      </c>
      <c r="CI377" s="62">
        <f>21150+2080</f>
        <v>23230</v>
      </c>
      <c r="CJ377" s="62">
        <v>24961</v>
      </c>
      <c r="CK377" s="62">
        <v>59488</v>
      </c>
      <c r="CL377" s="62">
        <f>59488+600</f>
        <v>60088</v>
      </c>
      <c r="CM377" s="62">
        <f>41000</f>
        <v>41000</v>
      </c>
      <c r="CN377" s="62">
        <v>23100</v>
      </c>
      <c r="CO377" s="62">
        <v>39000</v>
      </c>
      <c r="CP377" s="75">
        <f t="shared" si="1147"/>
        <v>270867</v>
      </c>
      <c r="CQ377" s="62">
        <v>13000</v>
      </c>
      <c r="CR377" s="75">
        <f t="shared" si="1132"/>
        <v>283867</v>
      </c>
      <c r="CS377" s="75">
        <f t="shared" si="1133"/>
        <v>128511</v>
      </c>
      <c r="CT377" s="62">
        <v>118097</v>
      </c>
      <c r="CU377" s="47">
        <f t="shared" si="1134"/>
        <v>10414</v>
      </c>
      <c r="CV377" s="76">
        <f t="shared" si="1135"/>
        <v>0.32177786457942098</v>
      </c>
      <c r="CW377" s="75">
        <f t="shared" si="1136"/>
        <v>5458.9807692307695</v>
      </c>
      <c r="CX377" s="77">
        <f t="shared" si="1137"/>
        <v>0.71077275162878273</v>
      </c>
      <c r="CY377" s="75">
        <f t="shared" si="1138"/>
        <v>200.26923076923077</v>
      </c>
      <c r="CZ377" s="77">
        <f t="shared" si="1139"/>
        <v>2.6075547476325685E-2</v>
      </c>
      <c r="DA377" s="77">
        <f t="shared" si="1140"/>
        <v>0.2957023171030953</v>
      </c>
      <c r="DB377" s="47">
        <f t="shared" si="1141"/>
        <v>37500</v>
      </c>
      <c r="DC377" s="69">
        <f t="shared" si="1148"/>
        <v>8063.0769230769229</v>
      </c>
      <c r="DD377" s="70">
        <f t="shared" si="1149"/>
        <v>240</v>
      </c>
      <c r="DE377" s="70">
        <f t="shared" si="1150"/>
        <v>-622.73076923076928</v>
      </c>
      <c r="DF377" s="70">
        <f t="shared" si="1151"/>
        <v>7680.3461538461543</v>
      </c>
      <c r="DG377" s="70">
        <f t="shared" si="1152"/>
        <v>446.73076923076923</v>
      </c>
      <c r="DH377" s="70">
        <f t="shared" si="1176"/>
        <v>480.01923076923077</v>
      </c>
      <c r="DI377" s="70">
        <f t="shared" si="1177"/>
        <v>1144</v>
      </c>
      <c r="DJ377" s="70">
        <f t="shared" si="1178"/>
        <v>1155.5384615384614</v>
      </c>
      <c r="DK377" s="70">
        <f t="shared" si="1153"/>
        <v>788.46153846153845</v>
      </c>
      <c r="DL377" s="70">
        <f t="shared" si="1154"/>
        <v>444.23076923076923</v>
      </c>
      <c r="DM377" s="70">
        <f t="shared" si="1155"/>
        <v>750</v>
      </c>
      <c r="DN377" s="70">
        <f t="shared" si="1156"/>
        <v>5208.9807692307695</v>
      </c>
      <c r="DO377" s="70">
        <f t="shared" si="1157"/>
        <v>250</v>
      </c>
      <c r="DP377" s="70">
        <f t="shared" si="1158"/>
        <v>5458.9807692307695</v>
      </c>
      <c r="DQ377" s="70">
        <f t="shared" si="1159"/>
        <v>2471.3653846153848</v>
      </c>
      <c r="DR377" s="70">
        <f t="shared" si="1160"/>
        <v>2271.0961538461538</v>
      </c>
      <c r="DS377" s="71">
        <f t="shared" si="1161"/>
        <v>200.26923076923077</v>
      </c>
      <c r="DT377" s="106">
        <f t="shared" si="1162"/>
        <v>1.0498324895212054</v>
      </c>
      <c r="DU377" s="92">
        <f t="shared" si="1163"/>
        <v>3.1248591559875607E-2</v>
      </c>
      <c r="DV377" s="92" t="str">
        <f t="shared" si="1164"/>
        <v/>
      </c>
      <c r="DW377" s="92">
        <f t="shared" si="1165"/>
        <v>1</v>
      </c>
      <c r="DX377" s="92">
        <f t="shared" si="1166"/>
        <v>5.8165447270505634E-2</v>
      </c>
      <c r="DY377" s="92">
        <f t="shared" si="1179"/>
        <v>6.2499687013305688E-2</v>
      </c>
      <c r="DZ377" s="92">
        <f t="shared" si="1180"/>
        <v>0.14895161976874038</v>
      </c>
      <c r="EA377" s="92">
        <f t="shared" si="1181"/>
        <v>0.15045395590142671</v>
      </c>
      <c r="EB377" s="92">
        <f t="shared" si="1167"/>
        <v>0.10265963573356569</v>
      </c>
      <c r="EC377" s="92">
        <f t="shared" si="1168"/>
        <v>5.7839941108423595E-2</v>
      </c>
      <c r="ED377" s="92">
        <f t="shared" si="1169"/>
        <v>9.7651848624611265E-2</v>
      </c>
      <c r="EE377" s="92">
        <f t="shared" si="1170"/>
        <v>0.67822213542057896</v>
      </c>
      <c r="EF377" s="92">
        <f t="shared" si="1171"/>
        <v>3.2550616208203757E-2</v>
      </c>
      <c r="EG377" s="92">
        <f t="shared" si="1172"/>
        <v>0.71077275162878273</v>
      </c>
      <c r="EH377" s="92">
        <f t="shared" si="1173"/>
        <v>0.32177786457942098</v>
      </c>
      <c r="EI377" s="92">
        <f t="shared" si="1174"/>
        <v>0.2957023171030953</v>
      </c>
      <c r="EJ377" s="122">
        <f t="shared" si="1175"/>
        <v>2.6075547476325685E-2</v>
      </c>
    </row>
    <row r="378" spans="2:140" ht="12" customHeight="1" outlineLevel="1">
      <c r="B378" s="272">
        <v>46036</v>
      </c>
      <c r="C378" s="117" t="s">
        <v>1655</v>
      </c>
      <c r="D378" s="50" t="s">
        <v>1385</v>
      </c>
      <c r="E378" s="50" t="s">
        <v>1386</v>
      </c>
      <c r="F378" s="50" t="s">
        <v>1387</v>
      </c>
      <c r="G378" s="50" t="s">
        <v>249</v>
      </c>
      <c r="H378" s="50" t="s">
        <v>608</v>
      </c>
      <c r="I378" s="50" t="s">
        <v>167</v>
      </c>
      <c r="J378" s="52" t="s">
        <v>1388</v>
      </c>
      <c r="K378" s="50" t="s">
        <v>456</v>
      </c>
      <c r="L378" s="49">
        <v>9</v>
      </c>
      <c r="M378" s="50" t="s">
        <v>283</v>
      </c>
      <c r="N378" s="50" t="s">
        <v>244</v>
      </c>
      <c r="O378" s="50" t="s">
        <v>160</v>
      </c>
      <c r="P378" s="50" t="s">
        <v>177</v>
      </c>
      <c r="Q378" s="53">
        <v>0.09</v>
      </c>
      <c r="R378" s="49">
        <v>36</v>
      </c>
      <c r="S378" s="49">
        <v>0</v>
      </c>
      <c r="T378" s="54">
        <f t="shared" si="1146"/>
        <v>36</v>
      </c>
      <c r="U378" s="55">
        <v>30250</v>
      </c>
      <c r="V378" s="49">
        <v>2.17</v>
      </c>
      <c r="W378" s="56">
        <f t="shared" si="1099"/>
        <v>16.589861751152075</v>
      </c>
      <c r="X378" s="49" t="s">
        <v>163</v>
      </c>
      <c r="Y378" s="57" t="s">
        <v>162</v>
      </c>
      <c r="Z378" s="58">
        <v>6500000</v>
      </c>
      <c r="AA378" s="114">
        <v>5.2499999999999998E-2</v>
      </c>
      <c r="AB378" s="59">
        <v>18</v>
      </c>
      <c r="AC378" s="60">
        <v>35</v>
      </c>
      <c r="AD378" s="61">
        <v>5.7500000000000002E-2</v>
      </c>
      <c r="AE378" s="62">
        <v>1410000</v>
      </c>
      <c r="AF378" s="63">
        <v>1.1499999999999999</v>
      </c>
      <c r="AG378" s="59"/>
      <c r="AH378" s="60"/>
      <c r="AI378" s="61"/>
      <c r="AJ378" s="64"/>
      <c r="AK378" s="65">
        <f t="shared" si="1100"/>
        <v>1410000</v>
      </c>
      <c r="AL378" s="66">
        <v>500</v>
      </c>
      <c r="AM378" s="49" t="s">
        <v>1389</v>
      </c>
      <c r="AN378" s="67">
        <v>0.88</v>
      </c>
      <c r="AO378" s="62">
        <v>7996966</v>
      </c>
      <c r="AP378" s="62">
        <v>108054</v>
      </c>
      <c r="AQ378" s="68">
        <v>78440</v>
      </c>
      <c r="AR378" s="69">
        <f t="shared" si="1101"/>
        <v>39166.666666666664</v>
      </c>
      <c r="AS378" s="70">
        <f t="shared" si="1102"/>
        <v>13.888888888888889</v>
      </c>
      <c r="AT378" s="70">
        <f t="shared" si="1103"/>
        <v>222137.94444444444</v>
      </c>
      <c r="AU378" s="70">
        <f t="shared" si="1104"/>
        <v>3001.5</v>
      </c>
      <c r="AV378" s="71">
        <f t="shared" si="1105"/>
        <v>2178.8888888888887</v>
      </c>
      <c r="AW378" s="115">
        <f t="shared" si="1106"/>
        <v>140367.02777777778</v>
      </c>
      <c r="AX378" s="116">
        <f t="shared" si="1107"/>
        <v>167.04836363636363</v>
      </c>
      <c r="AY378" s="72">
        <f t="shared" si="1108"/>
        <v>169906.63888888888</v>
      </c>
      <c r="AZ378" s="73">
        <f t="shared" si="1109"/>
        <v>202.20294214876034</v>
      </c>
      <c r="BA378" s="66">
        <v>700000</v>
      </c>
      <c r="BB378" s="62">
        <v>1245913</v>
      </c>
      <c r="BC378" s="62">
        <v>3807300</v>
      </c>
      <c r="BD378" s="62">
        <v>312261</v>
      </c>
      <c r="BE378" s="62">
        <v>751165</v>
      </c>
      <c r="BF378" s="62">
        <v>603050</v>
      </c>
      <c r="BG378" s="62">
        <v>496661</v>
      </c>
      <c r="BH378" s="62">
        <v>1404077</v>
      </c>
      <c r="BI378" s="62">
        <v>87039</v>
      </c>
      <c r="BJ378" s="47">
        <f t="shared" si="1110"/>
        <v>9407466</v>
      </c>
      <c r="BK378" s="69">
        <f t="shared" si="1111"/>
        <v>19444.444444444445</v>
      </c>
      <c r="BL378" s="70">
        <f t="shared" si="1112"/>
        <v>34608.694444444445</v>
      </c>
      <c r="BM378" s="70">
        <f t="shared" si="1113"/>
        <v>105758.33333333333</v>
      </c>
      <c r="BN378" s="70">
        <f t="shared" si="1114"/>
        <v>8673.9166666666661</v>
      </c>
      <c r="BO378" s="70">
        <f t="shared" si="1115"/>
        <v>20865.694444444445</v>
      </c>
      <c r="BP378" s="70">
        <f t="shared" si="1116"/>
        <v>16751.388888888891</v>
      </c>
      <c r="BQ378" s="70">
        <f t="shared" si="1117"/>
        <v>13796.138888888889</v>
      </c>
      <c r="BR378" s="70">
        <f t="shared" si="1118"/>
        <v>39002.138888888891</v>
      </c>
      <c r="BS378" s="70">
        <f t="shared" si="1119"/>
        <v>2417.75</v>
      </c>
      <c r="BT378" s="71">
        <f t="shared" si="1120"/>
        <v>261318.5</v>
      </c>
      <c r="BU378" s="65">
        <f t="shared" si="1121"/>
        <v>23.140495867768596</v>
      </c>
      <c r="BV378" s="48">
        <f t="shared" si="1122"/>
        <v>41.187206611570247</v>
      </c>
      <c r="BW378" s="48">
        <f t="shared" si="1123"/>
        <v>125.86115702479339</v>
      </c>
      <c r="BX378" s="48">
        <f t="shared" si="1124"/>
        <v>10.322677685950413</v>
      </c>
      <c r="BY378" s="48">
        <f t="shared" si="1125"/>
        <v>24.831900826446279</v>
      </c>
      <c r="BZ378" s="48">
        <f t="shared" si="1126"/>
        <v>19.935537190082645</v>
      </c>
      <c r="CA378" s="48">
        <f t="shared" si="1127"/>
        <v>16.418545454545455</v>
      </c>
      <c r="CB378" s="48">
        <f t="shared" si="1128"/>
        <v>46.415768595041321</v>
      </c>
      <c r="CC378" s="48">
        <f t="shared" si="1129"/>
        <v>2.8773223140495867</v>
      </c>
      <c r="CD378" s="47">
        <f t="shared" si="1130"/>
        <v>310.99061157024795</v>
      </c>
      <c r="CE378" s="66">
        <v>317628</v>
      </c>
      <c r="CF378" s="62">
        <v>8640</v>
      </c>
      <c r="CG378" s="74">
        <v>-24470</v>
      </c>
      <c r="CH378" s="75">
        <f t="shared" si="1131"/>
        <v>301798</v>
      </c>
      <c r="CI378" s="62">
        <f>17200+1440+600</f>
        <v>19240</v>
      </c>
      <c r="CJ378" s="62">
        <v>17280</v>
      </c>
      <c r="CK378" s="62">
        <v>44044</v>
      </c>
      <c r="CL378" s="62">
        <f>27620+600</f>
        <v>28220</v>
      </c>
      <c r="CM378" s="62">
        <f>26000</f>
        <v>26000</v>
      </c>
      <c r="CN378" s="62">
        <v>23666</v>
      </c>
      <c r="CO378" s="62">
        <v>26294</v>
      </c>
      <c r="CP378" s="75">
        <f t="shared" si="1147"/>
        <v>184744</v>
      </c>
      <c r="CQ378" s="62">
        <v>9000</v>
      </c>
      <c r="CR378" s="75">
        <f t="shared" si="1132"/>
        <v>193744</v>
      </c>
      <c r="CS378" s="75">
        <f t="shared" si="1133"/>
        <v>117054</v>
      </c>
      <c r="CT378" s="62">
        <v>93652</v>
      </c>
      <c r="CU378" s="47">
        <f t="shared" si="1134"/>
        <v>23402</v>
      </c>
      <c r="CV378" s="76">
        <f t="shared" si="1135"/>
        <v>0.38785545298510926</v>
      </c>
      <c r="CW378" s="75">
        <f t="shared" si="1136"/>
        <v>5381.7777777777774</v>
      </c>
      <c r="CX378" s="77">
        <f t="shared" si="1137"/>
        <v>0.64196581819627696</v>
      </c>
      <c r="CY378" s="75">
        <f t="shared" si="1138"/>
        <v>650.05555555555554</v>
      </c>
      <c r="CZ378" s="77">
        <f t="shared" si="1139"/>
        <v>7.75419320207556E-2</v>
      </c>
      <c r="DA378" s="77">
        <f t="shared" si="1140"/>
        <v>0.31031352096435366</v>
      </c>
      <c r="DB378" s="47">
        <f t="shared" si="1141"/>
        <v>39166.666666666664</v>
      </c>
      <c r="DC378" s="69">
        <f t="shared" si="1148"/>
        <v>8823</v>
      </c>
      <c r="DD378" s="70">
        <f t="shared" si="1149"/>
        <v>240</v>
      </c>
      <c r="DE378" s="70">
        <f t="shared" si="1150"/>
        <v>-679.72222222222217</v>
      </c>
      <c r="DF378" s="70">
        <f t="shared" si="1151"/>
        <v>8383.2777777777774</v>
      </c>
      <c r="DG378" s="70">
        <f t="shared" si="1152"/>
        <v>534.44444444444446</v>
      </c>
      <c r="DH378" s="70">
        <f t="shared" si="1176"/>
        <v>480</v>
      </c>
      <c r="DI378" s="70">
        <f t="shared" si="1177"/>
        <v>1223.4444444444443</v>
      </c>
      <c r="DJ378" s="70">
        <f t="shared" si="1178"/>
        <v>783.88888888888891</v>
      </c>
      <c r="DK378" s="70">
        <f t="shared" si="1153"/>
        <v>722.22222222222217</v>
      </c>
      <c r="DL378" s="70">
        <f t="shared" si="1154"/>
        <v>657.38888888888891</v>
      </c>
      <c r="DM378" s="70">
        <f t="shared" si="1155"/>
        <v>730.38888888888891</v>
      </c>
      <c r="DN378" s="70">
        <f t="shared" si="1156"/>
        <v>5131.7777777777774</v>
      </c>
      <c r="DO378" s="70">
        <f t="shared" si="1157"/>
        <v>250</v>
      </c>
      <c r="DP378" s="70">
        <f t="shared" si="1158"/>
        <v>5381.7777777777774</v>
      </c>
      <c r="DQ378" s="70">
        <f t="shared" si="1159"/>
        <v>3251.5</v>
      </c>
      <c r="DR378" s="70">
        <f t="shared" si="1160"/>
        <v>2601.4444444444443</v>
      </c>
      <c r="DS378" s="71">
        <f t="shared" si="1161"/>
        <v>650.05555555555554</v>
      </c>
      <c r="DT378" s="106">
        <f t="shared" si="1162"/>
        <v>1.0524523025334827</v>
      </c>
      <c r="DU378" s="92">
        <f t="shared" si="1163"/>
        <v>2.8628420334130777E-2</v>
      </c>
      <c r="DV378" s="92" t="str">
        <f t="shared" si="1164"/>
        <v/>
      </c>
      <c r="DW378" s="92">
        <f t="shared" si="1165"/>
        <v>1</v>
      </c>
      <c r="DX378" s="92">
        <f t="shared" si="1166"/>
        <v>6.3751250836652326E-2</v>
      </c>
      <c r="DY378" s="92">
        <f t="shared" si="1179"/>
        <v>5.7256840668261554E-2</v>
      </c>
      <c r="DZ378" s="92">
        <f t="shared" si="1180"/>
        <v>0.14593867421255277</v>
      </c>
      <c r="EA378" s="92">
        <f t="shared" si="1181"/>
        <v>9.3506252526524364E-2</v>
      </c>
      <c r="EB378" s="92">
        <f t="shared" si="1167"/>
        <v>8.6150338968449092E-2</v>
      </c>
      <c r="EC378" s="92">
        <f t="shared" si="1168"/>
        <v>7.8416689308742932E-2</v>
      </c>
      <c r="ED378" s="92">
        <f t="shared" si="1169"/>
        <v>8.7124500493707707E-2</v>
      </c>
      <c r="EE378" s="92">
        <f t="shared" si="1170"/>
        <v>0.61214454701489074</v>
      </c>
      <c r="EF378" s="92">
        <f t="shared" si="1171"/>
        <v>2.9821271181386225E-2</v>
      </c>
      <c r="EG378" s="92">
        <f t="shared" si="1172"/>
        <v>0.64196581819627696</v>
      </c>
      <c r="EH378" s="92">
        <f t="shared" si="1173"/>
        <v>0.38785545298510926</v>
      </c>
      <c r="EI378" s="92">
        <f t="shared" si="1174"/>
        <v>0.31031352096435366</v>
      </c>
      <c r="EJ378" s="122">
        <f t="shared" si="1175"/>
        <v>7.75419320207556E-2</v>
      </c>
    </row>
    <row r="379" spans="2:140" ht="12" customHeight="1" outlineLevel="1">
      <c r="B379" s="272">
        <v>46042</v>
      </c>
      <c r="C379" s="117">
        <v>25484</v>
      </c>
      <c r="D379" s="50" t="s">
        <v>1656</v>
      </c>
      <c r="E379" s="50" t="s">
        <v>1657</v>
      </c>
      <c r="F379" s="50" t="s">
        <v>1658</v>
      </c>
      <c r="G379" s="50" t="s">
        <v>291</v>
      </c>
      <c r="H379" s="50" t="s">
        <v>1659</v>
      </c>
      <c r="I379" s="50" t="s">
        <v>1660</v>
      </c>
      <c r="J379" s="52" t="s">
        <v>347</v>
      </c>
      <c r="K379" s="50" t="s">
        <v>347</v>
      </c>
      <c r="L379" s="49">
        <v>1</v>
      </c>
      <c r="M379" s="50" t="s">
        <v>159</v>
      </c>
      <c r="N379" s="50" t="s">
        <v>160</v>
      </c>
      <c r="O379" s="50" t="s">
        <v>160</v>
      </c>
      <c r="P379" s="50" t="s">
        <v>1351</v>
      </c>
      <c r="Q379" s="53">
        <v>0.04</v>
      </c>
      <c r="R379" s="49">
        <v>152</v>
      </c>
      <c r="S379" s="49">
        <v>0</v>
      </c>
      <c r="T379" s="54">
        <f t="shared" si="1146"/>
        <v>152</v>
      </c>
      <c r="U379" s="55">
        <v>120312</v>
      </c>
      <c r="V379" s="49">
        <v>8.5</v>
      </c>
      <c r="W379" s="56">
        <f t="shared" si="1099"/>
        <v>17.882352941176471</v>
      </c>
      <c r="X379" s="49">
        <v>1972</v>
      </c>
      <c r="Y379" s="57" t="s">
        <v>162</v>
      </c>
      <c r="Z379" s="58">
        <v>7495185</v>
      </c>
      <c r="AA379" s="114">
        <v>0.08</v>
      </c>
      <c r="AB379" s="59">
        <v>40</v>
      </c>
      <c r="AC379" s="60">
        <v>40</v>
      </c>
      <c r="AD379" s="61">
        <v>6.25E-2</v>
      </c>
      <c r="AE379" s="62">
        <v>7495185</v>
      </c>
      <c r="AF379" s="63">
        <v>1.1499999999999999</v>
      </c>
      <c r="AG379" s="59"/>
      <c r="AH379" s="60"/>
      <c r="AI379" s="61"/>
      <c r="AJ379" s="64"/>
      <c r="AK379" s="65">
        <f t="shared" si="1100"/>
        <v>7495185</v>
      </c>
      <c r="AL379" s="66">
        <v>0</v>
      </c>
      <c r="AM379" s="49" t="s">
        <v>163</v>
      </c>
      <c r="AN379" s="67">
        <v>0.8</v>
      </c>
      <c r="AO379" s="62">
        <v>9368978</v>
      </c>
      <c r="AP379" s="62">
        <v>1236637</v>
      </c>
      <c r="AQ379" s="68">
        <v>2138147</v>
      </c>
      <c r="AR379" s="69">
        <f t="shared" si="1101"/>
        <v>49310.427631578947</v>
      </c>
      <c r="AS379" s="70" t="str">
        <f t="shared" si="1102"/>
        <v/>
      </c>
      <c r="AT379" s="70">
        <f t="shared" si="1103"/>
        <v>61638.01315789474</v>
      </c>
      <c r="AU379" s="70">
        <f t="shared" si="1104"/>
        <v>8135.769736842105</v>
      </c>
      <c r="AV379" s="71">
        <f t="shared" si="1105"/>
        <v>14066.756578947368</v>
      </c>
      <c r="AW379" s="115">
        <f t="shared" si="1106"/>
        <v>65260.84210526316</v>
      </c>
      <c r="AX379" s="116">
        <f t="shared" si="1107"/>
        <v>82.449364984373958</v>
      </c>
      <c r="AY379" s="72">
        <f t="shared" si="1108"/>
        <v>81837.098684210519</v>
      </c>
      <c r="AZ379" s="73">
        <f t="shared" si="1109"/>
        <v>103.39150708158787</v>
      </c>
      <c r="BA379" s="66">
        <v>5300000</v>
      </c>
      <c r="BB379" s="62">
        <v>745850</v>
      </c>
      <c r="BC379" s="62">
        <v>9173798</v>
      </c>
      <c r="BD379" s="62">
        <v>991965</v>
      </c>
      <c r="BE379" s="62">
        <v>1527626</v>
      </c>
      <c r="BF379" s="62">
        <v>1333989</v>
      </c>
      <c r="BG379" s="62">
        <v>3613188</v>
      </c>
      <c r="BH379" s="62">
        <v>3143711</v>
      </c>
      <c r="BI379" s="62">
        <v>1127000</v>
      </c>
      <c r="BJ379" s="47">
        <f t="shared" si="1110"/>
        <v>26957127</v>
      </c>
      <c r="BK379" s="69">
        <f t="shared" si="1111"/>
        <v>34868.42105263158</v>
      </c>
      <c r="BL379" s="70">
        <f t="shared" si="1112"/>
        <v>4906.9078947368425</v>
      </c>
      <c r="BM379" s="70">
        <f t="shared" si="1113"/>
        <v>60353.934210526313</v>
      </c>
      <c r="BN379" s="70">
        <f t="shared" si="1114"/>
        <v>6526.0855263157891</v>
      </c>
      <c r="BO379" s="70">
        <f t="shared" si="1115"/>
        <v>10050.171052631578</v>
      </c>
      <c r="BP379" s="70">
        <f t="shared" si="1116"/>
        <v>8776.2434210526317</v>
      </c>
      <c r="BQ379" s="70">
        <f t="shared" si="1117"/>
        <v>23770.973684210527</v>
      </c>
      <c r="BR379" s="70">
        <f t="shared" si="1118"/>
        <v>20682.309210526317</v>
      </c>
      <c r="BS379" s="70">
        <f t="shared" si="1119"/>
        <v>7414.4736842105267</v>
      </c>
      <c r="BT379" s="71">
        <f t="shared" si="1120"/>
        <v>177349.51973684211</v>
      </c>
      <c r="BU379" s="65">
        <f t="shared" si="1121"/>
        <v>44.052131125739741</v>
      </c>
      <c r="BV379" s="48">
        <f t="shared" si="1122"/>
        <v>6.1992984905911301</v>
      </c>
      <c r="BW379" s="48">
        <f t="shared" si="1123"/>
        <v>76.250066493782825</v>
      </c>
      <c r="BX379" s="48">
        <f t="shared" si="1124"/>
        <v>8.2449381607819667</v>
      </c>
      <c r="BY379" s="48">
        <f t="shared" si="1125"/>
        <v>12.697203936431944</v>
      </c>
      <c r="BZ379" s="48">
        <f t="shared" si="1126"/>
        <v>11.087746858168762</v>
      </c>
      <c r="CA379" s="48">
        <f t="shared" si="1127"/>
        <v>30.03181727508478</v>
      </c>
      <c r="CB379" s="48">
        <f t="shared" si="1128"/>
        <v>26.129654564798191</v>
      </c>
      <c r="CC379" s="48">
        <f t="shared" si="1129"/>
        <v>9.3673116563601297</v>
      </c>
      <c r="CD379" s="47">
        <f t="shared" si="1130"/>
        <v>224.06016856173949</v>
      </c>
      <c r="CE379" s="66">
        <v>2328936</v>
      </c>
      <c r="CF379" s="62">
        <v>21888</v>
      </c>
      <c r="CG379" s="74">
        <v>-176312</v>
      </c>
      <c r="CH379" s="75">
        <f t="shared" si="1131"/>
        <v>2174512</v>
      </c>
      <c r="CI379" s="62">
        <f>28700+20000+6080</f>
        <v>54780</v>
      </c>
      <c r="CJ379" s="62">
        <v>75343</v>
      </c>
      <c r="CK379" s="62">
        <v>260688</v>
      </c>
      <c r="CL379" s="62">
        <v>104000</v>
      </c>
      <c r="CM379" s="62">
        <f>102000+121600</f>
        <v>223600</v>
      </c>
      <c r="CN379" s="62">
        <v>152000</v>
      </c>
      <c r="CO379" s="62">
        <v>0</v>
      </c>
      <c r="CP379" s="75">
        <f t="shared" si="1147"/>
        <v>870411</v>
      </c>
      <c r="CQ379" s="62">
        <v>45600</v>
      </c>
      <c r="CR379" s="75">
        <f t="shared" si="1132"/>
        <v>916011</v>
      </c>
      <c r="CS379" s="75">
        <f t="shared" si="1133"/>
        <v>1304101</v>
      </c>
      <c r="CT379" s="62">
        <v>1072674</v>
      </c>
      <c r="CU379" s="47">
        <f t="shared" si="1134"/>
        <v>231427</v>
      </c>
      <c r="CV379" s="76">
        <f t="shared" si="1135"/>
        <v>0.59972122480814083</v>
      </c>
      <c r="CW379" s="75">
        <f t="shared" si="1136"/>
        <v>6026.3881578947367</v>
      </c>
      <c r="CX379" s="77">
        <f t="shared" si="1137"/>
        <v>0.42124899747621536</v>
      </c>
      <c r="CY379" s="75">
        <f t="shared" si="1138"/>
        <v>1522.546052631579</v>
      </c>
      <c r="CZ379" s="77">
        <f t="shared" si="1139"/>
        <v>0.10642709720617775</v>
      </c>
      <c r="DA379" s="77">
        <f t="shared" si="1140"/>
        <v>0.49329412760196312</v>
      </c>
      <c r="DB379" s="47">
        <f t="shared" si="1141"/>
        <v>49310.427631578947</v>
      </c>
      <c r="DC379" s="69">
        <f t="shared" si="1148"/>
        <v>15321.947368421053</v>
      </c>
      <c r="DD379" s="70">
        <f t="shared" si="1149"/>
        <v>144</v>
      </c>
      <c r="DE379" s="70">
        <f t="shared" si="1150"/>
        <v>-1159.9473684210527</v>
      </c>
      <c r="DF379" s="70">
        <f t="shared" si="1151"/>
        <v>14306</v>
      </c>
      <c r="DG379" s="70">
        <f t="shared" si="1152"/>
        <v>360.39473684210526</v>
      </c>
      <c r="DH379" s="70">
        <f t="shared" si="1176"/>
        <v>495.67763157894734</v>
      </c>
      <c r="DI379" s="70">
        <f t="shared" si="1177"/>
        <v>1715.0526315789473</v>
      </c>
      <c r="DJ379" s="70">
        <f t="shared" si="1178"/>
        <v>684.21052631578948</v>
      </c>
      <c r="DK379" s="70">
        <f t="shared" si="1153"/>
        <v>1471.0526315789473</v>
      </c>
      <c r="DL379" s="70">
        <f t="shared" si="1154"/>
        <v>1000</v>
      </c>
      <c r="DM379" s="70" t="str">
        <f t="shared" si="1155"/>
        <v/>
      </c>
      <c r="DN379" s="70">
        <f t="shared" si="1156"/>
        <v>5726.3881578947367</v>
      </c>
      <c r="DO379" s="70">
        <f t="shared" si="1157"/>
        <v>300</v>
      </c>
      <c r="DP379" s="70">
        <f t="shared" si="1158"/>
        <v>6026.3881578947367</v>
      </c>
      <c r="DQ379" s="70">
        <f t="shared" si="1159"/>
        <v>8579.6118421052633</v>
      </c>
      <c r="DR379" s="70">
        <f t="shared" si="1160"/>
        <v>7057.0657894736842</v>
      </c>
      <c r="DS379" s="71">
        <f t="shared" si="1161"/>
        <v>1522.546052631579</v>
      </c>
      <c r="DT379" s="106">
        <f t="shared" si="1162"/>
        <v>1.071015473816654</v>
      </c>
      <c r="DU379" s="92">
        <f t="shared" si="1163"/>
        <v>1.0065706696490984E-2</v>
      </c>
      <c r="DV379" s="92" t="str">
        <f t="shared" si="1164"/>
        <v/>
      </c>
      <c r="DW379" s="92">
        <f t="shared" si="1165"/>
        <v>1</v>
      </c>
      <c r="DX379" s="92">
        <f t="shared" si="1166"/>
        <v>2.519185913897003E-2</v>
      </c>
      <c r="DY379" s="92">
        <f t="shared" si="1179"/>
        <v>3.4648233718645838E-2</v>
      </c>
      <c r="DZ379" s="92">
        <f t="shared" si="1180"/>
        <v>0.11988344971193536</v>
      </c>
      <c r="EA379" s="92">
        <f t="shared" si="1181"/>
        <v>4.7826822753794872E-2</v>
      </c>
      <c r="EB379" s="92">
        <f t="shared" si="1167"/>
        <v>0.10282766892065898</v>
      </c>
      <c r="EC379" s="92">
        <f t="shared" si="1168"/>
        <v>6.9900740947854048E-2</v>
      </c>
      <c r="ED379" s="92" t="str">
        <f t="shared" si="1169"/>
        <v/>
      </c>
      <c r="EE379" s="92">
        <f t="shared" si="1170"/>
        <v>0.40027877519185912</v>
      </c>
      <c r="EF379" s="92">
        <f t="shared" si="1171"/>
        <v>2.0970222284356216E-2</v>
      </c>
      <c r="EG379" s="92">
        <f t="shared" si="1172"/>
        <v>0.42124899747621536</v>
      </c>
      <c r="EH379" s="92">
        <f t="shared" si="1173"/>
        <v>0.59972122480814083</v>
      </c>
      <c r="EI379" s="92">
        <f t="shared" si="1174"/>
        <v>0.49329412760196312</v>
      </c>
      <c r="EJ379" s="122">
        <f t="shared" si="1175"/>
        <v>0.10642709720617775</v>
      </c>
    </row>
    <row r="380" spans="2:140" ht="12" customHeight="1" outlineLevel="1">
      <c r="B380" s="272">
        <v>46048</v>
      </c>
      <c r="C380" s="117">
        <v>25487</v>
      </c>
      <c r="D380" s="50" t="s">
        <v>1661</v>
      </c>
      <c r="E380" s="50" t="s">
        <v>1497</v>
      </c>
      <c r="F380" s="50" t="s">
        <v>1662</v>
      </c>
      <c r="G380" s="50" t="s">
        <v>162</v>
      </c>
      <c r="H380" s="50" t="s">
        <v>1663</v>
      </c>
      <c r="I380" s="50" t="s">
        <v>1022</v>
      </c>
      <c r="J380" s="52" t="s">
        <v>1388</v>
      </c>
      <c r="K380" s="50" t="s">
        <v>456</v>
      </c>
      <c r="L380" s="49">
        <v>9</v>
      </c>
      <c r="M380" s="50" t="s">
        <v>283</v>
      </c>
      <c r="N380" s="50" t="s">
        <v>160</v>
      </c>
      <c r="O380" s="50" t="s">
        <v>160</v>
      </c>
      <c r="P380" s="50" t="s">
        <v>1351</v>
      </c>
      <c r="Q380" s="53">
        <v>0.04</v>
      </c>
      <c r="R380" s="49">
        <v>76</v>
      </c>
      <c r="S380" s="49">
        <v>0</v>
      </c>
      <c r="T380" s="54">
        <f t="shared" si="1146"/>
        <v>76</v>
      </c>
      <c r="U380" s="55">
        <v>82576</v>
      </c>
      <c r="V380" s="49">
        <v>8.58</v>
      </c>
      <c r="W380" s="56">
        <f t="shared" si="1099"/>
        <v>8.8578088578088572</v>
      </c>
      <c r="X380" s="49">
        <v>2001</v>
      </c>
      <c r="Y380" s="57" t="s">
        <v>162</v>
      </c>
      <c r="Z380" s="58">
        <v>8387212</v>
      </c>
      <c r="AA380" s="114">
        <v>5.79E-2</v>
      </c>
      <c r="AB380" s="59">
        <v>15</v>
      </c>
      <c r="AC380" s="60">
        <v>40</v>
      </c>
      <c r="AD380" s="61">
        <v>5.6899999999999999E-2</v>
      </c>
      <c r="AE380" s="62">
        <v>6980000</v>
      </c>
      <c r="AF380" s="63">
        <v>1.1499999999999999</v>
      </c>
      <c r="AG380" s="59"/>
      <c r="AH380" s="60"/>
      <c r="AI380" s="61"/>
      <c r="AJ380" s="64"/>
      <c r="AK380" s="65">
        <f t="shared" si="1100"/>
        <v>6980000</v>
      </c>
      <c r="AL380" s="66">
        <v>3456755</v>
      </c>
      <c r="AM380" s="49" t="s">
        <v>886</v>
      </c>
      <c r="AN380" s="67">
        <v>0.88</v>
      </c>
      <c r="AO380" s="62">
        <v>6238862</v>
      </c>
      <c r="AP380" s="62">
        <v>517475</v>
      </c>
      <c r="AQ380" s="68">
        <v>920638</v>
      </c>
      <c r="AR380" s="69">
        <f t="shared" si="1101"/>
        <v>91842.105263157893</v>
      </c>
      <c r="AS380" s="70">
        <f t="shared" si="1102"/>
        <v>45483.618421052633</v>
      </c>
      <c r="AT380" s="70">
        <f t="shared" si="1103"/>
        <v>82090.289473684214</v>
      </c>
      <c r="AU380" s="70">
        <f t="shared" si="1104"/>
        <v>6808.8815789473683</v>
      </c>
      <c r="AV380" s="71">
        <f t="shared" si="1105"/>
        <v>12113.657894736842</v>
      </c>
      <c r="AW380" s="115">
        <f t="shared" si="1106"/>
        <v>41733.17105263158</v>
      </c>
      <c r="AX380" s="116">
        <f t="shared" si="1107"/>
        <v>38.409719531098624</v>
      </c>
      <c r="AY380" s="72">
        <f t="shared" si="1108"/>
        <v>52333.394736842107</v>
      </c>
      <c r="AZ380" s="73">
        <f t="shared" si="1109"/>
        <v>48.165786669250139</v>
      </c>
      <c r="BA380" s="66">
        <v>9880000</v>
      </c>
      <c r="BB380" s="62">
        <v>699994</v>
      </c>
      <c r="BC380" s="62">
        <v>2471727</v>
      </c>
      <c r="BD380" s="62">
        <v>317172</v>
      </c>
      <c r="BE380" s="62">
        <v>488445</v>
      </c>
      <c r="BF380" s="62">
        <v>430495</v>
      </c>
      <c r="BG380" s="62">
        <v>1213311</v>
      </c>
      <c r="BH380" s="62">
        <v>2112894</v>
      </c>
      <c r="BI380" s="62">
        <v>435006</v>
      </c>
      <c r="BJ380" s="47">
        <f t="shared" si="1110"/>
        <v>18049044</v>
      </c>
      <c r="BK380" s="69">
        <f t="shared" si="1111"/>
        <v>130000</v>
      </c>
      <c r="BL380" s="70">
        <f t="shared" si="1112"/>
        <v>9210.4473684210534</v>
      </c>
      <c r="BM380" s="70">
        <f t="shared" si="1113"/>
        <v>32522.723684210527</v>
      </c>
      <c r="BN380" s="70">
        <f t="shared" si="1114"/>
        <v>4173.3157894736842</v>
      </c>
      <c r="BO380" s="70">
        <f t="shared" si="1115"/>
        <v>6426.9078947368425</v>
      </c>
      <c r="BP380" s="70">
        <f t="shared" si="1116"/>
        <v>5664.4078947368425</v>
      </c>
      <c r="BQ380" s="70">
        <f t="shared" si="1117"/>
        <v>15964.618421052632</v>
      </c>
      <c r="BR380" s="70">
        <f t="shared" si="1118"/>
        <v>27801.236842105263</v>
      </c>
      <c r="BS380" s="70">
        <f t="shared" si="1119"/>
        <v>5723.7631578947367</v>
      </c>
      <c r="BT380" s="71">
        <f t="shared" si="1120"/>
        <v>237487.42105263157</v>
      </c>
      <c r="BU380" s="65">
        <f t="shared" si="1121"/>
        <v>119.64735516372797</v>
      </c>
      <c r="BV380" s="48">
        <f t="shared" si="1122"/>
        <v>8.4769666731253626</v>
      </c>
      <c r="BW380" s="48">
        <f t="shared" si="1123"/>
        <v>29.932752857973259</v>
      </c>
      <c r="BX380" s="48">
        <f t="shared" si="1124"/>
        <v>3.8409707421042434</v>
      </c>
      <c r="BY380" s="48">
        <f t="shared" si="1125"/>
        <v>5.9150963960472778</v>
      </c>
      <c r="BZ380" s="48">
        <f t="shared" si="1126"/>
        <v>5.213318639798489</v>
      </c>
      <c r="CA380" s="48">
        <f t="shared" si="1127"/>
        <v>14.693264386746755</v>
      </c>
      <c r="CB380" s="48">
        <f t="shared" si="1128"/>
        <v>25.5872650649099</v>
      </c>
      <c r="CC380" s="48">
        <f t="shared" si="1129"/>
        <v>5.2679471032745591</v>
      </c>
      <c r="CD380" s="47">
        <f t="shared" si="1130"/>
        <v>218.57493702770782</v>
      </c>
      <c r="CE380" s="66">
        <v>986280</v>
      </c>
      <c r="CF380" s="62">
        <v>27360</v>
      </c>
      <c r="CG380" s="74">
        <v>-76023</v>
      </c>
      <c r="CH380" s="75">
        <f t="shared" si="1131"/>
        <v>937617</v>
      </c>
      <c r="CI380" s="62">
        <f>20014+5000+3040+1500</f>
        <v>29554</v>
      </c>
      <c r="CJ380" s="62">
        <v>37505</v>
      </c>
      <c r="CK380" s="62">
        <v>140534</v>
      </c>
      <c r="CL380" s="62">
        <v>41875</v>
      </c>
      <c r="CM380" s="62">
        <f>50000</f>
        <v>50000</v>
      </c>
      <c r="CN380" s="62">
        <v>71840</v>
      </c>
      <c r="CO380" s="62">
        <v>26034</v>
      </c>
      <c r="CP380" s="75">
        <f t="shared" si="1147"/>
        <v>397342</v>
      </c>
      <c r="CQ380" s="62">
        <v>22800</v>
      </c>
      <c r="CR380" s="75">
        <f t="shared" si="1132"/>
        <v>420142</v>
      </c>
      <c r="CS380" s="75">
        <f t="shared" si="1133"/>
        <v>540275</v>
      </c>
      <c r="CT380" s="62">
        <v>449869</v>
      </c>
      <c r="CU380" s="47">
        <f t="shared" si="1134"/>
        <v>90406</v>
      </c>
      <c r="CV380" s="76">
        <f t="shared" si="1135"/>
        <v>0.57622142090000505</v>
      </c>
      <c r="CW380" s="75">
        <f t="shared" si="1136"/>
        <v>5528.1842105263158</v>
      </c>
      <c r="CX380" s="77">
        <f t="shared" si="1137"/>
        <v>0.44809554434273269</v>
      </c>
      <c r="CY380" s="75">
        <f t="shared" si="1138"/>
        <v>1189.5526315789473</v>
      </c>
      <c r="CZ380" s="77">
        <f t="shared" si="1139"/>
        <v>9.6421033321708122E-2</v>
      </c>
      <c r="DA380" s="77">
        <f t="shared" si="1140"/>
        <v>0.47980038757829691</v>
      </c>
      <c r="DB380" s="47">
        <f t="shared" si="1141"/>
        <v>91842.105263157893</v>
      </c>
      <c r="DC380" s="69">
        <f t="shared" si="1148"/>
        <v>12977.368421052632</v>
      </c>
      <c r="DD380" s="70">
        <f t="shared" si="1149"/>
        <v>360</v>
      </c>
      <c r="DE380" s="70">
        <f t="shared" si="1150"/>
        <v>-1000.3026315789474</v>
      </c>
      <c r="DF380" s="70">
        <f t="shared" si="1151"/>
        <v>12337.065789473685</v>
      </c>
      <c r="DG380" s="70">
        <f t="shared" si="1152"/>
        <v>388.86842105263156</v>
      </c>
      <c r="DH380" s="70">
        <f t="shared" si="1176"/>
        <v>493.48684210526318</v>
      </c>
      <c r="DI380" s="70">
        <f t="shared" si="1177"/>
        <v>1849.1315789473683</v>
      </c>
      <c r="DJ380" s="70">
        <f t="shared" si="1178"/>
        <v>550.98684210526312</v>
      </c>
      <c r="DK380" s="70">
        <f t="shared" si="1153"/>
        <v>657.89473684210532</v>
      </c>
      <c r="DL380" s="70">
        <f t="shared" si="1154"/>
        <v>945.26315789473688</v>
      </c>
      <c r="DM380" s="70">
        <f t="shared" si="1155"/>
        <v>342.55263157894734</v>
      </c>
      <c r="DN380" s="70">
        <f t="shared" si="1156"/>
        <v>5228.1842105263158</v>
      </c>
      <c r="DO380" s="70">
        <f t="shared" si="1157"/>
        <v>300</v>
      </c>
      <c r="DP380" s="70">
        <f t="shared" si="1158"/>
        <v>5528.1842105263158</v>
      </c>
      <c r="DQ380" s="70">
        <f t="shared" si="1159"/>
        <v>7108.8815789473683</v>
      </c>
      <c r="DR380" s="70">
        <f t="shared" si="1160"/>
        <v>5919.3289473684208</v>
      </c>
      <c r="DS380" s="71">
        <f t="shared" si="1161"/>
        <v>1189.5526315789473</v>
      </c>
      <c r="DT380" s="106">
        <f t="shared" si="1162"/>
        <v>1.0519007227897959</v>
      </c>
      <c r="DU380" s="92">
        <f t="shared" si="1163"/>
        <v>2.9180358291285246E-2</v>
      </c>
      <c r="DV380" s="92" t="str">
        <f t="shared" si="1164"/>
        <v/>
      </c>
      <c r="DW380" s="92">
        <f t="shared" si="1165"/>
        <v>1</v>
      </c>
      <c r="DX380" s="92">
        <f t="shared" si="1166"/>
        <v>3.1520332929117115E-2</v>
      </c>
      <c r="DY380" s="92">
        <f t="shared" si="1179"/>
        <v>4.0000341290740246E-2</v>
      </c>
      <c r="DZ380" s="92">
        <f t="shared" si="1180"/>
        <v>0.14988422778170618</v>
      </c>
      <c r="EA380" s="92">
        <f t="shared" si="1181"/>
        <v>4.4661092962264975E-2</v>
      </c>
      <c r="EB380" s="92">
        <f t="shared" si="1167"/>
        <v>5.332667816389848E-2</v>
      </c>
      <c r="EC380" s="92">
        <f t="shared" si="1168"/>
        <v>7.6619771185889335E-2</v>
      </c>
      <c r="ED380" s="92">
        <f t="shared" si="1169"/>
        <v>2.7766134786378661E-2</v>
      </c>
      <c r="EE380" s="92">
        <f t="shared" si="1170"/>
        <v>0.423778579099995</v>
      </c>
      <c r="EF380" s="92">
        <f t="shared" si="1171"/>
        <v>2.4316965242737708E-2</v>
      </c>
      <c r="EG380" s="92">
        <f t="shared" si="1172"/>
        <v>0.44809554434273269</v>
      </c>
      <c r="EH380" s="92">
        <f t="shared" si="1173"/>
        <v>0.57622142090000505</v>
      </c>
      <c r="EI380" s="92">
        <f t="shared" si="1174"/>
        <v>0.47980038757829691</v>
      </c>
      <c r="EJ380" s="122">
        <f t="shared" si="1175"/>
        <v>9.6421033321708122E-2</v>
      </c>
    </row>
    <row r="381" spans="2:140" ht="12" customHeight="1" outlineLevel="1">
      <c r="B381" s="272">
        <v>46048</v>
      </c>
      <c r="C381" s="117">
        <v>25488</v>
      </c>
      <c r="D381" s="50" t="s">
        <v>1664</v>
      </c>
      <c r="E381" s="50" t="s">
        <v>1497</v>
      </c>
      <c r="F381" s="50" t="s">
        <v>1665</v>
      </c>
      <c r="G381" s="50" t="s">
        <v>162</v>
      </c>
      <c r="H381" s="50" t="s">
        <v>1663</v>
      </c>
      <c r="I381" s="50" t="s">
        <v>1022</v>
      </c>
      <c r="J381" s="52" t="s">
        <v>1388</v>
      </c>
      <c r="K381" s="50" t="s">
        <v>456</v>
      </c>
      <c r="L381" s="49">
        <v>9</v>
      </c>
      <c r="M381" s="50" t="s">
        <v>283</v>
      </c>
      <c r="N381" s="50" t="s">
        <v>160</v>
      </c>
      <c r="O381" s="50" t="s">
        <v>160</v>
      </c>
      <c r="P381" s="50" t="s">
        <v>1351</v>
      </c>
      <c r="Q381" s="53">
        <v>0.04</v>
      </c>
      <c r="R381" s="49">
        <v>76</v>
      </c>
      <c r="S381" s="49">
        <v>0</v>
      </c>
      <c r="T381" s="54">
        <f t="shared" si="1146"/>
        <v>76</v>
      </c>
      <c r="U381" s="55">
        <v>76992</v>
      </c>
      <c r="V381" s="49">
        <v>7.58</v>
      </c>
      <c r="W381" s="56">
        <f t="shared" si="1099"/>
        <v>10.026385224274406</v>
      </c>
      <c r="X381" s="49">
        <v>2006</v>
      </c>
      <c r="Y381" s="57" t="s">
        <v>162</v>
      </c>
      <c r="Z381" s="58">
        <v>6580826</v>
      </c>
      <c r="AA381" s="114">
        <v>5.79E-2</v>
      </c>
      <c r="AB381" s="59">
        <v>15</v>
      </c>
      <c r="AC381" s="60">
        <v>40</v>
      </c>
      <c r="AD381" s="61">
        <v>5.6899999999999999E-2</v>
      </c>
      <c r="AE381" s="62">
        <v>6180000</v>
      </c>
      <c r="AF381" s="63">
        <v>1.1499999999999999</v>
      </c>
      <c r="AG381" s="59"/>
      <c r="AH381" s="60"/>
      <c r="AI381" s="61"/>
      <c r="AJ381" s="64"/>
      <c r="AK381" s="65">
        <f t="shared" si="1100"/>
        <v>6180000</v>
      </c>
      <c r="AL381" s="66">
        <v>2226233</v>
      </c>
      <c r="AM381" s="49" t="s">
        <v>886</v>
      </c>
      <c r="AN381" s="67">
        <v>0.86</v>
      </c>
      <c r="AO381" s="62">
        <v>5712020</v>
      </c>
      <c r="AP381" s="62">
        <v>459456</v>
      </c>
      <c r="AQ381" s="68">
        <v>822700</v>
      </c>
      <c r="AR381" s="69">
        <f t="shared" si="1101"/>
        <v>81315.789473684214</v>
      </c>
      <c r="AS381" s="70">
        <f t="shared" si="1102"/>
        <v>29292.53947368421</v>
      </c>
      <c r="AT381" s="70">
        <f t="shared" si="1103"/>
        <v>75158.15789473684</v>
      </c>
      <c r="AU381" s="70">
        <f t="shared" si="1104"/>
        <v>6045.4736842105267</v>
      </c>
      <c r="AV381" s="71">
        <f t="shared" si="1105"/>
        <v>10825</v>
      </c>
      <c r="AW381" s="115">
        <f t="shared" si="1106"/>
        <v>41309.51315789474</v>
      </c>
      <c r="AX381" s="116">
        <f t="shared" si="1107"/>
        <v>40.777262572734827</v>
      </c>
      <c r="AY381" s="72">
        <f t="shared" si="1108"/>
        <v>51802.131578947367</v>
      </c>
      <c r="AZ381" s="73">
        <f t="shared" si="1109"/>
        <v>51.134689318370732</v>
      </c>
      <c r="BA381" s="66">
        <v>6840000</v>
      </c>
      <c r="BB381" s="62">
        <v>352810</v>
      </c>
      <c r="BC381" s="62">
        <v>2786713</v>
      </c>
      <c r="BD381" s="62">
        <v>313952</v>
      </c>
      <c r="BE381" s="62">
        <v>483487</v>
      </c>
      <c r="BF381" s="62">
        <v>430497</v>
      </c>
      <c r="BG381" s="62">
        <v>1206032</v>
      </c>
      <c r="BH381" s="62">
        <v>1654888</v>
      </c>
      <c r="BI381" s="62">
        <v>451889</v>
      </c>
      <c r="BJ381" s="47">
        <f t="shared" si="1110"/>
        <v>14520268</v>
      </c>
      <c r="BK381" s="69">
        <f t="shared" si="1111"/>
        <v>90000</v>
      </c>
      <c r="BL381" s="70">
        <f t="shared" si="1112"/>
        <v>4642.2368421052633</v>
      </c>
      <c r="BM381" s="70">
        <f t="shared" si="1113"/>
        <v>36667.276315789473</v>
      </c>
      <c r="BN381" s="70">
        <f t="shared" si="1114"/>
        <v>4130.9473684210525</v>
      </c>
      <c r="BO381" s="70">
        <f t="shared" si="1115"/>
        <v>6361.6710526315792</v>
      </c>
      <c r="BP381" s="70">
        <f t="shared" si="1116"/>
        <v>5664.4342105263158</v>
      </c>
      <c r="BQ381" s="70">
        <f t="shared" si="1117"/>
        <v>15868.842105263158</v>
      </c>
      <c r="BR381" s="70">
        <f t="shared" si="1118"/>
        <v>21774.842105263157</v>
      </c>
      <c r="BS381" s="70">
        <f t="shared" si="1119"/>
        <v>5945.9078947368425</v>
      </c>
      <c r="BT381" s="71">
        <f t="shared" si="1120"/>
        <v>191056.15789473685</v>
      </c>
      <c r="BU381" s="65">
        <f t="shared" si="1121"/>
        <v>88.840399002493768</v>
      </c>
      <c r="BV381" s="48">
        <f t="shared" si="1122"/>
        <v>4.5824241479634251</v>
      </c>
      <c r="BW381" s="48">
        <f t="shared" si="1123"/>
        <v>36.194838424771405</v>
      </c>
      <c r="BX381" s="48">
        <f t="shared" si="1124"/>
        <v>4.0777223607647546</v>
      </c>
      <c r="BY381" s="48">
        <f t="shared" si="1125"/>
        <v>6.2797043848711551</v>
      </c>
      <c r="BZ381" s="48">
        <f t="shared" si="1126"/>
        <v>5.5914510598503737</v>
      </c>
      <c r="CA381" s="48">
        <f t="shared" si="1127"/>
        <v>15.664380714879467</v>
      </c>
      <c r="CB381" s="48">
        <f t="shared" si="1128"/>
        <v>21.494285120532002</v>
      </c>
      <c r="CC381" s="48">
        <f t="shared" si="1129"/>
        <v>5.8692981088944309</v>
      </c>
      <c r="CD381" s="47">
        <f t="shared" si="1130"/>
        <v>188.59450332502078</v>
      </c>
      <c r="CE381" s="66">
        <v>1015824</v>
      </c>
      <c r="CF381" s="62">
        <v>27360</v>
      </c>
      <c r="CG381" s="74">
        <v>-78239</v>
      </c>
      <c r="CH381" s="75">
        <f t="shared" si="1131"/>
        <v>964945</v>
      </c>
      <c r="CI381" s="62">
        <f>14685+8040+1500</f>
        <v>24225</v>
      </c>
      <c r="CJ381" s="62">
        <v>38598</v>
      </c>
      <c r="CK381" s="62">
        <v>149307</v>
      </c>
      <c r="CL381" s="62">
        <v>42890</v>
      </c>
      <c r="CM381" s="62">
        <f>12280+112600</f>
        <v>124880</v>
      </c>
      <c r="CN381" s="62">
        <v>75080</v>
      </c>
      <c r="CO381" s="62">
        <v>27709</v>
      </c>
      <c r="CP381" s="75">
        <f t="shared" si="1147"/>
        <v>482689</v>
      </c>
      <c r="CQ381" s="62">
        <v>22800</v>
      </c>
      <c r="CR381" s="75">
        <f t="shared" si="1132"/>
        <v>505489</v>
      </c>
      <c r="CS381" s="75">
        <f t="shared" si="1133"/>
        <v>482256</v>
      </c>
      <c r="CT381" s="62">
        <v>398309</v>
      </c>
      <c r="CU381" s="47">
        <f t="shared" si="1134"/>
        <v>83947</v>
      </c>
      <c r="CV381" s="76">
        <f t="shared" si="1135"/>
        <v>0.4997756348807445</v>
      </c>
      <c r="CW381" s="75">
        <f t="shared" si="1136"/>
        <v>6651.1710526315792</v>
      </c>
      <c r="CX381" s="77">
        <f t="shared" si="1137"/>
        <v>0.52385265481452314</v>
      </c>
      <c r="CY381" s="75">
        <f t="shared" si="1138"/>
        <v>1104.5657894736842</v>
      </c>
      <c r="CZ381" s="77">
        <f t="shared" si="1139"/>
        <v>8.6996668203887267E-2</v>
      </c>
      <c r="DA381" s="77">
        <f t="shared" si="1140"/>
        <v>0.41277896667685721</v>
      </c>
      <c r="DB381" s="47">
        <f t="shared" si="1141"/>
        <v>81315.789473684214</v>
      </c>
      <c r="DC381" s="69">
        <f t="shared" si="1148"/>
        <v>13366.105263157895</v>
      </c>
      <c r="DD381" s="70">
        <f t="shared" si="1149"/>
        <v>360</v>
      </c>
      <c r="DE381" s="70">
        <f t="shared" si="1150"/>
        <v>-1029.4605263157894</v>
      </c>
      <c r="DF381" s="70">
        <f t="shared" si="1151"/>
        <v>12696.644736842105</v>
      </c>
      <c r="DG381" s="70">
        <f t="shared" si="1152"/>
        <v>318.75</v>
      </c>
      <c r="DH381" s="70">
        <f t="shared" si="1176"/>
        <v>507.86842105263156</v>
      </c>
      <c r="DI381" s="70">
        <f t="shared" si="1177"/>
        <v>1964.5657894736842</v>
      </c>
      <c r="DJ381" s="70">
        <f t="shared" si="1178"/>
        <v>564.34210526315792</v>
      </c>
      <c r="DK381" s="70">
        <f t="shared" si="1153"/>
        <v>1643.1578947368421</v>
      </c>
      <c r="DL381" s="70">
        <f t="shared" si="1154"/>
        <v>987.89473684210532</v>
      </c>
      <c r="DM381" s="70">
        <f t="shared" si="1155"/>
        <v>364.59210526315792</v>
      </c>
      <c r="DN381" s="70">
        <f t="shared" si="1156"/>
        <v>6351.1710526315792</v>
      </c>
      <c r="DO381" s="70">
        <f t="shared" si="1157"/>
        <v>300</v>
      </c>
      <c r="DP381" s="70">
        <f t="shared" si="1158"/>
        <v>6651.1710526315792</v>
      </c>
      <c r="DQ381" s="70">
        <f t="shared" si="1159"/>
        <v>6345.4736842105267</v>
      </c>
      <c r="DR381" s="70">
        <f t="shared" si="1160"/>
        <v>5240.9078947368425</v>
      </c>
      <c r="DS381" s="71">
        <f t="shared" si="1161"/>
        <v>1104.5657894736842</v>
      </c>
      <c r="DT381" s="106">
        <f t="shared" si="1162"/>
        <v>1.052727357517786</v>
      </c>
      <c r="DU381" s="92">
        <f t="shared" si="1163"/>
        <v>2.8353947634321128E-2</v>
      </c>
      <c r="DV381" s="92" t="str">
        <f t="shared" si="1164"/>
        <v/>
      </c>
      <c r="DW381" s="92">
        <f t="shared" si="1165"/>
        <v>1</v>
      </c>
      <c r="DX381" s="92">
        <f t="shared" si="1166"/>
        <v>2.5105057801221832E-2</v>
      </c>
      <c r="DY381" s="92">
        <f t="shared" si="1179"/>
        <v>4.0000207265699084E-2</v>
      </c>
      <c r="DZ381" s="92">
        <f t="shared" si="1180"/>
        <v>0.15473109866365439</v>
      </c>
      <c r="EA381" s="92">
        <f t="shared" si="1181"/>
        <v>4.4448129167983665E-2</v>
      </c>
      <c r="EB381" s="92">
        <f t="shared" si="1167"/>
        <v>0.12941670250636048</v>
      </c>
      <c r="EC381" s="92">
        <f t="shared" si="1168"/>
        <v>7.7807543435118059E-2</v>
      </c>
      <c r="ED381" s="92">
        <f t="shared" si="1169"/>
        <v>2.8715626279217987E-2</v>
      </c>
      <c r="EE381" s="92">
        <f t="shared" si="1170"/>
        <v>0.5002243651192555</v>
      </c>
      <c r="EF381" s="92">
        <f t="shared" si="1171"/>
        <v>2.3628289695267608E-2</v>
      </c>
      <c r="EG381" s="92">
        <f t="shared" si="1172"/>
        <v>0.52385265481452314</v>
      </c>
      <c r="EH381" s="92">
        <f t="shared" si="1173"/>
        <v>0.4997756348807445</v>
      </c>
      <c r="EI381" s="92">
        <f t="shared" si="1174"/>
        <v>0.41277896667685721</v>
      </c>
      <c r="EJ381" s="122">
        <f t="shared" si="1175"/>
        <v>8.6996668203887267E-2</v>
      </c>
    </row>
    <row r="382" spans="2:140" ht="12" customHeight="1" outlineLevel="1">
      <c r="B382" s="272">
        <v>46048</v>
      </c>
      <c r="C382" s="117">
        <v>26422</v>
      </c>
      <c r="D382" s="50" t="s">
        <v>1666</v>
      </c>
      <c r="E382" s="50" t="s">
        <v>863</v>
      </c>
      <c r="F382" s="50" t="s">
        <v>1667</v>
      </c>
      <c r="G382" s="50" t="s">
        <v>162</v>
      </c>
      <c r="H382" s="50" t="s">
        <v>1668</v>
      </c>
      <c r="I382" s="50" t="s">
        <v>396</v>
      </c>
      <c r="J382" s="52" t="s">
        <v>183</v>
      </c>
      <c r="K382" s="50" t="s">
        <v>184</v>
      </c>
      <c r="L382" s="49">
        <v>9</v>
      </c>
      <c r="M382" s="50" t="s">
        <v>159</v>
      </c>
      <c r="N382" s="50" t="s">
        <v>160</v>
      </c>
      <c r="O382" s="50" t="s">
        <v>160</v>
      </c>
      <c r="P382" s="50" t="s">
        <v>1351</v>
      </c>
      <c r="Q382" s="53">
        <v>0.04</v>
      </c>
      <c r="R382" s="49">
        <v>176</v>
      </c>
      <c r="S382" s="49">
        <v>0</v>
      </c>
      <c r="T382" s="54">
        <f t="shared" si="1146"/>
        <v>176</v>
      </c>
      <c r="U382" s="55">
        <v>179747</v>
      </c>
      <c r="V382" s="49">
        <v>15.85</v>
      </c>
      <c r="W382" s="56">
        <f t="shared" si="1099"/>
        <v>11.10410094637224</v>
      </c>
      <c r="X382" s="49">
        <v>2004</v>
      </c>
      <c r="Y382" s="57" t="s">
        <v>162</v>
      </c>
      <c r="Z382" s="58">
        <v>9647633</v>
      </c>
      <c r="AA382" s="114">
        <v>0.08</v>
      </c>
      <c r="AB382" s="59">
        <v>40</v>
      </c>
      <c r="AC382" s="60">
        <v>40</v>
      </c>
      <c r="AD382" s="61">
        <v>0.06</v>
      </c>
      <c r="AE382" s="62">
        <v>11800000</v>
      </c>
      <c r="AF382" s="63">
        <v>1.1499999999999999</v>
      </c>
      <c r="AG382" s="59"/>
      <c r="AH382" s="60"/>
      <c r="AI382" s="61"/>
      <c r="AJ382" s="64"/>
      <c r="AK382" s="65">
        <f t="shared" si="1100"/>
        <v>11800000</v>
      </c>
      <c r="AL382" s="66">
        <v>3500000</v>
      </c>
      <c r="AM382" s="49" t="s">
        <v>1669</v>
      </c>
      <c r="AN382" s="67">
        <v>0.8</v>
      </c>
      <c r="AO382" s="62">
        <v>12059538</v>
      </c>
      <c r="AP382" s="62">
        <v>926202</v>
      </c>
      <c r="AQ382" s="68">
        <v>1465614</v>
      </c>
      <c r="AR382" s="69">
        <f t="shared" si="1101"/>
        <v>67045.454545454544</v>
      </c>
      <c r="AS382" s="70">
        <f t="shared" si="1102"/>
        <v>19886.363636363636</v>
      </c>
      <c r="AT382" s="70">
        <f t="shared" si="1103"/>
        <v>68520.102272727279</v>
      </c>
      <c r="AU382" s="70">
        <f t="shared" si="1104"/>
        <v>5262.511363636364</v>
      </c>
      <c r="AV382" s="71">
        <f t="shared" si="1105"/>
        <v>8327.3522727272721</v>
      </c>
      <c r="AW382" s="115">
        <f t="shared" si="1106"/>
        <v>65984.232954545456</v>
      </c>
      <c r="AX382" s="116">
        <f t="shared" si="1107"/>
        <v>64.608727822995661</v>
      </c>
      <c r="AY382" s="72">
        <f t="shared" si="1108"/>
        <v>82744.994318181823</v>
      </c>
      <c r="AZ382" s="73">
        <f t="shared" si="1109"/>
        <v>81.02009491118072</v>
      </c>
      <c r="BA382" s="66">
        <v>10000000</v>
      </c>
      <c r="BB382" s="62">
        <v>615000</v>
      </c>
      <c r="BC382" s="62">
        <v>10998225</v>
      </c>
      <c r="BD382" s="62">
        <v>1161376</v>
      </c>
      <c r="BE382" s="62">
        <v>1788518</v>
      </c>
      <c r="BF382" s="62">
        <v>1677143</v>
      </c>
      <c r="BG382" s="62">
        <v>4178777</v>
      </c>
      <c r="BH382" s="62">
        <v>4183502</v>
      </c>
      <c r="BI382" s="62">
        <v>1222083</v>
      </c>
      <c r="BJ382" s="47">
        <f t="shared" si="1110"/>
        <v>35824624</v>
      </c>
      <c r="BK382" s="69">
        <f t="shared" si="1111"/>
        <v>56818.181818181816</v>
      </c>
      <c r="BL382" s="70">
        <f t="shared" si="1112"/>
        <v>3494.318181818182</v>
      </c>
      <c r="BM382" s="70">
        <f t="shared" si="1113"/>
        <v>62489.914772727272</v>
      </c>
      <c r="BN382" s="70">
        <f t="shared" si="1114"/>
        <v>6598.727272727273</v>
      </c>
      <c r="BO382" s="70">
        <f t="shared" si="1115"/>
        <v>10162.03409090909</v>
      </c>
      <c r="BP382" s="70">
        <f t="shared" si="1116"/>
        <v>9529.2215909090901</v>
      </c>
      <c r="BQ382" s="70">
        <f t="shared" si="1117"/>
        <v>23743.051136363636</v>
      </c>
      <c r="BR382" s="70">
        <f t="shared" si="1118"/>
        <v>23769.897727272728</v>
      </c>
      <c r="BS382" s="70">
        <f t="shared" si="1119"/>
        <v>6943.653409090909</v>
      </c>
      <c r="BT382" s="71">
        <f t="shared" si="1120"/>
        <v>203549</v>
      </c>
      <c r="BU382" s="65">
        <f t="shared" si="1121"/>
        <v>55.633751884593345</v>
      </c>
      <c r="BV382" s="48">
        <f t="shared" si="1122"/>
        <v>3.4214757409024905</v>
      </c>
      <c r="BW382" s="48">
        <f t="shared" si="1123"/>
        <v>61.187252082093167</v>
      </c>
      <c r="BX382" s="48">
        <f t="shared" si="1124"/>
        <v>6.461170422872148</v>
      </c>
      <c r="BY382" s="48">
        <f t="shared" si="1125"/>
        <v>9.9501966653129124</v>
      </c>
      <c r="BZ382" s="48">
        <f t="shared" si="1126"/>
        <v>9.3305757536982536</v>
      </c>
      <c r="CA382" s="48">
        <f t="shared" si="1127"/>
        <v>23.248104279904531</v>
      </c>
      <c r="CB382" s="48">
        <f t="shared" si="1128"/>
        <v>23.274391227670002</v>
      </c>
      <c r="CC382" s="48">
        <f t="shared" si="1129"/>
        <v>6.7989062404379492</v>
      </c>
      <c r="CD382" s="47">
        <f t="shared" si="1130"/>
        <v>199.3058242974848</v>
      </c>
      <c r="CE382" s="66">
        <v>2295420</v>
      </c>
      <c r="CF382" s="62">
        <v>42240</v>
      </c>
      <c r="CG382" s="74">
        <v>-175325</v>
      </c>
      <c r="CH382" s="75">
        <f t="shared" si="1131"/>
        <v>2162335</v>
      </c>
      <c r="CI382" s="62">
        <f>61600+7040+8800+25000</f>
        <v>102440</v>
      </c>
      <c r="CJ382" s="62">
        <v>86493</v>
      </c>
      <c r="CK382" s="62">
        <v>334400</v>
      </c>
      <c r="CL382" s="62">
        <v>158400</v>
      </c>
      <c r="CM382" s="62">
        <f>30800+263200</f>
        <v>294000</v>
      </c>
      <c r="CN382" s="62">
        <v>190000</v>
      </c>
      <c r="CO382" s="62">
        <v>0</v>
      </c>
      <c r="CP382" s="75">
        <f t="shared" si="1147"/>
        <v>1165733</v>
      </c>
      <c r="CQ382" s="62">
        <v>70400</v>
      </c>
      <c r="CR382" s="75">
        <f t="shared" si="1132"/>
        <v>1236133</v>
      </c>
      <c r="CS382" s="75">
        <f t="shared" si="1133"/>
        <v>996602</v>
      </c>
      <c r="CT382" s="62">
        <v>808603</v>
      </c>
      <c r="CU382" s="47">
        <f t="shared" si="1134"/>
        <v>187999</v>
      </c>
      <c r="CV382" s="76">
        <f t="shared" si="1135"/>
        <v>0.46089158247912559</v>
      </c>
      <c r="CW382" s="75">
        <f t="shared" si="1136"/>
        <v>7023.482954545455</v>
      </c>
      <c r="CX382" s="77">
        <f t="shared" si="1137"/>
        <v>0.57166581496391633</v>
      </c>
      <c r="CY382" s="75">
        <f t="shared" si="1138"/>
        <v>1068.1761363636363</v>
      </c>
      <c r="CZ382" s="77">
        <f t="shared" si="1139"/>
        <v>8.6942587526909573E-2</v>
      </c>
      <c r="DA382" s="77">
        <f t="shared" si="1140"/>
        <v>0.37394899495221601</v>
      </c>
      <c r="DB382" s="47">
        <f t="shared" si="1141"/>
        <v>67045.454545454544</v>
      </c>
      <c r="DC382" s="69">
        <f t="shared" si="1148"/>
        <v>13042.15909090909</v>
      </c>
      <c r="DD382" s="70">
        <f t="shared" si="1149"/>
        <v>240</v>
      </c>
      <c r="DE382" s="70">
        <f t="shared" si="1150"/>
        <v>-996.16477272727275</v>
      </c>
      <c r="DF382" s="70">
        <f t="shared" si="1151"/>
        <v>12285.994318181818</v>
      </c>
      <c r="DG382" s="70">
        <f t="shared" si="1152"/>
        <v>582.0454545454545</v>
      </c>
      <c r="DH382" s="70">
        <f t="shared" si="1176"/>
        <v>491.4375</v>
      </c>
      <c r="DI382" s="70">
        <f t="shared" si="1177"/>
        <v>1900</v>
      </c>
      <c r="DJ382" s="70">
        <f t="shared" si="1178"/>
        <v>900</v>
      </c>
      <c r="DK382" s="70">
        <f t="shared" si="1153"/>
        <v>1670.4545454545455</v>
      </c>
      <c r="DL382" s="70">
        <f t="shared" si="1154"/>
        <v>1079.5454545454545</v>
      </c>
      <c r="DM382" s="70" t="str">
        <f t="shared" si="1155"/>
        <v/>
      </c>
      <c r="DN382" s="70">
        <f t="shared" si="1156"/>
        <v>6623.482954545455</v>
      </c>
      <c r="DO382" s="70">
        <f t="shared" si="1157"/>
        <v>400</v>
      </c>
      <c r="DP382" s="70">
        <f t="shared" si="1158"/>
        <v>7023.482954545455</v>
      </c>
      <c r="DQ382" s="70">
        <f t="shared" si="1159"/>
        <v>5662.511363636364</v>
      </c>
      <c r="DR382" s="70">
        <f t="shared" si="1160"/>
        <v>4594.335227272727</v>
      </c>
      <c r="DS382" s="71">
        <f t="shared" si="1161"/>
        <v>1068.1761363636363</v>
      </c>
      <c r="DT382" s="106">
        <f t="shared" si="1162"/>
        <v>1.0615468925952731</v>
      </c>
      <c r="DU382" s="92">
        <f t="shared" si="1163"/>
        <v>1.9534438465825137E-2</v>
      </c>
      <c r="DV382" s="92" t="str">
        <f t="shared" si="1164"/>
        <v/>
      </c>
      <c r="DW382" s="92">
        <f t="shared" si="1165"/>
        <v>1</v>
      </c>
      <c r="DX382" s="92">
        <f t="shared" si="1166"/>
        <v>4.7374712983880851E-2</v>
      </c>
      <c r="DY382" s="92">
        <f t="shared" si="1179"/>
        <v>3.9999815014787256E-2</v>
      </c>
      <c r="DZ382" s="92">
        <f t="shared" si="1180"/>
        <v>0.15464763785444902</v>
      </c>
      <c r="EA382" s="92">
        <f t="shared" si="1181"/>
        <v>7.3254144246844274E-2</v>
      </c>
      <c r="EB382" s="92">
        <f t="shared" si="1167"/>
        <v>0.13596413136724883</v>
      </c>
      <c r="EC382" s="92">
        <f t="shared" si="1168"/>
        <v>8.7867976053664212E-2</v>
      </c>
      <c r="ED382" s="92" t="str">
        <f t="shared" si="1169"/>
        <v/>
      </c>
      <c r="EE382" s="92">
        <f t="shared" si="1170"/>
        <v>0.53910841752087446</v>
      </c>
      <c r="EF382" s="92">
        <f t="shared" si="1171"/>
        <v>3.2557397443041897E-2</v>
      </c>
      <c r="EG382" s="92">
        <f t="shared" si="1172"/>
        <v>0.57166581496391633</v>
      </c>
      <c r="EH382" s="92">
        <f t="shared" si="1173"/>
        <v>0.46089158247912559</v>
      </c>
      <c r="EI382" s="92">
        <f t="shared" si="1174"/>
        <v>0.37394899495221601</v>
      </c>
      <c r="EJ382" s="122">
        <f t="shared" si="1175"/>
        <v>8.6942587526909573E-2</v>
      </c>
    </row>
    <row r="383" spans="2:140" ht="12" customHeight="1" outlineLevel="1">
      <c r="B383" s="272">
        <v>46064</v>
      </c>
      <c r="C383" s="117">
        <v>21614</v>
      </c>
      <c r="D383" s="50" t="s">
        <v>1670</v>
      </c>
      <c r="E383" s="50" t="s">
        <v>896</v>
      </c>
      <c r="F383" s="50" t="s">
        <v>1671</v>
      </c>
      <c r="G383" s="50" t="s">
        <v>249</v>
      </c>
      <c r="H383" s="50" t="s">
        <v>1672</v>
      </c>
      <c r="I383" s="50" t="s">
        <v>540</v>
      </c>
      <c r="J383" s="52" t="s">
        <v>230</v>
      </c>
      <c r="K383" s="50" t="s">
        <v>230</v>
      </c>
      <c r="L383" s="49">
        <v>3</v>
      </c>
      <c r="M383" s="50" t="s">
        <v>159</v>
      </c>
      <c r="N383" s="50" t="s">
        <v>160</v>
      </c>
      <c r="O383" s="50" t="s">
        <v>160</v>
      </c>
      <c r="P383" s="50" t="s">
        <v>1351</v>
      </c>
      <c r="Q383" s="53">
        <v>0.04</v>
      </c>
      <c r="R383" s="49">
        <v>301</v>
      </c>
      <c r="S383" s="49">
        <v>0</v>
      </c>
      <c r="T383" s="54">
        <f t="shared" si="1146"/>
        <v>301</v>
      </c>
      <c r="U383" s="55">
        <v>273024</v>
      </c>
      <c r="V383" s="49">
        <v>18.04</v>
      </c>
      <c r="W383" s="56">
        <f t="shared" si="1099"/>
        <v>16.685144124168517</v>
      </c>
      <c r="X383" s="49">
        <v>2004</v>
      </c>
      <c r="Y383" s="57" t="s">
        <v>162</v>
      </c>
      <c r="Z383" s="58">
        <v>27500000</v>
      </c>
      <c r="AA383" s="114">
        <v>4.4299999999999999E-2</v>
      </c>
      <c r="AB383" s="59">
        <v>17</v>
      </c>
      <c r="AC383" s="60">
        <v>40</v>
      </c>
      <c r="AD383" s="61">
        <v>4.5499999999999999E-2</v>
      </c>
      <c r="AE383" s="62">
        <v>27500000</v>
      </c>
      <c r="AF383" s="63">
        <v>1.1499999999999999</v>
      </c>
      <c r="AG383" s="59"/>
      <c r="AH383" s="60"/>
      <c r="AI383" s="61"/>
      <c r="AJ383" s="64"/>
      <c r="AK383" s="65">
        <f t="shared" si="1100"/>
        <v>27500000</v>
      </c>
      <c r="AL383" s="66">
        <v>0</v>
      </c>
      <c r="AM383" s="49" t="s">
        <v>163</v>
      </c>
      <c r="AN383" s="67">
        <v>0.85</v>
      </c>
      <c r="AO383" s="62">
        <v>23559281</v>
      </c>
      <c r="AP383" s="62">
        <v>1754323</v>
      </c>
      <c r="AQ383" s="68">
        <v>4699052</v>
      </c>
      <c r="AR383" s="69">
        <f t="shared" si="1101"/>
        <v>91362.126245847176</v>
      </c>
      <c r="AS383" s="70" t="str">
        <f t="shared" si="1102"/>
        <v/>
      </c>
      <c r="AT383" s="70">
        <f t="shared" si="1103"/>
        <v>78270.036544850504</v>
      </c>
      <c r="AU383" s="70">
        <f t="shared" si="1104"/>
        <v>5828.3156146179399</v>
      </c>
      <c r="AV383" s="71">
        <f t="shared" si="1105"/>
        <v>15611.468438538206</v>
      </c>
      <c r="AW383" s="115">
        <f t="shared" si="1106"/>
        <v>54318.355481727573</v>
      </c>
      <c r="AX383" s="116">
        <f t="shared" si="1107"/>
        <v>59.884204319034225</v>
      </c>
      <c r="AY383" s="72">
        <f t="shared" si="1108"/>
        <v>68021.697674418596</v>
      </c>
      <c r="AZ383" s="73">
        <f t="shared" si="1109"/>
        <v>74.991689375293021</v>
      </c>
      <c r="BA383" s="66">
        <v>17620000</v>
      </c>
      <c r="BB383" s="62">
        <v>2115150</v>
      </c>
      <c r="BC383" s="62">
        <v>14234675</v>
      </c>
      <c r="BD383" s="62">
        <v>1623900</v>
      </c>
      <c r="BE383" s="62">
        <v>2500806</v>
      </c>
      <c r="BF383" s="62">
        <v>1827500</v>
      </c>
      <c r="BG383" s="62">
        <v>4543750</v>
      </c>
      <c r="BH383" s="62">
        <v>6093500</v>
      </c>
      <c r="BI383" s="62">
        <v>850000</v>
      </c>
      <c r="BJ383" s="47">
        <f t="shared" si="1110"/>
        <v>51409281</v>
      </c>
      <c r="BK383" s="69">
        <f t="shared" si="1111"/>
        <v>58538.205980066443</v>
      </c>
      <c r="BL383" s="70">
        <f t="shared" si="1112"/>
        <v>7027.0764119601326</v>
      </c>
      <c r="BM383" s="70">
        <f t="shared" si="1113"/>
        <v>47291.279069767443</v>
      </c>
      <c r="BN383" s="70">
        <f t="shared" si="1114"/>
        <v>5395.0166112956813</v>
      </c>
      <c r="BO383" s="70">
        <f t="shared" si="1115"/>
        <v>8308.3255813953492</v>
      </c>
      <c r="BP383" s="70">
        <f t="shared" si="1116"/>
        <v>6071.4285714285716</v>
      </c>
      <c r="BQ383" s="70">
        <f t="shared" si="1117"/>
        <v>15095.514950166113</v>
      </c>
      <c r="BR383" s="70">
        <f t="shared" si="1118"/>
        <v>20244.18604651163</v>
      </c>
      <c r="BS383" s="70">
        <f t="shared" si="1119"/>
        <v>2823.9202657807309</v>
      </c>
      <c r="BT383" s="71">
        <f t="shared" si="1120"/>
        <v>170794.95348837209</v>
      </c>
      <c r="BU383" s="65">
        <f t="shared" si="1121"/>
        <v>64.536451007970001</v>
      </c>
      <c r="BV383" s="48">
        <f t="shared" si="1122"/>
        <v>7.7471211322081572</v>
      </c>
      <c r="BW383" s="48">
        <f t="shared" si="1123"/>
        <v>52.137083186826068</v>
      </c>
      <c r="BX383" s="48">
        <f t="shared" si="1124"/>
        <v>5.9478287623066102</v>
      </c>
      <c r="BY383" s="48">
        <f t="shared" si="1125"/>
        <v>9.15965629395218</v>
      </c>
      <c r="BZ383" s="48">
        <f t="shared" si="1126"/>
        <v>6.6935507501172058</v>
      </c>
      <c r="CA383" s="48">
        <f t="shared" si="1127"/>
        <v>16.642309833567744</v>
      </c>
      <c r="CB383" s="48">
        <f t="shared" si="1128"/>
        <v>22.318550750117208</v>
      </c>
      <c r="CC383" s="48">
        <f t="shared" si="1129"/>
        <v>3.1132794186591655</v>
      </c>
      <c r="CD383" s="47">
        <f t="shared" si="1130"/>
        <v>188.29583113572434</v>
      </c>
      <c r="CE383" s="66">
        <v>3223428</v>
      </c>
      <c r="CF383" s="62">
        <v>72240</v>
      </c>
      <c r="CG383" s="74">
        <v>-247175</v>
      </c>
      <c r="CH383" s="75">
        <f t="shared" si="1131"/>
        <v>3048493</v>
      </c>
      <c r="CI383" s="62">
        <f>83800+12080+3600+7500</f>
        <v>106980</v>
      </c>
      <c r="CJ383" s="62">
        <v>121940</v>
      </c>
      <c r="CK383" s="62">
        <v>350000</v>
      </c>
      <c r="CL383" s="62">
        <v>142000</v>
      </c>
      <c r="CM383" s="62">
        <f>310000</f>
        <v>310000</v>
      </c>
      <c r="CN383" s="62">
        <v>150000</v>
      </c>
      <c r="CO383" s="62">
        <v>0</v>
      </c>
      <c r="CP383" s="75">
        <f>IFERROR(IF(SUM(CI383:CO383)&gt;0,SUM(CI383:CO383),""),"")</f>
        <v>1180920</v>
      </c>
      <c r="CQ383" s="62">
        <v>105700</v>
      </c>
      <c r="CR383" s="75">
        <f t="shared" si="1132"/>
        <v>1286620</v>
      </c>
      <c r="CS383" s="75">
        <f t="shared" si="1133"/>
        <v>1867573</v>
      </c>
      <c r="CT383" s="62">
        <v>1521680</v>
      </c>
      <c r="CU383" s="47">
        <f t="shared" si="1134"/>
        <v>345893</v>
      </c>
      <c r="CV383" s="76">
        <f t="shared" si="1135"/>
        <v>0.6126217117769337</v>
      </c>
      <c r="CW383" s="75">
        <f t="shared" si="1136"/>
        <v>4274.4850498338874</v>
      </c>
      <c r="CX383" s="77">
        <f t="shared" si="1137"/>
        <v>0.42205115773596985</v>
      </c>
      <c r="CY383" s="75">
        <f t="shared" si="1138"/>
        <v>1149.1461794019933</v>
      </c>
      <c r="CZ383" s="77">
        <f t="shared" si="1139"/>
        <v>0.11346360316392394</v>
      </c>
      <c r="DA383" s="77">
        <f t="shared" si="1140"/>
        <v>0.4991581086130098</v>
      </c>
      <c r="DB383" s="47">
        <f t="shared" si="1141"/>
        <v>91362.126245847176</v>
      </c>
      <c r="DC383" s="69">
        <f t="shared" si="1148"/>
        <v>10709.063122923588</v>
      </c>
      <c r="DD383" s="70">
        <f t="shared" si="1149"/>
        <v>240</v>
      </c>
      <c r="DE383" s="70">
        <f t="shared" si="1150"/>
        <v>-821.17940199335544</v>
      </c>
      <c r="DF383" s="70">
        <f t="shared" si="1151"/>
        <v>10127.883720930233</v>
      </c>
      <c r="DG383" s="70" t="str">
        <f>IFERROR(IF(ABS(#REF!)&gt;0,#REF!/$T383,""),"")</f>
        <v/>
      </c>
      <c r="DH383" s="70">
        <f t="shared" si="1176"/>
        <v>405.11627906976742</v>
      </c>
      <c r="DI383" s="70">
        <f t="shared" si="1177"/>
        <v>1162.7906976744187</v>
      </c>
      <c r="DJ383" s="70">
        <f t="shared" si="1178"/>
        <v>471.76079734219269</v>
      </c>
      <c r="DK383" s="70">
        <f t="shared" si="1153"/>
        <v>1029.9003322259136</v>
      </c>
      <c r="DL383" s="70">
        <f t="shared" si="1154"/>
        <v>498.33887043189367</v>
      </c>
      <c r="DM383" s="70" t="str">
        <f t="shared" si="1155"/>
        <v/>
      </c>
      <c r="DN383" s="70">
        <f t="shared" si="1156"/>
        <v>3923.3222591362128</v>
      </c>
      <c r="DO383" s="70">
        <f t="shared" si="1157"/>
        <v>351.16279069767444</v>
      </c>
      <c r="DP383" s="70">
        <f t="shared" si="1158"/>
        <v>4274.4850498338874</v>
      </c>
      <c r="DQ383" s="70">
        <f t="shared" si="1159"/>
        <v>6204.56146179402</v>
      </c>
      <c r="DR383" s="70">
        <f t="shared" si="1160"/>
        <v>5055.4152823920267</v>
      </c>
      <c r="DS383" s="71">
        <f t="shared" si="1161"/>
        <v>1149.1461794019933</v>
      </c>
      <c r="DT383" s="106">
        <f t="shared" si="1162"/>
        <v>1.0573840910902534</v>
      </c>
      <c r="DU383" s="92">
        <f t="shared" si="1163"/>
        <v>2.3696954528024176E-2</v>
      </c>
      <c r="DV383" s="92" t="str">
        <f t="shared" si="1164"/>
        <v/>
      </c>
      <c r="DW383" s="92">
        <f t="shared" si="1165"/>
        <v>1</v>
      </c>
      <c r="DX383" s="92" t="str">
        <f>IFERROR(IF(ABS(#REF!&gt;0),#REF!/$CH383,""),"")</f>
        <v/>
      </c>
      <c r="DY383" s="92">
        <f t="shared" si="1179"/>
        <v>4.0000091848660962E-2</v>
      </c>
      <c r="DZ383" s="92">
        <f t="shared" si="1180"/>
        <v>0.11481082620166751</v>
      </c>
      <c r="EA383" s="92">
        <f t="shared" si="1181"/>
        <v>4.6580392344676536E-2</v>
      </c>
      <c r="EB383" s="92">
        <f t="shared" si="1167"/>
        <v>0.10168958892147693</v>
      </c>
      <c r="EC383" s="92">
        <f t="shared" si="1168"/>
        <v>4.9204639800714649E-2</v>
      </c>
      <c r="ED383" s="92" t="str">
        <f t="shared" si="1169"/>
        <v/>
      </c>
      <c r="EE383" s="92">
        <f t="shared" si="1170"/>
        <v>0.3873782882230663</v>
      </c>
      <c r="EF383" s="92">
        <f t="shared" si="1171"/>
        <v>3.467286951290359E-2</v>
      </c>
      <c r="EG383" s="92">
        <f t="shared" si="1172"/>
        <v>0.42205115773596985</v>
      </c>
      <c r="EH383" s="92">
        <f t="shared" si="1173"/>
        <v>0.6126217117769337</v>
      </c>
      <c r="EI383" s="92">
        <f t="shared" si="1174"/>
        <v>0.4991581086130098</v>
      </c>
      <c r="EJ383" s="122">
        <f t="shared" si="1175"/>
        <v>0.11346360316392394</v>
      </c>
    </row>
    <row r="384" spans="2:140" ht="12" customHeight="1" outlineLevel="1">
      <c r="B384" s="272">
        <v>46070</v>
      </c>
      <c r="C384" s="117">
        <v>24456</v>
      </c>
      <c r="D384" s="50" t="s">
        <v>1673</v>
      </c>
      <c r="E384" s="50" t="s">
        <v>1674</v>
      </c>
      <c r="F384" s="50" t="s">
        <v>783</v>
      </c>
      <c r="G384" s="50" t="s">
        <v>162</v>
      </c>
      <c r="H384" s="50" t="s">
        <v>220</v>
      </c>
      <c r="I384" s="50" t="s">
        <v>802</v>
      </c>
      <c r="J384" s="52" t="s">
        <v>876</v>
      </c>
      <c r="K384" s="50" t="s">
        <v>184</v>
      </c>
      <c r="L384" s="49">
        <v>9</v>
      </c>
      <c r="M384" s="50" t="s">
        <v>159</v>
      </c>
      <c r="N384" s="50" t="s">
        <v>244</v>
      </c>
      <c r="O384" s="50" t="s">
        <v>160</v>
      </c>
      <c r="P384" s="50" t="s">
        <v>177</v>
      </c>
      <c r="Q384" s="53">
        <v>0.04</v>
      </c>
      <c r="R384" s="49">
        <v>238</v>
      </c>
      <c r="S384" s="49">
        <v>0</v>
      </c>
      <c r="T384" s="54">
        <f t="shared" si="1146"/>
        <v>238</v>
      </c>
      <c r="U384" s="55">
        <v>195693</v>
      </c>
      <c r="V384" s="49">
        <v>8.2899999999999991</v>
      </c>
      <c r="W384" s="56">
        <f t="shared" si="1099"/>
        <v>28.709288299155613</v>
      </c>
      <c r="X384" s="49" t="s">
        <v>163</v>
      </c>
      <c r="Y384" s="57" t="s">
        <v>162</v>
      </c>
      <c r="Z384" s="58">
        <v>23460000</v>
      </c>
      <c r="AA384" s="114">
        <v>6.0600000000000001E-2</v>
      </c>
      <c r="AB384" s="59">
        <v>15</v>
      </c>
      <c r="AC384" s="60">
        <v>40</v>
      </c>
      <c r="AD384" s="61">
        <v>5.7599999999999998E-2</v>
      </c>
      <c r="AE384" s="62">
        <v>23460000</v>
      </c>
      <c r="AF384" s="63">
        <v>1.1499999999999999</v>
      </c>
      <c r="AG384" s="59"/>
      <c r="AH384" s="60"/>
      <c r="AI384" s="61"/>
      <c r="AJ384" s="64"/>
      <c r="AK384" s="65">
        <f t="shared" si="1100"/>
        <v>23460000</v>
      </c>
      <c r="AL384" s="66">
        <v>0</v>
      </c>
      <c r="AM384" s="49" t="s">
        <v>163</v>
      </c>
      <c r="AN384" s="67">
        <v>0.92</v>
      </c>
      <c r="AO384" s="62">
        <v>28399191</v>
      </c>
      <c r="AP384" s="62">
        <v>1732538</v>
      </c>
      <c r="AQ384" s="68">
        <v>5383674</v>
      </c>
      <c r="AR384" s="69">
        <f t="shared" si="1101"/>
        <v>98571.428571428565</v>
      </c>
      <c r="AS384" s="70" t="str">
        <f t="shared" si="1102"/>
        <v/>
      </c>
      <c r="AT384" s="70">
        <f t="shared" si="1103"/>
        <v>119324.33193277312</v>
      </c>
      <c r="AU384" s="70">
        <f t="shared" si="1104"/>
        <v>7279.5714285714284</v>
      </c>
      <c r="AV384" s="71">
        <f t="shared" si="1105"/>
        <v>22620.478991596639</v>
      </c>
      <c r="AW384" s="115">
        <f t="shared" si="1106"/>
        <v>133056.40336134454</v>
      </c>
      <c r="AX384" s="116">
        <f t="shared" si="1107"/>
        <v>161.82195581855254</v>
      </c>
      <c r="AY384" s="72">
        <f t="shared" si="1108"/>
        <v>156389.8949579832</v>
      </c>
      <c r="AZ384" s="73">
        <f t="shared" si="1109"/>
        <v>190.19993050339053</v>
      </c>
      <c r="BA384" s="66">
        <v>2073840</v>
      </c>
      <c r="BB384" s="62">
        <v>5529094</v>
      </c>
      <c r="BC384" s="62">
        <v>26138330</v>
      </c>
      <c r="BD384" s="62">
        <v>1623371</v>
      </c>
      <c r="BE384" s="62">
        <v>3930000</v>
      </c>
      <c r="BF384" s="62">
        <v>2019659</v>
      </c>
      <c r="BG384" s="62">
        <v>5845497</v>
      </c>
      <c r="BH384" s="62">
        <v>6275761</v>
      </c>
      <c r="BI384" s="62">
        <v>605545</v>
      </c>
      <c r="BJ384" s="47">
        <f t="shared" si="1110"/>
        <v>54041097</v>
      </c>
      <c r="BK384" s="69">
        <f t="shared" si="1111"/>
        <v>8713.6134453781506</v>
      </c>
      <c r="BL384" s="70">
        <f t="shared" si="1112"/>
        <v>23231.487394957981</v>
      </c>
      <c r="BM384" s="70">
        <f t="shared" si="1113"/>
        <v>109824.91596638656</v>
      </c>
      <c r="BN384" s="70">
        <f t="shared" si="1114"/>
        <v>6820.8865546218485</v>
      </c>
      <c r="BO384" s="70">
        <f t="shared" si="1115"/>
        <v>16512.605042016807</v>
      </c>
      <c r="BP384" s="70">
        <f t="shared" si="1116"/>
        <v>8485.9621848739498</v>
      </c>
      <c r="BQ384" s="70">
        <f t="shared" si="1117"/>
        <v>24560.911764705881</v>
      </c>
      <c r="BR384" s="70">
        <f t="shared" si="1118"/>
        <v>26368.743697478993</v>
      </c>
      <c r="BS384" s="70">
        <f t="shared" si="1119"/>
        <v>2544.3067226890757</v>
      </c>
      <c r="BT384" s="71">
        <f t="shared" si="1120"/>
        <v>227063.43277310923</v>
      </c>
      <c r="BU384" s="65">
        <f t="shared" si="1121"/>
        <v>10.597415339332526</v>
      </c>
      <c r="BV384" s="48">
        <f t="shared" si="1122"/>
        <v>28.253918126861972</v>
      </c>
      <c r="BW384" s="48">
        <f t="shared" si="1123"/>
        <v>133.56803769169056</v>
      </c>
      <c r="BX384" s="48">
        <f t="shared" si="1124"/>
        <v>8.2954985615223844</v>
      </c>
      <c r="BY384" s="48">
        <f t="shared" si="1125"/>
        <v>20.082476123315601</v>
      </c>
      <c r="BZ384" s="48">
        <f t="shared" si="1126"/>
        <v>10.320548001205971</v>
      </c>
      <c r="CA384" s="48">
        <f t="shared" si="1127"/>
        <v>29.870751636491853</v>
      </c>
      <c r="CB384" s="48">
        <f t="shared" si="1128"/>
        <v>32.069419958813036</v>
      </c>
      <c r="CC384" s="48">
        <f t="shared" si="1129"/>
        <v>3.094362087555508</v>
      </c>
      <c r="CD384" s="47">
        <f t="shared" si="1130"/>
        <v>276.15242752678944</v>
      </c>
      <c r="CE384" s="66">
        <v>2776584</v>
      </c>
      <c r="CF384" s="62">
        <v>85680</v>
      </c>
      <c r="CG384" s="74">
        <v>-214670</v>
      </c>
      <c r="CH384" s="75">
        <f t="shared" si="1131"/>
        <v>2647594</v>
      </c>
      <c r="CI384" s="62">
        <f>85103+6900+5000+9520+22848</f>
        <v>129371</v>
      </c>
      <c r="CJ384" s="62">
        <v>86047</v>
      </c>
      <c r="CK384" s="62">
        <v>300901</v>
      </c>
      <c r="CL384" s="62">
        <v>134557</v>
      </c>
      <c r="CM384" s="62">
        <f>20706+25704</f>
        <v>46410</v>
      </c>
      <c r="CN384" s="62">
        <v>158270</v>
      </c>
      <c r="CO384" s="62">
        <v>0</v>
      </c>
      <c r="CP384" s="75">
        <f t="shared" si="1147"/>
        <v>855556</v>
      </c>
      <c r="CQ384" s="62">
        <v>59500</v>
      </c>
      <c r="CR384" s="75">
        <f t="shared" si="1132"/>
        <v>915056</v>
      </c>
      <c r="CS384" s="75">
        <f t="shared" si="1133"/>
        <v>1792038</v>
      </c>
      <c r="CT384" s="62">
        <v>1507125</v>
      </c>
      <c r="CU384" s="47">
        <f t="shared" si="1134"/>
        <v>284913</v>
      </c>
      <c r="CV384" s="76">
        <f t="shared" si="1135"/>
        <v>0.67685528823528074</v>
      </c>
      <c r="CW384" s="75">
        <f t="shared" si="1136"/>
        <v>3844.7731092436975</v>
      </c>
      <c r="CX384" s="77">
        <f t="shared" si="1137"/>
        <v>0.34561794595394912</v>
      </c>
      <c r="CY384" s="75">
        <f t="shared" si="1138"/>
        <v>1197.1134453781513</v>
      </c>
      <c r="CZ384" s="77">
        <f t="shared" si="1139"/>
        <v>0.10761204323623637</v>
      </c>
      <c r="DA384" s="77">
        <f t="shared" si="1140"/>
        <v>0.56924324499904444</v>
      </c>
      <c r="DB384" s="47">
        <f t="shared" si="1141"/>
        <v>98571.428571428565</v>
      </c>
      <c r="DC384" s="69">
        <f t="shared" si="1148"/>
        <v>11666.319327731093</v>
      </c>
      <c r="DD384" s="70">
        <f t="shared" si="1149"/>
        <v>360</v>
      </c>
      <c r="DE384" s="70">
        <f t="shared" si="1150"/>
        <v>-901.97478991596643</v>
      </c>
      <c r="DF384" s="70">
        <f t="shared" si="1151"/>
        <v>11124.344537815126</v>
      </c>
      <c r="DG384" s="70">
        <f>IFERROR(IF(ABS(CI383)&gt;0,CI383/$T384,""),"")</f>
        <v>449.49579831932772</v>
      </c>
      <c r="DH384" s="70">
        <f t="shared" si="1176"/>
        <v>361.5420168067227</v>
      </c>
      <c r="DI384" s="70">
        <f t="shared" si="1177"/>
        <v>1264.2899159663866</v>
      </c>
      <c r="DJ384" s="70">
        <f t="shared" si="1178"/>
        <v>565.36554621848734</v>
      </c>
      <c r="DK384" s="70">
        <f t="shared" si="1153"/>
        <v>195</v>
      </c>
      <c r="DL384" s="70">
        <f t="shared" si="1154"/>
        <v>665</v>
      </c>
      <c r="DM384" s="70" t="str">
        <f t="shared" si="1155"/>
        <v/>
      </c>
      <c r="DN384" s="70">
        <f t="shared" si="1156"/>
        <v>3594.7731092436975</v>
      </c>
      <c r="DO384" s="70">
        <f t="shared" si="1157"/>
        <v>250</v>
      </c>
      <c r="DP384" s="70">
        <f t="shared" si="1158"/>
        <v>3844.7731092436975</v>
      </c>
      <c r="DQ384" s="70">
        <f t="shared" si="1159"/>
        <v>7529.5714285714284</v>
      </c>
      <c r="DR384" s="70">
        <f t="shared" si="1160"/>
        <v>6332.457983193277</v>
      </c>
      <c r="DS384" s="71">
        <f t="shared" si="1161"/>
        <v>1197.1134453781513</v>
      </c>
      <c r="DT384" s="106">
        <f t="shared" si="1162"/>
        <v>1.0487197055137607</v>
      </c>
      <c r="DU384" s="92">
        <f t="shared" si="1163"/>
        <v>3.2361457232491085E-2</v>
      </c>
      <c r="DV384" s="92" t="str">
        <f t="shared" si="1164"/>
        <v/>
      </c>
      <c r="DW384" s="92">
        <f t="shared" si="1165"/>
        <v>1</v>
      </c>
      <c r="DX384" s="92">
        <f>IFERROR(IF(ABS(CI383&gt;0),CI383/$CH384,""),"")</f>
        <v>4.040649737082045E-2</v>
      </c>
      <c r="DY384" s="92">
        <f t="shared" si="1179"/>
        <v>3.2500073651775915E-2</v>
      </c>
      <c r="DZ384" s="92">
        <f t="shared" si="1180"/>
        <v>0.11365073345837769</v>
      </c>
      <c r="EA384" s="92">
        <f t="shared" si="1181"/>
        <v>5.0822369290759839E-2</v>
      </c>
      <c r="EB384" s="92">
        <f t="shared" si="1167"/>
        <v>1.7529122667599338E-2</v>
      </c>
      <c r="EC384" s="92">
        <f t="shared" si="1168"/>
        <v>5.9778802943351583E-2</v>
      </c>
      <c r="ED384" s="92" t="str">
        <f t="shared" si="1169"/>
        <v/>
      </c>
      <c r="EE384" s="92">
        <f t="shared" si="1170"/>
        <v>0.32314471176471921</v>
      </c>
      <c r="EF384" s="92">
        <f t="shared" si="1171"/>
        <v>2.2473234189229918E-2</v>
      </c>
      <c r="EG384" s="92">
        <f t="shared" si="1172"/>
        <v>0.34561794595394912</v>
      </c>
      <c r="EH384" s="92">
        <f t="shared" si="1173"/>
        <v>0.67685528823528074</v>
      </c>
      <c r="EI384" s="92">
        <f t="shared" si="1174"/>
        <v>0.56924324499904444</v>
      </c>
      <c r="EJ384" s="122">
        <f t="shared" si="1175"/>
        <v>0.10761204323623637</v>
      </c>
    </row>
    <row r="385" spans="2:140" ht="12" customHeight="1" outlineLevel="1">
      <c r="B385" s="272">
        <v>46100</v>
      </c>
      <c r="C385" s="117" t="s">
        <v>1675</v>
      </c>
      <c r="D385" s="50" t="s">
        <v>1418</v>
      </c>
      <c r="E385" s="50" t="s">
        <v>1392</v>
      </c>
      <c r="F385" s="50" t="s">
        <v>1393</v>
      </c>
      <c r="G385" s="50" t="s">
        <v>249</v>
      </c>
      <c r="H385" s="50" t="s">
        <v>608</v>
      </c>
      <c r="I385" s="50" t="s">
        <v>1654</v>
      </c>
      <c r="J385" s="52" t="s">
        <v>1419</v>
      </c>
      <c r="K385" s="50" t="s">
        <v>1420</v>
      </c>
      <c r="L385" s="49">
        <v>4</v>
      </c>
      <c r="M385" s="50" t="s">
        <v>159</v>
      </c>
      <c r="N385" s="50" t="s">
        <v>244</v>
      </c>
      <c r="O385" s="50" t="s">
        <v>160</v>
      </c>
      <c r="P385" s="50" t="s">
        <v>177</v>
      </c>
      <c r="Q385" s="53">
        <v>0.09</v>
      </c>
      <c r="R385" s="49">
        <v>74</v>
      </c>
      <c r="S385" s="49">
        <v>0</v>
      </c>
      <c r="T385" s="54">
        <f t="shared" si="1146"/>
        <v>74</v>
      </c>
      <c r="U385" s="55">
        <v>62000</v>
      </c>
      <c r="V385" s="49">
        <v>5.08</v>
      </c>
      <c r="W385" s="56">
        <f t="shared" si="1099"/>
        <v>14.566929133858267</v>
      </c>
      <c r="X385" s="49" t="s">
        <v>163</v>
      </c>
      <c r="Y385" s="57" t="s">
        <v>162</v>
      </c>
      <c r="Z385" s="58">
        <v>9630000</v>
      </c>
      <c r="AA385" s="114">
        <v>7.2499999999999995E-2</v>
      </c>
      <c r="AB385" s="59">
        <v>40</v>
      </c>
      <c r="AC385" s="60">
        <v>40</v>
      </c>
      <c r="AD385" s="61">
        <v>0.02</v>
      </c>
      <c r="AE385" s="62">
        <v>7136489</v>
      </c>
      <c r="AF385" s="63">
        <v>1.1499999999999999</v>
      </c>
      <c r="AG385" s="59"/>
      <c r="AH385" s="60"/>
      <c r="AI385" s="61"/>
      <c r="AJ385" s="64"/>
      <c r="AK385" s="65">
        <f t="shared" si="1100"/>
        <v>7136489</v>
      </c>
      <c r="AL385" s="66">
        <v>0</v>
      </c>
      <c r="AM385" s="49" t="s">
        <v>163</v>
      </c>
      <c r="AN385" s="67">
        <v>0.87</v>
      </c>
      <c r="AO385" s="62">
        <v>13806871</v>
      </c>
      <c r="AP385" s="62">
        <v>230495</v>
      </c>
      <c r="AQ385" s="68">
        <v>107111</v>
      </c>
      <c r="AR385" s="69">
        <f t="shared" si="1101"/>
        <v>96439.040540540547</v>
      </c>
      <c r="AS385" s="70" t="str">
        <f t="shared" si="1102"/>
        <v/>
      </c>
      <c r="AT385" s="70">
        <f t="shared" si="1103"/>
        <v>186579.33783783784</v>
      </c>
      <c r="AU385" s="70">
        <f t="shared" si="1104"/>
        <v>3114.7972972972975</v>
      </c>
      <c r="AV385" s="71">
        <f t="shared" si="1105"/>
        <v>1447.4459459459461</v>
      </c>
      <c r="AW385" s="115">
        <f t="shared" si="1106"/>
        <v>128523.06756756757</v>
      </c>
      <c r="AX385" s="116">
        <f t="shared" si="1107"/>
        <v>153.39850000000001</v>
      </c>
      <c r="AY385" s="72">
        <f t="shared" si="1108"/>
        <v>155484.74324324325</v>
      </c>
      <c r="AZ385" s="73">
        <f t="shared" si="1109"/>
        <v>185.57856451612906</v>
      </c>
      <c r="BA385" s="66">
        <v>1285000</v>
      </c>
      <c r="BB385" s="62">
        <v>2022527</v>
      </c>
      <c r="BC385" s="62">
        <v>7488180</v>
      </c>
      <c r="BD385" s="62">
        <v>582163</v>
      </c>
      <c r="BE385" s="62">
        <v>1413001</v>
      </c>
      <c r="BF385" s="62">
        <v>849023</v>
      </c>
      <c r="BG385" s="62">
        <v>979414</v>
      </c>
      <c r="BH385" s="62">
        <v>1935345</v>
      </c>
      <c r="BI385" s="62">
        <v>262828</v>
      </c>
      <c r="BJ385" s="47">
        <f t="shared" si="1110"/>
        <v>16817481</v>
      </c>
      <c r="BK385" s="69">
        <f t="shared" si="1111"/>
        <v>17364.864864864863</v>
      </c>
      <c r="BL385" s="70">
        <f t="shared" si="1112"/>
        <v>27331.445945945947</v>
      </c>
      <c r="BM385" s="70">
        <f t="shared" si="1113"/>
        <v>101191.62162162163</v>
      </c>
      <c r="BN385" s="70">
        <f t="shared" si="1114"/>
        <v>7867.0675675675675</v>
      </c>
      <c r="BO385" s="70">
        <f t="shared" si="1115"/>
        <v>19094.608108108107</v>
      </c>
      <c r="BP385" s="70">
        <f t="shared" si="1116"/>
        <v>11473.283783783783</v>
      </c>
      <c r="BQ385" s="70">
        <f t="shared" si="1117"/>
        <v>13235.324324324325</v>
      </c>
      <c r="BR385" s="70">
        <f t="shared" si="1118"/>
        <v>26153.31081081081</v>
      </c>
      <c r="BS385" s="70">
        <f t="shared" si="1119"/>
        <v>3551.7297297297296</v>
      </c>
      <c r="BT385" s="71">
        <f t="shared" si="1120"/>
        <v>227263.25675675675</v>
      </c>
      <c r="BU385" s="65">
        <f t="shared" si="1121"/>
        <v>20.725806451612904</v>
      </c>
      <c r="BV385" s="48">
        <f t="shared" si="1122"/>
        <v>32.621403225806453</v>
      </c>
      <c r="BW385" s="48">
        <f t="shared" si="1123"/>
        <v>120.77709677419355</v>
      </c>
      <c r="BX385" s="48">
        <f t="shared" si="1124"/>
        <v>9.3897258064516134</v>
      </c>
      <c r="BY385" s="48">
        <f t="shared" si="1125"/>
        <v>22.790338709677421</v>
      </c>
      <c r="BZ385" s="48">
        <f t="shared" si="1126"/>
        <v>13.693919354838709</v>
      </c>
      <c r="CA385" s="48">
        <f t="shared" si="1127"/>
        <v>15.797000000000001</v>
      </c>
      <c r="CB385" s="48">
        <f t="shared" si="1128"/>
        <v>31.215241935483871</v>
      </c>
      <c r="CC385" s="48">
        <f t="shared" si="1129"/>
        <v>4.2391612903225804</v>
      </c>
      <c r="CD385" s="47">
        <f t="shared" si="1130"/>
        <v>271.24969354838709</v>
      </c>
      <c r="CE385" s="66">
        <v>641964</v>
      </c>
      <c r="CF385" s="62">
        <v>17760</v>
      </c>
      <c r="CG385" s="74">
        <v>-49479</v>
      </c>
      <c r="CH385" s="75">
        <f t="shared" si="1131"/>
        <v>610245</v>
      </c>
      <c r="CI385" s="62">
        <f>29900+2960+900</f>
        <v>33760</v>
      </c>
      <c r="CJ385" s="62">
        <v>35520</v>
      </c>
      <c r="CK385" s="62">
        <v>92650</v>
      </c>
      <c r="CL385" s="62">
        <f>48500+600</f>
        <v>49100</v>
      </c>
      <c r="CM385" s="62">
        <v>49000</v>
      </c>
      <c r="CN385" s="62">
        <v>47220</v>
      </c>
      <c r="CO385" s="62">
        <v>54000</v>
      </c>
      <c r="CP385" s="75">
        <f t="shared" si="1147"/>
        <v>361250</v>
      </c>
      <c r="CQ385" s="62">
        <v>18500</v>
      </c>
      <c r="CR385" s="75">
        <f t="shared" si="1132"/>
        <v>379750</v>
      </c>
      <c r="CS385" s="75">
        <f t="shared" si="1133"/>
        <v>248995</v>
      </c>
      <c r="CT385" s="62">
        <v>199924</v>
      </c>
      <c r="CU385" s="47">
        <f t="shared" si="1134"/>
        <v>49071</v>
      </c>
      <c r="CV385" s="76">
        <f t="shared" si="1135"/>
        <v>0.4080246458389663</v>
      </c>
      <c r="CW385" s="75">
        <f t="shared" si="1136"/>
        <v>5131.7567567567567</v>
      </c>
      <c r="CX385" s="77">
        <f t="shared" si="1137"/>
        <v>0.62229104703848459</v>
      </c>
      <c r="CY385" s="75">
        <f t="shared" si="1138"/>
        <v>663.12162162162167</v>
      </c>
      <c r="CZ385" s="77">
        <f t="shared" si="1139"/>
        <v>8.0411965685913037E-2</v>
      </c>
      <c r="DA385" s="77">
        <f t="shared" si="1140"/>
        <v>0.32761268015305328</v>
      </c>
      <c r="DB385" s="47">
        <f t="shared" si="1141"/>
        <v>96439.040540540547</v>
      </c>
      <c r="DC385" s="69">
        <f t="shared" si="1148"/>
        <v>8675.1891891891901</v>
      </c>
      <c r="DD385" s="70">
        <f t="shared" si="1149"/>
        <v>240</v>
      </c>
      <c r="DE385" s="70">
        <f t="shared" si="1150"/>
        <v>-668.6351351351351</v>
      </c>
      <c r="DF385" s="70">
        <f t="shared" si="1151"/>
        <v>8246.5540540540533</v>
      </c>
      <c r="DG385" s="70">
        <f>IFERROR(IF(ABS(CI384)&gt;0,CI384/$T385,""),"")</f>
        <v>1748.2567567567567</v>
      </c>
      <c r="DH385" s="70">
        <f t="shared" si="1176"/>
        <v>480</v>
      </c>
      <c r="DI385" s="70">
        <f t="shared" si="1177"/>
        <v>1252.0270270270271</v>
      </c>
      <c r="DJ385" s="70">
        <f t="shared" si="1178"/>
        <v>663.51351351351354</v>
      </c>
      <c r="DK385" s="70">
        <f t="shared" si="1153"/>
        <v>662.16216216216219</v>
      </c>
      <c r="DL385" s="70">
        <f t="shared" si="1154"/>
        <v>638.10810810810813</v>
      </c>
      <c r="DM385" s="70">
        <f t="shared" si="1155"/>
        <v>729.72972972972968</v>
      </c>
      <c r="DN385" s="70">
        <f t="shared" si="1156"/>
        <v>4881.7567567567567</v>
      </c>
      <c r="DO385" s="70">
        <f t="shared" si="1157"/>
        <v>250</v>
      </c>
      <c r="DP385" s="70">
        <f t="shared" si="1158"/>
        <v>5131.7567567567567</v>
      </c>
      <c r="DQ385" s="70">
        <f t="shared" si="1159"/>
        <v>3364.7972972972975</v>
      </c>
      <c r="DR385" s="70">
        <f t="shared" si="1160"/>
        <v>2701.6756756756758</v>
      </c>
      <c r="DS385" s="71">
        <f t="shared" si="1161"/>
        <v>663.12162162162167</v>
      </c>
      <c r="DT385" s="106">
        <f t="shared" si="1162"/>
        <v>1.0519774844529657</v>
      </c>
      <c r="DU385" s="92">
        <f t="shared" si="1163"/>
        <v>2.9103065162352827E-2</v>
      </c>
      <c r="DV385" s="92" t="str">
        <f t="shared" si="1164"/>
        <v/>
      </c>
      <c r="DW385" s="92">
        <f t="shared" si="1165"/>
        <v>1</v>
      </c>
      <c r="DX385" s="92">
        <f>IFERROR(IF(ABS(CI384&gt;0),CI384/$CH385,""),"")</f>
        <v>0.21199845963506461</v>
      </c>
      <c r="DY385" s="92">
        <f t="shared" si="1179"/>
        <v>5.8206130324705653E-2</v>
      </c>
      <c r="DZ385" s="92">
        <f t="shared" si="1180"/>
        <v>0.15182426730247686</v>
      </c>
      <c r="EA385" s="92">
        <f t="shared" si="1181"/>
        <v>8.0459487582856065E-2</v>
      </c>
      <c r="EB385" s="92">
        <f t="shared" si="1167"/>
        <v>8.0295618972707677E-2</v>
      </c>
      <c r="EC385" s="92">
        <f t="shared" si="1168"/>
        <v>7.7378757712066468E-2</v>
      </c>
      <c r="ED385" s="92">
        <f t="shared" si="1169"/>
        <v>8.8489049480126841E-2</v>
      </c>
      <c r="EE385" s="92">
        <f t="shared" si="1170"/>
        <v>0.59197535416103364</v>
      </c>
      <c r="EF385" s="92">
        <f t="shared" si="1171"/>
        <v>3.031569287745086E-2</v>
      </c>
      <c r="EG385" s="92">
        <f t="shared" si="1172"/>
        <v>0.62229104703848459</v>
      </c>
      <c r="EH385" s="92">
        <f t="shared" si="1173"/>
        <v>0.4080246458389663</v>
      </c>
      <c r="EI385" s="92">
        <f t="shared" si="1174"/>
        <v>0.32761268015305328</v>
      </c>
      <c r="EJ385" s="122">
        <f t="shared" si="1175"/>
        <v>8.0411965685913037E-2</v>
      </c>
    </row>
    <row r="386" spans="2:140" ht="12" customHeight="1" outlineLevel="1">
      <c r="B386" s="272">
        <v>46104</v>
      </c>
      <c r="C386" s="117">
        <v>26425</v>
      </c>
      <c r="D386" s="50" t="s">
        <v>1676</v>
      </c>
      <c r="E386" s="50" t="s">
        <v>1677</v>
      </c>
      <c r="F386" s="50" t="s">
        <v>1678</v>
      </c>
      <c r="G386" s="50" t="s">
        <v>291</v>
      </c>
      <c r="H386" s="50" t="s">
        <v>424</v>
      </c>
      <c r="I386" s="50" t="s">
        <v>556</v>
      </c>
      <c r="J386" s="52" t="s">
        <v>175</v>
      </c>
      <c r="K386" s="50" t="s">
        <v>176</v>
      </c>
      <c r="L386" s="49">
        <v>6</v>
      </c>
      <c r="M386" s="50" t="s">
        <v>159</v>
      </c>
      <c r="N386" s="50" t="s">
        <v>244</v>
      </c>
      <c r="O386" s="50" t="s">
        <v>160</v>
      </c>
      <c r="P386" s="50" t="s">
        <v>177</v>
      </c>
      <c r="Q386" s="53">
        <v>0.04</v>
      </c>
      <c r="R386" s="49">
        <v>120</v>
      </c>
      <c r="S386" s="49">
        <v>0</v>
      </c>
      <c r="T386" s="54">
        <f t="shared" si="1146"/>
        <v>120</v>
      </c>
      <c r="U386" s="55">
        <v>115584</v>
      </c>
      <c r="V386" s="49">
        <v>5.17</v>
      </c>
      <c r="W386" s="56">
        <f t="shared" si="1099"/>
        <v>23.210831721470019</v>
      </c>
      <c r="X386" s="49" t="s">
        <v>163</v>
      </c>
      <c r="Y386" s="57" t="s">
        <v>162</v>
      </c>
      <c r="Z386" s="58">
        <v>25000000</v>
      </c>
      <c r="AA386" s="114">
        <v>6.5000000000000002E-2</v>
      </c>
      <c r="AB386" s="59">
        <v>15</v>
      </c>
      <c r="AC386" s="60">
        <v>40</v>
      </c>
      <c r="AD386" s="61">
        <v>6.5000000000000002E-2</v>
      </c>
      <c r="AE386" s="62">
        <v>12279678</v>
      </c>
      <c r="AF386" s="63">
        <v>1.32</v>
      </c>
      <c r="AG386" s="59">
        <v>20</v>
      </c>
      <c r="AH386" s="60">
        <v>0</v>
      </c>
      <c r="AI386" s="61">
        <v>0.01</v>
      </c>
      <c r="AJ386" s="64">
        <v>4000000</v>
      </c>
      <c r="AK386" s="65">
        <f t="shared" si="1100"/>
        <v>16279678</v>
      </c>
      <c r="AL386" s="66">
        <v>10000000</v>
      </c>
      <c r="AM386" s="49" t="s">
        <v>1679</v>
      </c>
      <c r="AN386" s="67">
        <v>0.85</v>
      </c>
      <c r="AO386" s="62">
        <v>19282976</v>
      </c>
      <c r="AP386" s="62">
        <v>1137535</v>
      </c>
      <c r="AQ386" s="68">
        <v>1680300</v>
      </c>
      <c r="AR386" s="69">
        <f t="shared" si="1101"/>
        <v>135663.98333333334</v>
      </c>
      <c r="AS386" s="70">
        <f t="shared" si="1102"/>
        <v>83333.333333333328</v>
      </c>
      <c r="AT386" s="70">
        <f t="shared" si="1103"/>
        <v>160691.46666666667</v>
      </c>
      <c r="AU386" s="70">
        <f t="shared" si="1104"/>
        <v>9479.4583333333339</v>
      </c>
      <c r="AV386" s="71">
        <f t="shared" si="1105"/>
        <v>14002.5</v>
      </c>
      <c r="AW386" s="115">
        <f t="shared" si="1106"/>
        <v>198222.51666666666</v>
      </c>
      <c r="AX386" s="116">
        <f t="shared" si="1107"/>
        <v>205.79580218715392</v>
      </c>
      <c r="AY386" s="72">
        <f t="shared" si="1108"/>
        <v>239532.08333333334</v>
      </c>
      <c r="AZ386" s="73">
        <f t="shared" si="1109"/>
        <v>248.68364133444078</v>
      </c>
      <c r="BA386" s="66">
        <v>800000</v>
      </c>
      <c r="BB386" s="62">
        <v>3678352</v>
      </c>
      <c r="BC386" s="62">
        <v>20108350</v>
      </c>
      <c r="BD386" s="62">
        <v>1427202</v>
      </c>
      <c r="BE386" s="62">
        <v>3529946</v>
      </c>
      <c r="BF386" s="62">
        <v>5800655</v>
      </c>
      <c r="BG386" s="62">
        <v>5293568</v>
      </c>
      <c r="BH386" s="62">
        <v>5674312</v>
      </c>
      <c r="BI386" s="62">
        <v>930570</v>
      </c>
      <c r="BJ386" s="47">
        <f t="shared" si="1110"/>
        <v>47242955</v>
      </c>
      <c r="BK386" s="69">
        <f t="shared" si="1111"/>
        <v>6666.666666666667</v>
      </c>
      <c r="BL386" s="70">
        <f t="shared" si="1112"/>
        <v>30652.933333333334</v>
      </c>
      <c r="BM386" s="70">
        <f t="shared" si="1113"/>
        <v>167569.58333333334</v>
      </c>
      <c r="BN386" s="70">
        <f t="shared" si="1114"/>
        <v>11893.35</v>
      </c>
      <c r="BO386" s="70">
        <f t="shared" si="1115"/>
        <v>29416.216666666667</v>
      </c>
      <c r="BP386" s="70">
        <f t="shared" si="1116"/>
        <v>48338.791666666664</v>
      </c>
      <c r="BQ386" s="70">
        <f t="shared" si="1117"/>
        <v>44113.066666666666</v>
      </c>
      <c r="BR386" s="70">
        <f t="shared" si="1118"/>
        <v>47285.933333333334</v>
      </c>
      <c r="BS386" s="70">
        <f t="shared" si="1119"/>
        <v>7754.75</v>
      </c>
      <c r="BT386" s="71">
        <f t="shared" si="1120"/>
        <v>393691.29166666669</v>
      </c>
      <c r="BU386" s="65">
        <f t="shared" si="1121"/>
        <v>6.921373200442968</v>
      </c>
      <c r="BV386" s="48">
        <f t="shared" si="1122"/>
        <v>31.824058693244741</v>
      </c>
      <c r="BW386" s="48">
        <f t="shared" si="1123"/>
        <v>173.9717434939092</v>
      </c>
      <c r="BX386" s="48">
        <f t="shared" si="1124"/>
        <v>12.347747093023257</v>
      </c>
      <c r="BY386" s="48">
        <f t="shared" si="1125"/>
        <v>30.540092054263567</v>
      </c>
      <c r="BZ386" s="48">
        <f t="shared" si="1126"/>
        <v>50.185622577519382</v>
      </c>
      <c r="CA386" s="48">
        <f t="shared" si="1127"/>
        <v>45.798449612403104</v>
      </c>
      <c r="CB386" s="48">
        <f t="shared" si="1128"/>
        <v>49.092538759689923</v>
      </c>
      <c r="CC386" s="48">
        <f t="shared" si="1129"/>
        <v>8.0510278239202666</v>
      </c>
      <c r="CD386" s="47">
        <f t="shared" si="1130"/>
        <v>408.73265330841639</v>
      </c>
      <c r="CE386" s="66">
        <v>2057760</v>
      </c>
      <c r="CF386" s="62">
        <v>21600</v>
      </c>
      <c r="CG386" s="74">
        <v>-103968</v>
      </c>
      <c r="CH386" s="75">
        <f t="shared" si="1131"/>
        <v>1975392</v>
      </c>
      <c r="CI386" s="62">
        <f>46921+3000+1000+5000+4800</f>
        <v>60721</v>
      </c>
      <c r="CJ386" s="62">
        <v>80003</v>
      </c>
      <c r="CK386" s="62">
        <v>205800</v>
      </c>
      <c r="CL386" s="62">
        <f>78632+130567</f>
        <v>209199</v>
      </c>
      <c r="CM386" s="62">
        <f>38800+58334</f>
        <v>97134</v>
      </c>
      <c r="CN386" s="62">
        <v>155000</v>
      </c>
      <c r="CO386" s="62">
        <v>0</v>
      </c>
      <c r="CP386" s="75">
        <f t="shared" si="1147"/>
        <v>807857</v>
      </c>
      <c r="CQ386" s="62">
        <v>30000</v>
      </c>
      <c r="CR386" s="75">
        <f t="shared" si="1132"/>
        <v>837857</v>
      </c>
      <c r="CS386" s="75">
        <f t="shared" si="1133"/>
        <v>1167535</v>
      </c>
      <c r="CT386" s="62">
        <v>902707</v>
      </c>
      <c r="CU386" s="47">
        <f t="shared" si="1134"/>
        <v>264828</v>
      </c>
      <c r="CV386" s="76">
        <f t="shared" si="1135"/>
        <v>0.59103965187669083</v>
      </c>
      <c r="CW386" s="75">
        <f t="shared" si="1136"/>
        <v>6982.1416666666664</v>
      </c>
      <c r="CX386" s="77">
        <f t="shared" si="1137"/>
        <v>0.42414720723785454</v>
      </c>
      <c r="CY386" s="75">
        <f t="shared" si="1138"/>
        <v>2206.9</v>
      </c>
      <c r="CZ386" s="77">
        <f t="shared" si="1139"/>
        <v>0.13406351751956067</v>
      </c>
      <c r="DA386" s="77">
        <f t="shared" si="1140"/>
        <v>0.45697613435713014</v>
      </c>
      <c r="DB386" s="47">
        <f t="shared" si="1141"/>
        <v>135663.98333333334</v>
      </c>
      <c r="DC386" s="69">
        <f t="shared" si="1148"/>
        <v>17148</v>
      </c>
      <c r="DD386" s="70">
        <f t="shared" si="1149"/>
        <v>180</v>
      </c>
      <c r="DE386" s="70">
        <f t="shared" si="1150"/>
        <v>-866.4</v>
      </c>
      <c r="DF386" s="70">
        <f t="shared" si="1151"/>
        <v>16461.599999999999</v>
      </c>
      <c r="DG386" s="70">
        <f t="shared" si="1152"/>
        <v>506.00833333333333</v>
      </c>
      <c r="DH386" s="70">
        <f t="shared" si="1176"/>
        <v>666.69166666666672</v>
      </c>
      <c r="DI386" s="70">
        <f t="shared" si="1177"/>
        <v>1715</v>
      </c>
      <c r="DJ386" s="70">
        <f t="shared" si="1178"/>
        <v>1743.325</v>
      </c>
      <c r="DK386" s="70">
        <f t="shared" si="1153"/>
        <v>809.45</v>
      </c>
      <c r="DL386" s="70">
        <f t="shared" si="1154"/>
        <v>1291.6666666666667</v>
      </c>
      <c r="DM386" s="70" t="str">
        <f t="shared" si="1155"/>
        <v/>
      </c>
      <c r="DN386" s="70">
        <f t="shared" si="1156"/>
        <v>6732.1416666666664</v>
      </c>
      <c r="DO386" s="70">
        <f t="shared" si="1157"/>
        <v>250</v>
      </c>
      <c r="DP386" s="70">
        <f t="shared" si="1158"/>
        <v>6982.1416666666664</v>
      </c>
      <c r="DQ386" s="70">
        <f t="shared" si="1159"/>
        <v>9729.4583333333339</v>
      </c>
      <c r="DR386" s="70">
        <f t="shared" si="1160"/>
        <v>7522.5583333333334</v>
      </c>
      <c r="DS386" s="71">
        <f t="shared" si="1161"/>
        <v>2206.9</v>
      </c>
      <c r="DT386" s="106">
        <f t="shared" si="1162"/>
        <v>1.0416970403848957</v>
      </c>
      <c r="DU386" s="92">
        <f t="shared" si="1163"/>
        <v>1.0934538562472663E-2</v>
      </c>
      <c r="DV386" s="92" t="str">
        <f t="shared" si="1164"/>
        <v/>
      </c>
      <c r="DW386" s="92">
        <f t="shared" si="1165"/>
        <v>1</v>
      </c>
      <c r="DX386" s="92">
        <f t="shared" si="1166"/>
        <v>3.0738709076476974E-2</v>
      </c>
      <c r="DY386" s="92">
        <f t="shared" si="1179"/>
        <v>4.0499809658032432E-2</v>
      </c>
      <c r="DZ386" s="92">
        <f t="shared" si="1180"/>
        <v>0.10418185352578122</v>
      </c>
      <c r="EA386" s="92">
        <f t="shared" si="1181"/>
        <v>0.1059025246634592</v>
      </c>
      <c r="EB386" s="92">
        <f t="shared" si="1167"/>
        <v>4.917201244107499E-2</v>
      </c>
      <c r="EC386" s="92">
        <f t="shared" si="1168"/>
        <v>7.8465438758484399E-2</v>
      </c>
      <c r="ED386" s="92" t="str">
        <f t="shared" si="1169"/>
        <v/>
      </c>
      <c r="EE386" s="92">
        <f t="shared" si="1170"/>
        <v>0.40896034812330917</v>
      </c>
      <c r="EF386" s="92">
        <f t="shared" si="1171"/>
        <v>1.5186859114545367E-2</v>
      </c>
      <c r="EG386" s="92">
        <f t="shared" si="1172"/>
        <v>0.42414720723785454</v>
      </c>
      <c r="EH386" s="92">
        <f t="shared" si="1173"/>
        <v>0.59103965187669083</v>
      </c>
      <c r="EI386" s="92">
        <f t="shared" si="1174"/>
        <v>0.45697613435713014</v>
      </c>
      <c r="EJ386" s="122">
        <f t="shared" si="1175"/>
        <v>0.13406351751956067</v>
      </c>
    </row>
    <row r="387" spans="2:140" ht="12" customHeight="1" outlineLevel="1">
      <c r="B387" s="272">
        <v>46106</v>
      </c>
      <c r="C387" s="117">
        <v>24076</v>
      </c>
      <c r="D387" s="50" t="s">
        <v>1680</v>
      </c>
      <c r="E387" s="50" t="s">
        <v>687</v>
      </c>
      <c r="F387" s="50" t="s">
        <v>688</v>
      </c>
      <c r="G387" s="50" t="s">
        <v>291</v>
      </c>
      <c r="H387" s="50" t="s">
        <v>424</v>
      </c>
      <c r="I387" s="50" t="s">
        <v>391</v>
      </c>
      <c r="J387" s="52" t="s">
        <v>1681</v>
      </c>
      <c r="K387" s="50" t="s">
        <v>176</v>
      </c>
      <c r="L387" s="49">
        <v>6</v>
      </c>
      <c r="M387" s="50" t="s">
        <v>159</v>
      </c>
      <c r="N387" s="50" t="s">
        <v>244</v>
      </c>
      <c r="O387" s="50" t="s">
        <v>160</v>
      </c>
      <c r="P387" s="50" t="s">
        <v>177</v>
      </c>
      <c r="Q387" s="53">
        <v>0.09</v>
      </c>
      <c r="R387" s="49">
        <v>98</v>
      </c>
      <c r="S387" s="49">
        <v>30</v>
      </c>
      <c r="T387" s="54">
        <f t="shared" ref="T387:T409" si="1182">IFERROR(IF(SUM(R387:S387)&gt;0,SUM(R387:S387),""),"")</f>
        <v>128</v>
      </c>
      <c r="U387" s="55">
        <v>102117</v>
      </c>
      <c r="V387" s="49">
        <v>5.8819999999999997</v>
      </c>
      <c r="W387" s="56">
        <f t="shared" ref="W387:W409" si="1183">IFERROR(IF(T387&gt;0,T387/V387,""),"")</f>
        <v>21.761305678340701</v>
      </c>
      <c r="X387" s="49" t="s">
        <v>163</v>
      </c>
      <c r="Y387" s="57" t="s">
        <v>162</v>
      </c>
      <c r="Z387" s="58">
        <v>17500000</v>
      </c>
      <c r="AA387" s="114">
        <v>7.8100000000000003E-2</v>
      </c>
      <c r="AB387" s="59">
        <v>18</v>
      </c>
      <c r="AC387" s="60">
        <v>40</v>
      </c>
      <c r="AD387" s="61">
        <v>6.6100000000000006E-2</v>
      </c>
      <c r="AE387" s="62">
        <v>9132423</v>
      </c>
      <c r="AF387" s="63">
        <v>1.1499999999999999</v>
      </c>
      <c r="AG387" s="59"/>
      <c r="AH387" s="60"/>
      <c r="AI387" s="61"/>
      <c r="AJ387" s="64"/>
      <c r="AK387" s="65">
        <f t="shared" ref="AK387:AK409" si="1184">IFERROR(IF(AE387&gt;0,AJ387+AE387,""),"")</f>
        <v>9132423</v>
      </c>
      <c r="AL387" s="66">
        <v>3000000</v>
      </c>
      <c r="AM387" s="49" t="s">
        <v>424</v>
      </c>
      <c r="AN387" s="67">
        <v>0.9</v>
      </c>
      <c r="AO387" s="62">
        <v>19244132</v>
      </c>
      <c r="AP387" s="62">
        <v>748043</v>
      </c>
      <c r="AQ387" s="68">
        <v>1245932</v>
      </c>
      <c r="AR387" s="69">
        <f t="shared" ref="AR387:AR409" si="1185">IFERROR(IF(AK387&gt;0,AK387/T387,""),"")</f>
        <v>71347.0546875</v>
      </c>
      <c r="AS387" s="70">
        <f t="shared" ref="AS387:AS409" si="1186">IFERROR(IF(AL387&gt;0,AL387/T387,""),"")</f>
        <v>23437.5</v>
      </c>
      <c r="AT387" s="70">
        <f t="shared" ref="AT387:AT409" si="1187">IFERROR(IF(AO387&gt;0,AO387/T387,""),"")</f>
        <v>150344.78125</v>
      </c>
      <c r="AU387" s="70">
        <f t="shared" ref="AU387:AU409" si="1188">IFERROR(IF(AP387&gt;0,AP387/T387,""),"")</f>
        <v>5844.0859375</v>
      </c>
      <c r="AV387" s="71">
        <f t="shared" ref="AV387:AV409" si="1189">IFERROR(IF(AQ387&gt;0,AQ387/T387,""),"")</f>
        <v>9733.84375</v>
      </c>
      <c r="AW387" s="115">
        <f t="shared" ref="AW387:AW409" si="1190">IFERROR(IF(SUM(BB387:BC387)&gt;0,SUM(BB387:BC387)/T387,""),"")</f>
        <v>145949.140625</v>
      </c>
      <c r="AX387" s="116">
        <f t="shared" ref="AX387:AX409" si="1191">IFERROR(IF(SUM(BB387:BC387)&gt;0,SUM(BB387:BC387)/U387,""),"")</f>
        <v>182.94201748974217</v>
      </c>
      <c r="AY387" s="72">
        <f t="shared" ref="AY387:AY409" si="1192">IFERROR(IF(SUM(BL387:BO387)&gt;0,SUM(BL387:BO387),""),"")</f>
        <v>168833.4453125</v>
      </c>
      <c r="AZ387" s="73">
        <f t="shared" ref="AZ387:AZ409" si="1193">IFERROR(IF(SUM(BV387:BY387)&gt;0,SUM(BV387:BY387),""),"")</f>
        <v>211.62667332569504</v>
      </c>
      <c r="BA387" s="66">
        <v>1500000</v>
      </c>
      <c r="BB387" s="62">
        <v>2086093</v>
      </c>
      <c r="BC387" s="62">
        <v>16595397</v>
      </c>
      <c r="BD387" s="62">
        <v>130704</v>
      </c>
      <c r="BE387" s="62">
        <v>2798487</v>
      </c>
      <c r="BF387" s="62">
        <v>1144889</v>
      </c>
      <c r="BG387" s="62">
        <v>1521054</v>
      </c>
      <c r="BH387" s="62">
        <v>3746971</v>
      </c>
      <c r="BI387" s="62">
        <v>676459</v>
      </c>
      <c r="BJ387" s="47">
        <f t="shared" ref="BJ387:BJ409" si="1194">IFERROR(IF(SUM(BA387:BI387)&gt;0,SUM(BA387:BI387),""),"")</f>
        <v>30200054</v>
      </c>
      <c r="BK387" s="69">
        <f t="shared" ref="BK387:BK409" si="1195">IFERROR(IF(BA387&gt;0,BA387/$T387,""),"")</f>
        <v>11718.75</v>
      </c>
      <c r="BL387" s="70">
        <f t="shared" si="1112"/>
        <v>16297.6015625</v>
      </c>
      <c r="BM387" s="70">
        <f t="shared" si="1113"/>
        <v>129651.5390625</v>
      </c>
      <c r="BN387" s="70">
        <f t="shared" si="1114"/>
        <v>1021.125</v>
      </c>
      <c r="BO387" s="70">
        <f t="shared" si="1115"/>
        <v>21863.1796875</v>
      </c>
      <c r="BP387" s="70">
        <f t="shared" si="1116"/>
        <v>8944.4453125</v>
      </c>
      <c r="BQ387" s="70">
        <f t="shared" si="1117"/>
        <v>11883.234375</v>
      </c>
      <c r="BR387" s="70">
        <f t="shared" si="1118"/>
        <v>29273.2109375</v>
      </c>
      <c r="BS387" s="70">
        <f t="shared" si="1119"/>
        <v>5284.8359375</v>
      </c>
      <c r="BT387" s="71">
        <f t="shared" si="1120"/>
        <v>235937.921875</v>
      </c>
      <c r="BU387" s="65">
        <f t="shared" ref="BU387:BU409" si="1196">IFERROR(IF(BA387&gt;0,BA387/$U387,""),"")</f>
        <v>14.689033167836893</v>
      </c>
      <c r="BV387" s="48">
        <f t="shared" si="1122"/>
        <v>20.428459512128246</v>
      </c>
      <c r="BW387" s="48">
        <f t="shared" si="1123"/>
        <v>162.51355797761391</v>
      </c>
      <c r="BX387" s="48">
        <f t="shared" si="1124"/>
        <v>1.2799435941126356</v>
      </c>
      <c r="BY387" s="48">
        <f t="shared" si="1125"/>
        <v>27.404712241840244</v>
      </c>
      <c r="BZ387" s="48">
        <f t="shared" si="1126"/>
        <v>11.211541662994408</v>
      </c>
      <c r="CA387" s="48">
        <f t="shared" si="1127"/>
        <v>14.895208437380651</v>
      </c>
      <c r="CB387" s="48">
        <f t="shared" si="1128"/>
        <v>36.692920865281984</v>
      </c>
      <c r="CC387" s="48">
        <f t="shared" si="1129"/>
        <v>6.6243524584545179</v>
      </c>
      <c r="CD387" s="47">
        <f t="shared" si="1130"/>
        <v>295.7397299176435</v>
      </c>
      <c r="CE387" s="66">
        <v>1522320</v>
      </c>
      <c r="CF387" s="62">
        <v>46080</v>
      </c>
      <c r="CG387" s="74">
        <v>-117630</v>
      </c>
      <c r="CH387" s="75">
        <f t="shared" ref="CH387:CH409" si="1197">IFERROR(IF(SUM(CE387:CG387)&gt;0,SUM(CE387:CG387),""),"")</f>
        <v>1450770</v>
      </c>
      <c r="CI387" s="62">
        <f>45056+3920</f>
        <v>48976</v>
      </c>
      <c r="CJ387" s="62">
        <v>58031</v>
      </c>
      <c r="CK387" s="62">
        <v>163213</v>
      </c>
      <c r="CL387" s="62">
        <v>84056</v>
      </c>
      <c r="CM387" s="62">
        <f>23680+80540</f>
        <v>104220</v>
      </c>
      <c r="CN387" s="62">
        <v>89863</v>
      </c>
      <c r="CO387" s="62">
        <v>115968</v>
      </c>
      <c r="CP387" s="75">
        <f t="shared" ref="CP387:CP409" si="1198">IFERROR(IF(SUM(CI387:CO387)&gt;0,SUM(CI387:CO387),""),"")</f>
        <v>664327</v>
      </c>
      <c r="CQ387" s="62">
        <v>38400</v>
      </c>
      <c r="CR387" s="75">
        <f t="shared" ref="CR387:CR409" si="1199">IFERROR(IF(SUM(CP387:CQ387)&gt;0,SUM(CP387:CQ387),""),"")</f>
        <v>702727</v>
      </c>
      <c r="CS387" s="75">
        <f t="shared" ref="CS387:CS409" si="1200">IFERROR(IF(CH387-CR387&gt;0,CH387-CP387,""),"")</f>
        <v>786443</v>
      </c>
      <c r="CT387" s="62">
        <v>650204</v>
      </c>
      <c r="CU387" s="47">
        <f t="shared" ref="CU387:CU409" si="1201">IFERROR(IF(CS387-CT387&gt;0,CS387-CT387,""),"")</f>
        <v>136239</v>
      </c>
      <c r="CV387" s="76">
        <f t="shared" ref="CV387:CV409" si="1202">IFERROR(IF(CU387&gt;0,CS387/CH387,""),"")</f>
        <v>0.54208661607284403</v>
      </c>
      <c r="CW387" s="75">
        <f t="shared" ref="CW387:CW409" si="1203">IFERROR(IF(CU387&gt;0,CR387/T387,""),"")</f>
        <v>5490.0546875</v>
      </c>
      <c r="CX387" s="77">
        <f t="shared" ref="CX387:CX409" si="1204">IFERROR(IF(CU387&gt;0,CR387/CH387,""),"")</f>
        <v>0.48438208675393069</v>
      </c>
      <c r="CY387" s="75">
        <f t="shared" ref="CY387:CY409" si="1205">IFERROR(IF(CU387&gt;0,CU387/T387,""),"")</f>
        <v>1064.3671875</v>
      </c>
      <c r="CZ387" s="77">
        <f t="shared" ref="CZ387:CZ409" si="1206">IFERROR(IF(CU387&gt;0,CU387/CH387,""),"")</f>
        <v>9.3908062615025129E-2</v>
      </c>
      <c r="DA387" s="77">
        <f t="shared" ref="DA387:DA409" si="1207">IFERROR(IF(CT387&gt;0,CT387/CH387,""),"")</f>
        <v>0.44817855345781893</v>
      </c>
      <c r="DB387" s="47">
        <f t="shared" ref="DB387:DB409" si="1208">IFERROR(IF(AR387&gt;0,AR387,""),"")</f>
        <v>71347.0546875</v>
      </c>
      <c r="DC387" s="69">
        <f t="shared" ref="DC387:DC409" si="1209">IFERROR(IF(ABS(CE387)&gt;0,CE387/$T387,""),"")</f>
        <v>11893.125</v>
      </c>
      <c r="DD387" s="70">
        <f t="shared" si="1149"/>
        <v>360</v>
      </c>
      <c r="DE387" s="70">
        <f t="shared" si="1150"/>
        <v>-918.984375</v>
      </c>
      <c r="DF387" s="70">
        <f t="shared" si="1151"/>
        <v>11334.140625</v>
      </c>
      <c r="DG387" s="70">
        <f t="shared" si="1152"/>
        <v>382.625</v>
      </c>
      <c r="DH387" s="70">
        <f t="shared" si="1176"/>
        <v>453.3671875</v>
      </c>
      <c r="DI387" s="70">
        <f t="shared" si="1177"/>
        <v>1275.1015625</v>
      </c>
      <c r="DJ387" s="70">
        <f t="shared" si="1178"/>
        <v>656.6875</v>
      </c>
      <c r="DK387" s="70">
        <f t="shared" si="1153"/>
        <v>814.21875</v>
      </c>
      <c r="DL387" s="70">
        <f t="shared" si="1154"/>
        <v>702.0546875</v>
      </c>
      <c r="DM387" s="70">
        <f t="shared" si="1155"/>
        <v>906</v>
      </c>
      <c r="DN387" s="70">
        <f t="shared" si="1156"/>
        <v>5190.0546875</v>
      </c>
      <c r="DO387" s="70">
        <f t="shared" si="1157"/>
        <v>300</v>
      </c>
      <c r="DP387" s="70">
        <f t="shared" si="1158"/>
        <v>5490.0546875</v>
      </c>
      <c r="DQ387" s="70">
        <f t="shared" si="1159"/>
        <v>6144.0859375</v>
      </c>
      <c r="DR387" s="70">
        <f t="shared" si="1160"/>
        <v>5079.71875</v>
      </c>
      <c r="DS387" s="71">
        <f t="shared" si="1161"/>
        <v>1064.3671875</v>
      </c>
      <c r="DT387" s="106">
        <f t="shared" ref="DT387:DT409" si="1210">IFERROR(IF(ABS(CE387&gt;0),CE387/$CH387,""),"")</f>
        <v>1.0493186376889514</v>
      </c>
      <c r="DU387" s="92">
        <f t="shared" si="1163"/>
        <v>3.1762443392129698E-2</v>
      </c>
      <c r="DV387" s="92" t="str">
        <f t="shared" si="1164"/>
        <v/>
      </c>
      <c r="DW387" s="92">
        <f t="shared" si="1165"/>
        <v>1</v>
      </c>
      <c r="DX387" s="92">
        <f t="shared" si="1166"/>
        <v>3.3758624730315628E-2</v>
      </c>
      <c r="DY387" s="92">
        <f t="shared" si="1179"/>
        <v>4.0000137857827224E-2</v>
      </c>
      <c r="DZ387" s="92">
        <f t="shared" si="1180"/>
        <v>0.11250094777256216</v>
      </c>
      <c r="EA387" s="92">
        <f t="shared" si="1181"/>
        <v>5.7938887625192143E-2</v>
      </c>
      <c r="EB387" s="92">
        <f t="shared" si="1167"/>
        <v>7.1837713765793343E-2</v>
      </c>
      <c r="EC387" s="92">
        <f t="shared" si="1168"/>
        <v>6.1941589638605708E-2</v>
      </c>
      <c r="ED387" s="92">
        <f t="shared" si="1169"/>
        <v>7.9935482536859739E-2</v>
      </c>
      <c r="EE387" s="92">
        <f t="shared" si="1170"/>
        <v>0.45791338392715591</v>
      </c>
      <c r="EF387" s="92">
        <f t="shared" si="1171"/>
        <v>2.6468702826774746E-2</v>
      </c>
      <c r="EG387" s="92">
        <f t="shared" si="1172"/>
        <v>0.48438208675393069</v>
      </c>
      <c r="EH387" s="92">
        <f t="shared" si="1173"/>
        <v>0.54208661607284403</v>
      </c>
      <c r="EI387" s="92">
        <f t="shared" si="1174"/>
        <v>0.44817855345781893</v>
      </c>
      <c r="EJ387" s="122">
        <f t="shared" si="1175"/>
        <v>9.3908062615025129E-2</v>
      </c>
    </row>
    <row r="388" spans="2:140" ht="12" customHeight="1" outlineLevel="1">
      <c r="B388" s="272">
        <v>46106</v>
      </c>
      <c r="C388" s="117">
        <v>25013</v>
      </c>
      <c r="D388" s="50" t="s">
        <v>1682</v>
      </c>
      <c r="E388" s="50" t="s">
        <v>1683</v>
      </c>
      <c r="F388" s="50" t="s">
        <v>1684</v>
      </c>
      <c r="G388" s="50" t="s">
        <v>291</v>
      </c>
      <c r="H388" s="50" t="s">
        <v>651</v>
      </c>
      <c r="I388" s="50" t="s">
        <v>306</v>
      </c>
      <c r="J388" s="52" t="s">
        <v>574</v>
      </c>
      <c r="K388" s="50" t="s">
        <v>312</v>
      </c>
      <c r="L388" s="49">
        <v>10</v>
      </c>
      <c r="M388" s="50" t="s">
        <v>159</v>
      </c>
      <c r="N388" s="50" t="s">
        <v>244</v>
      </c>
      <c r="O388" s="50" t="s">
        <v>160</v>
      </c>
      <c r="P388" s="50" t="s">
        <v>177</v>
      </c>
      <c r="Q388" s="53">
        <v>0.09</v>
      </c>
      <c r="R388" s="49">
        <v>75</v>
      </c>
      <c r="S388" s="49">
        <v>0</v>
      </c>
      <c r="T388" s="54">
        <f t="shared" si="1182"/>
        <v>75</v>
      </c>
      <c r="U388" s="55">
        <v>54250</v>
      </c>
      <c r="V388" s="49">
        <v>5.67</v>
      </c>
      <c r="W388" s="56">
        <f t="shared" si="1183"/>
        <v>13.227513227513228</v>
      </c>
      <c r="X388" s="49" t="s">
        <v>163</v>
      </c>
      <c r="Y388" s="57" t="s">
        <v>162</v>
      </c>
      <c r="Z388" s="58">
        <v>15188778</v>
      </c>
      <c r="AA388" s="114">
        <v>6.8500000000000005E-2</v>
      </c>
      <c r="AB388" s="59">
        <v>15</v>
      </c>
      <c r="AC388" s="60">
        <v>35</v>
      </c>
      <c r="AD388" s="61">
        <v>0.06</v>
      </c>
      <c r="AE388" s="62">
        <v>4100000</v>
      </c>
      <c r="AF388" s="63">
        <v>1.2</v>
      </c>
      <c r="AG388" s="59"/>
      <c r="AH388" s="60"/>
      <c r="AI388" s="61"/>
      <c r="AJ388" s="64"/>
      <c r="AK388" s="65">
        <f t="shared" si="1184"/>
        <v>4100000</v>
      </c>
      <c r="AL388" s="66">
        <v>1000000</v>
      </c>
      <c r="AM388" s="49" t="s">
        <v>1685</v>
      </c>
      <c r="AN388" s="67">
        <v>0.82</v>
      </c>
      <c r="AO388" s="62">
        <v>16572320</v>
      </c>
      <c r="AP388" s="62">
        <v>335820</v>
      </c>
      <c r="AQ388" s="68">
        <v>599415</v>
      </c>
      <c r="AR388" s="69">
        <f t="shared" si="1185"/>
        <v>54666.666666666664</v>
      </c>
      <c r="AS388" s="70">
        <f t="shared" si="1186"/>
        <v>13333.333333333334</v>
      </c>
      <c r="AT388" s="70">
        <f t="shared" si="1187"/>
        <v>220964.26666666666</v>
      </c>
      <c r="AU388" s="70">
        <f t="shared" si="1188"/>
        <v>4477.6000000000004</v>
      </c>
      <c r="AV388" s="71">
        <f t="shared" si="1189"/>
        <v>7992.2</v>
      </c>
      <c r="AW388" s="115">
        <f t="shared" si="1190"/>
        <v>141740</v>
      </c>
      <c r="AX388" s="116">
        <f t="shared" si="1191"/>
        <v>195.95391705069125</v>
      </c>
      <c r="AY388" s="72">
        <f t="shared" si="1192"/>
        <v>171910.12</v>
      </c>
      <c r="AZ388" s="73">
        <f t="shared" si="1193"/>
        <v>237.66376036866359</v>
      </c>
      <c r="BA388" s="66">
        <v>2500000</v>
      </c>
      <c r="BB388" s="62">
        <v>1702925</v>
      </c>
      <c r="BC388" s="62">
        <v>8927575</v>
      </c>
      <c r="BD388" s="62">
        <v>686745</v>
      </c>
      <c r="BE388" s="62">
        <v>1576014</v>
      </c>
      <c r="BF388" s="62">
        <v>2149070</v>
      </c>
      <c r="BG388" s="62">
        <v>153092</v>
      </c>
      <c r="BH388" s="62">
        <v>2409353</v>
      </c>
      <c r="BI388" s="62">
        <v>190146</v>
      </c>
      <c r="BJ388" s="47">
        <f t="shared" si="1194"/>
        <v>20294920</v>
      </c>
      <c r="BK388" s="69">
        <f t="shared" si="1195"/>
        <v>33333.333333333336</v>
      </c>
      <c r="BL388" s="70">
        <f t="shared" si="1112"/>
        <v>22705.666666666668</v>
      </c>
      <c r="BM388" s="70">
        <f t="shared" si="1113"/>
        <v>119034.33333333333</v>
      </c>
      <c r="BN388" s="70">
        <f t="shared" si="1114"/>
        <v>9156.6</v>
      </c>
      <c r="BO388" s="70">
        <f t="shared" si="1115"/>
        <v>21013.52</v>
      </c>
      <c r="BP388" s="70">
        <f t="shared" si="1116"/>
        <v>28654.266666666666</v>
      </c>
      <c r="BQ388" s="70">
        <f t="shared" si="1117"/>
        <v>2041.2266666666667</v>
      </c>
      <c r="BR388" s="70">
        <f t="shared" si="1118"/>
        <v>32124.706666666665</v>
      </c>
      <c r="BS388" s="70">
        <f t="shared" si="1119"/>
        <v>2535.2800000000002</v>
      </c>
      <c r="BT388" s="71">
        <f t="shared" si="1120"/>
        <v>270598.93333333335</v>
      </c>
      <c r="BU388" s="65">
        <f t="shared" si="1196"/>
        <v>46.082949308755758</v>
      </c>
      <c r="BV388" s="48">
        <f t="shared" si="1122"/>
        <v>31.390322580645162</v>
      </c>
      <c r="BW388" s="48">
        <f t="shared" si="1123"/>
        <v>164.56359447004607</v>
      </c>
      <c r="BX388" s="48">
        <f t="shared" si="1124"/>
        <v>12.65889400921659</v>
      </c>
      <c r="BY388" s="48">
        <f t="shared" si="1125"/>
        <v>29.050949308755762</v>
      </c>
      <c r="BZ388" s="48">
        <f t="shared" si="1126"/>
        <v>39.614193548387099</v>
      </c>
      <c r="CA388" s="48">
        <f t="shared" si="1127"/>
        <v>2.8219723502304146</v>
      </c>
      <c r="CB388" s="48">
        <f t="shared" si="1128"/>
        <v>44.41203686635945</v>
      </c>
      <c r="CC388" s="48">
        <f t="shared" si="1129"/>
        <v>3.5049953917050689</v>
      </c>
      <c r="CD388" s="47">
        <f t="shared" si="1130"/>
        <v>374.09990783410137</v>
      </c>
      <c r="CE388" s="66">
        <v>711000</v>
      </c>
      <c r="CF388" s="62">
        <v>27000</v>
      </c>
      <c r="CG388" s="74">
        <v>-55350</v>
      </c>
      <c r="CH388" s="75">
        <f t="shared" si="1197"/>
        <v>682650</v>
      </c>
      <c r="CI388" s="62">
        <f>18000+2960+3960</f>
        <v>24920</v>
      </c>
      <c r="CJ388" s="62">
        <v>34133</v>
      </c>
      <c r="CK388" s="62">
        <v>82200</v>
      </c>
      <c r="CL388" s="62">
        <v>45818</v>
      </c>
      <c r="CM388" s="62">
        <f>16040+34290</f>
        <v>50330</v>
      </c>
      <c r="CN388" s="62">
        <v>43425</v>
      </c>
      <c r="CO388" s="62">
        <v>47255</v>
      </c>
      <c r="CP388" s="75">
        <f t="shared" si="1198"/>
        <v>328081</v>
      </c>
      <c r="CQ388" s="62">
        <v>18750</v>
      </c>
      <c r="CR388" s="75">
        <f t="shared" si="1199"/>
        <v>346831</v>
      </c>
      <c r="CS388" s="75">
        <f t="shared" si="1200"/>
        <v>354569</v>
      </c>
      <c r="CT388" s="62">
        <v>280533</v>
      </c>
      <c r="CU388" s="47">
        <f t="shared" si="1201"/>
        <v>74036</v>
      </c>
      <c r="CV388" s="76">
        <f t="shared" si="1202"/>
        <v>0.51940086427891308</v>
      </c>
      <c r="CW388" s="75">
        <f t="shared" si="1203"/>
        <v>4624.413333333333</v>
      </c>
      <c r="CX388" s="77">
        <f t="shared" si="1204"/>
        <v>0.50806562660221199</v>
      </c>
      <c r="CY388" s="75">
        <f t="shared" si="1205"/>
        <v>987.14666666666665</v>
      </c>
      <c r="CZ388" s="77">
        <f t="shared" si="1206"/>
        <v>0.10845381967333187</v>
      </c>
      <c r="DA388" s="77">
        <f t="shared" si="1207"/>
        <v>0.41094704460558118</v>
      </c>
      <c r="DB388" s="47">
        <f t="shared" si="1208"/>
        <v>54666.666666666664</v>
      </c>
      <c r="DC388" s="69">
        <f t="shared" si="1209"/>
        <v>9480</v>
      </c>
      <c r="DD388" s="70">
        <f t="shared" si="1149"/>
        <v>360</v>
      </c>
      <c r="DE388" s="70">
        <f t="shared" si="1150"/>
        <v>-738</v>
      </c>
      <c r="DF388" s="70">
        <f t="shared" si="1151"/>
        <v>9102</v>
      </c>
      <c r="DG388" s="70">
        <f t="shared" si="1152"/>
        <v>332.26666666666665</v>
      </c>
      <c r="DH388" s="70">
        <f t="shared" si="1176"/>
        <v>455.10666666666668</v>
      </c>
      <c r="DI388" s="70">
        <f t="shared" si="1177"/>
        <v>1096</v>
      </c>
      <c r="DJ388" s="70">
        <f t="shared" si="1178"/>
        <v>610.90666666666664</v>
      </c>
      <c r="DK388" s="70">
        <f t="shared" si="1153"/>
        <v>671.06666666666672</v>
      </c>
      <c r="DL388" s="70">
        <f t="shared" si="1154"/>
        <v>579</v>
      </c>
      <c r="DM388" s="70">
        <f t="shared" si="1155"/>
        <v>630.06666666666672</v>
      </c>
      <c r="DN388" s="70">
        <f t="shared" si="1156"/>
        <v>4374.413333333333</v>
      </c>
      <c r="DO388" s="70">
        <f t="shared" si="1157"/>
        <v>250</v>
      </c>
      <c r="DP388" s="70">
        <f t="shared" si="1158"/>
        <v>4624.413333333333</v>
      </c>
      <c r="DQ388" s="70">
        <f t="shared" si="1159"/>
        <v>4727.586666666667</v>
      </c>
      <c r="DR388" s="70">
        <f t="shared" si="1160"/>
        <v>3740.44</v>
      </c>
      <c r="DS388" s="71">
        <f t="shared" si="1161"/>
        <v>987.14666666666665</v>
      </c>
      <c r="DT388" s="106">
        <f t="shared" si="1210"/>
        <v>1.0415293342122611</v>
      </c>
      <c r="DU388" s="92">
        <f t="shared" si="1163"/>
        <v>3.9551746868820042E-2</v>
      </c>
      <c r="DV388" s="92" t="str">
        <f t="shared" si="1164"/>
        <v/>
      </c>
      <c r="DW388" s="92">
        <f t="shared" si="1165"/>
        <v>1</v>
      </c>
      <c r="DX388" s="92">
        <f t="shared" si="1166"/>
        <v>3.6504797480407233E-2</v>
      </c>
      <c r="DY388" s="92">
        <f t="shared" si="1179"/>
        <v>5.0000732439756827E-2</v>
      </c>
      <c r="DZ388" s="92">
        <f t="shared" si="1180"/>
        <v>0.12041309602285212</v>
      </c>
      <c r="EA388" s="92">
        <f t="shared" si="1181"/>
        <v>6.7117849556873943E-2</v>
      </c>
      <c r="EB388" s="92">
        <f t="shared" si="1167"/>
        <v>7.3727385922507868E-2</v>
      </c>
      <c r="EC388" s="92">
        <f t="shared" si="1168"/>
        <v>6.361239288068557E-2</v>
      </c>
      <c r="ED388" s="92">
        <f t="shared" si="1169"/>
        <v>6.9222881418003368E-2</v>
      </c>
      <c r="EE388" s="92">
        <f t="shared" si="1170"/>
        <v>0.48059913572108692</v>
      </c>
      <c r="EF388" s="92">
        <f t="shared" si="1171"/>
        <v>2.7466490881125027E-2</v>
      </c>
      <c r="EG388" s="92">
        <f t="shared" si="1172"/>
        <v>0.50806562660221199</v>
      </c>
      <c r="EH388" s="92">
        <f t="shared" si="1173"/>
        <v>0.51940086427891308</v>
      </c>
      <c r="EI388" s="92">
        <f t="shared" si="1174"/>
        <v>0.41094704460558118</v>
      </c>
      <c r="EJ388" s="122">
        <f t="shared" si="1175"/>
        <v>0.10845381967333187</v>
      </c>
    </row>
    <row r="389" spans="2:140" ht="12" customHeight="1" outlineLevel="1">
      <c r="B389" s="272">
        <v>46111</v>
      </c>
      <c r="C389" s="117">
        <v>26604</v>
      </c>
      <c r="D389" s="50" t="s">
        <v>1686</v>
      </c>
      <c r="E389" s="50" t="s">
        <v>1471</v>
      </c>
      <c r="F389" s="50" t="s">
        <v>1472</v>
      </c>
      <c r="G389" s="50" t="s">
        <v>249</v>
      </c>
      <c r="H389" s="50" t="s">
        <v>1084</v>
      </c>
      <c r="I389" s="50" t="s">
        <v>248</v>
      </c>
      <c r="J389" s="52" t="s">
        <v>230</v>
      </c>
      <c r="K389" s="50" t="s">
        <v>230</v>
      </c>
      <c r="L389" s="49">
        <v>3</v>
      </c>
      <c r="M389" s="50" t="s">
        <v>159</v>
      </c>
      <c r="N389" s="50" t="s">
        <v>160</v>
      </c>
      <c r="O389" s="50" t="s">
        <v>160</v>
      </c>
      <c r="P389" s="50" t="s">
        <v>177</v>
      </c>
      <c r="Q389" s="53">
        <v>0.04</v>
      </c>
      <c r="R389" s="49">
        <v>300</v>
      </c>
      <c r="S389" s="49">
        <v>0</v>
      </c>
      <c r="T389" s="54">
        <f t="shared" si="1182"/>
        <v>300</v>
      </c>
      <c r="U389" s="55">
        <v>315972</v>
      </c>
      <c r="V389" s="49">
        <v>12.82</v>
      </c>
      <c r="W389" s="56">
        <f t="shared" si="1183"/>
        <v>23.400936037441497</v>
      </c>
      <c r="X389" s="49" t="s">
        <v>163</v>
      </c>
      <c r="Y389" s="57" t="s">
        <v>162</v>
      </c>
      <c r="Z389" s="58">
        <v>48000000</v>
      </c>
      <c r="AA389" s="114">
        <v>5.8999999999999997E-2</v>
      </c>
      <c r="AB389" s="59">
        <v>15</v>
      </c>
      <c r="AC389" s="60">
        <v>40</v>
      </c>
      <c r="AD389" s="61">
        <v>5.8999999999999997E-2</v>
      </c>
      <c r="AE389" s="62">
        <v>48000000</v>
      </c>
      <c r="AF389" s="63">
        <v>1.1599999999999999</v>
      </c>
      <c r="AG389" s="59"/>
      <c r="AH389" s="60"/>
      <c r="AI389" s="61"/>
      <c r="AJ389" s="64"/>
      <c r="AK389" s="65">
        <f t="shared" si="1184"/>
        <v>48000000</v>
      </c>
      <c r="AL389" s="66">
        <v>0</v>
      </c>
      <c r="AM389" s="49" t="s">
        <v>163</v>
      </c>
      <c r="AN389" s="67">
        <v>0.83</v>
      </c>
      <c r="AO389" s="62">
        <v>38265532</v>
      </c>
      <c r="AP389" s="62">
        <v>3698888</v>
      </c>
      <c r="AQ389" s="68">
        <v>3690429</v>
      </c>
      <c r="AR389" s="69">
        <f t="shared" si="1185"/>
        <v>160000</v>
      </c>
      <c r="AS389" s="70" t="str">
        <f t="shared" si="1186"/>
        <v/>
      </c>
      <c r="AT389" s="70">
        <f t="shared" si="1187"/>
        <v>127551.77333333333</v>
      </c>
      <c r="AU389" s="70">
        <f t="shared" si="1188"/>
        <v>12329.626666666667</v>
      </c>
      <c r="AV389" s="71">
        <f t="shared" si="1189"/>
        <v>12301.43</v>
      </c>
      <c r="AW389" s="115">
        <f t="shared" si="1190"/>
        <v>153514.28333333333</v>
      </c>
      <c r="AX389" s="116">
        <f t="shared" si="1191"/>
        <v>145.75432316787564</v>
      </c>
      <c r="AY389" s="72">
        <f t="shared" si="1192"/>
        <v>185397.61666666664</v>
      </c>
      <c r="AZ389" s="73">
        <f t="shared" si="1193"/>
        <v>176.02599280948945</v>
      </c>
      <c r="BA389" s="66">
        <v>3110090</v>
      </c>
      <c r="BB389" s="62">
        <v>8701285</v>
      </c>
      <c r="BC389" s="62">
        <v>37353000</v>
      </c>
      <c r="BD389" s="62">
        <v>2750000</v>
      </c>
      <c r="BE389" s="62">
        <v>6815000</v>
      </c>
      <c r="BF389" s="62">
        <v>4640415</v>
      </c>
      <c r="BG389" s="62">
        <v>11050742</v>
      </c>
      <c r="BH389" s="62">
        <v>10455000</v>
      </c>
      <c r="BI389" s="62">
        <v>2040000</v>
      </c>
      <c r="BJ389" s="47">
        <f t="shared" si="1194"/>
        <v>86915532</v>
      </c>
      <c r="BK389" s="69">
        <f t="shared" si="1195"/>
        <v>10366.966666666667</v>
      </c>
      <c r="BL389" s="70">
        <f t="shared" si="1112"/>
        <v>29004.283333333333</v>
      </c>
      <c r="BM389" s="70">
        <f t="shared" si="1113"/>
        <v>124510</v>
      </c>
      <c r="BN389" s="70">
        <f t="shared" si="1114"/>
        <v>9166.6666666666661</v>
      </c>
      <c r="BO389" s="70">
        <f t="shared" si="1115"/>
        <v>22716.666666666668</v>
      </c>
      <c r="BP389" s="70">
        <f t="shared" si="1116"/>
        <v>15468.05</v>
      </c>
      <c r="BQ389" s="70">
        <f t="shared" si="1117"/>
        <v>36835.806666666664</v>
      </c>
      <c r="BR389" s="70">
        <f t="shared" si="1118"/>
        <v>34850</v>
      </c>
      <c r="BS389" s="70">
        <f t="shared" si="1119"/>
        <v>6800</v>
      </c>
      <c r="BT389" s="71">
        <f t="shared" si="1120"/>
        <v>289718.44</v>
      </c>
      <c r="BU389" s="65">
        <f t="shared" si="1196"/>
        <v>9.8429291203017986</v>
      </c>
      <c r="BV389" s="48">
        <f t="shared" si="1122"/>
        <v>27.538152114744346</v>
      </c>
      <c r="BW389" s="48">
        <f t="shared" si="1123"/>
        <v>118.21617105313129</v>
      </c>
      <c r="BX389" s="48">
        <f t="shared" si="1124"/>
        <v>8.7033028243008879</v>
      </c>
      <c r="BY389" s="48">
        <f t="shared" si="1125"/>
        <v>21.568366817312928</v>
      </c>
      <c r="BZ389" s="48">
        <f t="shared" si="1126"/>
        <v>14.686158900155711</v>
      </c>
      <c r="CA389" s="48">
        <f t="shared" si="1127"/>
        <v>34.973801476080162</v>
      </c>
      <c r="CB389" s="48">
        <f t="shared" si="1128"/>
        <v>33.088374919296648</v>
      </c>
      <c r="CC389" s="48">
        <f t="shared" si="1129"/>
        <v>6.4562682769359307</v>
      </c>
      <c r="CD389" s="47">
        <f t="shared" si="1130"/>
        <v>275.07352550225971</v>
      </c>
      <c r="CE389" s="66">
        <v>5704812</v>
      </c>
      <c r="CF389" s="62">
        <v>76800</v>
      </c>
      <c r="CG389" s="74">
        <v>-433621</v>
      </c>
      <c r="CH389" s="75">
        <f t="shared" si="1197"/>
        <v>5347991</v>
      </c>
      <c r="CI389" s="62">
        <f>121000+4500+7500+12000+8100</f>
        <v>153100</v>
      </c>
      <c r="CJ389" s="62">
        <v>217000</v>
      </c>
      <c r="CK389" s="62">
        <v>305000</v>
      </c>
      <c r="CL389" s="62">
        <f>155000+20000</f>
        <v>175000</v>
      </c>
      <c r="CM389" s="62">
        <f>320000</f>
        <v>320000</v>
      </c>
      <c r="CN389" s="62">
        <v>300000</v>
      </c>
      <c r="CO389" s="62">
        <v>0</v>
      </c>
      <c r="CP389" s="75">
        <f t="shared" si="1198"/>
        <v>1470100</v>
      </c>
      <c r="CQ389" s="62">
        <v>75000</v>
      </c>
      <c r="CR389" s="75">
        <f t="shared" si="1199"/>
        <v>1545100</v>
      </c>
      <c r="CS389" s="75">
        <f t="shared" si="1200"/>
        <v>3877891</v>
      </c>
      <c r="CT389" s="62">
        <v>3177170</v>
      </c>
      <c r="CU389" s="47">
        <f t="shared" si="1201"/>
        <v>700721</v>
      </c>
      <c r="CV389" s="76">
        <f t="shared" si="1202"/>
        <v>0.72511172887164543</v>
      </c>
      <c r="CW389" s="75">
        <f t="shared" si="1203"/>
        <v>5150.333333333333</v>
      </c>
      <c r="CX389" s="77">
        <f t="shared" si="1204"/>
        <v>0.28891222890988411</v>
      </c>
      <c r="CY389" s="75">
        <f t="shared" si="1205"/>
        <v>2335.7366666666667</v>
      </c>
      <c r="CZ389" s="77">
        <f t="shared" si="1206"/>
        <v>0.13102508960841558</v>
      </c>
      <c r="DA389" s="77">
        <f t="shared" si="1207"/>
        <v>0.59408663926322991</v>
      </c>
      <c r="DB389" s="47">
        <f t="shared" si="1208"/>
        <v>160000</v>
      </c>
      <c r="DC389" s="69">
        <f t="shared" si="1209"/>
        <v>19016.04</v>
      </c>
      <c r="DD389" s="70">
        <f t="shared" si="1149"/>
        <v>256</v>
      </c>
      <c r="DE389" s="70">
        <f t="shared" si="1150"/>
        <v>-1445.4033333333334</v>
      </c>
      <c r="DF389" s="70">
        <f t="shared" si="1151"/>
        <v>17826.636666666665</v>
      </c>
      <c r="DG389" s="70">
        <f t="shared" si="1152"/>
        <v>510.33333333333331</v>
      </c>
      <c r="DH389" s="70">
        <f t="shared" si="1176"/>
        <v>723.33333333333337</v>
      </c>
      <c r="DI389" s="70">
        <f t="shared" si="1177"/>
        <v>1016.6666666666666</v>
      </c>
      <c r="DJ389" s="70">
        <f t="shared" si="1178"/>
        <v>583.33333333333337</v>
      </c>
      <c r="DK389" s="70">
        <f t="shared" si="1153"/>
        <v>1066.6666666666667</v>
      </c>
      <c r="DL389" s="70">
        <f t="shared" si="1154"/>
        <v>1000</v>
      </c>
      <c r="DM389" s="70" t="str">
        <f t="shared" si="1155"/>
        <v/>
      </c>
      <c r="DN389" s="70">
        <f t="shared" si="1156"/>
        <v>4900.333333333333</v>
      </c>
      <c r="DO389" s="70">
        <f t="shared" si="1157"/>
        <v>250</v>
      </c>
      <c r="DP389" s="70">
        <f t="shared" si="1158"/>
        <v>5150.333333333333</v>
      </c>
      <c r="DQ389" s="70">
        <f t="shared" si="1159"/>
        <v>12926.303333333333</v>
      </c>
      <c r="DR389" s="70">
        <f t="shared" si="1160"/>
        <v>10590.566666666668</v>
      </c>
      <c r="DS389" s="71">
        <f t="shared" si="1161"/>
        <v>2335.7366666666667</v>
      </c>
      <c r="DT389" s="106">
        <f t="shared" si="1210"/>
        <v>1.0667205685275087</v>
      </c>
      <c r="DU389" s="92">
        <f t="shared" si="1163"/>
        <v>1.436053276828626E-2</v>
      </c>
      <c r="DV389" s="92" t="str">
        <f t="shared" si="1164"/>
        <v/>
      </c>
      <c r="DW389" s="92">
        <f t="shared" si="1165"/>
        <v>1</v>
      </c>
      <c r="DX389" s="92">
        <f t="shared" si="1166"/>
        <v>2.8627572484695656E-2</v>
      </c>
      <c r="DY389" s="92">
        <f t="shared" si="1179"/>
        <v>4.0575984514558829E-2</v>
      </c>
      <c r="DZ389" s="92">
        <f t="shared" si="1180"/>
        <v>5.7030761644886838E-2</v>
      </c>
      <c r="EA389" s="92">
        <f t="shared" si="1181"/>
        <v>3.2722568156902283E-2</v>
      </c>
      <c r="EB389" s="92">
        <f t="shared" si="1167"/>
        <v>5.983555320119275E-2</v>
      </c>
      <c r="EC389" s="92">
        <f t="shared" si="1168"/>
        <v>5.6095831126118198E-2</v>
      </c>
      <c r="ED389" s="92" t="str">
        <f t="shared" si="1169"/>
        <v/>
      </c>
      <c r="EE389" s="92">
        <f t="shared" si="1170"/>
        <v>0.27488827112835457</v>
      </c>
      <c r="EF389" s="92">
        <f t="shared" si="1171"/>
        <v>1.4023957781529549E-2</v>
      </c>
      <c r="EG389" s="92">
        <f t="shared" si="1172"/>
        <v>0.28891222890988411</v>
      </c>
      <c r="EH389" s="92">
        <f t="shared" si="1173"/>
        <v>0.72511172887164543</v>
      </c>
      <c r="EI389" s="92">
        <f t="shared" si="1174"/>
        <v>0.59408663926322991</v>
      </c>
      <c r="EJ389" s="122">
        <f t="shared" si="1175"/>
        <v>0.13102508960841558</v>
      </c>
    </row>
    <row r="390" spans="2:140" ht="12" customHeight="1" outlineLevel="1">
      <c r="B390" s="272">
        <v>46113</v>
      </c>
      <c r="C390" s="117">
        <v>26410</v>
      </c>
      <c r="D390" s="50" t="s">
        <v>1687</v>
      </c>
      <c r="E390" s="50" t="s">
        <v>393</v>
      </c>
      <c r="F390" s="50" t="s">
        <v>1257</v>
      </c>
      <c r="G390" s="50" t="s">
        <v>249</v>
      </c>
      <c r="H390" s="50" t="s">
        <v>259</v>
      </c>
      <c r="I390" s="50" t="s">
        <v>1400</v>
      </c>
      <c r="J390" s="52" t="s">
        <v>183</v>
      </c>
      <c r="K390" s="50" t="s">
        <v>184</v>
      </c>
      <c r="L390" s="49">
        <v>9</v>
      </c>
      <c r="M390" s="50" t="s">
        <v>159</v>
      </c>
      <c r="N390" s="50" t="s">
        <v>244</v>
      </c>
      <c r="O390" s="50" t="s">
        <v>160</v>
      </c>
      <c r="P390" s="50" t="s">
        <v>177</v>
      </c>
      <c r="Q390" s="53">
        <v>0.04</v>
      </c>
      <c r="R390" s="49">
        <v>248</v>
      </c>
      <c r="S390" s="49">
        <v>0</v>
      </c>
      <c r="T390" s="54">
        <f t="shared" si="1182"/>
        <v>248</v>
      </c>
      <c r="U390" s="55">
        <v>218147</v>
      </c>
      <c r="V390" s="49">
        <v>10</v>
      </c>
      <c r="W390" s="56">
        <f t="shared" si="1183"/>
        <v>24.8</v>
      </c>
      <c r="X390" s="49" t="s">
        <v>163</v>
      </c>
      <c r="Y390" s="57" t="s">
        <v>162</v>
      </c>
      <c r="Z390" s="58">
        <v>45000000</v>
      </c>
      <c r="AA390" s="114">
        <v>7.2499999999999995E-2</v>
      </c>
      <c r="AB390" s="59">
        <v>17</v>
      </c>
      <c r="AC390" s="60">
        <v>40</v>
      </c>
      <c r="AD390" s="61">
        <v>5.7000000000000002E-2</v>
      </c>
      <c r="AE390" s="62">
        <v>27624024</v>
      </c>
      <c r="AF390" s="63">
        <v>1.19</v>
      </c>
      <c r="AG390" s="59"/>
      <c r="AH390" s="60"/>
      <c r="AI390" s="61"/>
      <c r="AJ390" s="64"/>
      <c r="AK390" s="65">
        <f t="shared" si="1184"/>
        <v>27624024</v>
      </c>
      <c r="AL390" s="66">
        <v>0</v>
      </c>
      <c r="AM390" s="49" t="s">
        <v>163</v>
      </c>
      <c r="AN390" s="67">
        <v>0.82</v>
      </c>
      <c r="AO390" s="62">
        <v>21529269</v>
      </c>
      <c r="AP390" s="62">
        <v>2101067</v>
      </c>
      <c r="AQ390" s="68">
        <v>5623689</v>
      </c>
      <c r="AR390" s="69">
        <f t="shared" si="1185"/>
        <v>111387.19354838709</v>
      </c>
      <c r="AS390" s="70" t="str">
        <f t="shared" si="1186"/>
        <v/>
      </c>
      <c r="AT390" s="70">
        <f t="shared" si="1187"/>
        <v>86811.568548387091</v>
      </c>
      <c r="AU390" s="70">
        <f t="shared" si="1188"/>
        <v>8472.0443548387102</v>
      </c>
      <c r="AV390" s="71">
        <f t="shared" si="1189"/>
        <v>22676.165322580644</v>
      </c>
      <c r="AW390" s="115">
        <f t="shared" si="1190"/>
        <v>110358.61693548386</v>
      </c>
      <c r="AX390" s="116">
        <f t="shared" si="1191"/>
        <v>125.46098273182763</v>
      </c>
      <c r="AY390" s="72">
        <f t="shared" si="1192"/>
        <v>131427.56048387097</v>
      </c>
      <c r="AZ390" s="73">
        <f t="shared" si="1193"/>
        <v>149.4131709351951</v>
      </c>
      <c r="BA390" s="66">
        <v>3000000</v>
      </c>
      <c r="BB390" s="62">
        <v>4057716</v>
      </c>
      <c r="BC390" s="62">
        <v>23311221</v>
      </c>
      <c r="BD390" s="62">
        <v>1393447</v>
      </c>
      <c r="BE390" s="62">
        <v>3831651</v>
      </c>
      <c r="BF390" s="62">
        <v>3994260</v>
      </c>
      <c r="BG390" s="62">
        <v>13826063</v>
      </c>
      <c r="BH390" s="62">
        <v>6527000</v>
      </c>
      <c r="BI390" s="62">
        <v>828103</v>
      </c>
      <c r="BJ390" s="47">
        <f t="shared" si="1194"/>
        <v>60769461</v>
      </c>
      <c r="BK390" s="69">
        <f t="shared" si="1195"/>
        <v>12096.774193548386</v>
      </c>
      <c r="BL390" s="70">
        <f t="shared" si="1112"/>
        <v>16361.758064516129</v>
      </c>
      <c r="BM390" s="70">
        <f t="shared" si="1113"/>
        <v>93996.858870967742</v>
      </c>
      <c r="BN390" s="70">
        <f t="shared" si="1114"/>
        <v>5618.7379032258068</v>
      </c>
      <c r="BO390" s="70">
        <f t="shared" si="1115"/>
        <v>15450.20564516129</v>
      </c>
      <c r="BP390" s="70">
        <f t="shared" si="1116"/>
        <v>16105.887096774193</v>
      </c>
      <c r="BQ390" s="70">
        <f t="shared" si="1117"/>
        <v>55750.254032258068</v>
      </c>
      <c r="BR390" s="70">
        <f t="shared" si="1118"/>
        <v>26318.548387096773</v>
      </c>
      <c r="BS390" s="70">
        <f t="shared" si="1119"/>
        <v>3339.125</v>
      </c>
      <c r="BT390" s="71">
        <f t="shared" si="1120"/>
        <v>245038.14919354839</v>
      </c>
      <c r="BU390" s="65">
        <f t="shared" si="1196"/>
        <v>13.752194621058278</v>
      </c>
      <c r="BV390" s="48">
        <f t="shared" si="1122"/>
        <v>18.600833382994036</v>
      </c>
      <c r="BW390" s="48">
        <f t="shared" si="1123"/>
        <v>106.86014934883359</v>
      </c>
      <c r="BX390" s="48">
        <f t="shared" si="1124"/>
        <v>6.3876514460432645</v>
      </c>
      <c r="BY390" s="48">
        <f t="shared" si="1125"/>
        <v>17.564536757324191</v>
      </c>
      <c r="BZ390" s="48">
        <f t="shared" si="1126"/>
        <v>18.309946962369413</v>
      </c>
      <c r="CA390" s="48">
        <f t="shared" si="1127"/>
        <v>63.379569739670956</v>
      </c>
      <c r="CB390" s="48">
        <f t="shared" si="1128"/>
        <v>29.920191430549124</v>
      </c>
      <c r="CC390" s="48">
        <f t="shared" si="1129"/>
        <v>3.7960778740940744</v>
      </c>
      <c r="CD390" s="47">
        <f t="shared" si="1130"/>
        <v>278.5711515629369</v>
      </c>
      <c r="CE390" s="66">
        <v>3232680</v>
      </c>
      <c r="CF390" s="62">
        <f>51569+25704+12000</f>
        <v>89273</v>
      </c>
      <c r="CG390" s="74">
        <v>-249146</v>
      </c>
      <c r="CH390" s="75">
        <f t="shared" si="1197"/>
        <v>3072807</v>
      </c>
      <c r="CI390" s="62">
        <f>73180+11904+5000+9920+5000</f>
        <v>105004</v>
      </c>
      <c r="CJ390" s="62">
        <v>107548</v>
      </c>
      <c r="CK390" s="62">
        <v>309968</v>
      </c>
      <c r="CL390" s="62">
        <f>191320+13600</f>
        <v>204920</v>
      </c>
      <c r="CM390" s="62">
        <f>31000+34988</f>
        <v>65988</v>
      </c>
      <c r="CN390" s="62">
        <v>116312</v>
      </c>
      <c r="CO390" s="62">
        <v>0</v>
      </c>
      <c r="CP390" s="75">
        <f t="shared" si="1198"/>
        <v>909740</v>
      </c>
      <c r="CQ390" s="62">
        <v>62000</v>
      </c>
      <c r="CR390" s="75">
        <f t="shared" si="1199"/>
        <v>971740</v>
      </c>
      <c r="CS390" s="75">
        <f t="shared" si="1200"/>
        <v>2163067</v>
      </c>
      <c r="CT390" s="62">
        <v>1767455</v>
      </c>
      <c r="CU390" s="47">
        <f t="shared" si="1201"/>
        <v>395612</v>
      </c>
      <c r="CV390" s="76">
        <f t="shared" si="1202"/>
        <v>0.70393845106445019</v>
      </c>
      <c r="CW390" s="75">
        <f t="shared" si="1203"/>
        <v>3918.3064516129034</v>
      </c>
      <c r="CX390" s="77">
        <f t="shared" si="1204"/>
        <v>0.31623854020119063</v>
      </c>
      <c r="CY390" s="75">
        <f t="shared" si="1205"/>
        <v>1595.2096774193549</v>
      </c>
      <c r="CZ390" s="77">
        <f t="shared" si="1206"/>
        <v>0.12874612691262419</v>
      </c>
      <c r="DA390" s="77">
        <f t="shared" si="1207"/>
        <v>0.57519232415182597</v>
      </c>
      <c r="DB390" s="47">
        <f t="shared" si="1208"/>
        <v>111387.19354838709</v>
      </c>
      <c r="DC390" s="69">
        <f t="shared" si="1209"/>
        <v>13035</v>
      </c>
      <c r="DD390" s="70">
        <f t="shared" si="1149"/>
        <v>359.97177419354841</v>
      </c>
      <c r="DE390" s="70">
        <f t="shared" si="1150"/>
        <v>-1004.6209677419355</v>
      </c>
      <c r="DF390" s="70">
        <f t="shared" si="1151"/>
        <v>12390.350806451614</v>
      </c>
      <c r="DG390" s="70">
        <f t="shared" si="1152"/>
        <v>423.40322580645159</v>
      </c>
      <c r="DH390" s="70">
        <f t="shared" si="1176"/>
        <v>433.66129032258067</v>
      </c>
      <c r="DI390" s="70">
        <f t="shared" si="1177"/>
        <v>1249.8709677419354</v>
      </c>
      <c r="DJ390" s="70">
        <f t="shared" si="1178"/>
        <v>826.29032258064512</v>
      </c>
      <c r="DK390" s="70">
        <f t="shared" si="1153"/>
        <v>266.08064516129031</v>
      </c>
      <c r="DL390" s="70">
        <f t="shared" si="1154"/>
        <v>469</v>
      </c>
      <c r="DM390" s="70" t="str">
        <f t="shared" si="1155"/>
        <v/>
      </c>
      <c r="DN390" s="70">
        <f t="shared" si="1156"/>
        <v>3668.3064516129034</v>
      </c>
      <c r="DO390" s="70">
        <f t="shared" si="1157"/>
        <v>250</v>
      </c>
      <c r="DP390" s="70">
        <f t="shared" si="1158"/>
        <v>3918.3064516129034</v>
      </c>
      <c r="DQ390" s="70">
        <f t="shared" si="1159"/>
        <v>8722.0443548387102</v>
      </c>
      <c r="DR390" s="70">
        <f t="shared" si="1160"/>
        <v>7126.8346774193551</v>
      </c>
      <c r="DS390" s="71">
        <f t="shared" si="1161"/>
        <v>1595.2096774193549</v>
      </c>
      <c r="DT390" s="106">
        <f t="shared" si="1210"/>
        <v>1.0520283245905129</v>
      </c>
      <c r="DU390" s="92">
        <f t="shared" si="1163"/>
        <v>2.9052589375121837E-2</v>
      </c>
      <c r="DV390" s="92" t="str">
        <f t="shared" si="1164"/>
        <v/>
      </c>
      <c r="DW390" s="92">
        <f t="shared" si="1165"/>
        <v>1</v>
      </c>
      <c r="DX390" s="92">
        <f t="shared" si="1166"/>
        <v>3.4172012755763703E-2</v>
      </c>
      <c r="DY390" s="92">
        <f t="shared" si="1179"/>
        <v>3.4999920268340964E-2</v>
      </c>
      <c r="DZ390" s="92">
        <f t="shared" si="1180"/>
        <v>0.10087454239722833</v>
      </c>
      <c r="EA390" s="92">
        <f t="shared" si="1181"/>
        <v>6.6688210486372884E-2</v>
      </c>
      <c r="EB390" s="92">
        <f t="shared" si="1167"/>
        <v>2.1474827413501728E-2</v>
      </c>
      <c r="EC390" s="92">
        <f t="shared" si="1168"/>
        <v>3.7852035614342194E-2</v>
      </c>
      <c r="ED390" s="92" t="str">
        <f t="shared" si="1169"/>
        <v/>
      </c>
      <c r="EE390" s="92">
        <f t="shared" si="1170"/>
        <v>0.29606154893554981</v>
      </c>
      <c r="EF390" s="92">
        <f t="shared" si="1171"/>
        <v>2.0176991265640831E-2</v>
      </c>
      <c r="EG390" s="92">
        <f t="shared" si="1172"/>
        <v>0.31623854020119063</v>
      </c>
      <c r="EH390" s="92">
        <f t="shared" si="1173"/>
        <v>0.70393845106445019</v>
      </c>
      <c r="EI390" s="92">
        <f t="shared" si="1174"/>
        <v>0.57519232415182597</v>
      </c>
      <c r="EJ390" s="122">
        <f t="shared" si="1175"/>
        <v>0.12874612691262419</v>
      </c>
    </row>
    <row r="391" spans="2:140" ht="12" customHeight="1" outlineLevel="1">
      <c r="B391" s="272">
        <v>46114</v>
      </c>
      <c r="C391" s="117">
        <v>26423</v>
      </c>
      <c r="D391" s="50" t="s">
        <v>1688</v>
      </c>
      <c r="E391" s="50" t="s">
        <v>1689</v>
      </c>
      <c r="F391" s="50" t="s">
        <v>1042</v>
      </c>
      <c r="G391" s="50" t="s">
        <v>249</v>
      </c>
      <c r="H391" s="50" t="s">
        <v>182</v>
      </c>
      <c r="I391" s="50" t="s">
        <v>215</v>
      </c>
      <c r="J391" s="52" t="s">
        <v>1306</v>
      </c>
      <c r="K391" s="50" t="s">
        <v>1307</v>
      </c>
      <c r="L391" s="49">
        <v>5</v>
      </c>
      <c r="M391" s="50" t="s">
        <v>159</v>
      </c>
      <c r="N391" s="50" t="s">
        <v>160</v>
      </c>
      <c r="O391" s="50" t="s">
        <v>160</v>
      </c>
      <c r="P391" s="50" t="s">
        <v>1351</v>
      </c>
      <c r="Q391" s="53">
        <v>0.04</v>
      </c>
      <c r="R391" s="49">
        <v>150</v>
      </c>
      <c r="S391" s="49">
        <v>0</v>
      </c>
      <c r="T391" s="54">
        <f t="shared" si="1182"/>
        <v>150</v>
      </c>
      <c r="U391" s="55">
        <v>123662</v>
      </c>
      <c r="V391" s="49">
        <v>9.36</v>
      </c>
      <c r="W391" s="56">
        <f t="shared" si="1183"/>
        <v>16.025641025641026</v>
      </c>
      <c r="X391" s="49">
        <v>1976</v>
      </c>
      <c r="Y391" s="57" t="s">
        <v>162</v>
      </c>
      <c r="Z391" s="58">
        <v>7000000</v>
      </c>
      <c r="AA391" s="114">
        <v>7.17E-2</v>
      </c>
      <c r="AB391" s="59">
        <v>40</v>
      </c>
      <c r="AC391" s="60">
        <v>40</v>
      </c>
      <c r="AD391" s="61">
        <v>5.6399999999999999E-2</v>
      </c>
      <c r="AE391" s="62">
        <v>16000000</v>
      </c>
      <c r="AF391" s="63">
        <v>1.1200000000000001</v>
      </c>
      <c r="AG391" s="59">
        <v>40</v>
      </c>
      <c r="AH391" s="60">
        <v>40</v>
      </c>
      <c r="AI391" s="61">
        <v>0</v>
      </c>
      <c r="AJ391" s="64">
        <v>3690698</v>
      </c>
      <c r="AK391" s="65">
        <f t="shared" si="1184"/>
        <v>19690698</v>
      </c>
      <c r="AL391" s="66">
        <v>0</v>
      </c>
      <c r="AM391" s="49" t="s">
        <v>163</v>
      </c>
      <c r="AN391" s="67">
        <v>0.81</v>
      </c>
      <c r="AO391" s="62">
        <v>12544908</v>
      </c>
      <c r="AP391" s="62">
        <v>1178166</v>
      </c>
      <c r="AQ391" s="68">
        <v>1684431</v>
      </c>
      <c r="AR391" s="69">
        <f t="shared" si="1185"/>
        <v>131271.32</v>
      </c>
      <c r="AS391" s="70" t="str">
        <f t="shared" si="1186"/>
        <v/>
      </c>
      <c r="AT391" s="70">
        <f t="shared" si="1187"/>
        <v>83632.72</v>
      </c>
      <c r="AU391" s="70">
        <f t="shared" si="1188"/>
        <v>7854.44</v>
      </c>
      <c r="AV391" s="71">
        <f t="shared" si="1189"/>
        <v>11229.54</v>
      </c>
      <c r="AW391" s="115">
        <f t="shared" si="1190"/>
        <v>57131.26666666667</v>
      </c>
      <c r="AX391" s="116">
        <f t="shared" si="1191"/>
        <v>69.299299704031952</v>
      </c>
      <c r="AY391" s="72">
        <f t="shared" si="1192"/>
        <v>71621.813333333324</v>
      </c>
      <c r="AZ391" s="73">
        <f t="shared" si="1193"/>
        <v>86.876097750319417</v>
      </c>
      <c r="BA391" s="66">
        <v>12000000</v>
      </c>
      <c r="BB391" s="62">
        <v>549228</v>
      </c>
      <c r="BC391" s="62">
        <v>8020462</v>
      </c>
      <c r="BD391" s="62">
        <v>855519</v>
      </c>
      <c r="BE391" s="62">
        <v>1318063</v>
      </c>
      <c r="BF391" s="62">
        <v>1971083</v>
      </c>
      <c r="BG391" s="62">
        <v>3136715</v>
      </c>
      <c r="BH391" s="62">
        <v>3788005</v>
      </c>
      <c r="BI391" s="62">
        <v>857339</v>
      </c>
      <c r="BJ391" s="47">
        <f t="shared" si="1194"/>
        <v>32496414</v>
      </c>
      <c r="BK391" s="69">
        <f t="shared" si="1195"/>
        <v>80000</v>
      </c>
      <c r="BL391" s="70">
        <f t="shared" si="1112"/>
        <v>3661.52</v>
      </c>
      <c r="BM391" s="70">
        <f t="shared" si="1113"/>
        <v>53469.746666666666</v>
      </c>
      <c r="BN391" s="70">
        <f t="shared" si="1114"/>
        <v>5703.46</v>
      </c>
      <c r="BO391" s="70">
        <f t="shared" si="1115"/>
        <v>8787.0866666666661</v>
      </c>
      <c r="BP391" s="70">
        <f t="shared" si="1116"/>
        <v>13140.553333333333</v>
      </c>
      <c r="BQ391" s="70">
        <f t="shared" si="1117"/>
        <v>20911.433333333334</v>
      </c>
      <c r="BR391" s="70">
        <f t="shared" si="1118"/>
        <v>25253.366666666665</v>
      </c>
      <c r="BS391" s="70">
        <f t="shared" si="1119"/>
        <v>5715.5933333333332</v>
      </c>
      <c r="BT391" s="71">
        <f t="shared" si="1120"/>
        <v>216642.76</v>
      </c>
      <c r="BU391" s="65">
        <f t="shared" si="1196"/>
        <v>97.038702269088319</v>
      </c>
      <c r="BV391" s="48">
        <f t="shared" si="1122"/>
        <v>4.4413643641539036</v>
      </c>
      <c r="BW391" s="48">
        <f t="shared" si="1123"/>
        <v>64.857935339878054</v>
      </c>
      <c r="BX391" s="48">
        <f t="shared" si="1124"/>
        <v>6.9182044605456809</v>
      </c>
      <c r="BY391" s="48">
        <f t="shared" si="1125"/>
        <v>10.65859358574178</v>
      </c>
      <c r="BZ391" s="48">
        <f t="shared" si="1126"/>
        <v>15.939278032055118</v>
      </c>
      <c r="CA391" s="48">
        <f t="shared" si="1127"/>
        <v>25.365229415665283</v>
      </c>
      <c r="CB391" s="48">
        <f t="shared" si="1128"/>
        <v>30.631924115734826</v>
      </c>
      <c r="CC391" s="48">
        <f t="shared" si="1129"/>
        <v>6.9329219970564928</v>
      </c>
      <c r="CD391" s="47">
        <f t="shared" si="1130"/>
        <v>262.78415357991946</v>
      </c>
      <c r="CE391" s="66">
        <v>2399460</v>
      </c>
      <c r="CF391" s="62">
        <v>37500</v>
      </c>
      <c r="CG391" s="74">
        <f>-121848-12084</f>
        <v>-133932</v>
      </c>
      <c r="CH391" s="75">
        <f t="shared" si="1197"/>
        <v>2303028</v>
      </c>
      <c r="CI391" s="62">
        <f>55650+16000+5000+6000+5000</f>
        <v>87650</v>
      </c>
      <c r="CJ391" s="62">
        <v>117762</v>
      </c>
      <c r="CK391" s="62">
        <v>198000</v>
      </c>
      <c r="CL391" s="62">
        <f>125350+17250</f>
        <v>142600</v>
      </c>
      <c r="CM391" s="62">
        <f>48750+271500</f>
        <v>320250</v>
      </c>
      <c r="CN391" s="62">
        <v>150000</v>
      </c>
      <c r="CO391" s="62">
        <v>63600</v>
      </c>
      <c r="CP391" s="75">
        <f t="shared" si="1198"/>
        <v>1079862</v>
      </c>
      <c r="CQ391" s="62">
        <v>45000</v>
      </c>
      <c r="CR391" s="75">
        <f t="shared" si="1199"/>
        <v>1124862</v>
      </c>
      <c r="CS391" s="75">
        <f t="shared" si="1200"/>
        <v>1223166</v>
      </c>
      <c r="CT391" s="62">
        <v>1130722</v>
      </c>
      <c r="CU391" s="47">
        <f t="shared" si="1201"/>
        <v>92444</v>
      </c>
      <c r="CV391" s="76">
        <f t="shared" si="1202"/>
        <v>0.5311120837436627</v>
      </c>
      <c r="CW391" s="75">
        <f t="shared" si="1203"/>
        <v>7499.08</v>
      </c>
      <c r="CX391" s="77">
        <f t="shared" si="1204"/>
        <v>0.48842740948004104</v>
      </c>
      <c r="CY391" s="75">
        <f t="shared" si="1205"/>
        <v>616.29333333333329</v>
      </c>
      <c r="CZ391" s="77">
        <f t="shared" si="1206"/>
        <v>4.0140198034934876E-2</v>
      </c>
      <c r="DA391" s="77">
        <f t="shared" si="1207"/>
        <v>0.4909718857087278</v>
      </c>
      <c r="DB391" s="47">
        <f t="shared" si="1208"/>
        <v>131271.32</v>
      </c>
      <c r="DC391" s="69">
        <f t="shared" si="1209"/>
        <v>15996.4</v>
      </c>
      <c r="DD391" s="70">
        <f t="shared" si="1149"/>
        <v>250</v>
      </c>
      <c r="DE391" s="70">
        <f t="shared" si="1150"/>
        <v>-892.88</v>
      </c>
      <c r="DF391" s="70">
        <f t="shared" si="1151"/>
        <v>15353.52</v>
      </c>
      <c r="DG391" s="70">
        <f t="shared" si="1152"/>
        <v>584.33333333333337</v>
      </c>
      <c r="DH391" s="70">
        <f t="shared" si="1176"/>
        <v>785.08</v>
      </c>
      <c r="DI391" s="70">
        <f t="shared" si="1177"/>
        <v>1320</v>
      </c>
      <c r="DJ391" s="70">
        <f t="shared" si="1178"/>
        <v>950.66666666666663</v>
      </c>
      <c r="DK391" s="70">
        <f t="shared" si="1153"/>
        <v>2135</v>
      </c>
      <c r="DL391" s="70">
        <f t="shared" si="1154"/>
        <v>1000</v>
      </c>
      <c r="DM391" s="70">
        <f t="shared" si="1155"/>
        <v>424</v>
      </c>
      <c r="DN391" s="70">
        <f t="shared" si="1156"/>
        <v>7199.08</v>
      </c>
      <c r="DO391" s="70">
        <f t="shared" si="1157"/>
        <v>300</v>
      </c>
      <c r="DP391" s="70">
        <f t="shared" si="1158"/>
        <v>7499.08</v>
      </c>
      <c r="DQ391" s="70">
        <f t="shared" si="1159"/>
        <v>8154.44</v>
      </c>
      <c r="DR391" s="70">
        <f t="shared" si="1160"/>
        <v>7538.1466666666665</v>
      </c>
      <c r="DS391" s="71">
        <f t="shared" si="1161"/>
        <v>616.29333333333329</v>
      </c>
      <c r="DT391" s="106">
        <f t="shared" si="1210"/>
        <v>1.0418718313455155</v>
      </c>
      <c r="DU391" s="92">
        <f t="shared" si="1163"/>
        <v>1.6282911019753123E-2</v>
      </c>
      <c r="DV391" s="92" t="str">
        <f t="shared" si="1164"/>
        <v/>
      </c>
      <c r="DW391" s="92">
        <f t="shared" si="1165"/>
        <v>1</v>
      </c>
      <c r="DX391" s="92">
        <f t="shared" si="1166"/>
        <v>3.805859069016964E-2</v>
      </c>
      <c r="DY391" s="92">
        <f t="shared" si="1179"/>
        <v>5.1133551133551135E-2</v>
      </c>
      <c r="DZ391" s="92">
        <f t="shared" si="1180"/>
        <v>8.59737701842965E-2</v>
      </c>
      <c r="EA391" s="92">
        <f t="shared" si="1181"/>
        <v>6.1918482971114547E-2</v>
      </c>
      <c r="EB391" s="92">
        <f t="shared" si="1167"/>
        <v>0.13905606010869168</v>
      </c>
      <c r="EC391" s="92">
        <f t="shared" si="1168"/>
        <v>6.5131644079012493E-2</v>
      </c>
      <c r="ED391" s="92">
        <f t="shared" si="1169"/>
        <v>2.76158170895013E-2</v>
      </c>
      <c r="EE391" s="92">
        <f t="shared" si="1170"/>
        <v>0.4688879162563373</v>
      </c>
      <c r="EF391" s="92">
        <f t="shared" si="1171"/>
        <v>1.9539493223703751E-2</v>
      </c>
      <c r="EG391" s="92">
        <f t="shared" si="1172"/>
        <v>0.48842740948004104</v>
      </c>
      <c r="EH391" s="92">
        <f t="shared" si="1173"/>
        <v>0.5311120837436627</v>
      </c>
      <c r="EI391" s="92">
        <f t="shared" si="1174"/>
        <v>0.4909718857087278</v>
      </c>
      <c r="EJ391" s="122">
        <f t="shared" si="1175"/>
        <v>4.0140198034934876E-2</v>
      </c>
    </row>
    <row r="392" spans="2:140" ht="12" customHeight="1" outlineLevel="1">
      <c r="B392" s="272">
        <v>46118</v>
      </c>
      <c r="C392" s="117">
        <v>26412</v>
      </c>
      <c r="D392" s="50" t="s">
        <v>1690</v>
      </c>
      <c r="E392" s="50" t="s">
        <v>1381</v>
      </c>
      <c r="F392" s="50" t="s">
        <v>1691</v>
      </c>
      <c r="G392" s="50" t="s">
        <v>249</v>
      </c>
      <c r="H392" s="50" t="s">
        <v>1692</v>
      </c>
      <c r="I392" s="50" t="s">
        <v>306</v>
      </c>
      <c r="J392" s="52" t="s">
        <v>1514</v>
      </c>
      <c r="K392" s="50" t="s">
        <v>176</v>
      </c>
      <c r="L392" s="49">
        <v>6</v>
      </c>
      <c r="M392" s="50" t="s">
        <v>159</v>
      </c>
      <c r="N392" s="50" t="s">
        <v>160</v>
      </c>
      <c r="O392" s="50" t="s">
        <v>160</v>
      </c>
      <c r="P392" s="50" t="s">
        <v>1351</v>
      </c>
      <c r="Q392" s="53">
        <v>0.04</v>
      </c>
      <c r="R392" s="49">
        <v>200</v>
      </c>
      <c r="S392" s="49">
        <v>0</v>
      </c>
      <c r="T392" s="54">
        <f t="shared" si="1182"/>
        <v>200</v>
      </c>
      <c r="U392" s="55">
        <v>161520</v>
      </c>
      <c r="V392" s="49">
        <v>15.16</v>
      </c>
      <c r="W392" s="56">
        <f t="shared" si="1183"/>
        <v>13.192612137203167</v>
      </c>
      <c r="X392" s="49">
        <v>1971</v>
      </c>
      <c r="Y392" s="57" t="s">
        <v>162</v>
      </c>
      <c r="Z392" s="58">
        <v>34478953</v>
      </c>
      <c r="AA392" s="114">
        <v>6.0999999999999999E-2</v>
      </c>
      <c r="AB392" s="59">
        <v>16</v>
      </c>
      <c r="AC392" s="60">
        <v>40</v>
      </c>
      <c r="AD392" s="61">
        <v>6.0999999999999999E-2</v>
      </c>
      <c r="AE392" s="62">
        <v>34478953</v>
      </c>
      <c r="AF392" s="63">
        <v>1.22</v>
      </c>
      <c r="AG392" s="59">
        <v>16</v>
      </c>
      <c r="AH392" s="60">
        <v>40</v>
      </c>
      <c r="AI392" s="61">
        <v>6.6000000000000003E-2</v>
      </c>
      <c r="AJ392" s="64">
        <v>1914570</v>
      </c>
      <c r="AK392" s="65">
        <f t="shared" si="1184"/>
        <v>36393523</v>
      </c>
      <c r="AL392" s="66">
        <v>0</v>
      </c>
      <c r="AM392" s="49" t="s">
        <v>163</v>
      </c>
      <c r="AN392" s="67">
        <v>0.84</v>
      </c>
      <c r="AO392" s="62">
        <v>24232413</v>
      </c>
      <c r="AP392" s="62">
        <v>2851501</v>
      </c>
      <c r="AQ392" s="68">
        <v>4589648</v>
      </c>
      <c r="AR392" s="69">
        <f t="shared" si="1185"/>
        <v>181967.61499999999</v>
      </c>
      <c r="AS392" s="70" t="str">
        <f t="shared" si="1186"/>
        <v/>
      </c>
      <c r="AT392" s="70">
        <f t="shared" si="1187"/>
        <v>121162.065</v>
      </c>
      <c r="AU392" s="70">
        <f t="shared" si="1188"/>
        <v>14257.504999999999</v>
      </c>
      <c r="AV392" s="71">
        <f t="shared" si="1189"/>
        <v>22948.240000000002</v>
      </c>
      <c r="AW392" s="115">
        <f t="shared" si="1190"/>
        <v>105263.155</v>
      </c>
      <c r="AX392" s="116">
        <f t="shared" si="1191"/>
        <v>130.34070703318474</v>
      </c>
      <c r="AY392" s="72">
        <f t="shared" si="1192"/>
        <v>131999.995</v>
      </c>
      <c r="AZ392" s="73">
        <f t="shared" si="1193"/>
        <v>163.44724492322931</v>
      </c>
      <c r="BA392" s="66">
        <v>20400000</v>
      </c>
      <c r="BB392" s="62">
        <v>1725000</v>
      </c>
      <c r="BC392" s="62">
        <v>19327631</v>
      </c>
      <c r="BD392" s="62">
        <v>2105263</v>
      </c>
      <c r="BE392" s="62">
        <v>3242105</v>
      </c>
      <c r="BF392" s="62">
        <v>5605400</v>
      </c>
      <c r="BG392" s="62">
        <v>7490299</v>
      </c>
      <c r="BH392" s="62">
        <v>7858566</v>
      </c>
      <c r="BI392" s="62">
        <v>1519421</v>
      </c>
      <c r="BJ392" s="47">
        <f t="shared" si="1194"/>
        <v>69273685</v>
      </c>
      <c r="BK392" s="69">
        <f t="shared" si="1195"/>
        <v>102000</v>
      </c>
      <c r="BL392" s="70">
        <f t="shared" si="1112"/>
        <v>8625</v>
      </c>
      <c r="BM392" s="70">
        <f t="shared" si="1113"/>
        <v>96638.154999999999</v>
      </c>
      <c r="BN392" s="70">
        <f t="shared" si="1114"/>
        <v>10526.315000000001</v>
      </c>
      <c r="BO392" s="70">
        <f t="shared" si="1115"/>
        <v>16210.525</v>
      </c>
      <c r="BP392" s="70">
        <f t="shared" si="1116"/>
        <v>28027</v>
      </c>
      <c r="BQ392" s="70">
        <f t="shared" si="1117"/>
        <v>37451.495000000003</v>
      </c>
      <c r="BR392" s="70">
        <f t="shared" si="1118"/>
        <v>39292.83</v>
      </c>
      <c r="BS392" s="70">
        <f t="shared" si="1119"/>
        <v>7597.1049999999996</v>
      </c>
      <c r="BT392" s="71">
        <f t="shared" si="1120"/>
        <v>346368.42499999999</v>
      </c>
      <c r="BU392" s="65">
        <f t="shared" si="1196"/>
        <v>126.30014858841011</v>
      </c>
      <c r="BV392" s="48">
        <f t="shared" si="1122"/>
        <v>10.679791976225854</v>
      </c>
      <c r="BW392" s="48">
        <f t="shared" si="1123"/>
        <v>119.66091505695888</v>
      </c>
      <c r="BX392" s="48">
        <f t="shared" si="1124"/>
        <v>13.034070084200099</v>
      </c>
      <c r="BY392" s="48">
        <f t="shared" si="1125"/>
        <v>20.072467805844479</v>
      </c>
      <c r="BZ392" s="48">
        <f t="shared" si="1126"/>
        <v>34.704061416542842</v>
      </c>
      <c r="CA392" s="48">
        <f t="shared" si="1127"/>
        <v>46.373817483902926</v>
      </c>
      <c r="CB392" s="48">
        <f t="shared" si="1128"/>
        <v>48.653826151560182</v>
      </c>
      <c r="CC392" s="48">
        <f t="shared" si="1129"/>
        <v>9.4070146111936594</v>
      </c>
      <c r="CD392" s="47">
        <f t="shared" si="1130"/>
        <v>428.88611317483901</v>
      </c>
      <c r="CE392" s="66">
        <v>4822308</v>
      </c>
      <c r="CF392" s="62">
        <v>72000</v>
      </c>
      <c r="CG392" s="74">
        <v>-367073</v>
      </c>
      <c r="CH392" s="75">
        <f t="shared" si="1197"/>
        <v>4527235</v>
      </c>
      <c r="CI392" s="62">
        <f>89100+13000+100000</f>
        <v>202100</v>
      </c>
      <c r="CJ392" s="62">
        <v>127200</v>
      </c>
      <c r="CK392" s="62">
        <v>367400</v>
      </c>
      <c r="CL392" s="62">
        <f>124500+140000</f>
        <v>264500</v>
      </c>
      <c r="CM392" s="62">
        <f>66000+268534</f>
        <v>334534</v>
      </c>
      <c r="CN392" s="62">
        <v>320000</v>
      </c>
      <c r="CO392" s="62">
        <v>0</v>
      </c>
      <c r="CP392" s="75">
        <f t="shared" si="1198"/>
        <v>1615734</v>
      </c>
      <c r="CQ392" s="62">
        <v>60000</v>
      </c>
      <c r="CR392" s="75">
        <f t="shared" si="1199"/>
        <v>1675734</v>
      </c>
      <c r="CS392" s="75">
        <f t="shared" si="1200"/>
        <v>2911501</v>
      </c>
      <c r="CT392" s="62">
        <v>2477944</v>
      </c>
      <c r="CU392" s="47">
        <f t="shared" si="1201"/>
        <v>433557</v>
      </c>
      <c r="CV392" s="76">
        <f t="shared" si="1202"/>
        <v>0.64310798975533634</v>
      </c>
      <c r="CW392" s="75">
        <f t="shared" si="1203"/>
        <v>8378.67</v>
      </c>
      <c r="CX392" s="77">
        <f t="shared" si="1204"/>
        <v>0.37014513273554389</v>
      </c>
      <c r="CY392" s="75">
        <f t="shared" si="1205"/>
        <v>2167.7849999999999</v>
      </c>
      <c r="CZ392" s="77">
        <f t="shared" si="1206"/>
        <v>9.5766400462975743E-2</v>
      </c>
      <c r="DA392" s="77">
        <f t="shared" si="1207"/>
        <v>0.54734158929236054</v>
      </c>
      <c r="DB392" s="47">
        <f t="shared" si="1208"/>
        <v>181967.61499999999</v>
      </c>
      <c r="DC392" s="69">
        <f t="shared" si="1209"/>
        <v>24111.54</v>
      </c>
      <c r="DD392" s="70">
        <f t="shared" si="1149"/>
        <v>360</v>
      </c>
      <c r="DE392" s="70">
        <f t="shared" si="1150"/>
        <v>-1835.365</v>
      </c>
      <c r="DF392" s="70">
        <f t="shared" si="1151"/>
        <v>22636.174999999999</v>
      </c>
      <c r="DG392" s="70">
        <f t="shared" si="1152"/>
        <v>1010.5</v>
      </c>
      <c r="DH392" s="70">
        <f t="shared" si="1176"/>
        <v>636</v>
      </c>
      <c r="DI392" s="70">
        <f t="shared" si="1177"/>
        <v>1837</v>
      </c>
      <c r="DJ392" s="70">
        <f t="shared" si="1178"/>
        <v>1322.5</v>
      </c>
      <c r="DK392" s="70">
        <f t="shared" si="1153"/>
        <v>1672.67</v>
      </c>
      <c r="DL392" s="70">
        <f t="shared" si="1154"/>
        <v>1600</v>
      </c>
      <c r="DM392" s="70" t="str">
        <f t="shared" si="1155"/>
        <v/>
      </c>
      <c r="DN392" s="70">
        <f t="shared" si="1156"/>
        <v>8078.67</v>
      </c>
      <c r="DO392" s="70">
        <f t="shared" si="1157"/>
        <v>300</v>
      </c>
      <c r="DP392" s="70">
        <f t="shared" si="1158"/>
        <v>8378.67</v>
      </c>
      <c r="DQ392" s="70">
        <f t="shared" si="1159"/>
        <v>14557.504999999999</v>
      </c>
      <c r="DR392" s="70">
        <f t="shared" si="1160"/>
        <v>12389.72</v>
      </c>
      <c r="DS392" s="71">
        <f t="shared" si="1161"/>
        <v>2167.7849999999999</v>
      </c>
      <c r="DT392" s="106">
        <f t="shared" si="1210"/>
        <v>1.0651773102125248</v>
      </c>
      <c r="DU392" s="92">
        <f t="shared" si="1163"/>
        <v>1.5903746989056233E-2</v>
      </c>
      <c r="DV392" s="92" t="str">
        <f t="shared" si="1164"/>
        <v/>
      </c>
      <c r="DW392" s="92">
        <f t="shared" si="1165"/>
        <v>1</v>
      </c>
      <c r="DX392" s="92">
        <f t="shared" si="1166"/>
        <v>4.4640934256781457E-2</v>
      </c>
      <c r="DY392" s="92">
        <f t="shared" si="1179"/>
        <v>2.8096619680666013E-2</v>
      </c>
      <c r="DZ392" s="92">
        <f t="shared" si="1180"/>
        <v>8.1153286719156392E-2</v>
      </c>
      <c r="EA392" s="92">
        <f t="shared" si="1181"/>
        <v>5.8424181647296861E-2</v>
      </c>
      <c r="EB392" s="92">
        <f t="shared" si="1167"/>
        <v>7.3893667989401918E-2</v>
      </c>
      <c r="EC392" s="92">
        <f t="shared" si="1168"/>
        <v>7.068331995136104E-2</v>
      </c>
      <c r="ED392" s="92" t="str">
        <f t="shared" si="1169"/>
        <v/>
      </c>
      <c r="EE392" s="92">
        <f t="shared" si="1170"/>
        <v>0.35689201024466366</v>
      </c>
      <c r="EF392" s="92">
        <f t="shared" si="1171"/>
        <v>1.3253122490880195E-2</v>
      </c>
      <c r="EG392" s="92">
        <f t="shared" si="1172"/>
        <v>0.37014513273554389</v>
      </c>
      <c r="EH392" s="92">
        <f t="shared" si="1173"/>
        <v>0.64310798975533634</v>
      </c>
      <c r="EI392" s="92">
        <f t="shared" si="1174"/>
        <v>0.54734158929236054</v>
      </c>
      <c r="EJ392" s="122">
        <f t="shared" si="1175"/>
        <v>9.5766400462975743E-2</v>
      </c>
    </row>
    <row r="393" spans="2:140" ht="12" customHeight="1" outlineLevel="1">
      <c r="B393" s="272">
        <v>46119</v>
      </c>
      <c r="C393" s="117">
        <v>24607</v>
      </c>
      <c r="D393" s="50" t="s">
        <v>1358</v>
      </c>
      <c r="E393" s="50" t="s">
        <v>257</v>
      </c>
      <c r="F393" s="50" t="s">
        <v>1359</v>
      </c>
      <c r="G393" s="50" t="s">
        <v>249</v>
      </c>
      <c r="H393" s="50" t="s">
        <v>1444</v>
      </c>
      <c r="I393" s="50" t="s">
        <v>1022</v>
      </c>
      <c r="J393" s="52" t="s">
        <v>230</v>
      </c>
      <c r="K393" s="50" t="s">
        <v>230</v>
      </c>
      <c r="L393" s="49">
        <v>3</v>
      </c>
      <c r="M393" s="50" t="s">
        <v>159</v>
      </c>
      <c r="N393" s="50" t="s">
        <v>160</v>
      </c>
      <c r="O393" s="50" t="s">
        <v>160</v>
      </c>
      <c r="P393" s="50" t="s">
        <v>177</v>
      </c>
      <c r="Q393" s="53">
        <v>0.04</v>
      </c>
      <c r="R393" s="49">
        <v>300</v>
      </c>
      <c r="S393" s="49">
        <v>0</v>
      </c>
      <c r="T393" s="54">
        <f t="shared" si="1182"/>
        <v>300</v>
      </c>
      <c r="U393" s="55">
        <v>288252</v>
      </c>
      <c r="V393" s="49">
        <v>15.42</v>
      </c>
      <c r="W393" s="56">
        <f t="shared" si="1183"/>
        <v>19.455252918287936</v>
      </c>
      <c r="X393" s="49" t="s">
        <v>163</v>
      </c>
      <c r="Y393" s="57" t="s">
        <v>162</v>
      </c>
      <c r="Z393" s="58">
        <v>42123400</v>
      </c>
      <c r="AA393" s="114">
        <v>6.3899999999999998E-2</v>
      </c>
      <c r="AB393" s="59">
        <v>17</v>
      </c>
      <c r="AC393" s="60">
        <v>40</v>
      </c>
      <c r="AD393" s="61">
        <v>5.8400000000000001E-2</v>
      </c>
      <c r="AE393" s="62">
        <v>40489000</v>
      </c>
      <c r="AF393" s="63">
        <v>1.32</v>
      </c>
      <c r="AG393" s="59">
        <v>17</v>
      </c>
      <c r="AH393" s="60">
        <v>40</v>
      </c>
      <c r="AI393" s="61">
        <v>0.02</v>
      </c>
      <c r="AJ393" s="64">
        <v>10000000</v>
      </c>
      <c r="AK393" s="65">
        <f t="shared" si="1184"/>
        <v>50489000</v>
      </c>
      <c r="AL393" s="66">
        <v>750000</v>
      </c>
      <c r="AM393" s="49" t="s">
        <v>1693</v>
      </c>
      <c r="AN393" s="67">
        <v>0.84</v>
      </c>
      <c r="AO393" s="62">
        <v>41955820</v>
      </c>
      <c r="AP393" s="62">
        <v>3508169</v>
      </c>
      <c r="AQ393" s="68">
        <v>5264364</v>
      </c>
      <c r="AR393" s="69">
        <f t="shared" si="1185"/>
        <v>168296.66666666666</v>
      </c>
      <c r="AS393" s="70">
        <f t="shared" si="1186"/>
        <v>2500</v>
      </c>
      <c r="AT393" s="70">
        <f t="shared" si="1187"/>
        <v>139852.73333333334</v>
      </c>
      <c r="AU393" s="70">
        <f t="shared" si="1188"/>
        <v>11693.896666666667</v>
      </c>
      <c r="AV393" s="71">
        <f t="shared" si="1189"/>
        <v>17547.88</v>
      </c>
      <c r="AW393" s="115">
        <f t="shared" si="1190"/>
        <v>172452.22333333333</v>
      </c>
      <c r="AX393" s="116">
        <f t="shared" si="1191"/>
        <v>179.48068703773089</v>
      </c>
      <c r="AY393" s="72">
        <f t="shared" si="1192"/>
        <v>206080.56</v>
      </c>
      <c r="AZ393" s="73">
        <f t="shared" si="1193"/>
        <v>214.47958036717873</v>
      </c>
      <c r="BA393" s="66">
        <v>2500000</v>
      </c>
      <c r="BB393" s="62">
        <v>6525000</v>
      </c>
      <c r="BC393" s="62">
        <v>45210667</v>
      </c>
      <c r="BD393" s="62">
        <v>2919008</v>
      </c>
      <c r="BE393" s="62">
        <v>7169493</v>
      </c>
      <c r="BF393" s="62">
        <v>5526950</v>
      </c>
      <c r="BG393" s="62">
        <v>12249757</v>
      </c>
      <c r="BH393" s="62">
        <v>10893945</v>
      </c>
      <c r="BI393" s="62">
        <v>200000</v>
      </c>
      <c r="BJ393" s="47">
        <f t="shared" si="1194"/>
        <v>93194820</v>
      </c>
      <c r="BK393" s="69">
        <f t="shared" si="1195"/>
        <v>8333.3333333333339</v>
      </c>
      <c r="BL393" s="70">
        <f t="shared" si="1112"/>
        <v>21750</v>
      </c>
      <c r="BM393" s="70">
        <f t="shared" si="1113"/>
        <v>150702.22333333333</v>
      </c>
      <c r="BN393" s="70">
        <f t="shared" si="1114"/>
        <v>9730.0266666666666</v>
      </c>
      <c r="BO393" s="70">
        <f t="shared" si="1115"/>
        <v>23898.31</v>
      </c>
      <c r="BP393" s="70">
        <f t="shared" si="1116"/>
        <v>18423.166666666668</v>
      </c>
      <c r="BQ393" s="70">
        <f t="shared" si="1117"/>
        <v>40832.523333333331</v>
      </c>
      <c r="BR393" s="70">
        <f t="shared" si="1118"/>
        <v>36313.15</v>
      </c>
      <c r="BS393" s="70">
        <f t="shared" si="1119"/>
        <v>666.66666666666663</v>
      </c>
      <c r="BT393" s="71">
        <f t="shared" si="1120"/>
        <v>310649.40000000002</v>
      </c>
      <c r="BU393" s="65">
        <f t="shared" si="1196"/>
        <v>8.6729667096845819</v>
      </c>
      <c r="BV393" s="48">
        <f t="shared" si="1122"/>
        <v>22.636443112276758</v>
      </c>
      <c r="BW393" s="48">
        <f t="shared" si="1123"/>
        <v>156.84424392545412</v>
      </c>
      <c r="BX393" s="48">
        <f t="shared" si="1124"/>
        <v>10.126583683721188</v>
      </c>
      <c r="BY393" s="48">
        <f t="shared" si="1125"/>
        <v>24.872309645726656</v>
      </c>
      <c r="BZ393" s="48">
        <f t="shared" si="1126"/>
        <v>19.174021342436479</v>
      </c>
      <c r="CA393" s="48">
        <f t="shared" si="1127"/>
        <v>42.496693865090265</v>
      </c>
      <c r="CB393" s="48">
        <f t="shared" si="1128"/>
        <v>37.793128928853918</v>
      </c>
      <c r="CC393" s="48">
        <f t="shared" si="1129"/>
        <v>0.69383733677476656</v>
      </c>
      <c r="CD393" s="47">
        <f t="shared" si="1130"/>
        <v>323.31022855001873</v>
      </c>
      <c r="CE393" s="66">
        <v>5406588</v>
      </c>
      <c r="CF393" s="62">
        <v>108000</v>
      </c>
      <c r="CG393" s="74">
        <v>-413594</v>
      </c>
      <c r="CH393" s="75">
        <f t="shared" si="1197"/>
        <v>5100994</v>
      </c>
      <c r="CI393" s="62">
        <f>145500+19500+40000+4500</f>
        <v>209500</v>
      </c>
      <c r="CJ393" s="62">
        <v>127525</v>
      </c>
      <c r="CK393" s="62">
        <v>420000</v>
      </c>
      <c r="CL393" s="62">
        <v>240000</v>
      </c>
      <c r="CM393" s="62">
        <f>109000+131000</f>
        <v>240000</v>
      </c>
      <c r="CN393" s="62">
        <v>235800</v>
      </c>
      <c r="CO393" s="62">
        <v>0</v>
      </c>
      <c r="CP393" s="75">
        <f t="shared" si="1198"/>
        <v>1472825</v>
      </c>
      <c r="CQ393" s="62">
        <v>75000</v>
      </c>
      <c r="CR393" s="75">
        <f t="shared" si="1199"/>
        <v>1547825</v>
      </c>
      <c r="CS393" s="75">
        <f t="shared" si="1200"/>
        <v>3628169</v>
      </c>
      <c r="CT393" s="62">
        <v>3023201</v>
      </c>
      <c r="CU393" s="47">
        <f t="shared" si="1201"/>
        <v>604968</v>
      </c>
      <c r="CV393" s="76">
        <f t="shared" si="1202"/>
        <v>0.71126705893008302</v>
      </c>
      <c r="CW393" s="75">
        <f t="shared" si="1203"/>
        <v>5159.416666666667</v>
      </c>
      <c r="CX393" s="77">
        <f t="shared" si="1204"/>
        <v>0.30343595777607268</v>
      </c>
      <c r="CY393" s="75">
        <f t="shared" si="1205"/>
        <v>2016.56</v>
      </c>
      <c r="CZ393" s="77">
        <f t="shared" si="1206"/>
        <v>0.11859806147586137</v>
      </c>
      <c r="DA393" s="77">
        <f t="shared" si="1207"/>
        <v>0.59266899745422164</v>
      </c>
      <c r="DB393" s="47">
        <f t="shared" si="1208"/>
        <v>168296.66666666666</v>
      </c>
      <c r="DC393" s="69">
        <f t="shared" si="1209"/>
        <v>18021.96</v>
      </c>
      <c r="DD393" s="70">
        <f t="shared" si="1149"/>
        <v>360</v>
      </c>
      <c r="DE393" s="70">
        <f t="shared" si="1150"/>
        <v>-1378.6466666666668</v>
      </c>
      <c r="DF393" s="70">
        <f t="shared" si="1151"/>
        <v>17003.313333333332</v>
      </c>
      <c r="DG393" s="70">
        <f t="shared" si="1152"/>
        <v>698.33333333333337</v>
      </c>
      <c r="DH393" s="70">
        <f t="shared" si="1176"/>
        <v>425.08333333333331</v>
      </c>
      <c r="DI393" s="70">
        <f t="shared" si="1177"/>
        <v>1400</v>
      </c>
      <c r="DJ393" s="70">
        <f t="shared" si="1178"/>
        <v>800</v>
      </c>
      <c r="DK393" s="70">
        <f t="shared" si="1153"/>
        <v>800</v>
      </c>
      <c r="DL393" s="70">
        <f t="shared" si="1154"/>
        <v>786</v>
      </c>
      <c r="DM393" s="70" t="str">
        <f t="shared" si="1155"/>
        <v/>
      </c>
      <c r="DN393" s="70">
        <f t="shared" si="1156"/>
        <v>4909.416666666667</v>
      </c>
      <c r="DO393" s="70">
        <f t="shared" si="1157"/>
        <v>250</v>
      </c>
      <c r="DP393" s="70">
        <f t="shared" si="1158"/>
        <v>5159.416666666667</v>
      </c>
      <c r="DQ393" s="70">
        <f t="shared" si="1159"/>
        <v>12093.896666666667</v>
      </c>
      <c r="DR393" s="70">
        <f t="shared" si="1160"/>
        <v>10077.336666666666</v>
      </c>
      <c r="DS393" s="71">
        <f t="shared" si="1161"/>
        <v>2016.56</v>
      </c>
      <c r="DT393" s="106">
        <f t="shared" si="1210"/>
        <v>1.0599087158306792</v>
      </c>
      <c r="DU393" s="92">
        <f t="shared" si="1163"/>
        <v>2.117234405686421E-2</v>
      </c>
      <c r="DV393" s="92" t="str">
        <f t="shared" si="1164"/>
        <v/>
      </c>
      <c r="DW393" s="92">
        <f t="shared" si="1165"/>
        <v>1</v>
      </c>
      <c r="DX393" s="92">
        <f t="shared" si="1166"/>
        <v>4.1070426665861595E-2</v>
      </c>
      <c r="DY393" s="92">
        <f t="shared" si="1179"/>
        <v>2.5000029406033412E-2</v>
      </c>
      <c r="DZ393" s="92">
        <f t="shared" si="1180"/>
        <v>8.2336893554471935E-2</v>
      </c>
      <c r="EA393" s="92">
        <f t="shared" si="1181"/>
        <v>4.7049653459698249E-2</v>
      </c>
      <c r="EB393" s="92">
        <f t="shared" si="1167"/>
        <v>4.7049653459698249E-2</v>
      </c>
      <c r="EC393" s="92">
        <f t="shared" si="1168"/>
        <v>4.6226284524153526E-2</v>
      </c>
      <c r="ED393" s="92" t="str">
        <f t="shared" si="1169"/>
        <v/>
      </c>
      <c r="EE393" s="92">
        <f t="shared" si="1170"/>
        <v>0.28873294106991698</v>
      </c>
      <c r="EF393" s="92">
        <f t="shared" si="1171"/>
        <v>1.4703016706155703E-2</v>
      </c>
      <c r="EG393" s="92">
        <f t="shared" si="1172"/>
        <v>0.30343595777607268</v>
      </c>
      <c r="EH393" s="92">
        <f t="shared" si="1173"/>
        <v>0.71126705893008302</v>
      </c>
      <c r="EI393" s="92">
        <f t="shared" si="1174"/>
        <v>0.59266899745422164</v>
      </c>
      <c r="EJ393" s="122">
        <f t="shared" si="1175"/>
        <v>0.11859806147586137</v>
      </c>
    </row>
    <row r="394" spans="2:140" ht="12" customHeight="1" outlineLevel="1">
      <c r="B394" s="272">
        <v>46121</v>
      </c>
      <c r="C394" s="117">
        <v>26400</v>
      </c>
      <c r="D394" s="50" t="s">
        <v>1694</v>
      </c>
      <c r="E394" s="50" t="s">
        <v>1694</v>
      </c>
      <c r="F394" s="50" t="s">
        <v>1695</v>
      </c>
      <c r="G394" s="50" t="s">
        <v>249</v>
      </c>
      <c r="H394" s="50" t="s">
        <v>182</v>
      </c>
      <c r="I394" s="50" t="s">
        <v>182</v>
      </c>
      <c r="J394" s="52" t="s">
        <v>446</v>
      </c>
      <c r="K394" s="50" t="s">
        <v>192</v>
      </c>
      <c r="L394" s="49">
        <v>3</v>
      </c>
      <c r="M394" s="50" t="s">
        <v>159</v>
      </c>
      <c r="N394" s="50" t="s">
        <v>160</v>
      </c>
      <c r="O394" s="50" t="s">
        <v>160</v>
      </c>
      <c r="P394" s="50" t="s">
        <v>1351</v>
      </c>
      <c r="Q394" s="53">
        <v>0.04</v>
      </c>
      <c r="R394" s="49">
        <v>240</v>
      </c>
      <c r="S394" s="49">
        <v>0</v>
      </c>
      <c r="T394" s="54">
        <f t="shared" si="1182"/>
        <v>240</v>
      </c>
      <c r="U394" s="55">
        <v>228012</v>
      </c>
      <c r="V394" s="49">
        <v>13.22</v>
      </c>
      <c r="W394" s="56">
        <f t="shared" si="1183"/>
        <v>18.154311649016641</v>
      </c>
      <c r="X394" s="49">
        <v>2000</v>
      </c>
      <c r="Y394" s="57" t="s">
        <v>162</v>
      </c>
      <c r="Z394" s="58">
        <v>31395898</v>
      </c>
      <c r="AA394" s="114">
        <v>6.6500000000000004E-2</v>
      </c>
      <c r="AB394" s="59">
        <v>15</v>
      </c>
      <c r="AC394" s="60">
        <v>40</v>
      </c>
      <c r="AD394" s="61">
        <v>6.0600000000000001E-2</v>
      </c>
      <c r="AE394" s="62">
        <v>25110000</v>
      </c>
      <c r="AF394" s="63">
        <v>1.1499999999999999</v>
      </c>
      <c r="AG394" s="59"/>
      <c r="AH394" s="60"/>
      <c r="AI394" s="61"/>
      <c r="AJ394" s="64"/>
      <c r="AK394" s="65">
        <f t="shared" si="1184"/>
        <v>25110000</v>
      </c>
      <c r="AL394" s="66">
        <v>15501940</v>
      </c>
      <c r="AM394" s="49" t="s">
        <v>1696</v>
      </c>
      <c r="AN394" s="67">
        <v>0.94</v>
      </c>
      <c r="AO394" s="62">
        <v>32356530</v>
      </c>
      <c r="AP394" s="62">
        <v>1955700</v>
      </c>
      <c r="AQ394" s="68">
        <v>7176964</v>
      </c>
      <c r="AR394" s="69">
        <f t="shared" si="1185"/>
        <v>104625</v>
      </c>
      <c r="AS394" s="70">
        <f t="shared" si="1186"/>
        <v>64591.416666666664</v>
      </c>
      <c r="AT394" s="70">
        <f t="shared" si="1187"/>
        <v>134818.875</v>
      </c>
      <c r="AU394" s="70">
        <f t="shared" si="1188"/>
        <v>8148.75</v>
      </c>
      <c r="AV394" s="71">
        <f t="shared" si="1189"/>
        <v>29904.016666666666</v>
      </c>
      <c r="AW394" s="115">
        <f t="shared" si="1190"/>
        <v>67293.5</v>
      </c>
      <c r="AX394" s="116">
        <f t="shared" si="1191"/>
        <v>70.83153518235882</v>
      </c>
      <c r="AY394" s="72">
        <f t="shared" si="1192"/>
        <v>84386.03333333334</v>
      </c>
      <c r="AZ394" s="73">
        <f t="shared" si="1193"/>
        <v>88.822728628317805</v>
      </c>
      <c r="BA394" s="66">
        <v>37380000</v>
      </c>
      <c r="BB394" s="62">
        <v>3437248</v>
      </c>
      <c r="BC394" s="62">
        <v>12713192</v>
      </c>
      <c r="BD394" s="62">
        <v>1615043</v>
      </c>
      <c r="BE394" s="62">
        <v>2487165</v>
      </c>
      <c r="BF394" s="62">
        <v>3296008</v>
      </c>
      <c r="BG394" s="62">
        <v>13098441</v>
      </c>
      <c r="BH394" s="62">
        <v>9864296</v>
      </c>
      <c r="BI394" s="62">
        <v>959686</v>
      </c>
      <c r="BJ394" s="47">
        <f t="shared" si="1194"/>
        <v>84851079</v>
      </c>
      <c r="BK394" s="69">
        <f t="shared" si="1195"/>
        <v>155750</v>
      </c>
      <c r="BL394" s="70">
        <f t="shared" si="1112"/>
        <v>14321.866666666667</v>
      </c>
      <c r="BM394" s="70">
        <f t="shared" si="1113"/>
        <v>52971.633333333331</v>
      </c>
      <c r="BN394" s="70">
        <f t="shared" si="1114"/>
        <v>6729.3458333333338</v>
      </c>
      <c r="BO394" s="70">
        <f t="shared" si="1115"/>
        <v>10363.1875</v>
      </c>
      <c r="BP394" s="70">
        <f t="shared" si="1116"/>
        <v>13733.366666666667</v>
      </c>
      <c r="BQ394" s="70">
        <f t="shared" si="1117"/>
        <v>54576.837500000001</v>
      </c>
      <c r="BR394" s="70">
        <f t="shared" si="1118"/>
        <v>41101.23333333333</v>
      </c>
      <c r="BS394" s="70">
        <f t="shared" si="1119"/>
        <v>3998.6916666666666</v>
      </c>
      <c r="BT394" s="71">
        <f t="shared" si="1120"/>
        <v>353546.16249999998</v>
      </c>
      <c r="BU394" s="65">
        <f t="shared" si="1196"/>
        <v>163.93874006631231</v>
      </c>
      <c r="BV394" s="48">
        <f t="shared" si="1122"/>
        <v>15.074855709348631</v>
      </c>
      <c r="BW394" s="48">
        <f t="shared" si="1123"/>
        <v>55.756679473010195</v>
      </c>
      <c r="BX394" s="48">
        <f t="shared" si="1124"/>
        <v>7.0831491325017986</v>
      </c>
      <c r="BY394" s="48">
        <f t="shared" si="1125"/>
        <v>10.908044313457186</v>
      </c>
      <c r="BZ394" s="48">
        <f t="shared" si="1126"/>
        <v>14.455414627300318</v>
      </c>
      <c r="CA394" s="48">
        <f t="shared" si="1127"/>
        <v>57.446279143202986</v>
      </c>
      <c r="CB394" s="48">
        <f t="shared" si="1128"/>
        <v>43.262179183551744</v>
      </c>
      <c r="CC394" s="48">
        <f t="shared" si="1129"/>
        <v>4.2089276003017382</v>
      </c>
      <c r="CD394" s="47">
        <f t="shared" si="1130"/>
        <v>372.13426924898687</v>
      </c>
      <c r="CE394" s="66">
        <v>3731040</v>
      </c>
      <c r="CF394" s="62">
        <v>53112</v>
      </c>
      <c r="CG394" s="74">
        <v>-283811</v>
      </c>
      <c r="CH394" s="75">
        <f t="shared" si="1197"/>
        <v>3500341</v>
      </c>
      <c r="CI394" s="62">
        <f>120656+4657+5000+9600+2892</f>
        <v>142805</v>
      </c>
      <c r="CJ394" s="62">
        <v>140013</v>
      </c>
      <c r="CK394" s="62">
        <v>478541</v>
      </c>
      <c r="CL394" s="62">
        <v>213661</v>
      </c>
      <c r="CM394" s="62">
        <f>48561+281705</f>
        <v>330266</v>
      </c>
      <c r="CN394" s="62">
        <v>16735</v>
      </c>
      <c r="CO394" s="62">
        <v>0</v>
      </c>
      <c r="CP394" s="75">
        <f t="shared" si="1198"/>
        <v>1322021</v>
      </c>
      <c r="CQ394" s="62">
        <v>72000</v>
      </c>
      <c r="CR394" s="75">
        <f t="shared" si="1199"/>
        <v>1394021</v>
      </c>
      <c r="CS394" s="75">
        <f t="shared" si="1200"/>
        <v>2178320</v>
      </c>
      <c r="CT394" s="62">
        <v>1694581</v>
      </c>
      <c r="CU394" s="47">
        <f t="shared" si="1201"/>
        <v>483739</v>
      </c>
      <c r="CV394" s="76">
        <f t="shared" si="1202"/>
        <v>0.62231651144845601</v>
      </c>
      <c r="CW394" s="75">
        <f t="shared" si="1203"/>
        <v>5808.4208333333336</v>
      </c>
      <c r="CX394" s="77">
        <f t="shared" si="1204"/>
        <v>0.39825291307332628</v>
      </c>
      <c r="CY394" s="75">
        <f t="shared" si="1205"/>
        <v>2015.5791666666667</v>
      </c>
      <c r="CZ394" s="77">
        <f t="shared" si="1206"/>
        <v>0.13819767845475628</v>
      </c>
      <c r="DA394" s="77">
        <f t="shared" si="1207"/>
        <v>0.48411883299369973</v>
      </c>
      <c r="DB394" s="47">
        <f t="shared" si="1208"/>
        <v>104625</v>
      </c>
      <c r="DC394" s="69">
        <f t="shared" si="1209"/>
        <v>15546</v>
      </c>
      <c r="DD394" s="70">
        <f t="shared" si="1149"/>
        <v>221.3</v>
      </c>
      <c r="DE394" s="70">
        <f t="shared" si="1150"/>
        <v>-1182.5458333333333</v>
      </c>
      <c r="DF394" s="70">
        <f t="shared" si="1151"/>
        <v>14584.754166666668</v>
      </c>
      <c r="DG394" s="70">
        <f t="shared" si="1152"/>
        <v>595.02083333333337</v>
      </c>
      <c r="DH394" s="70">
        <f t="shared" si="1176"/>
        <v>583.38750000000005</v>
      </c>
      <c r="DI394" s="70">
        <f t="shared" si="1177"/>
        <v>1993.9208333333333</v>
      </c>
      <c r="DJ394" s="70">
        <f t="shared" si="1178"/>
        <v>890.25416666666672</v>
      </c>
      <c r="DK394" s="70">
        <f t="shared" si="1153"/>
        <v>1376.1083333333333</v>
      </c>
      <c r="DL394" s="70">
        <f t="shared" si="1154"/>
        <v>69.729166666666671</v>
      </c>
      <c r="DM394" s="70" t="str">
        <f t="shared" si="1155"/>
        <v/>
      </c>
      <c r="DN394" s="70">
        <f t="shared" si="1156"/>
        <v>5508.4208333333336</v>
      </c>
      <c r="DO394" s="70">
        <f t="shared" si="1157"/>
        <v>300</v>
      </c>
      <c r="DP394" s="70">
        <f t="shared" si="1158"/>
        <v>5808.4208333333336</v>
      </c>
      <c r="DQ394" s="70">
        <f t="shared" si="1159"/>
        <v>9076.3333333333339</v>
      </c>
      <c r="DR394" s="70">
        <f t="shared" si="1160"/>
        <v>7060.7541666666666</v>
      </c>
      <c r="DS394" s="71">
        <f t="shared" si="1161"/>
        <v>2015.5791666666667</v>
      </c>
      <c r="DT394" s="106">
        <f t="shared" si="1210"/>
        <v>1.0659075787187591</v>
      </c>
      <c r="DU394" s="92">
        <f t="shared" si="1163"/>
        <v>1.5173378822234749E-2</v>
      </c>
      <c r="DV394" s="92" t="str">
        <f t="shared" si="1164"/>
        <v/>
      </c>
      <c r="DW394" s="92">
        <f t="shared" si="1165"/>
        <v>1</v>
      </c>
      <c r="DX394" s="92">
        <f t="shared" si="1166"/>
        <v>4.0797453733793364E-2</v>
      </c>
      <c r="DY394" s="92">
        <f t="shared" si="1179"/>
        <v>3.9999817160670914E-2</v>
      </c>
      <c r="DZ394" s="92">
        <f t="shared" si="1180"/>
        <v>0.13671268027886427</v>
      </c>
      <c r="EA394" s="92">
        <f t="shared" si="1181"/>
        <v>6.1040052954840683E-2</v>
      </c>
      <c r="EB394" s="92">
        <f t="shared" si="1167"/>
        <v>9.4352521654318816E-2</v>
      </c>
      <c r="EC394" s="92">
        <f t="shared" si="1168"/>
        <v>4.7809627690559289E-3</v>
      </c>
      <c r="ED394" s="92" t="str">
        <f t="shared" si="1169"/>
        <v/>
      </c>
      <c r="EE394" s="92">
        <f t="shared" si="1170"/>
        <v>0.37768348855154399</v>
      </c>
      <c r="EF394" s="92">
        <f t="shared" si="1171"/>
        <v>2.0569424521782308E-2</v>
      </c>
      <c r="EG394" s="92">
        <f t="shared" si="1172"/>
        <v>0.39825291307332628</v>
      </c>
      <c r="EH394" s="92">
        <f t="shared" si="1173"/>
        <v>0.62231651144845601</v>
      </c>
      <c r="EI394" s="92">
        <f t="shared" si="1174"/>
        <v>0.48411883299369973</v>
      </c>
      <c r="EJ394" s="122">
        <f t="shared" si="1175"/>
        <v>0.13819767845475628</v>
      </c>
    </row>
    <row r="395" spans="2:140" ht="12" customHeight="1" outlineLevel="1">
      <c r="B395" s="272">
        <v>46128</v>
      </c>
      <c r="C395" s="117">
        <v>26405</v>
      </c>
      <c r="D395" s="50" t="s">
        <v>1697</v>
      </c>
      <c r="E395" s="50" t="s">
        <v>1698</v>
      </c>
      <c r="F395" s="50" t="s">
        <v>154</v>
      </c>
      <c r="G395" s="50" t="s">
        <v>162</v>
      </c>
      <c r="H395" s="50" t="s">
        <v>259</v>
      </c>
      <c r="I395" s="50" t="s">
        <v>1022</v>
      </c>
      <c r="J395" s="52" t="s">
        <v>354</v>
      </c>
      <c r="K395" s="50" t="s">
        <v>355</v>
      </c>
      <c r="L395" s="49">
        <v>9</v>
      </c>
      <c r="M395" s="50" t="s">
        <v>283</v>
      </c>
      <c r="N395" s="50" t="s">
        <v>244</v>
      </c>
      <c r="O395" s="50" t="s">
        <v>160</v>
      </c>
      <c r="P395" s="50" t="s">
        <v>1351</v>
      </c>
      <c r="Q395" s="53">
        <v>0.04</v>
      </c>
      <c r="R395" s="49">
        <v>150</v>
      </c>
      <c r="S395" s="49">
        <v>0</v>
      </c>
      <c r="T395" s="54">
        <f t="shared" si="1182"/>
        <v>150</v>
      </c>
      <c r="U395" s="55">
        <v>145938</v>
      </c>
      <c r="V395" s="49">
        <v>21.82</v>
      </c>
      <c r="W395" s="56">
        <f t="shared" si="1183"/>
        <v>6.8744271310724105</v>
      </c>
      <c r="X395" s="49" t="s">
        <v>163</v>
      </c>
      <c r="Y395" s="57" t="s">
        <v>162</v>
      </c>
      <c r="Z395" s="58">
        <v>20650000</v>
      </c>
      <c r="AA395" s="114">
        <v>5.8900000000000001E-2</v>
      </c>
      <c r="AB395" s="59">
        <v>15</v>
      </c>
      <c r="AC395" s="60">
        <v>40</v>
      </c>
      <c r="AD395" s="61">
        <v>5.8500000000000003E-2</v>
      </c>
      <c r="AE395" s="62">
        <v>20650000</v>
      </c>
      <c r="AF395" s="63">
        <v>1.1299999999999999</v>
      </c>
      <c r="AG395" s="59">
        <v>40</v>
      </c>
      <c r="AH395" s="60">
        <v>0</v>
      </c>
      <c r="AI395" s="61">
        <v>4.82E-2</v>
      </c>
      <c r="AJ395" s="64">
        <v>10875000</v>
      </c>
      <c r="AK395" s="65">
        <f t="shared" si="1184"/>
        <v>31525000</v>
      </c>
      <c r="AL395" s="66">
        <v>0</v>
      </c>
      <c r="AM395" s="49" t="s">
        <v>163</v>
      </c>
      <c r="AN395" s="67">
        <v>0.85</v>
      </c>
      <c r="AO395" s="62">
        <v>15555082</v>
      </c>
      <c r="AP395" s="62">
        <v>1531594</v>
      </c>
      <c r="AQ395" s="68">
        <v>3493900</v>
      </c>
      <c r="AR395" s="69">
        <f t="shared" si="1185"/>
        <v>210166.66666666666</v>
      </c>
      <c r="AS395" s="70" t="str">
        <f t="shared" si="1186"/>
        <v/>
      </c>
      <c r="AT395" s="70">
        <f t="shared" si="1187"/>
        <v>103700.54666666666</v>
      </c>
      <c r="AU395" s="70">
        <f t="shared" si="1188"/>
        <v>10210.626666666667</v>
      </c>
      <c r="AV395" s="71">
        <f t="shared" si="1189"/>
        <v>23292.666666666668</v>
      </c>
      <c r="AW395" s="115">
        <f t="shared" si="1190"/>
        <v>41798.213333333333</v>
      </c>
      <c r="AX395" s="116">
        <f t="shared" si="1191"/>
        <v>42.961613836012553</v>
      </c>
      <c r="AY395" s="72">
        <f t="shared" si="1192"/>
        <v>52414.96</v>
      </c>
      <c r="AZ395" s="73">
        <f t="shared" si="1193"/>
        <v>53.873864243719936</v>
      </c>
      <c r="BA395" s="66">
        <v>32530000</v>
      </c>
      <c r="BB395" s="62">
        <v>876895</v>
      </c>
      <c r="BC395" s="62">
        <v>5392837</v>
      </c>
      <c r="BD395" s="62">
        <v>626973</v>
      </c>
      <c r="BE395" s="62">
        <v>965539</v>
      </c>
      <c r="BF395" s="62">
        <v>784662</v>
      </c>
      <c r="BG395" s="62">
        <v>3516708</v>
      </c>
      <c r="BH395" s="62">
        <v>5968021</v>
      </c>
      <c r="BI395" s="62">
        <v>1085835</v>
      </c>
      <c r="BJ395" s="47">
        <f t="shared" si="1194"/>
        <v>51747470</v>
      </c>
      <c r="BK395" s="69">
        <f t="shared" si="1195"/>
        <v>216866.66666666666</v>
      </c>
      <c r="BL395" s="70">
        <f t="shared" si="1112"/>
        <v>5845.9666666666662</v>
      </c>
      <c r="BM395" s="70">
        <f t="shared" si="1113"/>
        <v>35952.246666666666</v>
      </c>
      <c r="BN395" s="70">
        <f t="shared" si="1114"/>
        <v>4179.82</v>
      </c>
      <c r="BO395" s="70">
        <f t="shared" si="1115"/>
        <v>6436.9266666666663</v>
      </c>
      <c r="BP395" s="70">
        <f t="shared" si="1116"/>
        <v>5231.08</v>
      </c>
      <c r="BQ395" s="70">
        <f t="shared" si="1117"/>
        <v>23444.720000000001</v>
      </c>
      <c r="BR395" s="70">
        <f t="shared" si="1118"/>
        <v>39786.806666666664</v>
      </c>
      <c r="BS395" s="70">
        <f t="shared" si="1119"/>
        <v>7238.9</v>
      </c>
      <c r="BT395" s="71">
        <f t="shared" si="1120"/>
        <v>344983.13333333336</v>
      </c>
      <c r="BU395" s="65">
        <f t="shared" si="1196"/>
        <v>222.90287656402035</v>
      </c>
      <c r="BV395" s="48">
        <f t="shared" si="1122"/>
        <v>6.0086817689703844</v>
      </c>
      <c r="BW395" s="48">
        <f t="shared" si="1123"/>
        <v>36.95293206704217</v>
      </c>
      <c r="BX395" s="48">
        <f t="shared" si="1124"/>
        <v>4.2961600131562721</v>
      </c>
      <c r="BY395" s="48">
        <f t="shared" si="1125"/>
        <v>6.6160903945511107</v>
      </c>
      <c r="BZ395" s="48">
        <f t="shared" si="1126"/>
        <v>5.3766805081609998</v>
      </c>
      <c r="CA395" s="48">
        <f t="shared" si="1127"/>
        <v>24.097274184927848</v>
      </c>
      <c r="CB395" s="48">
        <f t="shared" si="1128"/>
        <v>40.894222203949624</v>
      </c>
      <c r="CC395" s="48">
        <f t="shared" si="1129"/>
        <v>7.4403856432183533</v>
      </c>
      <c r="CD395" s="47">
        <f t="shared" si="1130"/>
        <v>354.58530334799707</v>
      </c>
      <c r="CE395" s="66">
        <v>2584944</v>
      </c>
      <c r="CF395" s="62">
        <v>54000</v>
      </c>
      <c r="CG395" s="74">
        <v>-197921</v>
      </c>
      <c r="CH395" s="75">
        <f t="shared" si="1197"/>
        <v>2441023</v>
      </c>
      <c r="CI395" s="62">
        <f>69018+12000+10800</f>
        <v>91818</v>
      </c>
      <c r="CJ395" s="62">
        <v>99023</v>
      </c>
      <c r="CK395" s="62">
        <v>196957</v>
      </c>
      <c r="CL395" s="62">
        <v>94262</v>
      </c>
      <c r="CM395" s="62">
        <f>24362+170976</f>
        <v>195338</v>
      </c>
      <c r="CN395" s="62">
        <v>120001</v>
      </c>
      <c r="CO395" s="62">
        <v>66672</v>
      </c>
      <c r="CP395" s="75">
        <f t="shared" si="1198"/>
        <v>864071</v>
      </c>
      <c r="CQ395" s="62">
        <v>45000</v>
      </c>
      <c r="CR395" s="75">
        <f t="shared" si="1199"/>
        <v>909071</v>
      </c>
      <c r="CS395" s="75">
        <f t="shared" si="1200"/>
        <v>1576952</v>
      </c>
      <c r="CT395" s="62">
        <v>1331290</v>
      </c>
      <c r="CU395" s="47">
        <f t="shared" si="1201"/>
        <v>245662</v>
      </c>
      <c r="CV395" s="76">
        <f t="shared" si="1202"/>
        <v>0.64602095105207935</v>
      </c>
      <c r="CW395" s="75">
        <f t="shared" si="1203"/>
        <v>6060.4733333333334</v>
      </c>
      <c r="CX395" s="77">
        <f t="shared" si="1204"/>
        <v>0.37241394284281631</v>
      </c>
      <c r="CY395" s="75">
        <f t="shared" si="1205"/>
        <v>1637.7466666666667</v>
      </c>
      <c r="CZ395" s="77">
        <f t="shared" si="1206"/>
        <v>0.10063895342239708</v>
      </c>
      <c r="DA395" s="77">
        <f t="shared" si="1207"/>
        <v>0.54538199762968231</v>
      </c>
      <c r="DB395" s="47">
        <f t="shared" si="1208"/>
        <v>210166.66666666666</v>
      </c>
      <c r="DC395" s="69">
        <f t="shared" si="1209"/>
        <v>17232.96</v>
      </c>
      <c r="DD395" s="70">
        <f t="shared" si="1149"/>
        <v>360</v>
      </c>
      <c r="DE395" s="70">
        <f t="shared" si="1150"/>
        <v>-1319.4733333333334</v>
      </c>
      <c r="DF395" s="70">
        <f t="shared" si="1151"/>
        <v>16273.486666666666</v>
      </c>
      <c r="DG395" s="70">
        <f t="shared" si="1152"/>
        <v>612.12</v>
      </c>
      <c r="DH395" s="70">
        <f t="shared" si="1176"/>
        <v>660.15333333333331</v>
      </c>
      <c r="DI395" s="70">
        <f t="shared" si="1177"/>
        <v>1313.0466666666666</v>
      </c>
      <c r="DJ395" s="70">
        <f t="shared" si="1178"/>
        <v>628.4133333333333</v>
      </c>
      <c r="DK395" s="70">
        <f t="shared" si="1153"/>
        <v>1302.2533333333333</v>
      </c>
      <c r="DL395" s="70">
        <f t="shared" si="1154"/>
        <v>800.00666666666666</v>
      </c>
      <c r="DM395" s="70">
        <f t="shared" si="1155"/>
        <v>444.48</v>
      </c>
      <c r="DN395" s="70">
        <f t="shared" si="1156"/>
        <v>5760.4733333333334</v>
      </c>
      <c r="DO395" s="70">
        <f t="shared" si="1157"/>
        <v>300</v>
      </c>
      <c r="DP395" s="70">
        <f t="shared" si="1158"/>
        <v>6060.4733333333334</v>
      </c>
      <c r="DQ395" s="70">
        <f t="shared" si="1159"/>
        <v>10513.013333333334</v>
      </c>
      <c r="DR395" s="70">
        <f t="shared" si="1160"/>
        <v>8875.2666666666664</v>
      </c>
      <c r="DS395" s="71">
        <f t="shared" si="1161"/>
        <v>1637.7466666666667</v>
      </c>
      <c r="DT395" s="106">
        <f t="shared" si="1210"/>
        <v>1.0589592969832731</v>
      </c>
      <c r="DU395" s="92">
        <f t="shared" si="1163"/>
        <v>2.2121872673874846E-2</v>
      </c>
      <c r="DV395" s="92" t="str">
        <f t="shared" si="1164"/>
        <v/>
      </c>
      <c r="DW395" s="92">
        <f t="shared" si="1165"/>
        <v>1</v>
      </c>
      <c r="DX395" s="92">
        <f t="shared" si="1166"/>
        <v>3.7614557503145199E-2</v>
      </c>
      <c r="DY395" s="92">
        <f t="shared" si="1179"/>
        <v>4.0566188847872386E-2</v>
      </c>
      <c r="DZ395" s="92">
        <f t="shared" si="1180"/>
        <v>8.06862532634883E-2</v>
      </c>
      <c r="EA395" s="92">
        <f t="shared" si="1181"/>
        <v>3.8615777073792421E-2</v>
      </c>
      <c r="EB395" s="92">
        <f t="shared" si="1167"/>
        <v>8.0023006747580824E-2</v>
      </c>
      <c r="EC395" s="92">
        <f t="shared" si="1168"/>
        <v>4.9160126717363993E-2</v>
      </c>
      <c r="ED395" s="92">
        <f t="shared" si="1169"/>
        <v>2.7313138794677477E-2</v>
      </c>
      <c r="EE395" s="92">
        <f t="shared" si="1170"/>
        <v>0.35397904894792059</v>
      </c>
      <c r="EF395" s="92">
        <f t="shared" si="1171"/>
        <v>1.8434893894895707E-2</v>
      </c>
      <c r="EG395" s="92">
        <f t="shared" si="1172"/>
        <v>0.37241394284281631</v>
      </c>
      <c r="EH395" s="92">
        <f t="shared" si="1173"/>
        <v>0.64602095105207935</v>
      </c>
      <c r="EI395" s="92">
        <f t="shared" si="1174"/>
        <v>0.54538199762968231</v>
      </c>
      <c r="EJ395" s="122">
        <f t="shared" si="1175"/>
        <v>0.10063895342239708</v>
      </c>
    </row>
    <row r="396" spans="2:140" ht="12" customHeight="1" outlineLevel="1">
      <c r="B396" s="272">
        <v>46133</v>
      </c>
      <c r="C396" s="117">
        <v>26411</v>
      </c>
      <c r="D396" s="50" t="s">
        <v>1699</v>
      </c>
      <c r="E396" s="50" t="s">
        <v>393</v>
      </c>
      <c r="F396" s="50" t="s">
        <v>1257</v>
      </c>
      <c r="G396" s="50" t="s">
        <v>249</v>
      </c>
      <c r="H396" s="50" t="s">
        <v>259</v>
      </c>
      <c r="I396" s="50" t="s">
        <v>379</v>
      </c>
      <c r="J396" s="52" t="s">
        <v>183</v>
      </c>
      <c r="K396" s="50" t="s">
        <v>184</v>
      </c>
      <c r="L396" s="49">
        <v>9</v>
      </c>
      <c r="M396" s="50" t="s">
        <v>159</v>
      </c>
      <c r="N396" s="50" t="s">
        <v>244</v>
      </c>
      <c r="O396" s="50" t="s">
        <v>160</v>
      </c>
      <c r="P396" s="50" t="s">
        <v>177</v>
      </c>
      <c r="Q396" s="53">
        <v>0.04</v>
      </c>
      <c r="R396" s="49">
        <v>290</v>
      </c>
      <c r="S396" s="49">
        <v>0</v>
      </c>
      <c r="T396" s="54">
        <f t="shared" si="1182"/>
        <v>290</v>
      </c>
      <c r="U396" s="55">
        <v>255159</v>
      </c>
      <c r="V396" s="49">
        <v>11.03</v>
      </c>
      <c r="W396" s="56">
        <f t="shared" si="1183"/>
        <v>26.29193109700816</v>
      </c>
      <c r="X396" s="49" t="s">
        <v>163</v>
      </c>
      <c r="Y396" s="57" t="s">
        <v>162</v>
      </c>
      <c r="Z396" s="58">
        <v>50000000</v>
      </c>
      <c r="AA396" s="114">
        <v>7.2499999999999995E-2</v>
      </c>
      <c r="AB396" s="59">
        <v>17</v>
      </c>
      <c r="AC396" s="60">
        <v>40</v>
      </c>
      <c r="AD396" s="61">
        <v>5.5E-2</v>
      </c>
      <c r="AE396" s="62">
        <v>30125048</v>
      </c>
      <c r="AF396" s="63">
        <v>1.25</v>
      </c>
      <c r="AG396" s="59"/>
      <c r="AH396" s="60"/>
      <c r="AI396" s="61"/>
      <c r="AJ396" s="64"/>
      <c r="AK396" s="65">
        <f t="shared" si="1184"/>
        <v>30125048</v>
      </c>
      <c r="AL396" s="66">
        <v>0</v>
      </c>
      <c r="AM396" s="66" t="s">
        <v>163</v>
      </c>
      <c r="AN396" s="67">
        <v>0.85</v>
      </c>
      <c r="AO396" s="62">
        <v>25592812</v>
      </c>
      <c r="AP396" s="62">
        <v>2329080</v>
      </c>
      <c r="AQ396" s="68">
        <v>7349904</v>
      </c>
      <c r="AR396" s="69">
        <f t="shared" si="1185"/>
        <v>103879.47586206897</v>
      </c>
      <c r="AS396" s="70" t="str">
        <f t="shared" si="1186"/>
        <v/>
      </c>
      <c r="AT396" s="70">
        <f t="shared" si="1187"/>
        <v>88251.075862068959</v>
      </c>
      <c r="AU396" s="70">
        <f t="shared" si="1188"/>
        <v>8031.3103448275861</v>
      </c>
      <c r="AV396" s="71">
        <f t="shared" si="1189"/>
        <v>25344.496551724136</v>
      </c>
      <c r="AW396" s="115">
        <f t="shared" si="1190"/>
        <v>113723.13448275861</v>
      </c>
      <c r="AX396" s="116">
        <f t="shared" si="1191"/>
        <v>129.25159998275586</v>
      </c>
      <c r="AY396" s="72">
        <f t="shared" si="1192"/>
        <v>135416.73448275862</v>
      </c>
      <c r="AZ396" s="73">
        <f t="shared" si="1193"/>
        <v>153.90737932034534</v>
      </c>
      <c r="BA396" s="66">
        <v>2400156</v>
      </c>
      <c r="BB396" s="62">
        <v>4802746</v>
      </c>
      <c r="BC396" s="62">
        <v>28176963</v>
      </c>
      <c r="BD396" s="62">
        <v>1673985</v>
      </c>
      <c r="BE396" s="62">
        <v>4617159</v>
      </c>
      <c r="BF396" s="62">
        <v>3870006</v>
      </c>
      <c r="BG396" s="62">
        <v>15879965</v>
      </c>
      <c r="BH396" s="62">
        <v>7611000</v>
      </c>
      <c r="BI396" s="62">
        <v>888385</v>
      </c>
      <c r="BJ396" s="47">
        <f t="shared" si="1194"/>
        <v>69920365</v>
      </c>
      <c r="BK396" s="69">
        <f t="shared" si="1195"/>
        <v>8276.4</v>
      </c>
      <c r="BL396" s="70">
        <f t="shared" si="1112"/>
        <v>16561.193103448277</v>
      </c>
      <c r="BM396" s="70">
        <f t="shared" si="1113"/>
        <v>97161.941379310345</v>
      </c>
      <c r="BN396" s="70">
        <f t="shared" si="1114"/>
        <v>5772.3620689655172</v>
      </c>
      <c r="BO396" s="70">
        <f t="shared" si="1115"/>
        <v>15921.237931034482</v>
      </c>
      <c r="BP396" s="70">
        <f t="shared" si="1116"/>
        <v>13344.848275862068</v>
      </c>
      <c r="BQ396" s="70">
        <f t="shared" si="1117"/>
        <v>54758.5</v>
      </c>
      <c r="BR396" s="70">
        <f t="shared" si="1118"/>
        <v>26244.827586206895</v>
      </c>
      <c r="BS396" s="70">
        <f t="shared" si="1119"/>
        <v>3063.3965517241381</v>
      </c>
      <c r="BT396" s="71">
        <f t="shared" si="1120"/>
        <v>241104.70689655171</v>
      </c>
      <c r="BU396" s="65">
        <f t="shared" si="1196"/>
        <v>9.406511234171635</v>
      </c>
      <c r="BV396" s="48">
        <f t="shared" si="1122"/>
        <v>18.822561618441835</v>
      </c>
      <c r="BW396" s="48">
        <f t="shared" si="1123"/>
        <v>110.42903836431401</v>
      </c>
      <c r="BX396" s="48">
        <f t="shared" si="1124"/>
        <v>6.560556358976168</v>
      </c>
      <c r="BY396" s="48">
        <f t="shared" si="1125"/>
        <v>18.095222978613336</v>
      </c>
      <c r="BZ396" s="48">
        <f t="shared" si="1126"/>
        <v>15.167037023973288</v>
      </c>
      <c r="CA396" s="48">
        <f t="shared" si="1127"/>
        <v>62.235566842635379</v>
      </c>
      <c r="CB396" s="48">
        <f t="shared" si="1128"/>
        <v>29.828459901473199</v>
      </c>
      <c r="CC396" s="48">
        <f t="shared" si="1129"/>
        <v>3.4816918078531427</v>
      </c>
      <c r="CD396" s="47">
        <f t="shared" si="1130"/>
        <v>274.02664613045198</v>
      </c>
      <c r="CE396" s="66">
        <v>3577068</v>
      </c>
      <c r="CF396" s="62">
        <f>50796+22342+31262</f>
        <v>104400</v>
      </c>
      <c r="CG396" s="74">
        <v>-276110</v>
      </c>
      <c r="CH396" s="75">
        <f t="shared" si="1197"/>
        <v>3405358</v>
      </c>
      <c r="CI396" s="62">
        <f>104370+10000+11600+3000</f>
        <v>128970</v>
      </c>
      <c r="CJ396" s="62">
        <v>119188</v>
      </c>
      <c r="CK396" s="62">
        <v>356870</v>
      </c>
      <c r="CL396" s="62">
        <f>184050+10000</f>
        <v>194050</v>
      </c>
      <c r="CM396" s="62">
        <f>29000+37990</f>
        <v>66990</v>
      </c>
      <c r="CN396" s="62">
        <v>136010</v>
      </c>
      <c r="CO396" s="62">
        <v>0</v>
      </c>
      <c r="CP396" s="75">
        <f t="shared" si="1198"/>
        <v>1002078</v>
      </c>
      <c r="CQ396" s="62">
        <v>72500</v>
      </c>
      <c r="CR396" s="75">
        <f t="shared" si="1199"/>
        <v>1074578</v>
      </c>
      <c r="CS396" s="75">
        <f t="shared" si="1200"/>
        <v>2403280</v>
      </c>
      <c r="CT396" s="62">
        <v>1864513</v>
      </c>
      <c r="CU396" s="47">
        <f t="shared" si="1201"/>
        <v>538767</v>
      </c>
      <c r="CV396" s="76">
        <f t="shared" si="1202"/>
        <v>0.70573490364302371</v>
      </c>
      <c r="CW396" s="75">
        <f t="shared" si="1203"/>
        <v>3705.4413793103449</v>
      </c>
      <c r="CX396" s="77">
        <f t="shared" si="1204"/>
        <v>0.31555507526668269</v>
      </c>
      <c r="CY396" s="75">
        <f t="shared" si="1205"/>
        <v>1857.8172413793104</v>
      </c>
      <c r="CZ396" s="77">
        <f t="shared" si="1206"/>
        <v>0.15821155954821783</v>
      </c>
      <c r="DA396" s="77">
        <f t="shared" si="1207"/>
        <v>0.54752334409480585</v>
      </c>
      <c r="DB396" s="47">
        <f t="shared" si="1208"/>
        <v>103879.47586206897</v>
      </c>
      <c r="DC396" s="69">
        <f t="shared" si="1209"/>
        <v>12334.717241379311</v>
      </c>
      <c r="DD396" s="70">
        <f t="shared" si="1149"/>
        <v>360</v>
      </c>
      <c r="DE396" s="70">
        <f t="shared" si="1150"/>
        <v>-952.10344827586209</v>
      </c>
      <c r="DF396" s="70">
        <f t="shared" si="1151"/>
        <v>11742.613793103448</v>
      </c>
      <c r="DG396" s="70">
        <f t="shared" si="1152"/>
        <v>444.72413793103448</v>
      </c>
      <c r="DH396" s="70">
        <f t="shared" si="1176"/>
        <v>410.99310344827586</v>
      </c>
      <c r="DI396" s="70">
        <f t="shared" si="1177"/>
        <v>1230.5862068965516</v>
      </c>
      <c r="DJ396" s="70">
        <f t="shared" si="1178"/>
        <v>669.13793103448279</v>
      </c>
      <c r="DK396" s="70">
        <f t="shared" si="1153"/>
        <v>231</v>
      </c>
      <c r="DL396" s="70">
        <f t="shared" si="1154"/>
        <v>469</v>
      </c>
      <c r="DM396" s="70" t="str">
        <f t="shared" si="1155"/>
        <v/>
      </c>
      <c r="DN396" s="70">
        <f t="shared" si="1156"/>
        <v>3455.4413793103449</v>
      </c>
      <c r="DO396" s="70">
        <f t="shared" si="1157"/>
        <v>250</v>
      </c>
      <c r="DP396" s="70">
        <f t="shared" si="1158"/>
        <v>3705.4413793103449</v>
      </c>
      <c r="DQ396" s="70">
        <f t="shared" si="1159"/>
        <v>8287.1724137931033</v>
      </c>
      <c r="DR396" s="70">
        <f t="shared" si="1160"/>
        <v>6429.3551724137933</v>
      </c>
      <c r="DS396" s="71">
        <f t="shared" si="1161"/>
        <v>1857.8172413793104</v>
      </c>
      <c r="DT396" s="106">
        <f t="shared" si="1210"/>
        <v>1.0504234797046301</v>
      </c>
      <c r="DU396" s="92">
        <f t="shared" si="1163"/>
        <v>3.0657569629977229E-2</v>
      </c>
      <c r="DV396" s="92" t="str">
        <f t="shared" si="1164"/>
        <v/>
      </c>
      <c r="DW396" s="92">
        <f t="shared" si="1165"/>
        <v>1</v>
      </c>
      <c r="DX396" s="92">
        <f t="shared" si="1166"/>
        <v>3.7872670068756352E-2</v>
      </c>
      <c r="DY396" s="92">
        <f t="shared" si="1179"/>
        <v>3.5000138017794308E-2</v>
      </c>
      <c r="DZ396" s="92">
        <f t="shared" si="1180"/>
        <v>0.10479661756561277</v>
      </c>
      <c r="EA396" s="92">
        <f t="shared" si="1181"/>
        <v>5.6983729757634882E-2</v>
      </c>
      <c r="EB396" s="92">
        <f t="shared" si="1167"/>
        <v>1.9671940512568722E-2</v>
      </c>
      <c r="EC396" s="92">
        <f t="shared" si="1168"/>
        <v>3.9940000434609227E-2</v>
      </c>
      <c r="ED396" s="92" t="str">
        <f t="shared" si="1169"/>
        <v/>
      </c>
      <c r="EE396" s="92">
        <f t="shared" si="1170"/>
        <v>0.29426509635697629</v>
      </c>
      <c r="EF396" s="92">
        <f t="shared" si="1171"/>
        <v>2.1289978909706408E-2</v>
      </c>
      <c r="EG396" s="92">
        <f t="shared" si="1172"/>
        <v>0.31555507526668269</v>
      </c>
      <c r="EH396" s="92">
        <f t="shared" si="1173"/>
        <v>0.70573490364302371</v>
      </c>
      <c r="EI396" s="92">
        <f t="shared" si="1174"/>
        <v>0.54752334409480585</v>
      </c>
      <c r="EJ396" s="122">
        <f t="shared" si="1175"/>
        <v>0.15821155954821783</v>
      </c>
    </row>
    <row r="397" spans="2:140" ht="12" customHeight="1" outlineLevel="1">
      <c r="B397" s="272">
        <v>46139</v>
      </c>
      <c r="C397" s="117">
        <v>26418</v>
      </c>
      <c r="D397" s="50" t="s">
        <v>1700</v>
      </c>
      <c r="E397" s="50" t="s">
        <v>1701</v>
      </c>
      <c r="F397" s="50" t="s">
        <v>1702</v>
      </c>
      <c r="G397" s="50" t="s">
        <v>162</v>
      </c>
      <c r="H397" s="50" t="s">
        <v>220</v>
      </c>
      <c r="I397" s="50" t="s">
        <v>182</v>
      </c>
      <c r="J397" s="52" t="s">
        <v>360</v>
      </c>
      <c r="K397" s="50" t="s">
        <v>294</v>
      </c>
      <c r="L397" s="49">
        <v>7</v>
      </c>
      <c r="M397" s="50" t="s">
        <v>159</v>
      </c>
      <c r="N397" s="50" t="s">
        <v>160</v>
      </c>
      <c r="O397" s="50" t="s">
        <v>160</v>
      </c>
      <c r="P397" s="50" t="s">
        <v>177</v>
      </c>
      <c r="Q397" s="53">
        <v>0.04</v>
      </c>
      <c r="R397" s="49">
        <v>323</v>
      </c>
      <c r="S397" s="49">
        <v>0</v>
      </c>
      <c r="T397" s="54">
        <f t="shared" si="1182"/>
        <v>323</v>
      </c>
      <c r="U397" s="55">
        <v>354716</v>
      </c>
      <c r="V397" s="49">
        <v>13.86</v>
      </c>
      <c r="W397" s="56">
        <f t="shared" si="1183"/>
        <v>23.304473304473305</v>
      </c>
      <c r="X397" s="49" t="s">
        <v>163</v>
      </c>
      <c r="Y397" s="57" t="s">
        <v>162</v>
      </c>
      <c r="Z397" s="58">
        <v>52000000</v>
      </c>
      <c r="AA397" s="114">
        <v>5.7500000000000002E-2</v>
      </c>
      <c r="AB397" s="59">
        <v>18</v>
      </c>
      <c r="AC397" s="60">
        <v>40</v>
      </c>
      <c r="AD397" s="61">
        <v>5.7500000000000002E-2</v>
      </c>
      <c r="AE397" s="62">
        <v>52000000</v>
      </c>
      <c r="AF397" s="63">
        <v>1.18</v>
      </c>
      <c r="AG397" s="59"/>
      <c r="AH397" s="60"/>
      <c r="AI397" s="61"/>
      <c r="AJ397" s="64"/>
      <c r="AK397" s="65">
        <f t="shared" si="1184"/>
        <v>52000000</v>
      </c>
      <c r="AL397" s="66">
        <v>0</v>
      </c>
      <c r="AM397" s="49" t="s">
        <v>163</v>
      </c>
      <c r="AN397" s="67">
        <v>0.8</v>
      </c>
      <c r="AO397" s="62">
        <v>23158728</v>
      </c>
      <c r="AP397" s="62">
        <v>3934550</v>
      </c>
      <c r="AQ397" s="68">
        <v>6928629</v>
      </c>
      <c r="AR397" s="69">
        <f t="shared" si="1185"/>
        <v>160990.71207430342</v>
      </c>
      <c r="AS397" s="70" t="str">
        <f t="shared" si="1186"/>
        <v/>
      </c>
      <c r="AT397" s="70">
        <f t="shared" si="1187"/>
        <v>71698.848297213626</v>
      </c>
      <c r="AU397" s="70">
        <f t="shared" si="1188"/>
        <v>12181.269349845201</v>
      </c>
      <c r="AV397" s="71">
        <f t="shared" si="1189"/>
        <v>21450.863777089784</v>
      </c>
      <c r="AW397" s="115">
        <f t="shared" si="1190"/>
        <v>120454.78947368421</v>
      </c>
      <c r="AX397" s="116">
        <f t="shared" si="1191"/>
        <v>109.6846406702827</v>
      </c>
      <c r="AY397" s="72">
        <f t="shared" si="1192"/>
        <v>146930.75232198142</v>
      </c>
      <c r="AZ397" s="73">
        <f t="shared" si="1193"/>
        <v>133.79332480068561</v>
      </c>
      <c r="BA397" s="66">
        <v>4000000</v>
      </c>
      <c r="BB397" s="62">
        <v>4944985</v>
      </c>
      <c r="BC397" s="62">
        <v>33961912</v>
      </c>
      <c r="BD397" s="62">
        <v>2723483</v>
      </c>
      <c r="BE397" s="62">
        <v>5828253</v>
      </c>
      <c r="BF397" s="62">
        <v>8218025</v>
      </c>
      <c r="BG397" s="62">
        <v>11072000</v>
      </c>
      <c r="BH397" s="62">
        <v>9588699</v>
      </c>
      <c r="BI397" s="62">
        <v>1750000</v>
      </c>
      <c r="BJ397" s="47">
        <f t="shared" si="1194"/>
        <v>82087357</v>
      </c>
      <c r="BK397" s="69">
        <f t="shared" si="1195"/>
        <v>12383.900928792569</v>
      </c>
      <c r="BL397" s="70">
        <f t="shared" si="1112"/>
        <v>15309.551083591332</v>
      </c>
      <c r="BM397" s="70">
        <f t="shared" si="1113"/>
        <v>105145.23839009288</v>
      </c>
      <c r="BN397" s="70">
        <f t="shared" si="1114"/>
        <v>8431.8359133126942</v>
      </c>
      <c r="BO397" s="70">
        <f t="shared" si="1115"/>
        <v>18044.126934984521</v>
      </c>
      <c r="BP397" s="70">
        <f t="shared" si="1116"/>
        <v>25442.801857585138</v>
      </c>
      <c r="BQ397" s="70">
        <f t="shared" si="1117"/>
        <v>34278.637770897833</v>
      </c>
      <c r="BR397" s="70">
        <f t="shared" si="1118"/>
        <v>29686.374613003096</v>
      </c>
      <c r="BS397" s="70">
        <f t="shared" si="1119"/>
        <v>5417.9566563467488</v>
      </c>
      <c r="BT397" s="71">
        <f t="shared" si="1120"/>
        <v>254140.42414860681</v>
      </c>
      <c r="BU397" s="65">
        <f t="shared" si="1196"/>
        <v>11.276626935351098</v>
      </c>
      <c r="BV397" s="48">
        <f t="shared" si="1122"/>
        <v>13.940687761476788</v>
      </c>
      <c r="BW397" s="48">
        <f t="shared" si="1123"/>
        <v>95.743952908805923</v>
      </c>
      <c r="BX397" s="48">
        <f t="shared" si="1124"/>
        <v>7.6779254389427036</v>
      </c>
      <c r="BY397" s="48">
        <f t="shared" si="1125"/>
        <v>16.430758691460209</v>
      </c>
      <c r="BZ397" s="48">
        <f t="shared" si="1126"/>
        <v>23.167900517597175</v>
      </c>
      <c r="CA397" s="48">
        <f t="shared" si="1127"/>
        <v>31.213703357051838</v>
      </c>
      <c r="CB397" s="48">
        <f t="shared" si="1128"/>
        <v>27.032045354593535</v>
      </c>
      <c r="CC397" s="48">
        <f t="shared" si="1129"/>
        <v>4.9335242842161051</v>
      </c>
      <c r="CD397" s="47">
        <f t="shared" si="1130"/>
        <v>231.41712524949537</v>
      </c>
      <c r="CE397" s="66">
        <v>6176064</v>
      </c>
      <c r="CF397" s="62">
        <v>96900</v>
      </c>
      <c r="CG397" s="74">
        <v>-470472</v>
      </c>
      <c r="CH397" s="75">
        <f t="shared" si="1197"/>
        <v>5802492</v>
      </c>
      <c r="CI397" s="62">
        <f>140000+20672+8500+7500+12920</f>
        <v>189592</v>
      </c>
      <c r="CJ397" s="62">
        <v>232100</v>
      </c>
      <c r="CK397" s="62">
        <v>500000</v>
      </c>
      <c r="CL397" s="62">
        <f>168500+24000</f>
        <v>192500</v>
      </c>
      <c r="CM397" s="62">
        <f>100000+298000</f>
        <v>398000</v>
      </c>
      <c r="CN397" s="62">
        <v>275000</v>
      </c>
      <c r="CO397" s="62">
        <v>0</v>
      </c>
      <c r="CP397" s="75">
        <f t="shared" si="1198"/>
        <v>1787192</v>
      </c>
      <c r="CQ397" s="62">
        <v>80750</v>
      </c>
      <c r="CR397" s="75">
        <f t="shared" si="1199"/>
        <v>1867942</v>
      </c>
      <c r="CS397" s="75">
        <f t="shared" si="1200"/>
        <v>4015300</v>
      </c>
      <c r="CT397" s="62">
        <v>609331</v>
      </c>
      <c r="CU397" s="47">
        <f t="shared" si="1201"/>
        <v>3405969</v>
      </c>
      <c r="CV397" s="76">
        <f t="shared" si="1202"/>
        <v>0.69199578388044314</v>
      </c>
      <c r="CW397" s="75">
        <f t="shared" si="1203"/>
        <v>5783.1021671826629</v>
      </c>
      <c r="CX397" s="77">
        <f t="shared" si="1204"/>
        <v>0.32192065064458514</v>
      </c>
      <c r="CY397" s="75">
        <f t="shared" si="1205"/>
        <v>10544.795665634674</v>
      </c>
      <c r="CZ397" s="77">
        <f t="shared" si="1206"/>
        <v>0.58698383384242492</v>
      </c>
      <c r="DA397" s="77">
        <f t="shared" si="1207"/>
        <v>0.10501195003801815</v>
      </c>
      <c r="DB397" s="47">
        <f t="shared" si="1208"/>
        <v>160990.71207430342</v>
      </c>
      <c r="DC397" s="69">
        <f t="shared" si="1209"/>
        <v>19120.941176470587</v>
      </c>
      <c r="DD397" s="70">
        <f t="shared" si="1149"/>
        <v>300</v>
      </c>
      <c r="DE397" s="70">
        <f t="shared" si="1150"/>
        <v>-1456.5696594427245</v>
      </c>
      <c r="DF397" s="70">
        <f t="shared" si="1151"/>
        <v>17964.371517027863</v>
      </c>
      <c r="DG397" s="70">
        <f t="shared" si="1152"/>
        <v>586.97213622291019</v>
      </c>
      <c r="DH397" s="70">
        <f t="shared" si="1176"/>
        <v>718.57585139318883</v>
      </c>
      <c r="DI397" s="70">
        <f t="shared" si="1177"/>
        <v>1547.9876160990711</v>
      </c>
      <c r="DJ397" s="70">
        <f t="shared" si="1178"/>
        <v>595.97523219814241</v>
      </c>
      <c r="DK397" s="70">
        <f t="shared" si="1153"/>
        <v>1232.1981424148607</v>
      </c>
      <c r="DL397" s="70">
        <f t="shared" si="1154"/>
        <v>851.39318885448915</v>
      </c>
      <c r="DM397" s="70" t="str">
        <f t="shared" si="1155"/>
        <v/>
      </c>
      <c r="DN397" s="70">
        <f t="shared" si="1156"/>
        <v>5533.1021671826629</v>
      </c>
      <c r="DO397" s="70">
        <f t="shared" si="1157"/>
        <v>250</v>
      </c>
      <c r="DP397" s="70">
        <f t="shared" si="1158"/>
        <v>5783.1021671826629</v>
      </c>
      <c r="DQ397" s="70">
        <f t="shared" si="1159"/>
        <v>12431.269349845201</v>
      </c>
      <c r="DR397" s="70">
        <f t="shared" si="1160"/>
        <v>1886.4736842105262</v>
      </c>
      <c r="DS397" s="71">
        <f t="shared" si="1161"/>
        <v>10544.795665634674</v>
      </c>
      <c r="DT397" s="106">
        <f t="shared" si="1210"/>
        <v>1.0643813037570755</v>
      </c>
      <c r="DU397" s="92">
        <f t="shared" si="1163"/>
        <v>1.6699721430033853E-2</v>
      </c>
      <c r="DV397" s="92" t="str">
        <f t="shared" si="1164"/>
        <v/>
      </c>
      <c r="DW397" s="92">
        <f t="shared" si="1165"/>
        <v>1</v>
      </c>
      <c r="DX397" s="92">
        <f t="shared" si="1166"/>
        <v>3.2674237207048283E-2</v>
      </c>
      <c r="DY397" s="92">
        <f t="shared" si="1179"/>
        <v>4.0000055148718863E-2</v>
      </c>
      <c r="DZ397" s="92">
        <f t="shared" si="1180"/>
        <v>8.6169873219988924E-2</v>
      </c>
      <c r="EA397" s="92">
        <f t="shared" si="1181"/>
        <v>3.3175401189695738E-2</v>
      </c>
      <c r="EB397" s="92">
        <f t="shared" si="1167"/>
        <v>6.8591219083111193E-2</v>
      </c>
      <c r="EC397" s="92">
        <f t="shared" si="1168"/>
        <v>4.7393430270993908E-2</v>
      </c>
      <c r="ED397" s="92" t="str">
        <f t="shared" si="1169"/>
        <v/>
      </c>
      <c r="EE397" s="92">
        <f t="shared" si="1170"/>
        <v>0.30800421611955692</v>
      </c>
      <c r="EF397" s="92">
        <f t="shared" si="1171"/>
        <v>1.3916434525028212E-2</v>
      </c>
      <c r="EG397" s="92">
        <f t="shared" si="1172"/>
        <v>0.32192065064458514</v>
      </c>
      <c r="EH397" s="92">
        <f t="shared" si="1173"/>
        <v>0.69199578388044314</v>
      </c>
      <c r="EI397" s="92">
        <f t="shared" si="1174"/>
        <v>0.10501195003801815</v>
      </c>
      <c r="EJ397" s="122">
        <f t="shared" si="1175"/>
        <v>0.58698383384242492</v>
      </c>
    </row>
    <row r="398" spans="2:140" ht="12" customHeight="1" outlineLevel="1">
      <c r="B398" s="272">
        <v>46143</v>
      </c>
      <c r="C398" s="117">
        <v>26417</v>
      </c>
      <c r="D398" s="50" t="s">
        <v>1703</v>
      </c>
      <c r="E398" s="50" t="s">
        <v>1704</v>
      </c>
      <c r="F398" s="50" t="s">
        <v>1705</v>
      </c>
      <c r="G398" s="50" t="s">
        <v>249</v>
      </c>
      <c r="H398" s="50" t="s">
        <v>1706</v>
      </c>
      <c r="I398" s="50" t="s">
        <v>156</v>
      </c>
      <c r="J398" s="52" t="s">
        <v>1707</v>
      </c>
      <c r="K398" s="50" t="s">
        <v>524</v>
      </c>
      <c r="L398" s="49">
        <v>3</v>
      </c>
      <c r="M398" s="50" t="s">
        <v>283</v>
      </c>
      <c r="N398" s="50" t="s">
        <v>160</v>
      </c>
      <c r="O398" s="50" t="s">
        <v>160</v>
      </c>
      <c r="P398" s="50" t="s">
        <v>177</v>
      </c>
      <c r="Q398" s="53">
        <v>0.04</v>
      </c>
      <c r="R398" s="49">
        <v>350</v>
      </c>
      <c r="S398" s="49">
        <v>0</v>
      </c>
      <c r="T398" s="54">
        <f t="shared" si="1182"/>
        <v>350</v>
      </c>
      <c r="U398" s="55">
        <v>436500</v>
      </c>
      <c r="V398" s="49">
        <v>32.549999999999997</v>
      </c>
      <c r="W398" s="56">
        <f t="shared" si="1183"/>
        <v>10.752688172043012</v>
      </c>
      <c r="X398" s="49" t="s">
        <v>163</v>
      </c>
      <c r="Y398" s="57" t="s">
        <v>162</v>
      </c>
      <c r="Z398" s="58">
        <v>72774039</v>
      </c>
      <c r="AA398" s="114">
        <v>6.59E-2</v>
      </c>
      <c r="AB398" s="59">
        <v>15</v>
      </c>
      <c r="AC398" s="60">
        <v>40</v>
      </c>
      <c r="AD398" s="61">
        <v>5.8500000000000003E-2</v>
      </c>
      <c r="AE398" s="62">
        <v>70270000</v>
      </c>
      <c r="AF398" s="63">
        <v>1.1399999999999999</v>
      </c>
      <c r="AG398" s="59"/>
      <c r="AH398" s="60"/>
      <c r="AI398" s="61"/>
      <c r="AJ398" s="64"/>
      <c r="AK398" s="65">
        <f t="shared" si="1184"/>
        <v>70270000</v>
      </c>
      <c r="AL398" s="66">
        <v>0</v>
      </c>
      <c r="AM398" s="49" t="s">
        <v>163</v>
      </c>
      <c r="AN398" s="67">
        <v>0.78</v>
      </c>
      <c r="AO398" s="62">
        <v>50408237</v>
      </c>
      <c r="AP398" s="62">
        <v>5195776</v>
      </c>
      <c r="AQ398" s="68">
        <v>7535235</v>
      </c>
      <c r="AR398" s="69">
        <f t="shared" ref="AR398:AR399" si="1211">IFERROR(IF(AK398&gt;0,AK398/T398,""),"")</f>
        <v>200771.42857142858</v>
      </c>
      <c r="AS398" s="70" t="str">
        <f t="shared" ref="AS398:AS399" si="1212">IFERROR(IF(AL398&gt;0,AL398/T398,""),"")</f>
        <v/>
      </c>
      <c r="AT398" s="70">
        <f t="shared" ref="AT398:AT399" si="1213">IFERROR(IF(AO398&gt;0,AO398/T398,""),"")</f>
        <v>144023.5342857143</v>
      </c>
      <c r="AU398" s="70">
        <f t="shared" ref="AU398:AU399" si="1214">IFERROR(IF(AP398&gt;0,AP398/T398,""),"")</f>
        <v>14845.074285714285</v>
      </c>
      <c r="AV398" s="71">
        <f t="shared" ref="AV398:AV399" si="1215">IFERROR(IF(AQ398&gt;0,AQ398/T398,""),"")</f>
        <v>21529.242857142857</v>
      </c>
      <c r="AW398" s="115">
        <f t="shared" ref="AW398:AW399" si="1216">IFERROR(IF(SUM(BB398:BC398)&gt;0,SUM(BB398:BC398)/T398,""),"")</f>
        <v>195622.48</v>
      </c>
      <c r="AX398" s="116">
        <f t="shared" ref="AX398:AX399" si="1217">IFERROR(IF(SUM(BB398:BC398)&gt;0,SUM(BB398:BC398)/U398,""),"")</f>
        <v>156.85651317296677</v>
      </c>
      <c r="AY398" s="72">
        <f t="shared" ref="AY398:AY399" si="1218">IFERROR(IF(SUM(BL398:BO398)&gt;0,SUM(BL398:BO398),""),"")</f>
        <v>235243.08285714287</v>
      </c>
      <c r="AZ398" s="73">
        <f t="shared" ref="AZ398:AZ399" si="1219">IFERROR(IF(SUM(BV398:BY398)&gt;0,SUM(BV398:BY398),""),"")</f>
        <v>188.62561053837342</v>
      </c>
      <c r="BA398" s="66">
        <v>1850273</v>
      </c>
      <c r="BB398" s="62">
        <v>21935000</v>
      </c>
      <c r="BC398" s="62">
        <v>46532868</v>
      </c>
      <c r="BD398" s="62">
        <v>4183000</v>
      </c>
      <c r="BE398" s="62">
        <v>9684211</v>
      </c>
      <c r="BF398" s="62">
        <v>10021887</v>
      </c>
      <c r="BG398" s="62">
        <v>23903636</v>
      </c>
      <c r="BH398" s="62">
        <v>15967699</v>
      </c>
      <c r="BI398" s="62">
        <v>3525917</v>
      </c>
      <c r="BJ398" s="47">
        <f t="shared" ref="BJ398:BJ399" si="1220">IFERROR(IF(SUM(BA398:BI398)&gt;0,SUM(BA398:BI398),""),"")</f>
        <v>137604491</v>
      </c>
      <c r="BK398" s="69">
        <f t="shared" ref="BK398:BK399" si="1221">IFERROR(IF(BA398&gt;0,BA398/$T398,""),"")</f>
        <v>5286.494285714286</v>
      </c>
      <c r="BL398" s="70">
        <f t="shared" ref="BL398:BL399" si="1222">IFERROR(IF(BB398&gt;0,BB398/$T398,""),"")</f>
        <v>62671.428571428572</v>
      </c>
      <c r="BM398" s="70">
        <f t="shared" ref="BM398:BM399" si="1223">IFERROR(IF(BC398&gt;0,BC398/$T398,""),"")</f>
        <v>132951.05142857143</v>
      </c>
      <c r="BN398" s="70">
        <f t="shared" ref="BN398:BN399" si="1224">IFERROR(IF(BD398&gt;0,BD398/$T398,""),"")</f>
        <v>11951.428571428571</v>
      </c>
      <c r="BO398" s="70">
        <f t="shared" ref="BO398:BO399" si="1225">IFERROR(IF(BE398&gt;0,BE398/$T398,""),"")</f>
        <v>27669.174285714285</v>
      </c>
      <c r="BP398" s="70">
        <f t="shared" ref="BP398:BP399" si="1226">IFERROR(IF(BF398&gt;0,BF398/$T398,""),"")</f>
        <v>28633.962857142858</v>
      </c>
      <c r="BQ398" s="70">
        <f t="shared" ref="BQ398:BQ399" si="1227">IFERROR(IF(BG398&gt;0,BG398/$T398,""),"")</f>
        <v>68296.102857142861</v>
      </c>
      <c r="BR398" s="70">
        <f t="shared" ref="BR398:BR399" si="1228">IFERROR(IF(BH398&gt;0,BH398/$T398,""),"")</f>
        <v>45621.997142857144</v>
      </c>
      <c r="BS398" s="70">
        <f t="shared" ref="BS398:BS399" si="1229">IFERROR(IF(BI398&gt;0,BI398/$T398,""),"")</f>
        <v>10074.048571428571</v>
      </c>
      <c r="BT398" s="71">
        <f t="shared" ref="BT398:BT399" si="1230">IFERROR(IF(BJ398&gt;0,BJ398/$T398,""),"")</f>
        <v>393155.68857142859</v>
      </c>
      <c r="BU398" s="65">
        <f t="shared" ref="BU398:BU399" si="1231">IFERROR(IF(BA398&gt;0,BA398/$U398,""),"")</f>
        <v>4.2388843069873996</v>
      </c>
      <c r="BV398" s="48">
        <f t="shared" ref="BV398:BV399" si="1232">IFERROR(IF(BB398&gt;0,BB398/$U398,""),"")</f>
        <v>50.252004581901488</v>
      </c>
      <c r="BW398" s="48">
        <f t="shared" ref="BW398:BW399" si="1233">IFERROR(IF(BC398&gt;0,BC398/$U398,""),"")</f>
        <v>106.6045085910653</v>
      </c>
      <c r="BX398" s="48">
        <f t="shared" ref="BX398:BX399" si="1234">IFERROR(IF(BD398&gt;0,BD398/$U398,""),"")</f>
        <v>9.5830469644902632</v>
      </c>
      <c r="BY398" s="48">
        <f t="shared" ref="BY398:BY399" si="1235">IFERROR(IF(BE398&gt;0,BE398/$U398,""),"")</f>
        <v>22.186050400916379</v>
      </c>
      <c r="BZ398" s="48">
        <f t="shared" ref="BZ398:BZ399" si="1236">IFERROR(IF(BF398&gt;0,BF398/$U398,""),"")</f>
        <v>22.959649484536083</v>
      </c>
      <c r="CA398" s="48">
        <f t="shared" ref="CA398:CA399" si="1237">IFERROR(IF(BG398&gt;0,BG398/$U398,""),"")</f>
        <v>54.762052691867126</v>
      </c>
      <c r="CB398" s="48">
        <f t="shared" ref="CB398:CB399" si="1238">IFERROR(IF(BH398&gt;0,BH398/$U398,""),"")</f>
        <v>36.581211912943871</v>
      </c>
      <c r="CC398" s="48">
        <f t="shared" ref="CC398:CC399" si="1239">IFERROR(IF(BI398&gt;0,BI398/$U398,""),"")</f>
        <v>8.0777021764032071</v>
      </c>
      <c r="CD398" s="47">
        <f t="shared" ref="CD398:CD399" si="1240">IFERROR(IF(BJ398&gt;0,BJ398/$U398,""),"")</f>
        <v>315.2451111111111</v>
      </c>
      <c r="CE398" s="66">
        <v>7553928</v>
      </c>
      <c r="CF398" s="62">
        <f>44916+23592+57492</f>
        <v>126000</v>
      </c>
      <c r="CG398" s="74">
        <v>-575995</v>
      </c>
      <c r="CH398" s="75">
        <f t="shared" si="1197"/>
        <v>7103933</v>
      </c>
      <c r="CI398" s="62">
        <f>178500+3500+91350+14000+43750</f>
        <v>331100</v>
      </c>
      <c r="CJ398" s="62">
        <v>284157</v>
      </c>
      <c r="CK398" s="62">
        <v>470400</v>
      </c>
      <c r="CL398" s="62">
        <f>248500</f>
        <v>248500</v>
      </c>
      <c r="CM398" s="62">
        <f>134194+212306</f>
        <v>346500</v>
      </c>
      <c r="CN398" s="62">
        <v>140000</v>
      </c>
      <c r="CO398" s="62">
        <v>0</v>
      </c>
      <c r="CP398" s="75">
        <f t="shared" si="1198"/>
        <v>1820657</v>
      </c>
      <c r="CQ398" s="62">
        <v>87500</v>
      </c>
      <c r="CR398" s="75">
        <f t="shared" ref="CR398:CR399" si="1241">IFERROR(IF(SUM(CP398:CQ398)&gt;0,SUM(CP398:CQ398),""),"")</f>
        <v>1908157</v>
      </c>
      <c r="CS398" s="75">
        <f t="shared" ref="CS398:CS399" si="1242">IFERROR(IF(CH398-CR398&gt;0,CH398-CP398,""),"")</f>
        <v>5283276</v>
      </c>
      <c r="CT398" s="62">
        <v>4516605</v>
      </c>
      <c r="CU398" s="47">
        <f t="shared" ref="CU398:CU399" si="1243">IFERROR(IF(CS398-CT398&gt;0,CS398-CT398,""),"")</f>
        <v>766671</v>
      </c>
      <c r="CV398" s="76">
        <f t="shared" ref="CV398:CV399" si="1244">IFERROR(IF(CU398&gt;0,CS398/CH398,""),"")</f>
        <v>0.74371140606196595</v>
      </c>
      <c r="CW398" s="75">
        <f t="shared" ref="CW398:CW399" si="1245">IFERROR(IF(CU398&gt;0,CR398/T398,""),"")</f>
        <v>5451.8771428571426</v>
      </c>
      <c r="CX398" s="77">
        <f t="shared" ref="CX398:CX399" si="1246">IFERROR(IF(CU398&gt;0,CR398/CH398,""),"")</f>
        <v>0.2686057146090764</v>
      </c>
      <c r="CY398" s="75">
        <f t="shared" ref="CY398:CY399" si="1247">IFERROR(IF(CU398&gt;0,CU398/T398,""),"")</f>
        <v>2190.4885714285715</v>
      </c>
      <c r="CZ398" s="77">
        <f t="shared" ref="CZ398:CZ399" si="1248">IFERROR(IF(CU398&gt;0,CU398/CH398,""),"")</f>
        <v>0.10792204825129967</v>
      </c>
      <c r="DA398" s="77">
        <f t="shared" ref="DA398:DA399" si="1249">IFERROR(IF(CT398&gt;0,CT398/CH398,""),"")</f>
        <v>0.63578935781066626</v>
      </c>
      <c r="DB398" s="47">
        <f t="shared" ref="DB398:DB399" si="1250">IFERROR(IF(AR398&gt;0,AR398,""),"")</f>
        <v>200771.42857142858</v>
      </c>
      <c r="DC398" s="69">
        <f t="shared" ref="DC398:DC399" si="1251">IFERROR(IF(ABS(CE398)&gt;0,CE398/$T398,""),"")</f>
        <v>21582.651428571429</v>
      </c>
      <c r="DD398" s="70">
        <f t="shared" ref="DD398:DD399" si="1252">IFERROR(IF(ABS(CF398)&gt;0,CF398/$T398,""),"")</f>
        <v>360</v>
      </c>
      <c r="DE398" s="70">
        <f t="shared" ref="DE398:DE399" si="1253">IFERROR(IF(ABS(CG398)&gt;0,CG398/$T398,""),"")</f>
        <v>-1645.7</v>
      </c>
      <c r="DF398" s="70">
        <f t="shared" ref="DF398:DF399" si="1254">IFERROR(IF(ABS(CH398)&gt;0,CH398/$T398,""),"")</f>
        <v>20296.951428571429</v>
      </c>
      <c r="DG398" s="70">
        <f t="shared" ref="DG398:DG399" si="1255">IFERROR(IF(ABS(CI398)&gt;0,CI398/$T398,""),"")</f>
        <v>946</v>
      </c>
      <c r="DH398" s="70">
        <f t="shared" ref="DH398:DH399" si="1256">IFERROR(IF(ABS(CJ398)&gt;0,CJ398/$T398,""),"")</f>
        <v>811.87714285714287</v>
      </c>
      <c r="DI398" s="70">
        <f t="shared" ref="DI398:DI399" si="1257">IFERROR(IF(ABS(CK398)&gt;0,CK398/$T398,""),"")</f>
        <v>1344</v>
      </c>
      <c r="DJ398" s="70">
        <f t="shared" ref="DJ398:DJ399" si="1258">IFERROR(IF(ABS(CL398)&gt;0,CL398/$T398,""),"")</f>
        <v>710</v>
      </c>
      <c r="DK398" s="70">
        <f t="shared" ref="DK398:DK399" si="1259">IFERROR(IF(ABS(CM398)&gt;0,CM398/$T398,""),"")</f>
        <v>990</v>
      </c>
      <c r="DL398" s="70">
        <f t="shared" ref="DL398:DL399" si="1260">IFERROR(IF(ABS(CN398)&gt;0,CN398/$T398,""),"")</f>
        <v>400</v>
      </c>
      <c r="DM398" s="70" t="str">
        <f t="shared" ref="DM398:DM399" si="1261">IFERROR(IF(ABS(CO398)&gt;0,CO398/$T398,""),"")</f>
        <v/>
      </c>
      <c r="DN398" s="70">
        <f t="shared" ref="DN398:DN399" si="1262">IFERROR(IF(ABS(CP398)&gt;0,CP398/$T398,""),"")</f>
        <v>5201.8771428571426</v>
      </c>
      <c r="DO398" s="70">
        <f t="shared" ref="DO398:DO399" si="1263">IFERROR(IF(ABS(CQ398)&gt;0,CQ398/$T398,""),"")</f>
        <v>250</v>
      </c>
      <c r="DP398" s="70">
        <f t="shared" ref="DP398:DP399" si="1264">IFERROR(IF(ABS(CR398)&gt;0,CR398/$T398,""),"")</f>
        <v>5451.8771428571426</v>
      </c>
      <c r="DQ398" s="70">
        <f t="shared" ref="DQ398:DQ399" si="1265">IFERROR(IF(ABS(CS398)&gt;0,CS398/$T398,""),"")</f>
        <v>15095.074285714285</v>
      </c>
      <c r="DR398" s="70">
        <f t="shared" ref="DR398:DR399" si="1266">IFERROR(IF(ABS(CT398)&gt;0,CT398/$T398,""),"")</f>
        <v>12904.585714285715</v>
      </c>
      <c r="DS398" s="71">
        <f t="shared" ref="DS398:DS399" si="1267">IFERROR(IF(ABS(CU398)&gt;0,CU398/$T398,""),"")</f>
        <v>2190.4885714285715</v>
      </c>
      <c r="DT398" s="106">
        <f t="shared" ref="DT398:DT399" si="1268">IFERROR(IF(ABS(CE398&gt;0),CE398/$CH398,""),"")</f>
        <v>1.0633444881870366</v>
      </c>
      <c r="DU398" s="92">
        <f t="shared" ref="DU398:DU399" si="1269">IFERROR(IF(ABS(CF398&gt;0),CF398/$CH398,""),"")</f>
        <v>1.7736653766301007E-2</v>
      </c>
      <c r="DV398" s="92" t="str">
        <f t="shared" ref="DV398:DV399" si="1270">IFERROR(IF(ABS(CG398&gt;0),CG398/$CH398,""),"")</f>
        <v/>
      </c>
      <c r="DW398" s="92">
        <f t="shared" ref="DW398:DW399" si="1271">IFERROR(IF(ABS(CH398&gt;0),CH398/$CH398,""),"")</f>
        <v>1</v>
      </c>
      <c r="DX398" s="92">
        <f t="shared" ref="DX398:DX399" si="1272">IFERROR(IF(ABS(CI398&gt;0),CI398/$CH398,""),"")</f>
        <v>4.6607984619224309E-2</v>
      </c>
      <c r="DY398" s="92">
        <f t="shared" ref="DY398:DY399" si="1273">IFERROR(IF(ABS(CJ398&gt;0),CJ398/$CH398,""),"")</f>
        <v>3.9999954954530119E-2</v>
      </c>
      <c r="DZ398" s="92">
        <f t="shared" ref="DZ398:DZ399" si="1274">IFERROR(IF(ABS(CK398&gt;0),CK398/$CH398,""),"")</f>
        <v>6.6216840727523749E-2</v>
      </c>
      <c r="EA398" s="92">
        <f t="shared" ref="EA398:EA399" si="1275">IFERROR(IF(ABS(CL398&gt;0),CL398/$CH398,""),"")</f>
        <v>3.4980622705760314E-2</v>
      </c>
      <c r="EB398" s="92">
        <f t="shared" ref="EB398:EB399" si="1276">IFERROR(IF(ABS(CM398&gt;0),CM398/$CH398,""),"")</f>
        <v>4.8775797857327767E-2</v>
      </c>
      <c r="EC398" s="92">
        <f t="shared" ref="EC398:EC399" si="1277">IFERROR(IF(ABS(CN398&gt;0),CN398/$CH398,""),"")</f>
        <v>1.9707393073667784E-2</v>
      </c>
      <c r="ED398" s="92" t="str">
        <f t="shared" ref="ED398:ED399" si="1278">IFERROR(IF(ABS(CO398&gt;0),CO398/$CH398,""),"")</f>
        <v/>
      </c>
      <c r="EE398" s="92">
        <f t="shared" ref="EE398:EE399" si="1279">IFERROR(IF(ABS(CP398&gt;0),CP398/$CH398,""),"")</f>
        <v>0.25628859393803405</v>
      </c>
      <c r="EF398" s="92">
        <f t="shared" ref="EF398:EF399" si="1280">IFERROR(IF(ABS(CQ398&gt;0),CQ398/$CH398,""),"")</f>
        <v>1.2317120671042365E-2</v>
      </c>
      <c r="EG398" s="92">
        <f t="shared" ref="EG398:EG399" si="1281">IFERROR(IF(ABS(CR398&gt;0),CR398/$CH398,""),"")</f>
        <v>0.2686057146090764</v>
      </c>
      <c r="EH398" s="92">
        <f t="shared" ref="EH398:EH399" si="1282">IFERROR(IF(ABS(CS398&gt;0),CS398/$CH398,""),"")</f>
        <v>0.74371140606196595</v>
      </c>
      <c r="EI398" s="92">
        <f t="shared" ref="EI398:EI399" si="1283">IFERROR(IF(ABS(CT398&gt;0),CT398/$CH398,""),"")</f>
        <v>0.63578935781066626</v>
      </c>
      <c r="EJ398" s="122">
        <f t="shared" ref="EJ398:EJ399" si="1284">IFERROR(IF(ABS(CU398&gt;0),CU398/$CH398,""),"")</f>
        <v>0.10792204825129967</v>
      </c>
    </row>
    <row r="399" spans="2:140" ht="12" customHeight="1" outlineLevel="1">
      <c r="B399" s="272">
        <v>46146</v>
      </c>
      <c r="C399" s="117">
        <v>26416</v>
      </c>
      <c r="D399" s="50" t="s">
        <v>1708</v>
      </c>
      <c r="E399" s="50" t="s">
        <v>1709</v>
      </c>
      <c r="F399" s="50" t="s">
        <v>1710</v>
      </c>
      <c r="G399" s="50" t="s">
        <v>249</v>
      </c>
      <c r="H399" s="50" t="s">
        <v>1608</v>
      </c>
      <c r="I399" s="50" t="s">
        <v>547</v>
      </c>
      <c r="J399" s="52" t="s">
        <v>1514</v>
      </c>
      <c r="K399" s="50" t="s">
        <v>176</v>
      </c>
      <c r="L399" s="49">
        <v>6</v>
      </c>
      <c r="M399" s="50" t="s">
        <v>159</v>
      </c>
      <c r="N399" s="50" t="s">
        <v>160</v>
      </c>
      <c r="O399" s="50" t="s">
        <v>160</v>
      </c>
      <c r="P399" s="50" t="s">
        <v>923</v>
      </c>
      <c r="Q399" s="53">
        <v>0.04</v>
      </c>
      <c r="R399" s="49">
        <v>172</v>
      </c>
      <c r="S399" s="49">
        <v>8</v>
      </c>
      <c r="T399" s="54">
        <f t="shared" si="1182"/>
        <v>180</v>
      </c>
      <c r="U399" s="55">
        <v>162497</v>
      </c>
      <c r="V399" s="49">
        <v>12.59</v>
      </c>
      <c r="W399" s="56">
        <f t="shared" si="1183"/>
        <v>14.297061159650516</v>
      </c>
      <c r="X399" s="49">
        <v>2008</v>
      </c>
      <c r="Y399" s="57" t="s">
        <v>162</v>
      </c>
      <c r="Z399" s="58">
        <v>20000000</v>
      </c>
      <c r="AA399" s="114">
        <v>5.3499999999999999E-2</v>
      </c>
      <c r="AB399" s="59">
        <v>18</v>
      </c>
      <c r="AC399" s="60">
        <v>40</v>
      </c>
      <c r="AD399" s="61">
        <v>5.3499999999999999E-2</v>
      </c>
      <c r="AE399" s="62">
        <v>14740000</v>
      </c>
      <c r="AF399" s="63">
        <v>1.24</v>
      </c>
      <c r="AG399" s="59"/>
      <c r="AH399" s="60"/>
      <c r="AI399" s="61"/>
      <c r="AJ399" s="64"/>
      <c r="AK399" s="65">
        <f t="shared" si="1184"/>
        <v>14740000</v>
      </c>
      <c r="AL399" s="66">
        <v>0</v>
      </c>
      <c r="AM399" s="49" t="s">
        <v>163</v>
      </c>
      <c r="AN399" s="67">
        <v>0.82</v>
      </c>
      <c r="AO399" s="62">
        <v>12602112</v>
      </c>
      <c r="AP399" s="62">
        <v>1330213</v>
      </c>
      <c r="AQ399" s="68">
        <v>2335695</v>
      </c>
      <c r="AR399" s="69">
        <f t="shared" si="1211"/>
        <v>81888.888888888891</v>
      </c>
      <c r="AS399" s="70" t="str">
        <f t="shared" si="1212"/>
        <v/>
      </c>
      <c r="AT399" s="70">
        <f t="shared" si="1213"/>
        <v>70011.733333333337</v>
      </c>
      <c r="AU399" s="70">
        <f t="shared" si="1214"/>
        <v>7390.0722222222221</v>
      </c>
      <c r="AV399" s="71">
        <f t="shared" si="1215"/>
        <v>12976.083333333334</v>
      </c>
      <c r="AW399" s="115">
        <f t="shared" si="1216"/>
        <v>51801.388888888891</v>
      </c>
      <c r="AX399" s="116">
        <f t="shared" si="1217"/>
        <v>57.381059342634018</v>
      </c>
      <c r="AY399" s="72">
        <f t="shared" si="1218"/>
        <v>64958.944444444445</v>
      </c>
      <c r="AZ399" s="73">
        <f t="shared" si="1219"/>
        <v>71.955851492642935</v>
      </c>
      <c r="BA399" s="66">
        <v>19300000</v>
      </c>
      <c r="BB399" s="62">
        <v>588393</v>
      </c>
      <c r="BC399" s="62">
        <v>8735857</v>
      </c>
      <c r="BD399" s="62">
        <v>932425</v>
      </c>
      <c r="BE399" s="62">
        <v>1435935</v>
      </c>
      <c r="BF399" s="62">
        <v>1440000</v>
      </c>
      <c r="BG399" s="62">
        <v>2821436</v>
      </c>
      <c r="BH399" s="62">
        <v>4694184</v>
      </c>
      <c r="BI399" s="62">
        <v>752354</v>
      </c>
      <c r="BJ399" s="47">
        <f t="shared" si="1220"/>
        <v>40700584</v>
      </c>
      <c r="BK399" s="69">
        <f t="shared" si="1221"/>
        <v>107222.22222222222</v>
      </c>
      <c r="BL399" s="70">
        <f t="shared" si="1222"/>
        <v>3268.85</v>
      </c>
      <c r="BM399" s="70">
        <f t="shared" si="1223"/>
        <v>48532.538888888892</v>
      </c>
      <c r="BN399" s="70">
        <f t="shared" si="1224"/>
        <v>5180.1388888888887</v>
      </c>
      <c r="BO399" s="70">
        <f t="shared" si="1225"/>
        <v>7977.416666666667</v>
      </c>
      <c r="BP399" s="70">
        <f t="shared" si="1226"/>
        <v>8000</v>
      </c>
      <c r="BQ399" s="70">
        <f t="shared" si="1227"/>
        <v>15674.644444444444</v>
      </c>
      <c r="BR399" s="70">
        <f t="shared" si="1228"/>
        <v>26078.799999999999</v>
      </c>
      <c r="BS399" s="70">
        <f t="shared" si="1229"/>
        <v>4179.7444444444445</v>
      </c>
      <c r="BT399" s="71">
        <f t="shared" si="1230"/>
        <v>226114.35555555555</v>
      </c>
      <c r="BU399" s="65">
        <f t="shared" si="1231"/>
        <v>118.77142347243334</v>
      </c>
      <c r="BV399" s="48">
        <f t="shared" si="1232"/>
        <v>3.6209468482495062</v>
      </c>
      <c r="BW399" s="48">
        <f t="shared" si="1233"/>
        <v>53.760112494384515</v>
      </c>
      <c r="BX399" s="48">
        <f t="shared" si="1234"/>
        <v>5.7381059342634018</v>
      </c>
      <c r="BY399" s="48">
        <f t="shared" si="1235"/>
        <v>8.8366862157455213</v>
      </c>
      <c r="BZ399" s="48">
        <f t="shared" si="1236"/>
        <v>8.8617020621919167</v>
      </c>
      <c r="CA399" s="48">
        <f t="shared" si="1237"/>
        <v>17.363003624682303</v>
      </c>
      <c r="CB399" s="48">
        <f t="shared" si="1238"/>
        <v>28.887819467436323</v>
      </c>
      <c r="CC399" s="48">
        <f t="shared" si="1239"/>
        <v>4.6299562453460679</v>
      </c>
      <c r="CD399" s="47">
        <f t="shared" si="1240"/>
        <v>250.46975636473289</v>
      </c>
      <c r="CE399" s="66">
        <v>2380428</v>
      </c>
      <c r="CF399" s="62">
        <f>13200+10800+19440</f>
        <v>43440</v>
      </c>
      <c r="CG399" s="74">
        <v>-181790</v>
      </c>
      <c r="CH399" s="75">
        <f t="shared" si="1197"/>
        <v>2242078</v>
      </c>
      <c r="CI399" s="62">
        <f>104905+7200+3700+18750+3200</f>
        <v>137755</v>
      </c>
      <c r="CJ399" s="62">
        <v>78221</v>
      </c>
      <c r="CK399" s="62">
        <v>316750</v>
      </c>
      <c r="CL399" s="62">
        <v>141032</v>
      </c>
      <c r="CM399" s="62">
        <f>28500+147000</f>
        <v>175500</v>
      </c>
      <c r="CN399" s="62">
        <v>213856</v>
      </c>
      <c r="CO399" s="62">
        <v>0</v>
      </c>
      <c r="CP399" s="75">
        <f t="shared" si="1198"/>
        <v>1063114</v>
      </c>
      <c r="CQ399" s="62">
        <v>54000</v>
      </c>
      <c r="CR399" s="75">
        <f t="shared" si="1241"/>
        <v>1117114</v>
      </c>
      <c r="CS399" s="75">
        <f t="shared" si="1242"/>
        <v>1178964</v>
      </c>
      <c r="CT399" s="62">
        <v>909052</v>
      </c>
      <c r="CU399" s="47">
        <f t="shared" si="1243"/>
        <v>269912</v>
      </c>
      <c r="CV399" s="76">
        <f t="shared" si="1244"/>
        <v>0.52583540804557205</v>
      </c>
      <c r="CW399" s="75">
        <f t="shared" si="1245"/>
        <v>6206.1888888888889</v>
      </c>
      <c r="CX399" s="77">
        <f t="shared" si="1246"/>
        <v>0.4982493918588024</v>
      </c>
      <c r="CY399" s="75">
        <f t="shared" si="1247"/>
        <v>1499.5111111111112</v>
      </c>
      <c r="CZ399" s="77">
        <f t="shared" si="1248"/>
        <v>0.12038475021832425</v>
      </c>
      <c r="DA399" s="77">
        <f t="shared" si="1249"/>
        <v>0.40545065782724776</v>
      </c>
      <c r="DB399" s="47">
        <f t="shared" si="1250"/>
        <v>81888.888888888891</v>
      </c>
      <c r="DC399" s="69">
        <f t="shared" si="1251"/>
        <v>13224.6</v>
      </c>
      <c r="DD399" s="70">
        <f t="shared" si="1252"/>
        <v>241.33333333333334</v>
      </c>
      <c r="DE399" s="70">
        <f t="shared" si="1253"/>
        <v>-1009.9444444444445</v>
      </c>
      <c r="DF399" s="70">
        <f t="shared" si="1254"/>
        <v>12455.988888888889</v>
      </c>
      <c r="DG399" s="70">
        <f t="shared" si="1255"/>
        <v>765.30555555555554</v>
      </c>
      <c r="DH399" s="70">
        <f t="shared" si="1256"/>
        <v>434.56111111111113</v>
      </c>
      <c r="DI399" s="70">
        <f t="shared" si="1257"/>
        <v>1759.7222222222222</v>
      </c>
      <c r="DJ399" s="70">
        <f t="shared" si="1258"/>
        <v>783.51111111111106</v>
      </c>
      <c r="DK399" s="70">
        <f t="shared" si="1259"/>
        <v>975</v>
      </c>
      <c r="DL399" s="70">
        <f t="shared" si="1260"/>
        <v>1188.088888888889</v>
      </c>
      <c r="DM399" s="70" t="str">
        <f t="shared" si="1261"/>
        <v/>
      </c>
      <c r="DN399" s="70">
        <f t="shared" si="1262"/>
        <v>5906.1888888888889</v>
      </c>
      <c r="DO399" s="70">
        <f t="shared" si="1263"/>
        <v>300</v>
      </c>
      <c r="DP399" s="70">
        <f t="shared" si="1264"/>
        <v>6206.1888888888889</v>
      </c>
      <c r="DQ399" s="70">
        <f t="shared" si="1265"/>
        <v>6549.8</v>
      </c>
      <c r="DR399" s="70">
        <f t="shared" si="1266"/>
        <v>5050.2888888888892</v>
      </c>
      <c r="DS399" s="71">
        <f t="shared" si="1267"/>
        <v>1499.5111111111112</v>
      </c>
      <c r="DT399" s="106">
        <f t="shared" si="1268"/>
        <v>1.0617061493846334</v>
      </c>
      <c r="DU399" s="92">
        <f t="shared" si="1269"/>
        <v>1.9374883478630093E-2</v>
      </c>
      <c r="DV399" s="92" t="str">
        <f t="shared" si="1270"/>
        <v/>
      </c>
      <c r="DW399" s="92">
        <f t="shared" si="1271"/>
        <v>1</v>
      </c>
      <c r="DX399" s="92">
        <f t="shared" si="1272"/>
        <v>6.1440770570872202E-2</v>
      </c>
      <c r="DY399" s="92">
        <f t="shared" si="1273"/>
        <v>3.488772469111244E-2</v>
      </c>
      <c r="DZ399" s="92">
        <f t="shared" si="1274"/>
        <v>0.14127519203167777</v>
      </c>
      <c r="EA399" s="92">
        <f t="shared" si="1275"/>
        <v>6.2902361113217287E-2</v>
      </c>
      <c r="EB399" s="92">
        <f t="shared" si="1276"/>
        <v>7.8275599689216879E-2</v>
      </c>
      <c r="EC399" s="92">
        <f t="shared" si="1277"/>
        <v>9.5382943858331418E-2</v>
      </c>
      <c r="ED399" s="92" t="str">
        <f t="shared" si="1278"/>
        <v/>
      </c>
      <c r="EE399" s="92">
        <f t="shared" si="1279"/>
        <v>0.47416459195442801</v>
      </c>
      <c r="EF399" s="92">
        <f t="shared" si="1280"/>
        <v>2.4084799904374423E-2</v>
      </c>
      <c r="EG399" s="92">
        <f t="shared" si="1281"/>
        <v>0.4982493918588024</v>
      </c>
      <c r="EH399" s="92">
        <f t="shared" si="1282"/>
        <v>0.52583540804557205</v>
      </c>
      <c r="EI399" s="92">
        <f t="shared" si="1283"/>
        <v>0.40545065782724776</v>
      </c>
      <c r="EJ399" s="122">
        <f t="shared" si="1284"/>
        <v>0.12038475021832425</v>
      </c>
    </row>
    <row r="400" spans="2:140" ht="12" customHeight="1" outlineLevel="1">
      <c r="B400" s="272">
        <v>46147</v>
      </c>
      <c r="C400" s="117">
        <v>26407</v>
      </c>
      <c r="D400" s="50" t="s">
        <v>1711</v>
      </c>
      <c r="E400" s="50" t="s">
        <v>1219</v>
      </c>
      <c r="F400" s="50" t="s">
        <v>1712</v>
      </c>
      <c r="G400" s="50" t="s">
        <v>291</v>
      </c>
      <c r="H400" s="50" t="s">
        <v>1446</v>
      </c>
      <c r="I400" s="50" t="s">
        <v>573</v>
      </c>
      <c r="J400" s="52" t="s">
        <v>1713</v>
      </c>
      <c r="K400" s="50" t="s">
        <v>462</v>
      </c>
      <c r="L400" s="49">
        <v>3</v>
      </c>
      <c r="M400" s="50" t="s">
        <v>159</v>
      </c>
      <c r="N400" s="50" t="s">
        <v>160</v>
      </c>
      <c r="O400" s="50" t="s">
        <v>160</v>
      </c>
      <c r="P400" s="50" t="s">
        <v>1351</v>
      </c>
      <c r="Q400" s="53">
        <v>0.04</v>
      </c>
      <c r="R400" s="49">
        <v>231</v>
      </c>
      <c r="S400" s="49">
        <v>1</v>
      </c>
      <c r="T400" s="54">
        <f>IFERROR(IF(SUM(R400:S400)&gt;0,SUM(R400:S400),""),"")</f>
        <v>232</v>
      </c>
      <c r="U400" s="55">
        <v>212408</v>
      </c>
      <c r="V400" s="49">
        <v>12.55</v>
      </c>
      <c r="W400" s="56">
        <f>IFERROR(IF(T400&gt;0,T400/V400,""),"")</f>
        <v>18.486055776892428</v>
      </c>
      <c r="X400" s="49">
        <v>2001</v>
      </c>
      <c r="Y400" s="57" t="s">
        <v>162</v>
      </c>
      <c r="Z400" s="58">
        <v>56799851</v>
      </c>
      <c r="AA400" s="114">
        <v>6.3700000000000007E-2</v>
      </c>
      <c r="AB400" s="59">
        <v>15</v>
      </c>
      <c r="AC400" s="60">
        <v>40</v>
      </c>
      <c r="AD400" s="61">
        <v>6.25E-2</v>
      </c>
      <c r="AE400" s="62">
        <v>28420172</v>
      </c>
      <c r="AF400" s="63">
        <v>1.1499999999999999</v>
      </c>
      <c r="AG400" s="59"/>
      <c r="AH400" s="60"/>
      <c r="AI400" s="61"/>
      <c r="AJ400" s="64"/>
      <c r="AK400" s="65">
        <f>IFERROR(IF(AE400&gt;0,AJ400+AE400,""),"")</f>
        <v>28420172</v>
      </c>
      <c r="AL400" s="66"/>
      <c r="AM400" s="49"/>
      <c r="AN400" s="67">
        <v>0.92</v>
      </c>
      <c r="AO400" s="62">
        <v>32509545</v>
      </c>
      <c r="AP400" s="62"/>
      <c r="AQ400" s="68">
        <v>7802098</v>
      </c>
      <c r="AR400" s="69">
        <f>IFERROR(IF(AK400&gt;0,AK400/T400,""),"")</f>
        <v>122500.74137931035</v>
      </c>
      <c r="AS400" s="70" t="str">
        <f>IFERROR(IF(AL400&gt;0,AL400/T400,""),"")</f>
        <v/>
      </c>
      <c r="AT400" s="70">
        <f>IFERROR(IF(AO400&gt;0,AO400/T400,""),"")</f>
        <v>140127.34913793104</v>
      </c>
      <c r="AU400" s="70" t="str">
        <f>IFERROR(IF(AP400&gt;0,AP400/T400,""),"")</f>
        <v/>
      </c>
      <c r="AV400" s="71">
        <f>IFERROR(IF(AQ400&gt;0,AQ400/T400,""),"")</f>
        <v>33629.732758620688</v>
      </c>
      <c r="AW400" s="115">
        <f>IFERROR(IF(SUM(BB400:BC400)&gt;0,SUM(BB400:BC400)/T400,""),"")</f>
        <v>74455.387931034478</v>
      </c>
      <c r="AX400" s="116">
        <f>IFERROR(IF(SUM(BB400:BC400)&gt;0,SUM(BB400:BC400)/U400,""),"")</f>
        <v>81.322972769387221</v>
      </c>
      <c r="AY400" s="72">
        <f>IFERROR(IF(SUM(BL400:BO400)&gt;0,SUM(BL400:BO400),""),"")</f>
        <v>93367.056034482754</v>
      </c>
      <c r="AZ400" s="73">
        <f>IFERROR(IF(SUM(BV400:BY400)&gt;0,SUM(BV400:BY400),""),"")</f>
        <v>101.97900738201952</v>
      </c>
      <c r="BA400" s="66">
        <v>411102000</v>
      </c>
      <c r="BB400" s="62">
        <v>1740590</v>
      </c>
      <c r="BC400" s="62">
        <v>15533060</v>
      </c>
      <c r="BD400" s="62">
        <v>1727365</v>
      </c>
      <c r="BE400" s="62">
        <v>2660142</v>
      </c>
      <c r="BF400" s="62">
        <v>1908227</v>
      </c>
      <c r="BG400" s="62">
        <v>6977379</v>
      </c>
      <c r="BH400" s="62">
        <v>10087014</v>
      </c>
      <c r="BI400" s="62">
        <v>1031164</v>
      </c>
      <c r="BJ400" s="47">
        <f>IFERROR(IF(SUM(BA400:BI400)&gt;0,SUM(BA400:BI400),""),"")</f>
        <v>452766941</v>
      </c>
      <c r="BK400" s="69">
        <f>IFERROR(IF(BA400&gt;0,BA400/$T400,""),"")</f>
        <v>1771991.3793103448</v>
      </c>
      <c r="BL400" s="70">
        <f>IFERROR(IF(BB400&gt;0,BB400/$T400,""),"")</f>
        <v>7502.5431034482763</v>
      </c>
      <c r="BM400" s="70">
        <f>IFERROR(IF(BC400&gt;0,BC400/$T400,""),"")</f>
        <v>66952.844827586203</v>
      </c>
      <c r="BN400" s="70">
        <f>IFERROR(IF(BD400&gt;0,BD400/$T400,""),"")</f>
        <v>7445.5387931034484</v>
      </c>
      <c r="BO400" s="70">
        <f>IFERROR(IF(BE400&gt;0,BE400/$T400,""),"")</f>
        <v>11466.129310344828</v>
      </c>
      <c r="BP400" s="70">
        <f>IFERROR(IF(BF400&gt;0,BF400/$T400,""),"")</f>
        <v>8225.1163793103442</v>
      </c>
      <c r="BQ400" s="70">
        <f>IFERROR(IF(BG400&gt;0,BG400/$T400,""),"")</f>
        <v>30074.90948275862</v>
      </c>
      <c r="BR400" s="70">
        <f>IFERROR(IF(BH400&gt;0,BH400/$T400,""),"")</f>
        <v>43478.508620689652</v>
      </c>
      <c r="BS400" s="70">
        <f>IFERROR(IF(BI400&gt;0,BI400/$T400,""),"")</f>
        <v>4444.6724137931033</v>
      </c>
      <c r="BT400" s="71">
        <f>IFERROR(IF(BJ400&gt;0,BJ400/$T400,""),"")</f>
        <v>1951581.6422413792</v>
      </c>
      <c r="BU400" s="65">
        <f>IFERROR(IF(BA400&gt;0,BA400/$U400,""),"")</f>
        <v>1935.4355768144326</v>
      </c>
      <c r="BV400" s="48">
        <f>IFERROR(IF(BB400&gt;0,BB400/$U400,""),"")</f>
        <v>8.1945595269481384</v>
      </c>
      <c r="BW400" s="48">
        <f>IFERROR(IF(BC400&gt;0,BC400/$U400,""),"")</f>
        <v>73.12841324243908</v>
      </c>
      <c r="BX400" s="48">
        <f>IFERROR(IF(BD400&gt;0,BD400/$U400,""),"")</f>
        <v>8.1322972769387221</v>
      </c>
      <c r="BY400" s="48">
        <f>IFERROR(IF(BE400&gt;0,BE400/$U400,""),"")</f>
        <v>12.523737335693571</v>
      </c>
      <c r="BZ400" s="48">
        <f>IFERROR(IF(BF400&gt;0,BF400/$U400,""),"")</f>
        <v>8.9837812135136161</v>
      </c>
      <c r="CA400" s="48">
        <f>IFERROR(IF(BG400&gt;0,BG400/$U400,""),"")</f>
        <v>32.848946367368463</v>
      </c>
      <c r="CB400" s="48">
        <f>IFERROR(IF(BH400&gt;0,BH400/$U400,""),"")</f>
        <v>47.488861059847089</v>
      </c>
      <c r="CC400" s="48">
        <f>IFERROR(IF(BI400&gt;0,BI400/$U400,""),"")</f>
        <v>4.8546382433806636</v>
      </c>
      <c r="CD400" s="47">
        <f>IFERROR(IF(BJ400&gt;0,BJ400/$U400,""),"")</f>
        <v>2131.5908110805622</v>
      </c>
      <c r="CE400" s="66">
        <v>4248204</v>
      </c>
      <c r="CF400" s="62">
        <v>83520</v>
      </c>
      <c r="CG400" s="74">
        <v>-318615</v>
      </c>
      <c r="CH400" s="75">
        <f>IFERROR(IF(SUM(CE400:CG400)&gt;0,SUM(CE400:CG400),""),"")</f>
        <v>4013109</v>
      </c>
      <c r="CI400" s="62">
        <v>142116</v>
      </c>
      <c r="CJ400" s="62">
        <v>121036</v>
      </c>
      <c r="CK400" s="62">
        <v>351372</v>
      </c>
      <c r="CL400" s="62">
        <v>203896</v>
      </c>
      <c r="CM400" s="62">
        <v>267977</v>
      </c>
      <c r="CN400" s="62">
        <v>192723</v>
      </c>
      <c r="CO400" s="62">
        <v>0</v>
      </c>
      <c r="CP400" s="75">
        <f>IFERROR(IF(SUM(CI400:CO400)&gt;0,SUM(CI400:CO400),""),"")</f>
        <v>1279120</v>
      </c>
      <c r="CQ400" s="62">
        <v>69600</v>
      </c>
      <c r="CR400" s="75">
        <f>IFERROR(IF(SUM(CP400:CQ400)&gt;0,SUM(CP400:CQ400),""),"")</f>
        <v>1348720</v>
      </c>
      <c r="CS400" s="75">
        <f>IFERROR(IF(CH400-CR400&gt;0,CH400-CP400,""),"")</f>
        <v>2733989</v>
      </c>
      <c r="CT400" s="62">
        <v>1964651</v>
      </c>
      <c r="CU400" s="47">
        <f>IFERROR(IF(CS400-CT400&gt;0,CS400-CT400,""),"")</f>
        <v>769338</v>
      </c>
      <c r="CV400" s="76">
        <f>IFERROR(IF(CU400&gt;0,CS400/CH400,""),"")</f>
        <v>0.68126457566938747</v>
      </c>
      <c r="CW400" s="75">
        <f>IFERROR(IF(CU400&gt;0,CR400/T400,""),"")</f>
        <v>5813.4482758620688</v>
      </c>
      <c r="CX400" s="77">
        <f>IFERROR(IF(CU400&gt;0,CR400/CH400,""),"")</f>
        <v>0.3360785864525484</v>
      </c>
      <c r="CY400" s="75">
        <f>IFERROR(IF(CU400&gt;0,CU400/T400,""),"")</f>
        <v>3316.1120689655172</v>
      </c>
      <c r="CZ400" s="77">
        <f>IFERROR(IF(CU400&gt;0,CU400/CH400,""),"")</f>
        <v>0.19170623075525733</v>
      </c>
      <c r="DA400" s="77">
        <f>IFERROR(IF(CT400&gt;0,CT400/CH400,""),"")</f>
        <v>0.48955834491413019</v>
      </c>
      <c r="DB400" s="47">
        <f>IFERROR(IF(AR400&gt;0,AR400,""),"")</f>
        <v>122500.74137931035</v>
      </c>
      <c r="DC400" s="69">
        <f>IFERROR(IF(ABS(CE400)&gt;0,CE400/$T400,""),"")</f>
        <v>18311.224137931036</v>
      </c>
      <c r="DD400" s="70">
        <f>IFERROR(IF(ABS(CF400)&gt;0,CF400/$T400,""),"")</f>
        <v>360</v>
      </c>
      <c r="DE400" s="70">
        <f>IFERROR(IF(ABS(CG400)&gt;0,CG400/$T400,""),"")</f>
        <v>-1373.3405172413793</v>
      </c>
      <c r="DF400" s="70">
        <f>IFERROR(IF(ABS(CH400)&gt;0,CH400/$T400,""),"")</f>
        <v>17297.883620689656</v>
      </c>
      <c r="DG400" s="70">
        <f>IFERROR(IF(ABS(CI400)&gt;0,CI400/$T400,""),"")</f>
        <v>612.56896551724139</v>
      </c>
      <c r="DH400" s="70">
        <f>IFERROR(IF(ABS(CJ400)&gt;0,CJ400/$T400,""),"")</f>
        <v>521.70689655172418</v>
      </c>
      <c r="DI400" s="70">
        <f>IFERROR(IF(ABS(CK400)&gt;0,CK400/$T400,""),"")</f>
        <v>1514.5344827586207</v>
      </c>
      <c r="DJ400" s="70">
        <f>IFERROR(IF(ABS(CL400)&gt;0,CL400/$T400,""),"")</f>
        <v>878.86206896551721</v>
      </c>
      <c r="DK400" s="70">
        <f>IFERROR(IF(ABS(CM400)&gt;0,CM400/$T400,""),"")</f>
        <v>1155.0732758620691</v>
      </c>
      <c r="DL400" s="70">
        <f>IFERROR(IF(ABS(CN400)&gt;0,CN400/$T400,""),"")</f>
        <v>830.70258620689651</v>
      </c>
      <c r="DM400" s="70" t="str">
        <f>IFERROR(IF(ABS(CO400)&gt;0,CO400/$T400,""),"")</f>
        <v/>
      </c>
      <c r="DN400" s="70">
        <f>IFERROR(IF(ABS(CP400)&gt;0,CP400/$T400,""),"")</f>
        <v>5513.4482758620688</v>
      </c>
      <c r="DO400" s="70">
        <f>IFERROR(IF(ABS(CQ400)&gt;0,CQ400/$T400,""),"")</f>
        <v>300</v>
      </c>
      <c r="DP400" s="70">
        <f>IFERROR(IF(ABS(CR400)&gt;0,CR400/$T400,""),"")</f>
        <v>5813.4482758620688</v>
      </c>
      <c r="DQ400" s="70">
        <f>IFERROR(IF(ABS(CS400)&gt;0,CS400/$T400,""),"")</f>
        <v>11784.435344827587</v>
      </c>
      <c r="DR400" s="70">
        <f>IFERROR(IF(ABS(CT400)&gt;0,CT400/$T400,""),"")</f>
        <v>8468.3232758620688</v>
      </c>
      <c r="DS400" s="71">
        <f>IFERROR(IF(ABS(CU400)&gt;0,CU400/$T400,""),"")</f>
        <v>3316.1120689655172</v>
      </c>
      <c r="DT400" s="106">
        <f>IFERROR(IF(ABS(CE400&gt;0),CE400/$CH400,""),"")</f>
        <v>1.0585817629174787</v>
      </c>
      <c r="DU400" s="92">
        <f>IFERROR(IF(ABS(CF400&gt;0),CF400/$CH400,""),"")</f>
        <v>2.0811794546323061E-2</v>
      </c>
      <c r="DV400" s="92" t="str">
        <f>IFERROR(IF(ABS(CG400&gt;0),CG400/$CH400,""),"")</f>
        <v/>
      </c>
      <c r="DW400" s="92">
        <f>IFERROR(IF(ABS(CH400&gt;0),CH400/$CH400,""),"")</f>
        <v>1</v>
      </c>
      <c r="DX400" s="92">
        <f>IFERROR(IF(ABS(CI400&gt;0),CI400/$CH400,""),"")</f>
        <v>3.541294293277357E-2</v>
      </c>
      <c r="DY400" s="92">
        <f>IFERROR(IF(ABS(CJ400&gt;0),CJ400/$CH400,""),"")</f>
        <v>3.0160157623428618E-2</v>
      </c>
      <c r="DZ400" s="92">
        <f>IFERROR(IF(ABS(CK400&gt;0),CK400/$CH400,""),"")</f>
        <v>8.7556056912483568E-2</v>
      </c>
      <c r="EA400" s="92">
        <f>IFERROR(IF(ABS(CL400&gt;0),CL400/$CH400,""),"")</f>
        <v>5.0807491149629874E-2</v>
      </c>
      <c r="EB400" s="92">
        <f>IFERROR(IF(ABS(CM400&gt;0),CM400/$CH400,""),"")</f>
        <v>6.6775410286638109E-2</v>
      </c>
      <c r="EC400" s="92">
        <f>IFERROR(IF(ABS(CN400&gt;0),CN400/$CH400,""),"")</f>
        <v>4.8023365425658757E-2</v>
      </c>
      <c r="ED400" s="92" t="str">
        <f>IFERROR(IF(ABS(CO400&gt;0),CO400/$CH400,""),"")</f>
        <v/>
      </c>
      <c r="EE400" s="92">
        <f>IFERROR(IF(ABS(CP400&gt;0),CP400/$CH400,""),"")</f>
        <v>0.31873542433061253</v>
      </c>
      <c r="EF400" s="92">
        <f>IFERROR(IF(ABS(CQ400&gt;0),CQ400/$CH400,""),"")</f>
        <v>1.7343162121935887E-2</v>
      </c>
      <c r="EG400" s="92">
        <f>IFERROR(IF(ABS(CR400&gt;0),CR400/$CH400,""),"")</f>
        <v>0.3360785864525484</v>
      </c>
      <c r="EH400" s="92">
        <f>IFERROR(IF(ABS(CS400&gt;0),CS400/$CH400,""),"")</f>
        <v>0.68126457566938747</v>
      </c>
      <c r="EI400" s="92">
        <f>IFERROR(IF(ABS(CT400&gt;0),CT400/$CH400,""),"")</f>
        <v>0.48955834491413019</v>
      </c>
      <c r="EJ400" s="122">
        <f>IFERROR(IF(ABS(CU400&gt;0),CU400/$CH400,""),"")</f>
        <v>0.19170623075525733</v>
      </c>
    </row>
    <row r="401" spans="2:140" ht="12" customHeight="1" outlineLevel="1">
      <c r="B401" s="272"/>
      <c r="C401" s="117"/>
      <c r="D401" s="50"/>
      <c r="E401" s="50"/>
      <c r="F401" s="50"/>
      <c r="G401" s="50"/>
      <c r="H401" s="50"/>
      <c r="I401" s="50"/>
      <c r="J401" s="52"/>
      <c r="K401" s="50"/>
      <c r="L401" s="49"/>
      <c r="M401" s="50"/>
      <c r="N401" s="50"/>
      <c r="O401" s="50"/>
      <c r="P401" s="50"/>
      <c r="Q401" s="53"/>
      <c r="R401" s="49"/>
      <c r="S401" s="49"/>
      <c r="T401" s="54" t="str">
        <f>IFERROR(IF(SUM(R401:S401)&gt;0,SUM(R401:S401),""),"")</f>
        <v/>
      </c>
      <c r="U401" s="55"/>
      <c r="V401" s="49"/>
      <c r="W401" s="56" t="str">
        <f>IFERROR(IF(T401&gt;0,T401/V401,""),"")</f>
        <v/>
      </c>
      <c r="X401" s="49"/>
      <c r="Y401" s="57"/>
      <c r="Z401" s="58"/>
      <c r="AA401" s="114"/>
      <c r="AB401" s="59"/>
      <c r="AC401" s="60"/>
      <c r="AD401" s="61"/>
      <c r="AE401" s="62"/>
      <c r="AF401" s="63"/>
      <c r="AG401" s="59"/>
      <c r="AH401" s="60"/>
      <c r="AI401" s="61"/>
      <c r="AJ401" s="64"/>
      <c r="AK401" s="65" t="str">
        <f>IFERROR(IF(AE401&gt;0,AJ401+AE401,""),"")</f>
        <v/>
      </c>
      <c r="AL401" s="66"/>
      <c r="AM401" s="49"/>
      <c r="AN401" s="67"/>
      <c r="AO401" s="62"/>
      <c r="AP401" s="62"/>
      <c r="AQ401" s="68"/>
      <c r="AR401" s="69" t="str">
        <f>IFERROR(IF(AK401&gt;0,AK401/T401,""),"")</f>
        <v/>
      </c>
      <c r="AS401" s="70" t="str">
        <f>IFERROR(IF(AL401&gt;0,AL401/T401,""),"")</f>
        <v/>
      </c>
      <c r="AT401" s="70" t="str">
        <f>IFERROR(IF(AO401&gt;0,AO401/T401,""),"")</f>
        <v/>
      </c>
      <c r="AU401" s="70" t="str">
        <f>IFERROR(IF(AP401&gt;0,AP401/T401,""),"")</f>
        <v/>
      </c>
      <c r="AV401" s="71" t="str">
        <f>IFERROR(IF(AQ401&gt;0,AQ401/T401,""),"")</f>
        <v/>
      </c>
      <c r="AW401" s="115" t="str">
        <f>IFERROR(IF(SUM(BB401:BC401)&gt;0,SUM(BB401:BC401)/T401,""),"")</f>
        <v/>
      </c>
      <c r="AX401" s="116" t="str">
        <f>IFERROR(IF(SUM(BB401:BC401)&gt;0,SUM(BB401:BC401)/U401,""),"")</f>
        <v/>
      </c>
      <c r="AY401" s="72" t="str">
        <f>IFERROR(IF(SUM(BL401:BO401)&gt;0,SUM(BL401:BO401),""),"")</f>
        <v/>
      </c>
      <c r="AZ401" s="73" t="str">
        <f>IFERROR(IF(SUM(BV401:BY401)&gt;0,SUM(BV401:BY401),""),"")</f>
        <v/>
      </c>
      <c r="BA401" s="66"/>
      <c r="BB401" s="62"/>
      <c r="BC401" s="62"/>
      <c r="BD401" s="62"/>
      <c r="BE401" s="62"/>
      <c r="BF401" s="62"/>
      <c r="BG401" s="62"/>
      <c r="BH401" s="62"/>
      <c r="BI401" s="62"/>
      <c r="BJ401" s="47" t="str">
        <f>IFERROR(IF(SUM(BA401:BI401)&gt;0,SUM(BA401:BI401),""),"")</f>
        <v/>
      </c>
      <c r="BK401" s="69" t="str">
        <f>IFERROR(IF(BA401&gt;0,BA401/$T401,""),"")</f>
        <v/>
      </c>
      <c r="BL401" s="70" t="str">
        <f>IFERROR(IF(BB401&gt;0,BB401/$T401,""),"")</f>
        <v/>
      </c>
      <c r="BM401" s="70" t="str">
        <f>IFERROR(IF(BC401&gt;0,BC401/$T401,""),"")</f>
        <v/>
      </c>
      <c r="BN401" s="70" t="str">
        <f>IFERROR(IF(BD401&gt;0,BD401/$T401,""),"")</f>
        <v/>
      </c>
      <c r="BO401" s="70" t="str">
        <f>IFERROR(IF(BE401&gt;0,BE401/$T401,""),"")</f>
        <v/>
      </c>
      <c r="BP401" s="70" t="str">
        <f>IFERROR(IF(BF401&gt;0,BF401/$T401,""),"")</f>
        <v/>
      </c>
      <c r="BQ401" s="70" t="str">
        <f>IFERROR(IF(BG401&gt;0,BG401/$T401,""),"")</f>
        <v/>
      </c>
      <c r="BR401" s="70" t="str">
        <f>IFERROR(IF(BH401&gt;0,BH401/$T401,""),"")</f>
        <v/>
      </c>
      <c r="BS401" s="70" t="str">
        <f>IFERROR(IF(BI401&gt;0,BI401/$T401,""),"")</f>
        <v/>
      </c>
      <c r="BT401" s="71" t="str">
        <f>IFERROR(IF(BJ401&gt;0,BJ401/$T401,""),"")</f>
        <v/>
      </c>
      <c r="BU401" s="65" t="str">
        <f>IFERROR(IF(BA401&gt;0,BA401/$U401,""),"")</f>
        <v/>
      </c>
      <c r="BV401" s="48" t="str">
        <f>IFERROR(IF(BB401&gt;0,BB401/$U401,""),"")</f>
        <v/>
      </c>
      <c r="BW401" s="48" t="str">
        <f>IFERROR(IF(BC401&gt;0,BC401/$U401,""),"")</f>
        <v/>
      </c>
      <c r="BX401" s="48" t="str">
        <f>IFERROR(IF(BD401&gt;0,BD401/$U401,""),"")</f>
        <v/>
      </c>
      <c r="BY401" s="48" t="str">
        <f>IFERROR(IF(BE401&gt;0,BE401/$U401,""),"")</f>
        <v/>
      </c>
      <c r="BZ401" s="48" t="str">
        <f>IFERROR(IF(BF401&gt;0,BF401/$U401,""),"")</f>
        <v/>
      </c>
      <c r="CA401" s="48" t="str">
        <f>IFERROR(IF(BG401&gt;0,BG401/$U401,""),"")</f>
        <v/>
      </c>
      <c r="CB401" s="48" t="str">
        <f>IFERROR(IF(BH401&gt;0,BH401/$U401,""),"")</f>
        <v/>
      </c>
      <c r="CC401" s="48" t="str">
        <f>IFERROR(IF(BI401&gt;0,BI401/$U401,""),"")</f>
        <v/>
      </c>
      <c r="CD401" s="47" t="str">
        <f>IFERROR(IF(BJ401&gt;0,BJ401/$U401,""),"")</f>
        <v/>
      </c>
      <c r="CE401" s="66"/>
      <c r="CF401" s="62"/>
      <c r="CG401" s="74"/>
      <c r="CH401" s="75" t="str">
        <f>IFERROR(IF(SUM(CE401:CG401)&gt;0,SUM(CE401:CG401),""),"")</f>
        <v/>
      </c>
      <c r="CI401" s="62"/>
      <c r="CJ401" s="62"/>
      <c r="CK401" s="62"/>
      <c r="CL401" s="62"/>
      <c r="CM401" s="62"/>
      <c r="CN401" s="62"/>
      <c r="CO401" s="62"/>
      <c r="CP401" s="75" t="str">
        <f>IFERROR(IF(SUM(CI401:CO401)&gt;0,SUM(CI401:CO401),""),"")</f>
        <v/>
      </c>
      <c r="CQ401" s="62"/>
      <c r="CR401" s="75" t="str">
        <f>IFERROR(IF(SUM(CP401:CQ401)&gt;0,SUM(CP401:CQ401),""),"")</f>
        <v/>
      </c>
      <c r="CS401" s="75" t="str">
        <f>IFERROR(IF(CH401-CR401&gt;0,CH401-CP401,""),"")</f>
        <v/>
      </c>
      <c r="CT401" s="62"/>
      <c r="CU401" s="47" t="str">
        <f>IFERROR(IF(CS401-CT401&gt;0,CS401-CT401,""),"")</f>
        <v/>
      </c>
      <c r="CV401" s="76" t="str">
        <f>IFERROR(IF(CU401&gt;0,CS401/CH401,""),"")</f>
        <v/>
      </c>
      <c r="CW401" s="75" t="str">
        <f>IFERROR(IF(CU401&gt;0,CR401/T401,""),"")</f>
        <v/>
      </c>
      <c r="CX401" s="77" t="str">
        <f>IFERROR(IF(CU401&gt;0,CR401/CH401,""),"")</f>
        <v/>
      </c>
      <c r="CY401" s="75" t="str">
        <f>IFERROR(IF(CU401&gt;0,CU401/T401,""),"")</f>
        <v/>
      </c>
      <c r="CZ401" s="77" t="str">
        <f>IFERROR(IF(CU401&gt;0,CU401/CH401,""),"")</f>
        <v/>
      </c>
      <c r="DA401" s="77" t="str">
        <f>IFERROR(IF(CT401&gt;0,CT401/CH401,""),"")</f>
        <v/>
      </c>
      <c r="DB401" s="47" t="str">
        <f>IFERROR(IF(AR401&gt;0,AR401,""),"")</f>
        <v/>
      </c>
      <c r="DC401" s="69" t="str">
        <f>IFERROR(IF(ABS(CE401)&gt;0,CE401/$T401,""),"")</f>
        <v/>
      </c>
      <c r="DD401" s="70" t="str">
        <f>IFERROR(IF(ABS(CF401)&gt;0,CF401/$T401,""),"")</f>
        <v/>
      </c>
      <c r="DE401" s="70" t="str">
        <f>IFERROR(IF(ABS(CG401)&gt;0,CG401/$T401,""),"")</f>
        <v/>
      </c>
      <c r="DF401" s="70" t="str">
        <f>IFERROR(IF(ABS(CH401)&gt;0,CH401/$T401,""),"")</f>
        <v/>
      </c>
      <c r="DG401" s="70" t="str">
        <f>IFERROR(IF(ABS(CI401)&gt;0,CI401/$T401,""),"")</f>
        <v/>
      </c>
      <c r="DH401" s="70" t="str">
        <f>IFERROR(IF(ABS(CJ401)&gt;0,CJ401/$T401,""),"")</f>
        <v/>
      </c>
      <c r="DI401" s="70" t="str">
        <f>IFERROR(IF(ABS(CK401)&gt;0,CK401/$T401,""),"")</f>
        <v/>
      </c>
      <c r="DJ401" s="70" t="str">
        <f>IFERROR(IF(ABS(CL401)&gt;0,CL401/$T401,""),"")</f>
        <v/>
      </c>
      <c r="DK401" s="70" t="str">
        <f>IFERROR(IF(ABS(CM401)&gt;0,CM401/$T401,""),"")</f>
        <v/>
      </c>
      <c r="DL401" s="70" t="str">
        <f>IFERROR(IF(ABS(CN401)&gt;0,CN401/$T401,""),"")</f>
        <v/>
      </c>
      <c r="DM401" s="70" t="str">
        <f>IFERROR(IF(ABS(CO401)&gt;0,CO401/$T401,""),"")</f>
        <v/>
      </c>
      <c r="DN401" s="70" t="str">
        <f>IFERROR(IF(ABS(CP401)&gt;0,CP401/$T401,""),"")</f>
        <v/>
      </c>
      <c r="DO401" s="70" t="str">
        <f>IFERROR(IF(ABS(CQ401)&gt;0,CQ401/$T401,""),"")</f>
        <v/>
      </c>
      <c r="DP401" s="70" t="str">
        <f>IFERROR(IF(ABS(CR401)&gt;0,CR401/$T401,""),"")</f>
        <v/>
      </c>
      <c r="DQ401" s="70" t="str">
        <f>IFERROR(IF(ABS(CS401)&gt;0,CS401/$T401,""),"")</f>
        <v/>
      </c>
      <c r="DR401" s="70" t="str">
        <f>IFERROR(IF(ABS(CT401)&gt;0,CT401/$T401,""),"")</f>
        <v/>
      </c>
      <c r="DS401" s="71" t="str">
        <f>IFERROR(IF(ABS(CU401)&gt;0,CU401/$T401,""),"")</f>
        <v/>
      </c>
      <c r="DT401" s="106" t="str">
        <f>IFERROR(IF(ABS(CE401&gt;0),CE401/$CH401,""),"")</f>
        <v/>
      </c>
      <c r="DU401" s="92" t="str">
        <f>IFERROR(IF(ABS(CF401&gt;0),CF401/$CH401,""),"")</f>
        <v/>
      </c>
      <c r="DV401" s="92" t="str">
        <f>IFERROR(IF(ABS(CG401&gt;0),CG401/$CH401,""),"")</f>
        <v/>
      </c>
      <c r="DW401" s="92" t="str">
        <f>IFERROR(IF(ABS(CH401&gt;0),CH401/$CH401,""),"")</f>
        <v/>
      </c>
      <c r="DX401" s="92" t="str">
        <f>IFERROR(IF(ABS(CI401&gt;0),CI401/$CH401,""),"")</f>
        <v/>
      </c>
      <c r="DY401" s="92" t="str">
        <f>IFERROR(IF(ABS(CJ401&gt;0),CJ401/$CH401,""),"")</f>
        <v/>
      </c>
      <c r="DZ401" s="92" t="str">
        <f>IFERROR(IF(ABS(CK401&gt;0),CK401/$CH401,""),"")</f>
        <v/>
      </c>
      <c r="EA401" s="92" t="str">
        <f>IFERROR(IF(ABS(CL401&gt;0),CL401/$CH401,""),"")</f>
        <v/>
      </c>
      <c r="EB401" s="92" t="str">
        <f>IFERROR(IF(ABS(CM401&gt;0),CM401/$CH401,""),"")</f>
        <v/>
      </c>
      <c r="EC401" s="92" t="str">
        <f>IFERROR(IF(ABS(CN401&gt;0),CN401/$CH401,""),"")</f>
        <v/>
      </c>
      <c r="ED401" s="92" t="str">
        <f>IFERROR(IF(ABS(CO401&gt;0),CO401/$CH401,""),"")</f>
        <v/>
      </c>
      <c r="EE401" s="92" t="str">
        <f>IFERROR(IF(ABS(CP401&gt;0),CP401/$CH401,""),"")</f>
        <v/>
      </c>
      <c r="EF401" s="92" t="str">
        <f>IFERROR(IF(ABS(CQ401&gt;0),CQ401/$CH401,""),"")</f>
        <v/>
      </c>
      <c r="EG401" s="92" t="str">
        <f>IFERROR(IF(ABS(CR401&gt;0),CR401/$CH401,""),"")</f>
        <v/>
      </c>
      <c r="EH401" s="92" t="str">
        <f>IFERROR(IF(ABS(CS401&gt;0),CS401/$CH401,""),"")</f>
        <v/>
      </c>
      <c r="EI401" s="92" t="str">
        <f>IFERROR(IF(ABS(CT401&gt;0),CT401/$CH401,""),"")</f>
        <v/>
      </c>
      <c r="EJ401" s="122" t="str">
        <f>IFERROR(IF(ABS(CU401&gt;0),CU401/$CH401,""),"")</f>
        <v/>
      </c>
    </row>
    <row r="402" spans="2:140" ht="12" customHeight="1" outlineLevel="1">
      <c r="B402" s="272"/>
      <c r="C402" s="117"/>
      <c r="D402" s="50"/>
      <c r="E402" s="50"/>
      <c r="F402" s="50"/>
      <c r="G402" s="50"/>
      <c r="H402" s="50"/>
      <c r="I402" s="50"/>
      <c r="J402" s="52"/>
      <c r="K402" s="50"/>
      <c r="L402" s="49"/>
      <c r="M402" s="50"/>
      <c r="N402" s="50"/>
      <c r="O402" s="50"/>
      <c r="P402" s="50"/>
      <c r="Q402" s="53"/>
      <c r="R402" s="49"/>
      <c r="S402" s="49"/>
      <c r="T402" s="54" t="str">
        <f>IFERROR(IF(SUM(R402:S402)&gt;0,SUM(R402:S402),""),"")</f>
        <v/>
      </c>
      <c r="U402" s="55"/>
      <c r="V402" s="49"/>
      <c r="W402" s="56" t="str">
        <f>IFERROR(IF(T402&gt;0,T402/V402,""),"")</f>
        <v/>
      </c>
      <c r="X402" s="49"/>
      <c r="Y402" s="57"/>
      <c r="Z402" s="58"/>
      <c r="AA402" s="114"/>
      <c r="AB402" s="59"/>
      <c r="AC402" s="60"/>
      <c r="AD402" s="61"/>
      <c r="AE402" s="62"/>
      <c r="AF402" s="63"/>
      <c r="AG402" s="59"/>
      <c r="AH402" s="60"/>
      <c r="AI402" s="61"/>
      <c r="AJ402" s="64"/>
      <c r="AK402" s="65" t="str">
        <f>IFERROR(IF(AE402&gt;0,AJ402+AE402,""),"")</f>
        <v/>
      </c>
      <c r="AL402" s="66"/>
      <c r="AM402" s="49"/>
      <c r="AN402" s="67"/>
      <c r="AO402" s="62"/>
      <c r="AP402" s="62"/>
      <c r="AQ402" s="68"/>
      <c r="AR402" s="69" t="str">
        <f>IFERROR(IF(AK402&gt;0,AK402/T402,""),"")</f>
        <v/>
      </c>
      <c r="AS402" s="70" t="str">
        <f>IFERROR(IF(AL402&gt;0,AL402/T402,""),"")</f>
        <v/>
      </c>
      <c r="AT402" s="70" t="str">
        <f>IFERROR(IF(AO402&gt;0,AO402/T402,""),"")</f>
        <v/>
      </c>
      <c r="AU402" s="70" t="str">
        <f>IFERROR(IF(AP402&gt;0,AP402/T402,""),"")</f>
        <v/>
      </c>
      <c r="AV402" s="71" t="str">
        <f>IFERROR(IF(AQ402&gt;0,AQ402/T402,""),"")</f>
        <v/>
      </c>
      <c r="AW402" s="115" t="str">
        <f>IFERROR(IF(SUM(BB402:BC402)&gt;0,SUM(BB402:BC402)/T402,""),"")</f>
        <v/>
      </c>
      <c r="AX402" s="116" t="str">
        <f>IFERROR(IF(SUM(BB402:BC402)&gt;0,SUM(BB402:BC402)/U402,""),"")</f>
        <v/>
      </c>
      <c r="AY402" s="72" t="str">
        <f>IFERROR(IF(SUM(BL402:BO402)&gt;0,SUM(BL402:BO402),""),"")</f>
        <v/>
      </c>
      <c r="AZ402" s="73" t="str">
        <f>IFERROR(IF(SUM(BV402:BY402)&gt;0,SUM(BV402:BY402),""),"")</f>
        <v/>
      </c>
      <c r="BA402" s="66"/>
      <c r="BB402" s="62"/>
      <c r="BC402" s="62"/>
      <c r="BD402" s="62"/>
      <c r="BE402" s="62"/>
      <c r="BF402" s="62"/>
      <c r="BG402" s="62"/>
      <c r="BH402" s="62"/>
      <c r="BI402" s="62"/>
      <c r="BJ402" s="47" t="str">
        <f>IFERROR(IF(SUM(BA402:BI402)&gt;0,SUM(BA402:BI402),""),"")</f>
        <v/>
      </c>
      <c r="BK402" s="69" t="str">
        <f>IFERROR(IF(BA402&gt;0,BA402/$T402,""),"")</f>
        <v/>
      </c>
      <c r="BL402" s="70" t="str">
        <f>IFERROR(IF(BB402&gt;0,BB402/$T402,""),"")</f>
        <v/>
      </c>
      <c r="BM402" s="70" t="str">
        <f>IFERROR(IF(BC402&gt;0,BC402/$T402,""),"")</f>
        <v/>
      </c>
      <c r="BN402" s="70" t="str">
        <f>IFERROR(IF(BD402&gt;0,BD402/$T402,""),"")</f>
        <v/>
      </c>
      <c r="BO402" s="70" t="str">
        <f>IFERROR(IF(BE402&gt;0,BE402/$T402,""),"")</f>
        <v/>
      </c>
      <c r="BP402" s="70" t="str">
        <f>IFERROR(IF(BF402&gt;0,BF402/$T402,""),"")</f>
        <v/>
      </c>
      <c r="BQ402" s="70" t="str">
        <f>IFERROR(IF(BG402&gt;0,BG402/$T402,""),"")</f>
        <v/>
      </c>
      <c r="BR402" s="70" t="str">
        <f>IFERROR(IF(BH402&gt;0,BH402/$T402,""),"")</f>
        <v/>
      </c>
      <c r="BS402" s="70" t="str">
        <f>IFERROR(IF(BI402&gt;0,BI402/$T402,""),"")</f>
        <v/>
      </c>
      <c r="BT402" s="71" t="str">
        <f>IFERROR(IF(BJ402&gt;0,BJ402/$T402,""),"")</f>
        <v/>
      </c>
      <c r="BU402" s="65" t="str">
        <f>IFERROR(IF(BA402&gt;0,BA402/$U402,""),"")</f>
        <v/>
      </c>
      <c r="BV402" s="48" t="str">
        <f>IFERROR(IF(BB402&gt;0,BB402/$U402,""),"")</f>
        <v/>
      </c>
      <c r="BW402" s="48" t="str">
        <f>IFERROR(IF(BC402&gt;0,BC402/$U402,""),"")</f>
        <v/>
      </c>
      <c r="BX402" s="48" t="str">
        <f>IFERROR(IF(BD402&gt;0,BD402/$U402,""),"")</f>
        <v/>
      </c>
      <c r="BY402" s="48" t="str">
        <f>IFERROR(IF(BE402&gt;0,BE402/$U402,""),"")</f>
        <v/>
      </c>
      <c r="BZ402" s="48" t="str">
        <f>IFERROR(IF(BF402&gt;0,BF402/$U402,""),"")</f>
        <v/>
      </c>
      <c r="CA402" s="48" t="str">
        <f>IFERROR(IF(BG402&gt;0,BG402/$U402,""),"")</f>
        <v/>
      </c>
      <c r="CB402" s="48" t="str">
        <f>IFERROR(IF(BH402&gt;0,BH402/$U402,""),"")</f>
        <v/>
      </c>
      <c r="CC402" s="48" t="str">
        <f>IFERROR(IF(BI402&gt;0,BI402/$U402,""),"")</f>
        <v/>
      </c>
      <c r="CD402" s="47" t="str">
        <f>IFERROR(IF(BJ402&gt;0,BJ402/$U402,""),"")</f>
        <v/>
      </c>
      <c r="CE402" s="66"/>
      <c r="CF402" s="62"/>
      <c r="CG402" s="74"/>
      <c r="CH402" s="75" t="str">
        <f>IFERROR(IF(SUM(CE402:CG402)&gt;0,SUM(CE402:CG402),""),"")</f>
        <v/>
      </c>
      <c r="CI402" s="62"/>
      <c r="CJ402" s="62"/>
      <c r="CK402" s="62"/>
      <c r="CL402" s="62"/>
      <c r="CM402" s="62"/>
      <c r="CN402" s="62"/>
      <c r="CO402" s="62"/>
      <c r="CP402" s="75" t="str">
        <f>IFERROR(IF(SUM(CI402:CO402)&gt;0,SUM(CI402:CO402),""),"")</f>
        <v/>
      </c>
      <c r="CQ402" s="62"/>
      <c r="CR402" s="75" t="str">
        <f>IFERROR(IF(SUM(CP402:CQ402)&gt;0,SUM(CP402:CQ402),""),"")</f>
        <v/>
      </c>
      <c r="CS402" s="75" t="str">
        <f>IFERROR(IF(CH402-CR402&gt;0,CH402-CP402,""),"")</f>
        <v/>
      </c>
      <c r="CT402" s="62"/>
      <c r="CU402" s="47" t="str">
        <f>IFERROR(IF(CS402-CT402&gt;0,CS402-CT402,""),"")</f>
        <v/>
      </c>
      <c r="CV402" s="76" t="str">
        <f>IFERROR(IF(CU402&gt;0,CS402/CH402,""),"")</f>
        <v/>
      </c>
      <c r="CW402" s="75" t="str">
        <f>IFERROR(IF(CU402&gt;0,CR402/T402,""),"")</f>
        <v/>
      </c>
      <c r="CX402" s="77" t="str">
        <f>IFERROR(IF(CU402&gt;0,CR402/CH402,""),"")</f>
        <v/>
      </c>
      <c r="CY402" s="75" t="str">
        <f>IFERROR(IF(CU402&gt;0,CU402/T402,""),"")</f>
        <v/>
      </c>
      <c r="CZ402" s="77" t="str">
        <f>IFERROR(IF(CU402&gt;0,CU402/CH402,""),"")</f>
        <v/>
      </c>
      <c r="DA402" s="77" t="str">
        <f>IFERROR(IF(CT402&gt;0,CT402/CH402,""),"")</f>
        <v/>
      </c>
      <c r="DB402" s="47" t="str">
        <f>IFERROR(IF(AR402&gt;0,AR402,""),"")</f>
        <v/>
      </c>
      <c r="DC402" s="69" t="str">
        <f>IFERROR(IF(ABS(CE402)&gt;0,CE402/$T402,""),"")</f>
        <v/>
      </c>
      <c r="DD402" s="70" t="str">
        <f>IFERROR(IF(ABS(CF402)&gt;0,CF402/$T402,""),"")</f>
        <v/>
      </c>
      <c r="DE402" s="70" t="str">
        <f>IFERROR(IF(ABS(CG402)&gt;0,CG402/$T402,""),"")</f>
        <v/>
      </c>
      <c r="DF402" s="70" t="str">
        <f>IFERROR(IF(ABS(CH402)&gt;0,CH402/$T402,""),"")</f>
        <v/>
      </c>
      <c r="DG402" s="70" t="str">
        <f>IFERROR(IF(ABS(CI402)&gt;0,CI402/$T402,""),"")</f>
        <v/>
      </c>
      <c r="DH402" s="70" t="str">
        <f>IFERROR(IF(ABS(CJ402)&gt;0,CJ402/$T402,""),"")</f>
        <v/>
      </c>
      <c r="DI402" s="70" t="str">
        <f>IFERROR(IF(ABS(CK402)&gt;0,CK402/$T402,""),"")</f>
        <v/>
      </c>
      <c r="DJ402" s="70" t="str">
        <f>IFERROR(IF(ABS(CL402)&gt;0,CL402/$T402,""),"")</f>
        <v/>
      </c>
      <c r="DK402" s="70" t="str">
        <f>IFERROR(IF(ABS(CM402)&gt;0,CM402/$T402,""),"")</f>
        <v/>
      </c>
      <c r="DL402" s="70" t="str">
        <f>IFERROR(IF(ABS(CN402)&gt;0,CN402/$T402,""),"")</f>
        <v/>
      </c>
      <c r="DM402" s="70" t="str">
        <f>IFERROR(IF(ABS(CO402)&gt;0,CO402/$T402,""),"")</f>
        <v/>
      </c>
      <c r="DN402" s="70" t="str">
        <f>IFERROR(IF(ABS(CP402)&gt;0,CP402/$T402,""),"")</f>
        <v/>
      </c>
      <c r="DO402" s="70" t="str">
        <f>IFERROR(IF(ABS(CQ402)&gt;0,CQ402/$T402,""),"")</f>
        <v/>
      </c>
      <c r="DP402" s="70" t="str">
        <f>IFERROR(IF(ABS(CR402)&gt;0,CR402/$T402,""),"")</f>
        <v/>
      </c>
      <c r="DQ402" s="70" t="str">
        <f>IFERROR(IF(ABS(CS402)&gt;0,CS402/$T402,""),"")</f>
        <v/>
      </c>
      <c r="DR402" s="70" t="str">
        <f>IFERROR(IF(ABS(CT402)&gt;0,CT402/$T402,""),"")</f>
        <v/>
      </c>
      <c r="DS402" s="71" t="str">
        <f>IFERROR(IF(ABS(CU402)&gt;0,CU402/$T402,""),"")</f>
        <v/>
      </c>
      <c r="DT402" s="106" t="str">
        <f>IFERROR(IF(ABS(CE402&gt;0),CE402/$CH402,""),"")</f>
        <v/>
      </c>
      <c r="DU402" s="92" t="str">
        <f>IFERROR(IF(ABS(CF402&gt;0),CF402/$CH402,""),"")</f>
        <v/>
      </c>
      <c r="DV402" s="92" t="str">
        <f>IFERROR(IF(ABS(CG402&gt;0),CG402/$CH402,""),"")</f>
        <v/>
      </c>
      <c r="DW402" s="92" t="str">
        <f>IFERROR(IF(ABS(CH402&gt;0),CH402/$CH402,""),"")</f>
        <v/>
      </c>
      <c r="DX402" s="92" t="str">
        <f>IFERROR(IF(ABS(CI402&gt;0),CI402/$CH402,""),"")</f>
        <v/>
      </c>
      <c r="DY402" s="92" t="str">
        <f>IFERROR(IF(ABS(CJ402&gt;0),CJ402/$CH402,""),"")</f>
        <v/>
      </c>
      <c r="DZ402" s="92" t="str">
        <f>IFERROR(IF(ABS(CK402&gt;0),CK402/$CH402,""),"")</f>
        <v/>
      </c>
      <c r="EA402" s="92" t="str">
        <f>IFERROR(IF(ABS(CL402&gt;0),CL402/$CH402,""),"")</f>
        <v/>
      </c>
      <c r="EB402" s="92" t="str">
        <f>IFERROR(IF(ABS(CM402&gt;0),CM402/$CH402,""),"")</f>
        <v/>
      </c>
      <c r="EC402" s="92" t="str">
        <f>IFERROR(IF(ABS(CN402&gt;0),CN402/$CH402,""),"")</f>
        <v/>
      </c>
      <c r="ED402" s="92" t="str">
        <f>IFERROR(IF(ABS(CO402&gt;0),CO402/$CH402,""),"")</f>
        <v/>
      </c>
      <c r="EE402" s="92" t="str">
        <f>IFERROR(IF(ABS(CP402&gt;0),CP402/$CH402,""),"")</f>
        <v/>
      </c>
      <c r="EF402" s="92" t="str">
        <f>IFERROR(IF(ABS(CQ402&gt;0),CQ402/$CH402,""),"")</f>
        <v/>
      </c>
      <c r="EG402" s="92" t="str">
        <f>IFERROR(IF(ABS(CR402&gt;0),CR402/$CH402,""),"")</f>
        <v/>
      </c>
      <c r="EH402" s="92" t="str">
        <f>IFERROR(IF(ABS(CS402&gt;0),CS402/$CH402,""),"")</f>
        <v/>
      </c>
      <c r="EI402" s="92" t="str">
        <f>IFERROR(IF(ABS(CT402&gt;0),CT402/$CH402,""),"")</f>
        <v/>
      </c>
      <c r="EJ402" s="122" t="str">
        <f>IFERROR(IF(ABS(CU402&gt;0),CU402/$CH402,""),"")</f>
        <v/>
      </c>
    </row>
    <row r="403" spans="2:140" ht="12" customHeight="1" outlineLevel="1">
      <c r="B403" s="272"/>
      <c r="C403" s="117"/>
      <c r="D403" s="50"/>
      <c r="E403" s="50"/>
      <c r="F403" s="50"/>
      <c r="G403" s="50"/>
      <c r="H403" s="50"/>
      <c r="I403" s="50"/>
      <c r="J403" s="52"/>
      <c r="K403" s="50"/>
      <c r="L403" s="49"/>
      <c r="M403" s="50"/>
      <c r="N403" s="50"/>
      <c r="O403" s="50"/>
      <c r="P403" s="50"/>
      <c r="Q403" s="53"/>
      <c r="R403" s="49"/>
      <c r="S403" s="49"/>
      <c r="T403" s="54" t="str">
        <f>IFERROR(IF(SUM(R403:S403)&gt;0,SUM(R403:S403),""),"")</f>
        <v/>
      </c>
      <c r="U403" s="55"/>
      <c r="V403" s="49"/>
      <c r="W403" s="56" t="str">
        <f>IFERROR(IF(T403&gt;0,T403/V403,""),"")</f>
        <v/>
      </c>
      <c r="X403" s="49"/>
      <c r="Y403" s="57"/>
      <c r="Z403" s="58"/>
      <c r="AA403" s="114"/>
      <c r="AB403" s="59"/>
      <c r="AC403" s="60"/>
      <c r="AD403" s="61"/>
      <c r="AE403" s="62"/>
      <c r="AF403" s="63"/>
      <c r="AG403" s="59"/>
      <c r="AH403" s="60"/>
      <c r="AI403" s="61"/>
      <c r="AJ403" s="64"/>
      <c r="AK403" s="65" t="str">
        <f>IFERROR(IF(AE403&gt;0,AJ403+AE403,""),"")</f>
        <v/>
      </c>
      <c r="AL403" s="66"/>
      <c r="AM403" s="49"/>
      <c r="AN403" s="67"/>
      <c r="AO403" s="62"/>
      <c r="AP403" s="62"/>
      <c r="AQ403" s="68"/>
      <c r="AR403" s="69" t="str">
        <f>IFERROR(IF(AK403&gt;0,AK403/T403,""),"")</f>
        <v/>
      </c>
      <c r="AS403" s="70" t="str">
        <f>IFERROR(IF(AL403&gt;0,AL403/T403,""),"")</f>
        <v/>
      </c>
      <c r="AT403" s="70" t="str">
        <f>IFERROR(IF(AO403&gt;0,AO403/T403,""),"")</f>
        <v/>
      </c>
      <c r="AU403" s="70" t="str">
        <f>IFERROR(IF(AP403&gt;0,AP403/T403,""),"")</f>
        <v/>
      </c>
      <c r="AV403" s="71" t="str">
        <f>IFERROR(IF(AQ403&gt;0,AQ403/T403,""),"")</f>
        <v/>
      </c>
      <c r="AW403" s="115" t="str">
        <f>IFERROR(IF(SUM(BB403:BC403)&gt;0,SUM(BB403:BC403)/T403,""),"")</f>
        <v/>
      </c>
      <c r="AX403" s="116" t="str">
        <f>IFERROR(IF(SUM(BB403:BC403)&gt;0,SUM(BB403:BC403)/U403,""),"")</f>
        <v/>
      </c>
      <c r="AY403" s="72" t="str">
        <f>IFERROR(IF(SUM(BL403:BO403)&gt;0,SUM(BL403:BO403),""),"")</f>
        <v/>
      </c>
      <c r="AZ403" s="73" t="str">
        <f>IFERROR(IF(SUM(BV403:BY403)&gt;0,SUM(BV403:BY403),""),"")</f>
        <v/>
      </c>
      <c r="BA403" s="66"/>
      <c r="BB403" s="62"/>
      <c r="BC403" s="62"/>
      <c r="BD403" s="62"/>
      <c r="BE403" s="62"/>
      <c r="BF403" s="62"/>
      <c r="BG403" s="62"/>
      <c r="BH403" s="62"/>
      <c r="BI403" s="62"/>
      <c r="BJ403" s="47" t="str">
        <f>IFERROR(IF(SUM(BA403:BI403)&gt;0,SUM(BA403:BI403),""),"")</f>
        <v/>
      </c>
      <c r="BK403" s="69" t="str">
        <f>IFERROR(IF(BA403&gt;0,BA403/$T403,""),"")</f>
        <v/>
      </c>
      <c r="BL403" s="70" t="str">
        <f>IFERROR(IF(BB403&gt;0,BB403/$T403,""),"")</f>
        <v/>
      </c>
      <c r="BM403" s="70" t="str">
        <f>IFERROR(IF(BC403&gt;0,BC403/$T403,""),"")</f>
        <v/>
      </c>
      <c r="BN403" s="70" t="str">
        <f>IFERROR(IF(BD403&gt;0,BD403/$T403,""),"")</f>
        <v/>
      </c>
      <c r="BO403" s="70" t="str">
        <f>IFERROR(IF(BE403&gt;0,BE403/$T403,""),"")</f>
        <v/>
      </c>
      <c r="BP403" s="70" t="str">
        <f>IFERROR(IF(BF403&gt;0,BF403/$T403,""),"")</f>
        <v/>
      </c>
      <c r="BQ403" s="70" t="str">
        <f>IFERROR(IF(BG403&gt;0,BG403/$T403,""),"")</f>
        <v/>
      </c>
      <c r="BR403" s="70" t="str">
        <f>IFERROR(IF(BH403&gt;0,BH403/$T403,""),"")</f>
        <v/>
      </c>
      <c r="BS403" s="70" t="str">
        <f>IFERROR(IF(BI403&gt;0,BI403/$T403,""),"")</f>
        <v/>
      </c>
      <c r="BT403" s="71" t="str">
        <f>IFERROR(IF(BJ403&gt;0,BJ403/$T403,""),"")</f>
        <v/>
      </c>
      <c r="BU403" s="65" t="str">
        <f>IFERROR(IF(BA403&gt;0,BA403/$U403,""),"")</f>
        <v/>
      </c>
      <c r="BV403" s="48" t="str">
        <f>IFERROR(IF(BB403&gt;0,BB403/$U403,""),"")</f>
        <v/>
      </c>
      <c r="BW403" s="48" t="str">
        <f>IFERROR(IF(BC403&gt;0,BC403/$U403,""),"")</f>
        <v/>
      </c>
      <c r="BX403" s="48" t="str">
        <f>IFERROR(IF(BD403&gt;0,BD403/$U403,""),"")</f>
        <v/>
      </c>
      <c r="BY403" s="48" t="str">
        <f>IFERROR(IF(BE403&gt;0,BE403/$U403,""),"")</f>
        <v/>
      </c>
      <c r="BZ403" s="48" t="str">
        <f>IFERROR(IF(BF403&gt;0,BF403/$U403,""),"")</f>
        <v/>
      </c>
      <c r="CA403" s="48" t="str">
        <f>IFERROR(IF(BG403&gt;0,BG403/$U403,""),"")</f>
        <v/>
      </c>
      <c r="CB403" s="48" t="str">
        <f>IFERROR(IF(BH403&gt;0,BH403/$U403,""),"")</f>
        <v/>
      </c>
      <c r="CC403" s="48" t="str">
        <f>IFERROR(IF(BI403&gt;0,BI403/$U403,""),"")</f>
        <v/>
      </c>
      <c r="CD403" s="47" t="str">
        <f>IFERROR(IF(BJ403&gt;0,BJ403/$U403,""),"")</f>
        <v/>
      </c>
      <c r="CE403" s="66"/>
      <c r="CF403" s="62"/>
      <c r="CG403" s="74"/>
      <c r="CH403" s="75" t="str">
        <f>IFERROR(IF(SUM(CE403:CG403)&gt;0,SUM(CE403:CG403),""),"")</f>
        <v/>
      </c>
      <c r="CI403" s="62"/>
      <c r="CJ403" s="62"/>
      <c r="CK403" s="62"/>
      <c r="CL403" s="62"/>
      <c r="CM403" s="62"/>
      <c r="CN403" s="62"/>
      <c r="CO403" s="62"/>
      <c r="CP403" s="75" t="str">
        <f>IFERROR(IF(SUM(CI403:CO403)&gt;0,SUM(CI403:CO403),""),"")</f>
        <v/>
      </c>
      <c r="CQ403" s="62"/>
      <c r="CR403" s="75" t="str">
        <f>IFERROR(IF(SUM(CP403:CQ403)&gt;0,SUM(CP403:CQ403),""),"")</f>
        <v/>
      </c>
      <c r="CS403" s="75" t="str">
        <f>IFERROR(IF(CH403-CR403&gt;0,CH403-CP403,""),"")</f>
        <v/>
      </c>
      <c r="CT403" s="62"/>
      <c r="CU403" s="47" t="str">
        <f>IFERROR(IF(CS403-CT403&gt;0,CS403-CT403,""),"")</f>
        <v/>
      </c>
      <c r="CV403" s="76" t="str">
        <f>IFERROR(IF(CU403&gt;0,CS403/CH403,""),"")</f>
        <v/>
      </c>
      <c r="CW403" s="75" t="str">
        <f>IFERROR(IF(CU403&gt;0,CR403/T403,""),"")</f>
        <v/>
      </c>
      <c r="CX403" s="77" t="str">
        <f>IFERROR(IF(CU403&gt;0,CR403/CH403,""),"")</f>
        <v/>
      </c>
      <c r="CY403" s="75" t="str">
        <f>IFERROR(IF(CU403&gt;0,CU403/T403,""),"")</f>
        <v/>
      </c>
      <c r="CZ403" s="77" t="str">
        <f>IFERROR(IF(CU403&gt;0,CU403/CH403,""),"")</f>
        <v/>
      </c>
      <c r="DA403" s="77" t="str">
        <f>IFERROR(IF(CT403&gt;0,CT403/CH403,""),"")</f>
        <v/>
      </c>
      <c r="DB403" s="47" t="str">
        <f>IFERROR(IF(AR403&gt;0,AR403,""),"")</f>
        <v/>
      </c>
      <c r="DC403" s="69" t="str">
        <f>IFERROR(IF(ABS(CE403)&gt;0,CE403/$T403,""),"")</f>
        <v/>
      </c>
      <c r="DD403" s="70" t="str">
        <f>IFERROR(IF(ABS(CF403)&gt;0,CF403/$T403,""),"")</f>
        <v/>
      </c>
      <c r="DE403" s="70" t="str">
        <f>IFERROR(IF(ABS(CG403)&gt;0,CG403/$T403,""),"")</f>
        <v/>
      </c>
      <c r="DF403" s="70" t="str">
        <f>IFERROR(IF(ABS(CH403)&gt;0,CH403/$T403,""),"")</f>
        <v/>
      </c>
      <c r="DG403" s="70" t="str">
        <f>IFERROR(IF(ABS(CI403)&gt;0,CI403/$T403,""),"")</f>
        <v/>
      </c>
      <c r="DH403" s="70" t="str">
        <f>IFERROR(IF(ABS(CJ403)&gt;0,CJ403/$T403,""),"")</f>
        <v/>
      </c>
      <c r="DI403" s="70" t="str">
        <f>IFERROR(IF(ABS(CK403)&gt;0,CK403/$T403,""),"")</f>
        <v/>
      </c>
      <c r="DJ403" s="70" t="str">
        <f>IFERROR(IF(ABS(CL403)&gt;0,CL403/$T403,""),"")</f>
        <v/>
      </c>
      <c r="DK403" s="70" t="str">
        <f>IFERROR(IF(ABS(CM403)&gt;0,CM403/$T403,""),"")</f>
        <v/>
      </c>
      <c r="DL403" s="70" t="str">
        <f>IFERROR(IF(ABS(CN403)&gt;0,CN403/$T403,""),"")</f>
        <v/>
      </c>
      <c r="DM403" s="70" t="str">
        <f>IFERROR(IF(ABS(CO403)&gt;0,CO403/$T403,""),"")</f>
        <v/>
      </c>
      <c r="DN403" s="70" t="str">
        <f>IFERROR(IF(ABS(CP403)&gt;0,CP403/$T403,""),"")</f>
        <v/>
      </c>
      <c r="DO403" s="70" t="str">
        <f>IFERROR(IF(ABS(CQ403)&gt;0,CQ403/$T403,""),"")</f>
        <v/>
      </c>
      <c r="DP403" s="70" t="str">
        <f>IFERROR(IF(ABS(CR403)&gt;0,CR403/$T403,""),"")</f>
        <v/>
      </c>
      <c r="DQ403" s="70" t="str">
        <f>IFERROR(IF(ABS(CS403)&gt;0,CS403/$T403,""),"")</f>
        <v/>
      </c>
      <c r="DR403" s="70" t="str">
        <f>IFERROR(IF(ABS(CT403)&gt;0,CT403/$T403,""),"")</f>
        <v/>
      </c>
      <c r="DS403" s="71" t="str">
        <f>IFERROR(IF(ABS(CU403)&gt;0,CU403/$T403,""),"")</f>
        <v/>
      </c>
      <c r="DT403" s="106" t="str">
        <f>IFERROR(IF(ABS(CE403&gt;0),CE403/$CH403,""),"")</f>
        <v/>
      </c>
      <c r="DU403" s="92" t="str">
        <f>IFERROR(IF(ABS(CF403&gt;0),CF403/$CH403,""),"")</f>
        <v/>
      </c>
      <c r="DV403" s="92" t="str">
        <f>IFERROR(IF(ABS(CG403&gt;0),CG403/$CH403,""),"")</f>
        <v/>
      </c>
      <c r="DW403" s="92" t="str">
        <f>IFERROR(IF(ABS(CH403&gt;0),CH403/$CH403,""),"")</f>
        <v/>
      </c>
      <c r="DX403" s="92" t="str">
        <f>IFERROR(IF(ABS(CI403&gt;0),CI403/$CH403,""),"")</f>
        <v/>
      </c>
      <c r="DY403" s="92" t="str">
        <f>IFERROR(IF(ABS(CJ403&gt;0),CJ403/$CH403,""),"")</f>
        <v/>
      </c>
      <c r="DZ403" s="92" t="str">
        <f>IFERROR(IF(ABS(CK403&gt;0),CK403/$CH403,""),"")</f>
        <v/>
      </c>
      <c r="EA403" s="92" t="str">
        <f>IFERROR(IF(ABS(CL403&gt;0),CL403/$CH403,""),"")</f>
        <v/>
      </c>
      <c r="EB403" s="92" t="str">
        <f>IFERROR(IF(ABS(CM403&gt;0),CM403/$CH403,""),"")</f>
        <v/>
      </c>
      <c r="EC403" s="92" t="str">
        <f>IFERROR(IF(ABS(CN403&gt;0),CN403/$CH403,""),"")</f>
        <v/>
      </c>
      <c r="ED403" s="92" t="str">
        <f>IFERROR(IF(ABS(CO403&gt;0),CO403/$CH403,""),"")</f>
        <v/>
      </c>
      <c r="EE403" s="92" t="str">
        <f>IFERROR(IF(ABS(CP403&gt;0),CP403/$CH403,""),"")</f>
        <v/>
      </c>
      <c r="EF403" s="92" t="str">
        <f>IFERROR(IF(ABS(CQ403&gt;0),CQ403/$CH403,""),"")</f>
        <v/>
      </c>
      <c r="EG403" s="92" t="str">
        <f>IFERROR(IF(ABS(CR403&gt;0),CR403/$CH403,""),"")</f>
        <v/>
      </c>
      <c r="EH403" s="92" t="str">
        <f>IFERROR(IF(ABS(CS403&gt;0),CS403/$CH403,""),"")</f>
        <v/>
      </c>
      <c r="EI403" s="92" t="str">
        <f>IFERROR(IF(ABS(CT403&gt;0),CT403/$CH403,""),"")</f>
        <v/>
      </c>
      <c r="EJ403" s="122" t="str">
        <f>IFERROR(IF(ABS(CU403&gt;0),CU403/$CH403,""),"")</f>
        <v/>
      </c>
    </row>
    <row r="404" spans="2:140" ht="12" customHeight="1" outlineLevel="1">
      <c r="B404" s="272"/>
      <c r="C404" s="117"/>
      <c r="D404" s="50"/>
      <c r="E404" s="50"/>
      <c r="F404" s="50"/>
      <c r="G404" s="50"/>
      <c r="H404" s="50"/>
      <c r="I404" s="50"/>
      <c r="J404" s="52"/>
      <c r="K404" s="50"/>
      <c r="L404" s="49"/>
      <c r="M404" s="50"/>
      <c r="N404" s="50"/>
      <c r="O404" s="50"/>
      <c r="P404" s="50"/>
      <c r="Q404" s="53"/>
      <c r="R404" s="49"/>
      <c r="S404" s="49"/>
      <c r="T404" s="54" t="str">
        <f>IFERROR(IF(SUM(R404:S404)&gt;0,SUM(R404:S404),""),"")</f>
        <v/>
      </c>
      <c r="U404" s="55"/>
      <c r="V404" s="49"/>
      <c r="W404" s="56" t="str">
        <f>IFERROR(IF(T404&gt;0,T404/V404,""),"")</f>
        <v/>
      </c>
      <c r="X404" s="49"/>
      <c r="Y404" s="57"/>
      <c r="Z404" s="58"/>
      <c r="AA404" s="114"/>
      <c r="AB404" s="59"/>
      <c r="AC404" s="60"/>
      <c r="AD404" s="61"/>
      <c r="AE404" s="62"/>
      <c r="AF404" s="63"/>
      <c r="AG404" s="59"/>
      <c r="AH404" s="60"/>
      <c r="AI404" s="61"/>
      <c r="AJ404" s="64"/>
      <c r="AK404" s="65" t="str">
        <f>IFERROR(IF(AE404&gt;0,AJ404+AE404,""),"")</f>
        <v/>
      </c>
      <c r="AL404" s="66"/>
      <c r="AM404" s="49"/>
      <c r="AN404" s="67"/>
      <c r="AO404" s="62"/>
      <c r="AP404" s="62"/>
      <c r="AQ404" s="68"/>
      <c r="AR404" s="69" t="str">
        <f>IFERROR(IF(AK404&gt;0,AK404/T404,""),"")</f>
        <v/>
      </c>
      <c r="AS404" s="70" t="str">
        <f>IFERROR(IF(AL404&gt;0,AL404/T404,""),"")</f>
        <v/>
      </c>
      <c r="AT404" s="70" t="str">
        <f>IFERROR(IF(AO404&gt;0,AO404/T404,""),"")</f>
        <v/>
      </c>
      <c r="AU404" s="70" t="str">
        <f>IFERROR(IF(AP404&gt;0,AP404/T404,""),"")</f>
        <v/>
      </c>
      <c r="AV404" s="71" t="str">
        <f>IFERROR(IF(AQ404&gt;0,AQ404/T404,""),"")</f>
        <v/>
      </c>
      <c r="AW404" s="115" t="str">
        <f>IFERROR(IF(SUM(BB404:BC404)&gt;0,SUM(BB404:BC404)/T404,""),"")</f>
        <v/>
      </c>
      <c r="AX404" s="116" t="str">
        <f>IFERROR(IF(SUM(BB404:BC404)&gt;0,SUM(BB404:BC404)/U404,""),"")</f>
        <v/>
      </c>
      <c r="AY404" s="72" t="str">
        <f>IFERROR(IF(SUM(BL404:BO404)&gt;0,SUM(BL404:BO404),""),"")</f>
        <v/>
      </c>
      <c r="AZ404" s="73" t="str">
        <f>IFERROR(IF(SUM(BV404:BY404)&gt;0,SUM(BV404:BY404),""),"")</f>
        <v/>
      </c>
      <c r="BA404" s="66"/>
      <c r="BB404" s="62"/>
      <c r="BC404" s="62"/>
      <c r="BD404" s="62"/>
      <c r="BE404" s="62"/>
      <c r="BF404" s="62"/>
      <c r="BG404" s="62"/>
      <c r="BH404" s="62"/>
      <c r="BI404" s="62"/>
      <c r="BJ404" s="47" t="str">
        <f>IFERROR(IF(SUM(BA404:BI404)&gt;0,SUM(BA404:BI404),""),"")</f>
        <v/>
      </c>
      <c r="BK404" s="69" t="str">
        <f>IFERROR(IF(BA404&gt;0,BA404/$T404,""),"")</f>
        <v/>
      </c>
      <c r="BL404" s="70" t="str">
        <f>IFERROR(IF(BB404&gt;0,BB404/$T404,""),"")</f>
        <v/>
      </c>
      <c r="BM404" s="70" t="str">
        <f>IFERROR(IF(BC404&gt;0,BC404/$T404,""),"")</f>
        <v/>
      </c>
      <c r="BN404" s="70" t="str">
        <f>IFERROR(IF(BD404&gt;0,BD404/$T404,""),"")</f>
        <v/>
      </c>
      <c r="BO404" s="70" t="str">
        <f>IFERROR(IF(BE404&gt;0,BE404/$T404,""),"")</f>
        <v/>
      </c>
      <c r="BP404" s="70" t="str">
        <f>IFERROR(IF(BF404&gt;0,BF404/$T404,""),"")</f>
        <v/>
      </c>
      <c r="BQ404" s="70" t="str">
        <f>IFERROR(IF(BG404&gt;0,BG404/$T404,""),"")</f>
        <v/>
      </c>
      <c r="BR404" s="70" t="str">
        <f>IFERROR(IF(BH404&gt;0,BH404/$T404,""),"")</f>
        <v/>
      </c>
      <c r="BS404" s="70" t="str">
        <f>IFERROR(IF(BI404&gt;0,BI404/$T404,""),"")</f>
        <v/>
      </c>
      <c r="BT404" s="71" t="str">
        <f>IFERROR(IF(BJ404&gt;0,BJ404/$T404,""),"")</f>
        <v/>
      </c>
      <c r="BU404" s="65" t="str">
        <f>IFERROR(IF(BA404&gt;0,BA404/$U404,""),"")</f>
        <v/>
      </c>
      <c r="BV404" s="48" t="str">
        <f>IFERROR(IF(BB404&gt;0,BB404/$U404,""),"")</f>
        <v/>
      </c>
      <c r="BW404" s="48" t="str">
        <f>IFERROR(IF(BC404&gt;0,BC404/$U404,""),"")</f>
        <v/>
      </c>
      <c r="BX404" s="48" t="str">
        <f>IFERROR(IF(BD404&gt;0,BD404/$U404,""),"")</f>
        <v/>
      </c>
      <c r="BY404" s="48" t="str">
        <f>IFERROR(IF(BE404&gt;0,BE404/$U404,""),"")</f>
        <v/>
      </c>
      <c r="BZ404" s="48" t="str">
        <f>IFERROR(IF(BF404&gt;0,BF404/$U404,""),"")</f>
        <v/>
      </c>
      <c r="CA404" s="48" t="str">
        <f>IFERROR(IF(BG404&gt;0,BG404/$U404,""),"")</f>
        <v/>
      </c>
      <c r="CB404" s="48" t="str">
        <f>IFERROR(IF(BH404&gt;0,BH404/$U404,""),"")</f>
        <v/>
      </c>
      <c r="CC404" s="48" t="str">
        <f>IFERROR(IF(BI404&gt;0,BI404/$U404,""),"")</f>
        <v/>
      </c>
      <c r="CD404" s="47" t="str">
        <f>IFERROR(IF(BJ404&gt;0,BJ404/$U404,""),"")</f>
        <v/>
      </c>
      <c r="CE404" s="66"/>
      <c r="CF404" s="62"/>
      <c r="CG404" s="74"/>
      <c r="CH404" s="75" t="str">
        <f>IFERROR(IF(SUM(CE404:CG404)&gt;0,SUM(CE404:CG404),""),"")</f>
        <v/>
      </c>
      <c r="CI404" s="62"/>
      <c r="CJ404" s="62"/>
      <c r="CK404" s="62"/>
      <c r="CL404" s="62"/>
      <c r="CM404" s="62"/>
      <c r="CN404" s="62"/>
      <c r="CO404" s="62"/>
      <c r="CP404" s="75" t="str">
        <f>IFERROR(IF(SUM(CI404:CO404)&gt;0,SUM(CI404:CO404),""),"")</f>
        <v/>
      </c>
      <c r="CQ404" s="62"/>
      <c r="CR404" s="75" t="str">
        <f>IFERROR(IF(SUM(CP404:CQ404)&gt;0,SUM(CP404:CQ404),""),"")</f>
        <v/>
      </c>
      <c r="CS404" s="75" t="str">
        <f>IFERROR(IF(CH404-CR404&gt;0,CH404-CP404,""),"")</f>
        <v/>
      </c>
      <c r="CT404" s="62"/>
      <c r="CU404" s="47" t="str">
        <f>IFERROR(IF(CS404-CT404&gt;0,CS404-CT404,""),"")</f>
        <v/>
      </c>
      <c r="CV404" s="76" t="str">
        <f>IFERROR(IF(CU404&gt;0,CS404/CH404,""),"")</f>
        <v/>
      </c>
      <c r="CW404" s="75" t="str">
        <f>IFERROR(IF(CU404&gt;0,CR404/T404,""),"")</f>
        <v/>
      </c>
      <c r="CX404" s="77" t="str">
        <f>IFERROR(IF(CU404&gt;0,CR404/CH404,""),"")</f>
        <v/>
      </c>
      <c r="CY404" s="75" t="str">
        <f>IFERROR(IF(CU404&gt;0,CU404/T404,""),"")</f>
        <v/>
      </c>
      <c r="CZ404" s="77" t="str">
        <f>IFERROR(IF(CU404&gt;0,CU404/CH404,""),"")</f>
        <v/>
      </c>
      <c r="DA404" s="77" t="str">
        <f>IFERROR(IF(CT404&gt;0,CT404/CH404,""),"")</f>
        <v/>
      </c>
      <c r="DB404" s="47" t="str">
        <f>IFERROR(IF(AR404&gt;0,AR404,""),"")</f>
        <v/>
      </c>
      <c r="DC404" s="69" t="str">
        <f>IFERROR(IF(ABS(CE404)&gt;0,CE404/$T404,""),"")</f>
        <v/>
      </c>
      <c r="DD404" s="70" t="str">
        <f>IFERROR(IF(ABS(CF404)&gt;0,CF404/$T404,""),"")</f>
        <v/>
      </c>
      <c r="DE404" s="70" t="str">
        <f>IFERROR(IF(ABS(CG404)&gt;0,CG404/$T404,""),"")</f>
        <v/>
      </c>
      <c r="DF404" s="70" t="str">
        <f>IFERROR(IF(ABS(CH404)&gt;0,CH404/$T404,""),"")</f>
        <v/>
      </c>
      <c r="DG404" s="70" t="str">
        <f>IFERROR(IF(ABS(CI404)&gt;0,CI404/$T404,""),"")</f>
        <v/>
      </c>
      <c r="DH404" s="70" t="str">
        <f>IFERROR(IF(ABS(CJ404)&gt;0,CJ404/$T404,""),"")</f>
        <v/>
      </c>
      <c r="DI404" s="70" t="str">
        <f>IFERROR(IF(ABS(CK404)&gt;0,CK404/$T404,""),"")</f>
        <v/>
      </c>
      <c r="DJ404" s="70" t="str">
        <f>IFERROR(IF(ABS(CL404)&gt;0,CL404/$T404,""),"")</f>
        <v/>
      </c>
      <c r="DK404" s="70" t="str">
        <f>IFERROR(IF(ABS(CM404)&gt;0,CM404/$T404,""),"")</f>
        <v/>
      </c>
      <c r="DL404" s="70" t="str">
        <f>IFERROR(IF(ABS(CN404)&gt;0,CN404/$T404,""),"")</f>
        <v/>
      </c>
      <c r="DM404" s="70" t="str">
        <f>IFERROR(IF(ABS(CO404)&gt;0,CO404/$T404,""),"")</f>
        <v/>
      </c>
      <c r="DN404" s="70" t="str">
        <f>IFERROR(IF(ABS(CP404)&gt;0,CP404/$T404,""),"")</f>
        <v/>
      </c>
      <c r="DO404" s="70" t="str">
        <f>IFERROR(IF(ABS(CQ404)&gt;0,CQ404/$T404,""),"")</f>
        <v/>
      </c>
      <c r="DP404" s="70" t="str">
        <f>IFERROR(IF(ABS(CR404)&gt;0,CR404/$T404,""),"")</f>
        <v/>
      </c>
      <c r="DQ404" s="70" t="str">
        <f>IFERROR(IF(ABS(CS404)&gt;0,CS404/$T404,""),"")</f>
        <v/>
      </c>
      <c r="DR404" s="70" t="str">
        <f>IFERROR(IF(ABS(CT404)&gt;0,CT404/$T404,""),"")</f>
        <v/>
      </c>
      <c r="DS404" s="71" t="str">
        <f>IFERROR(IF(ABS(CU404)&gt;0,CU404/$T404,""),"")</f>
        <v/>
      </c>
      <c r="DT404" s="106" t="str">
        <f>IFERROR(IF(ABS(CE404&gt;0),CE404/$CH404,""),"")</f>
        <v/>
      </c>
      <c r="DU404" s="92" t="str">
        <f>IFERROR(IF(ABS(CF404&gt;0),CF404/$CH404,""),"")</f>
        <v/>
      </c>
      <c r="DV404" s="92" t="str">
        <f>IFERROR(IF(ABS(CG404&gt;0),CG404/$CH404,""),"")</f>
        <v/>
      </c>
      <c r="DW404" s="92" t="str">
        <f>IFERROR(IF(ABS(CH404&gt;0),CH404/$CH404,""),"")</f>
        <v/>
      </c>
      <c r="DX404" s="92" t="str">
        <f>IFERROR(IF(ABS(CI404&gt;0),CI404/$CH404,""),"")</f>
        <v/>
      </c>
      <c r="DY404" s="92" t="str">
        <f>IFERROR(IF(ABS(CJ404&gt;0),CJ404/$CH404,""),"")</f>
        <v/>
      </c>
      <c r="DZ404" s="92" t="str">
        <f>IFERROR(IF(ABS(CK404&gt;0),CK404/$CH404,""),"")</f>
        <v/>
      </c>
      <c r="EA404" s="92" t="str">
        <f>IFERROR(IF(ABS(CL404&gt;0),CL404/$CH404,""),"")</f>
        <v/>
      </c>
      <c r="EB404" s="92" t="str">
        <f>IFERROR(IF(ABS(CM404&gt;0),CM404/$CH404,""),"")</f>
        <v/>
      </c>
      <c r="EC404" s="92" t="str">
        <f>IFERROR(IF(ABS(CN404&gt;0),CN404/$CH404,""),"")</f>
        <v/>
      </c>
      <c r="ED404" s="92" t="str">
        <f>IFERROR(IF(ABS(CO404&gt;0),CO404/$CH404,""),"")</f>
        <v/>
      </c>
      <c r="EE404" s="92" t="str">
        <f>IFERROR(IF(ABS(CP404&gt;0),CP404/$CH404,""),"")</f>
        <v/>
      </c>
      <c r="EF404" s="92" t="str">
        <f>IFERROR(IF(ABS(CQ404&gt;0),CQ404/$CH404,""),"")</f>
        <v/>
      </c>
      <c r="EG404" s="92" t="str">
        <f>IFERROR(IF(ABS(CR404&gt;0),CR404/$CH404,""),"")</f>
        <v/>
      </c>
      <c r="EH404" s="92" t="str">
        <f>IFERROR(IF(ABS(CS404&gt;0),CS404/$CH404,""),"")</f>
        <v/>
      </c>
      <c r="EI404" s="92" t="str">
        <f>IFERROR(IF(ABS(CT404&gt;0),CT404/$CH404,""),"")</f>
        <v/>
      </c>
      <c r="EJ404" s="122" t="str">
        <f>IFERROR(IF(ABS(CU404&gt;0),CU404/$CH404,""),"")</f>
        <v/>
      </c>
    </row>
    <row r="405" spans="2:140" ht="12" customHeight="1" outlineLevel="1">
      <c r="B405" s="272"/>
      <c r="C405" s="117"/>
      <c r="D405" s="50"/>
      <c r="E405" s="50"/>
      <c r="F405" s="50"/>
      <c r="G405" s="50"/>
      <c r="H405" s="50"/>
      <c r="I405" s="50"/>
      <c r="J405" s="52"/>
      <c r="K405" s="50"/>
      <c r="L405" s="49"/>
      <c r="M405" s="50"/>
      <c r="N405" s="50"/>
      <c r="O405" s="50"/>
      <c r="P405" s="50"/>
      <c r="Q405" s="53"/>
      <c r="R405" s="49"/>
      <c r="S405" s="49"/>
      <c r="T405" s="54" t="str">
        <f>IFERROR(IF(SUM(R405:S405)&gt;0,SUM(R405:S405),""),"")</f>
        <v/>
      </c>
      <c r="U405" s="55"/>
      <c r="V405" s="49"/>
      <c r="W405" s="56" t="str">
        <f>IFERROR(IF(T405&gt;0,T405/V405,""),"")</f>
        <v/>
      </c>
      <c r="X405" s="49"/>
      <c r="Y405" s="57"/>
      <c r="Z405" s="58"/>
      <c r="AA405" s="114"/>
      <c r="AB405" s="59"/>
      <c r="AC405" s="60"/>
      <c r="AD405" s="61"/>
      <c r="AE405" s="62"/>
      <c r="AF405" s="63"/>
      <c r="AG405" s="59"/>
      <c r="AH405" s="60"/>
      <c r="AI405" s="61"/>
      <c r="AJ405" s="64"/>
      <c r="AK405" s="65" t="str">
        <f>IFERROR(IF(AE405&gt;0,AJ405+AE405,""),"")</f>
        <v/>
      </c>
      <c r="AL405" s="66"/>
      <c r="AM405" s="49"/>
      <c r="AN405" s="67"/>
      <c r="AO405" s="62"/>
      <c r="AP405" s="62"/>
      <c r="AQ405" s="68"/>
      <c r="AR405" s="69" t="str">
        <f>IFERROR(IF(AK405&gt;0,AK405/T405,""),"")</f>
        <v/>
      </c>
      <c r="AS405" s="70" t="str">
        <f>IFERROR(IF(AL405&gt;0,AL405/T405,""),"")</f>
        <v/>
      </c>
      <c r="AT405" s="70" t="str">
        <f>IFERROR(IF(AO405&gt;0,AO405/T405,""),"")</f>
        <v/>
      </c>
      <c r="AU405" s="70" t="str">
        <f>IFERROR(IF(AP405&gt;0,AP405/T405,""),"")</f>
        <v/>
      </c>
      <c r="AV405" s="71" t="str">
        <f>IFERROR(IF(AQ405&gt;0,AQ405/T405,""),"")</f>
        <v/>
      </c>
      <c r="AW405" s="115" t="str">
        <f>IFERROR(IF(SUM(BB405:BC405)&gt;0,SUM(BB405:BC405)/T405,""),"")</f>
        <v/>
      </c>
      <c r="AX405" s="116" t="str">
        <f>IFERROR(IF(SUM(BB405:BC405)&gt;0,SUM(BB405:BC405)/U405,""),"")</f>
        <v/>
      </c>
      <c r="AY405" s="72" t="str">
        <f>IFERROR(IF(SUM(BL405:BO405)&gt;0,SUM(BL405:BO405),""),"")</f>
        <v/>
      </c>
      <c r="AZ405" s="73" t="str">
        <f>IFERROR(IF(SUM(BV405:BY405)&gt;0,SUM(BV405:BY405),""),"")</f>
        <v/>
      </c>
      <c r="BA405" s="66"/>
      <c r="BB405" s="62"/>
      <c r="BC405" s="62"/>
      <c r="BD405" s="62"/>
      <c r="BE405" s="62"/>
      <c r="BF405" s="62"/>
      <c r="BG405" s="62"/>
      <c r="BH405" s="62"/>
      <c r="BI405" s="62"/>
      <c r="BJ405" s="47" t="str">
        <f>IFERROR(IF(SUM(BA405:BI405)&gt;0,SUM(BA405:BI405),""),"")</f>
        <v/>
      </c>
      <c r="BK405" s="69" t="str">
        <f>IFERROR(IF(BA405&gt;0,BA405/$T405,""),"")</f>
        <v/>
      </c>
      <c r="BL405" s="70" t="str">
        <f>IFERROR(IF(BB405&gt;0,BB405/$T405,""),"")</f>
        <v/>
      </c>
      <c r="BM405" s="70" t="str">
        <f>IFERROR(IF(BC405&gt;0,BC405/$T405,""),"")</f>
        <v/>
      </c>
      <c r="BN405" s="70" t="str">
        <f>IFERROR(IF(BD405&gt;0,BD405/$T405,""),"")</f>
        <v/>
      </c>
      <c r="BO405" s="70" t="str">
        <f>IFERROR(IF(BE405&gt;0,BE405/$T405,""),"")</f>
        <v/>
      </c>
      <c r="BP405" s="70" t="str">
        <f>IFERROR(IF(BF405&gt;0,BF405/$T405,""),"")</f>
        <v/>
      </c>
      <c r="BQ405" s="70" t="str">
        <f>IFERROR(IF(BG405&gt;0,BG405/$T405,""),"")</f>
        <v/>
      </c>
      <c r="BR405" s="70" t="str">
        <f>IFERROR(IF(BH405&gt;0,BH405/$T405,""),"")</f>
        <v/>
      </c>
      <c r="BS405" s="70" t="str">
        <f>IFERROR(IF(BI405&gt;0,BI405/$T405,""),"")</f>
        <v/>
      </c>
      <c r="BT405" s="71" t="str">
        <f>IFERROR(IF(BJ405&gt;0,BJ405/$T405,""),"")</f>
        <v/>
      </c>
      <c r="BU405" s="65" t="str">
        <f>IFERROR(IF(BA405&gt;0,BA405/$U405,""),"")</f>
        <v/>
      </c>
      <c r="BV405" s="48" t="str">
        <f>IFERROR(IF(BB405&gt;0,BB405/$U405,""),"")</f>
        <v/>
      </c>
      <c r="BW405" s="48" t="str">
        <f>IFERROR(IF(BC405&gt;0,BC405/$U405,""),"")</f>
        <v/>
      </c>
      <c r="BX405" s="48" t="str">
        <f>IFERROR(IF(BD405&gt;0,BD405/$U405,""),"")</f>
        <v/>
      </c>
      <c r="BY405" s="48" t="str">
        <f>IFERROR(IF(BE405&gt;0,BE405/$U405,""),"")</f>
        <v/>
      </c>
      <c r="BZ405" s="48" t="str">
        <f>IFERROR(IF(BF405&gt;0,BF405/$U405,""),"")</f>
        <v/>
      </c>
      <c r="CA405" s="48" t="str">
        <f>IFERROR(IF(BG405&gt;0,BG405/$U405,""),"")</f>
        <v/>
      </c>
      <c r="CB405" s="48" t="str">
        <f>IFERROR(IF(BH405&gt;0,BH405/$U405,""),"")</f>
        <v/>
      </c>
      <c r="CC405" s="48" t="str">
        <f>IFERROR(IF(BI405&gt;0,BI405/$U405,""),"")</f>
        <v/>
      </c>
      <c r="CD405" s="47" t="str">
        <f>IFERROR(IF(BJ405&gt;0,BJ405/$U405,""),"")</f>
        <v/>
      </c>
      <c r="CE405" s="66"/>
      <c r="CF405" s="62"/>
      <c r="CG405" s="74"/>
      <c r="CH405" s="75" t="str">
        <f>IFERROR(IF(SUM(CE405:CG405)&gt;0,SUM(CE405:CG405),""),"")</f>
        <v/>
      </c>
      <c r="CI405" s="62"/>
      <c r="CJ405" s="62"/>
      <c r="CK405" s="62"/>
      <c r="CL405" s="62"/>
      <c r="CM405" s="62"/>
      <c r="CN405" s="62"/>
      <c r="CO405" s="62"/>
      <c r="CP405" s="75" t="str">
        <f>IFERROR(IF(SUM(CI405:CO405)&gt;0,SUM(CI405:CO405),""),"")</f>
        <v/>
      </c>
      <c r="CQ405" s="62"/>
      <c r="CR405" s="75" t="str">
        <f>IFERROR(IF(SUM(CP405:CQ405)&gt;0,SUM(CP405:CQ405),""),"")</f>
        <v/>
      </c>
      <c r="CS405" s="75" t="str">
        <f>IFERROR(IF(CH405-CR405&gt;0,CH405-CP405,""),"")</f>
        <v/>
      </c>
      <c r="CT405" s="62"/>
      <c r="CU405" s="47" t="str">
        <f>IFERROR(IF(CS405-CT405&gt;0,CS405-CT405,""),"")</f>
        <v/>
      </c>
      <c r="CV405" s="76" t="str">
        <f>IFERROR(IF(CU405&gt;0,CS405/CH405,""),"")</f>
        <v/>
      </c>
      <c r="CW405" s="75" t="str">
        <f>IFERROR(IF(CU405&gt;0,CR405/T405,""),"")</f>
        <v/>
      </c>
      <c r="CX405" s="77" t="str">
        <f>IFERROR(IF(CU405&gt;0,CR405/CH405,""),"")</f>
        <v/>
      </c>
      <c r="CY405" s="75" t="str">
        <f>IFERROR(IF(CU405&gt;0,CU405/T405,""),"")</f>
        <v/>
      </c>
      <c r="CZ405" s="77" t="str">
        <f>IFERROR(IF(CU405&gt;0,CU405/CH405,""),"")</f>
        <v/>
      </c>
      <c r="DA405" s="77" t="str">
        <f>IFERROR(IF(CT405&gt;0,CT405/CH405,""),"")</f>
        <v/>
      </c>
      <c r="DB405" s="47" t="str">
        <f>IFERROR(IF(AR405&gt;0,AR405,""),"")</f>
        <v/>
      </c>
      <c r="DC405" s="69" t="str">
        <f>IFERROR(IF(ABS(CE405)&gt;0,CE405/$T405,""),"")</f>
        <v/>
      </c>
      <c r="DD405" s="70" t="str">
        <f>IFERROR(IF(ABS(CF405)&gt;0,CF405/$T405,""),"")</f>
        <v/>
      </c>
      <c r="DE405" s="70" t="str">
        <f>IFERROR(IF(ABS(CG405)&gt;0,CG405/$T405,""),"")</f>
        <v/>
      </c>
      <c r="DF405" s="70" t="str">
        <f>IFERROR(IF(ABS(CH405)&gt;0,CH405/$T405,""),"")</f>
        <v/>
      </c>
      <c r="DG405" s="70" t="str">
        <f>IFERROR(IF(ABS(CI405)&gt;0,CI405/$T405,""),"")</f>
        <v/>
      </c>
      <c r="DH405" s="70" t="str">
        <f>IFERROR(IF(ABS(CJ405)&gt;0,CJ405/$T405,""),"")</f>
        <v/>
      </c>
      <c r="DI405" s="70" t="str">
        <f>IFERROR(IF(ABS(CK405)&gt;0,CK405/$T405,""),"")</f>
        <v/>
      </c>
      <c r="DJ405" s="70" t="str">
        <f>IFERROR(IF(ABS(CL405)&gt;0,CL405/$T405,""),"")</f>
        <v/>
      </c>
      <c r="DK405" s="70" t="str">
        <f>IFERROR(IF(ABS(CM405)&gt;0,CM405/$T405,""),"")</f>
        <v/>
      </c>
      <c r="DL405" s="70" t="str">
        <f>IFERROR(IF(ABS(CN405)&gt;0,CN405/$T405,""),"")</f>
        <v/>
      </c>
      <c r="DM405" s="70" t="str">
        <f>IFERROR(IF(ABS(CO405)&gt;0,CO405/$T405,""),"")</f>
        <v/>
      </c>
      <c r="DN405" s="70" t="str">
        <f>IFERROR(IF(ABS(CP405)&gt;0,CP405/$T405,""),"")</f>
        <v/>
      </c>
      <c r="DO405" s="70" t="str">
        <f>IFERROR(IF(ABS(CQ405)&gt;0,CQ405/$T405,""),"")</f>
        <v/>
      </c>
      <c r="DP405" s="70" t="str">
        <f>IFERROR(IF(ABS(CR405)&gt;0,CR405/$T405,""),"")</f>
        <v/>
      </c>
      <c r="DQ405" s="70" t="str">
        <f>IFERROR(IF(ABS(CS405)&gt;0,CS405/$T405,""),"")</f>
        <v/>
      </c>
      <c r="DR405" s="70" t="str">
        <f>IFERROR(IF(ABS(CT405)&gt;0,CT405/$T405,""),"")</f>
        <v/>
      </c>
      <c r="DS405" s="71" t="str">
        <f>IFERROR(IF(ABS(CU405)&gt;0,CU405/$T405,""),"")</f>
        <v/>
      </c>
      <c r="DT405" s="106" t="str">
        <f>IFERROR(IF(ABS(CE405&gt;0),CE405/$CH405,""),"")</f>
        <v/>
      </c>
      <c r="DU405" s="92" t="str">
        <f>IFERROR(IF(ABS(CF405&gt;0),CF405/$CH405,""),"")</f>
        <v/>
      </c>
      <c r="DV405" s="92" t="str">
        <f>IFERROR(IF(ABS(CG405&gt;0),CG405/$CH405,""),"")</f>
        <v/>
      </c>
      <c r="DW405" s="92" t="str">
        <f>IFERROR(IF(ABS(CH405&gt;0),CH405/$CH405,""),"")</f>
        <v/>
      </c>
      <c r="DX405" s="92" t="str">
        <f>IFERROR(IF(ABS(CI405&gt;0),CI405/$CH405,""),"")</f>
        <v/>
      </c>
      <c r="DY405" s="92" t="str">
        <f>IFERROR(IF(ABS(CJ405&gt;0),CJ405/$CH405,""),"")</f>
        <v/>
      </c>
      <c r="DZ405" s="92" t="str">
        <f>IFERROR(IF(ABS(CK405&gt;0),CK405/$CH405,""),"")</f>
        <v/>
      </c>
      <c r="EA405" s="92" t="str">
        <f>IFERROR(IF(ABS(CL405&gt;0),CL405/$CH405,""),"")</f>
        <v/>
      </c>
      <c r="EB405" s="92" t="str">
        <f>IFERROR(IF(ABS(CM405&gt;0),CM405/$CH405,""),"")</f>
        <v/>
      </c>
      <c r="EC405" s="92" t="str">
        <f>IFERROR(IF(ABS(CN405&gt;0),CN405/$CH405,""),"")</f>
        <v/>
      </c>
      <c r="ED405" s="92" t="str">
        <f>IFERROR(IF(ABS(CO405&gt;0),CO405/$CH405,""),"")</f>
        <v/>
      </c>
      <c r="EE405" s="92" t="str">
        <f>IFERROR(IF(ABS(CP405&gt;0),CP405/$CH405,""),"")</f>
        <v/>
      </c>
      <c r="EF405" s="92" t="str">
        <f>IFERROR(IF(ABS(CQ405&gt;0),CQ405/$CH405,""),"")</f>
        <v/>
      </c>
      <c r="EG405" s="92" t="str">
        <f>IFERROR(IF(ABS(CR405&gt;0),CR405/$CH405,""),"")</f>
        <v/>
      </c>
      <c r="EH405" s="92" t="str">
        <f>IFERROR(IF(ABS(CS405&gt;0),CS405/$CH405,""),"")</f>
        <v/>
      </c>
      <c r="EI405" s="92" t="str">
        <f>IFERROR(IF(ABS(CT405&gt;0),CT405/$CH405,""),"")</f>
        <v/>
      </c>
      <c r="EJ405" s="122" t="str">
        <f>IFERROR(IF(ABS(CU405&gt;0),CU405/$CH405,""),"")</f>
        <v/>
      </c>
    </row>
    <row r="406" spans="2:140" ht="12" customHeight="1" outlineLevel="1">
      <c r="B406" s="272"/>
      <c r="C406" s="117"/>
      <c r="D406" s="50"/>
      <c r="E406" s="50"/>
      <c r="F406" s="50"/>
      <c r="G406" s="50"/>
      <c r="H406" s="50"/>
      <c r="I406" s="50"/>
      <c r="J406" s="52"/>
      <c r="K406" s="50"/>
      <c r="L406" s="49"/>
      <c r="M406" s="50"/>
      <c r="N406" s="50"/>
      <c r="O406" s="50"/>
      <c r="P406" s="50"/>
      <c r="Q406" s="53"/>
      <c r="R406" s="49"/>
      <c r="S406" s="49"/>
      <c r="T406" s="54" t="str">
        <f>IFERROR(IF(SUM(R406:S406)&gt;0,SUM(R406:S406),""),"")</f>
        <v/>
      </c>
      <c r="U406" s="55"/>
      <c r="V406" s="49"/>
      <c r="W406" s="56" t="str">
        <f>IFERROR(IF(T406&gt;0,T406/V406,""),"")</f>
        <v/>
      </c>
      <c r="X406" s="49"/>
      <c r="Y406" s="57"/>
      <c r="Z406" s="58"/>
      <c r="AA406" s="114"/>
      <c r="AB406" s="59"/>
      <c r="AC406" s="60"/>
      <c r="AD406" s="61"/>
      <c r="AE406" s="62"/>
      <c r="AF406" s="63"/>
      <c r="AG406" s="59"/>
      <c r="AH406" s="60"/>
      <c r="AI406" s="61"/>
      <c r="AJ406" s="64"/>
      <c r="AK406" s="65" t="str">
        <f>IFERROR(IF(AE406&gt;0,AJ406+AE406,""),"")</f>
        <v/>
      </c>
      <c r="AL406" s="66"/>
      <c r="AM406" s="49"/>
      <c r="AN406" s="67"/>
      <c r="AO406" s="62"/>
      <c r="AP406" s="62"/>
      <c r="AQ406" s="68"/>
      <c r="AR406" s="69" t="str">
        <f>IFERROR(IF(AK406&gt;0,AK406/T406,""),"")</f>
        <v/>
      </c>
      <c r="AS406" s="70" t="str">
        <f>IFERROR(IF(AL406&gt;0,AL406/T406,""),"")</f>
        <v/>
      </c>
      <c r="AT406" s="70" t="str">
        <f>IFERROR(IF(AO406&gt;0,AO406/T406,""),"")</f>
        <v/>
      </c>
      <c r="AU406" s="70" t="str">
        <f>IFERROR(IF(AP406&gt;0,AP406/T406,""),"")</f>
        <v/>
      </c>
      <c r="AV406" s="71" t="str">
        <f>IFERROR(IF(AQ406&gt;0,AQ406/T406,""),"")</f>
        <v/>
      </c>
      <c r="AW406" s="115" t="str">
        <f>IFERROR(IF(SUM(BB406:BC406)&gt;0,SUM(BB406:BC406)/T406,""),"")</f>
        <v/>
      </c>
      <c r="AX406" s="116" t="str">
        <f>IFERROR(IF(SUM(BB406:BC406)&gt;0,SUM(BB406:BC406)/U406,""),"")</f>
        <v/>
      </c>
      <c r="AY406" s="72" t="str">
        <f>IFERROR(IF(SUM(BL406:BO406)&gt;0,SUM(BL406:BO406),""),"")</f>
        <v/>
      </c>
      <c r="AZ406" s="73" t="str">
        <f>IFERROR(IF(SUM(BV406:BY406)&gt;0,SUM(BV406:BY406),""),"")</f>
        <v/>
      </c>
      <c r="BA406" s="66"/>
      <c r="BB406" s="62"/>
      <c r="BC406" s="62"/>
      <c r="BD406" s="62"/>
      <c r="BE406" s="62"/>
      <c r="BF406" s="62"/>
      <c r="BG406" s="62"/>
      <c r="BH406" s="62"/>
      <c r="BI406" s="62"/>
      <c r="BJ406" s="47" t="str">
        <f>IFERROR(IF(SUM(BA406:BI406)&gt;0,SUM(BA406:BI406),""),"")</f>
        <v/>
      </c>
      <c r="BK406" s="69" t="str">
        <f>IFERROR(IF(BA406&gt;0,BA406/$T406,""),"")</f>
        <v/>
      </c>
      <c r="BL406" s="70" t="str">
        <f>IFERROR(IF(BB406&gt;0,BB406/$T406,""),"")</f>
        <v/>
      </c>
      <c r="BM406" s="70" t="str">
        <f>IFERROR(IF(BC406&gt;0,BC406/$T406,""),"")</f>
        <v/>
      </c>
      <c r="BN406" s="70" t="str">
        <f>IFERROR(IF(BD406&gt;0,BD406/$T406,""),"")</f>
        <v/>
      </c>
      <c r="BO406" s="70" t="str">
        <f>IFERROR(IF(BE406&gt;0,BE406/$T406,""),"")</f>
        <v/>
      </c>
      <c r="BP406" s="70" t="str">
        <f>IFERROR(IF(BF406&gt;0,BF406/$T406,""),"")</f>
        <v/>
      </c>
      <c r="BQ406" s="70" t="str">
        <f>IFERROR(IF(BG406&gt;0,BG406/$T406,""),"")</f>
        <v/>
      </c>
      <c r="BR406" s="70" t="str">
        <f>IFERROR(IF(BH406&gt;0,BH406/$T406,""),"")</f>
        <v/>
      </c>
      <c r="BS406" s="70" t="str">
        <f>IFERROR(IF(BI406&gt;0,BI406/$T406,""),"")</f>
        <v/>
      </c>
      <c r="BT406" s="71" t="str">
        <f>IFERROR(IF(BJ406&gt;0,BJ406/$T406,""),"")</f>
        <v/>
      </c>
      <c r="BU406" s="65" t="str">
        <f>IFERROR(IF(BA406&gt;0,BA406/$U406,""),"")</f>
        <v/>
      </c>
      <c r="BV406" s="48" t="str">
        <f>IFERROR(IF(BB406&gt;0,BB406/$U406,""),"")</f>
        <v/>
      </c>
      <c r="BW406" s="48" t="str">
        <f>IFERROR(IF(BC406&gt;0,BC406/$U406,""),"")</f>
        <v/>
      </c>
      <c r="BX406" s="48" t="str">
        <f>IFERROR(IF(BD406&gt;0,BD406/$U406,""),"")</f>
        <v/>
      </c>
      <c r="BY406" s="48" t="str">
        <f>IFERROR(IF(BE406&gt;0,BE406/$U406,""),"")</f>
        <v/>
      </c>
      <c r="BZ406" s="48" t="str">
        <f>IFERROR(IF(BF406&gt;0,BF406/$U406,""),"")</f>
        <v/>
      </c>
      <c r="CA406" s="48" t="str">
        <f>IFERROR(IF(BG406&gt;0,BG406/$U406,""),"")</f>
        <v/>
      </c>
      <c r="CB406" s="48" t="str">
        <f>IFERROR(IF(BH406&gt;0,BH406/$U406,""),"")</f>
        <v/>
      </c>
      <c r="CC406" s="48" t="str">
        <f>IFERROR(IF(BI406&gt;0,BI406/$U406,""),"")</f>
        <v/>
      </c>
      <c r="CD406" s="47" t="str">
        <f>IFERROR(IF(BJ406&gt;0,BJ406/$U406,""),"")</f>
        <v/>
      </c>
      <c r="CE406" s="66"/>
      <c r="CF406" s="62"/>
      <c r="CG406" s="74"/>
      <c r="CH406" s="75" t="str">
        <f>IFERROR(IF(SUM(CE406:CG406)&gt;0,SUM(CE406:CG406),""),"")</f>
        <v/>
      </c>
      <c r="CI406" s="62"/>
      <c r="CJ406" s="62"/>
      <c r="CK406" s="62"/>
      <c r="CL406" s="62"/>
      <c r="CM406" s="62"/>
      <c r="CN406" s="62"/>
      <c r="CO406" s="62"/>
      <c r="CP406" s="75" t="str">
        <f>IFERROR(IF(SUM(CI406:CO406)&gt;0,SUM(CI406:CO406),""),"")</f>
        <v/>
      </c>
      <c r="CQ406" s="62"/>
      <c r="CR406" s="75" t="str">
        <f>IFERROR(IF(SUM(CP406:CQ406)&gt;0,SUM(CP406:CQ406),""),"")</f>
        <v/>
      </c>
      <c r="CS406" s="75" t="str">
        <f>IFERROR(IF(CH406-CR406&gt;0,CH406-CP406,""),"")</f>
        <v/>
      </c>
      <c r="CT406" s="62"/>
      <c r="CU406" s="47" t="str">
        <f>IFERROR(IF(CS406-CT406&gt;0,CS406-CT406,""),"")</f>
        <v/>
      </c>
      <c r="CV406" s="76" t="str">
        <f>IFERROR(IF(CU406&gt;0,CS406/CH406,""),"")</f>
        <v/>
      </c>
      <c r="CW406" s="75" t="str">
        <f>IFERROR(IF(CU406&gt;0,CR406/T406,""),"")</f>
        <v/>
      </c>
      <c r="CX406" s="77" t="str">
        <f>IFERROR(IF(CU406&gt;0,CR406/CH406,""),"")</f>
        <v/>
      </c>
      <c r="CY406" s="75" t="str">
        <f>IFERROR(IF(CU406&gt;0,CU406/T406,""),"")</f>
        <v/>
      </c>
      <c r="CZ406" s="77" t="str">
        <f>IFERROR(IF(CU406&gt;0,CU406/CH406,""),"")</f>
        <v/>
      </c>
      <c r="DA406" s="77" t="str">
        <f>IFERROR(IF(CT406&gt;0,CT406/CH406,""),"")</f>
        <v/>
      </c>
      <c r="DB406" s="47" t="str">
        <f>IFERROR(IF(AR406&gt;0,AR406,""),"")</f>
        <v/>
      </c>
      <c r="DC406" s="69" t="str">
        <f>IFERROR(IF(ABS(CE406)&gt;0,CE406/$T406,""),"")</f>
        <v/>
      </c>
      <c r="DD406" s="70" t="str">
        <f>IFERROR(IF(ABS(CF406)&gt;0,CF406/$T406,""),"")</f>
        <v/>
      </c>
      <c r="DE406" s="70" t="str">
        <f>IFERROR(IF(ABS(CG406)&gt;0,CG406/$T406,""),"")</f>
        <v/>
      </c>
      <c r="DF406" s="70" t="str">
        <f>IFERROR(IF(ABS(CH406)&gt;0,CH406/$T406,""),"")</f>
        <v/>
      </c>
      <c r="DG406" s="70" t="str">
        <f>IFERROR(IF(ABS(CI406)&gt;0,CI406/$T406,""),"")</f>
        <v/>
      </c>
      <c r="DH406" s="70" t="str">
        <f>IFERROR(IF(ABS(CJ406)&gt;0,CJ406/$T406,""),"")</f>
        <v/>
      </c>
      <c r="DI406" s="70" t="str">
        <f>IFERROR(IF(ABS(CK406)&gt;0,CK406/$T406,""),"")</f>
        <v/>
      </c>
      <c r="DJ406" s="70" t="str">
        <f>IFERROR(IF(ABS(CL406)&gt;0,CL406/$T406,""),"")</f>
        <v/>
      </c>
      <c r="DK406" s="70" t="str">
        <f>IFERROR(IF(ABS(CM406)&gt;0,CM406/$T406,""),"")</f>
        <v/>
      </c>
      <c r="DL406" s="70" t="str">
        <f>IFERROR(IF(ABS(CN406)&gt;0,CN406/$T406,""),"")</f>
        <v/>
      </c>
      <c r="DM406" s="70" t="str">
        <f>IFERROR(IF(ABS(CO406)&gt;0,CO406/$T406,""),"")</f>
        <v/>
      </c>
      <c r="DN406" s="70" t="str">
        <f>IFERROR(IF(ABS(CP406)&gt;0,CP406/$T406,""),"")</f>
        <v/>
      </c>
      <c r="DO406" s="70" t="str">
        <f>IFERROR(IF(ABS(CQ406)&gt;0,CQ406/$T406,""),"")</f>
        <v/>
      </c>
      <c r="DP406" s="70" t="str">
        <f>IFERROR(IF(ABS(CR406)&gt;0,CR406/$T406,""),"")</f>
        <v/>
      </c>
      <c r="DQ406" s="70" t="str">
        <f>IFERROR(IF(ABS(CS406)&gt;0,CS406/$T406,""),"")</f>
        <v/>
      </c>
      <c r="DR406" s="70" t="str">
        <f>IFERROR(IF(ABS(CT406)&gt;0,CT406/$T406,""),"")</f>
        <v/>
      </c>
      <c r="DS406" s="71" t="str">
        <f>IFERROR(IF(ABS(CU406)&gt;0,CU406/$T406,""),"")</f>
        <v/>
      </c>
      <c r="DT406" s="106" t="str">
        <f>IFERROR(IF(ABS(CE406&gt;0),CE406/$CH406,""),"")</f>
        <v/>
      </c>
      <c r="DU406" s="92" t="str">
        <f>IFERROR(IF(ABS(CF406&gt;0),CF406/$CH406,""),"")</f>
        <v/>
      </c>
      <c r="DV406" s="92" t="str">
        <f>IFERROR(IF(ABS(CG406&gt;0),CG406/$CH406,""),"")</f>
        <v/>
      </c>
      <c r="DW406" s="92" t="str">
        <f>IFERROR(IF(ABS(CH406&gt;0),CH406/$CH406,""),"")</f>
        <v/>
      </c>
      <c r="DX406" s="92" t="str">
        <f>IFERROR(IF(ABS(CI406&gt;0),CI406/$CH406,""),"")</f>
        <v/>
      </c>
      <c r="DY406" s="92" t="str">
        <f>IFERROR(IF(ABS(CJ406&gt;0),CJ406/$CH406,""),"")</f>
        <v/>
      </c>
      <c r="DZ406" s="92" t="str">
        <f>IFERROR(IF(ABS(CK406&gt;0),CK406/$CH406,""),"")</f>
        <v/>
      </c>
      <c r="EA406" s="92" t="str">
        <f>IFERROR(IF(ABS(CL406&gt;0),CL406/$CH406,""),"")</f>
        <v/>
      </c>
      <c r="EB406" s="92" t="str">
        <f>IFERROR(IF(ABS(CM406&gt;0),CM406/$CH406,""),"")</f>
        <v/>
      </c>
      <c r="EC406" s="92" t="str">
        <f>IFERROR(IF(ABS(CN406&gt;0),CN406/$CH406,""),"")</f>
        <v/>
      </c>
      <c r="ED406" s="92" t="str">
        <f>IFERROR(IF(ABS(CO406&gt;0),CO406/$CH406,""),"")</f>
        <v/>
      </c>
      <c r="EE406" s="92" t="str">
        <f>IFERROR(IF(ABS(CP406&gt;0),CP406/$CH406,""),"")</f>
        <v/>
      </c>
      <c r="EF406" s="92" t="str">
        <f>IFERROR(IF(ABS(CQ406&gt;0),CQ406/$CH406,""),"")</f>
        <v/>
      </c>
      <c r="EG406" s="92" t="str">
        <f>IFERROR(IF(ABS(CR406&gt;0),CR406/$CH406,""),"")</f>
        <v/>
      </c>
      <c r="EH406" s="92" t="str">
        <f>IFERROR(IF(ABS(CS406&gt;0),CS406/$CH406,""),"")</f>
        <v/>
      </c>
      <c r="EI406" s="92" t="str">
        <f>IFERROR(IF(ABS(CT406&gt;0),CT406/$CH406,""),"")</f>
        <v/>
      </c>
      <c r="EJ406" s="122" t="str">
        <f>IFERROR(IF(ABS(CU406&gt;0),CU406/$CH406,""),"")</f>
        <v/>
      </c>
    </row>
    <row r="407" spans="2:140" ht="12" customHeight="1" outlineLevel="1">
      <c r="B407" s="272"/>
      <c r="C407" s="117"/>
      <c r="D407" s="50"/>
      <c r="E407" s="50"/>
      <c r="F407" s="50"/>
      <c r="G407" s="50"/>
      <c r="H407" s="50"/>
      <c r="I407" s="50"/>
      <c r="J407" s="52"/>
      <c r="K407" s="50"/>
      <c r="L407" s="49"/>
      <c r="M407" s="50"/>
      <c r="N407" s="50"/>
      <c r="O407" s="50"/>
      <c r="P407" s="50"/>
      <c r="Q407" s="53"/>
      <c r="R407" s="49"/>
      <c r="S407" s="49"/>
      <c r="T407" s="54" t="str">
        <f>IFERROR(IF(SUM(R407:S407)&gt;0,SUM(R407:S407),""),"")</f>
        <v/>
      </c>
      <c r="U407" s="55"/>
      <c r="V407" s="49"/>
      <c r="W407" s="56" t="str">
        <f>IFERROR(IF(T407&gt;0,T407/V407,""),"")</f>
        <v/>
      </c>
      <c r="X407" s="49"/>
      <c r="Y407" s="57"/>
      <c r="Z407" s="58"/>
      <c r="AA407" s="114"/>
      <c r="AB407" s="59"/>
      <c r="AC407" s="60"/>
      <c r="AD407" s="61"/>
      <c r="AE407" s="62"/>
      <c r="AF407" s="63"/>
      <c r="AG407" s="59"/>
      <c r="AH407" s="60"/>
      <c r="AI407" s="61"/>
      <c r="AJ407" s="64"/>
      <c r="AK407" s="65" t="str">
        <f>IFERROR(IF(AE407&gt;0,AJ407+AE407,""),"")</f>
        <v/>
      </c>
      <c r="AL407" s="66"/>
      <c r="AM407" s="49"/>
      <c r="AN407" s="67"/>
      <c r="AO407" s="62"/>
      <c r="AP407" s="62"/>
      <c r="AQ407" s="68"/>
      <c r="AR407" s="69" t="str">
        <f>IFERROR(IF(AK407&gt;0,AK407/T407,""),"")</f>
        <v/>
      </c>
      <c r="AS407" s="70" t="str">
        <f>IFERROR(IF(AL407&gt;0,AL407/T407,""),"")</f>
        <v/>
      </c>
      <c r="AT407" s="70" t="str">
        <f>IFERROR(IF(AO407&gt;0,AO407/T407,""),"")</f>
        <v/>
      </c>
      <c r="AU407" s="70" t="str">
        <f>IFERROR(IF(AP407&gt;0,AP407/T407,""),"")</f>
        <v/>
      </c>
      <c r="AV407" s="71" t="str">
        <f>IFERROR(IF(AQ407&gt;0,AQ407/T407,""),"")</f>
        <v/>
      </c>
      <c r="AW407" s="115" t="str">
        <f>IFERROR(IF(SUM(BB407:BC407)&gt;0,SUM(BB407:BC407)/T407,""),"")</f>
        <v/>
      </c>
      <c r="AX407" s="116" t="str">
        <f>IFERROR(IF(SUM(BB407:BC407)&gt;0,SUM(BB407:BC407)/U407,""),"")</f>
        <v/>
      </c>
      <c r="AY407" s="72" t="str">
        <f>IFERROR(IF(SUM(BL407:BO407)&gt;0,SUM(BL407:BO407),""),"")</f>
        <v/>
      </c>
      <c r="AZ407" s="73" t="str">
        <f>IFERROR(IF(SUM(BV407:BY407)&gt;0,SUM(BV407:BY407),""),"")</f>
        <v/>
      </c>
      <c r="BA407" s="66"/>
      <c r="BB407" s="62"/>
      <c r="BC407" s="62"/>
      <c r="BD407" s="62"/>
      <c r="BE407" s="62"/>
      <c r="BF407" s="62"/>
      <c r="BG407" s="62"/>
      <c r="BH407" s="62"/>
      <c r="BI407" s="62"/>
      <c r="BJ407" s="47" t="str">
        <f>IFERROR(IF(SUM(BA407:BI407)&gt;0,SUM(BA407:BI407),""),"")</f>
        <v/>
      </c>
      <c r="BK407" s="69" t="str">
        <f>IFERROR(IF(BA407&gt;0,BA407/$T407,""),"")</f>
        <v/>
      </c>
      <c r="BL407" s="70" t="str">
        <f>IFERROR(IF(BB407&gt;0,BB407/$T407,""),"")</f>
        <v/>
      </c>
      <c r="BM407" s="70" t="str">
        <f>IFERROR(IF(BC407&gt;0,BC407/$T407,""),"")</f>
        <v/>
      </c>
      <c r="BN407" s="70" t="str">
        <f>IFERROR(IF(BD407&gt;0,BD407/$T407,""),"")</f>
        <v/>
      </c>
      <c r="BO407" s="70" t="str">
        <f>IFERROR(IF(BE407&gt;0,BE407/$T407,""),"")</f>
        <v/>
      </c>
      <c r="BP407" s="70" t="str">
        <f>IFERROR(IF(BF407&gt;0,BF407/$T407,""),"")</f>
        <v/>
      </c>
      <c r="BQ407" s="70" t="str">
        <f>IFERROR(IF(BG407&gt;0,BG407/$T407,""),"")</f>
        <v/>
      </c>
      <c r="BR407" s="70" t="str">
        <f>IFERROR(IF(BH407&gt;0,BH407/$T407,""),"")</f>
        <v/>
      </c>
      <c r="BS407" s="70" t="str">
        <f>IFERROR(IF(BI407&gt;0,BI407/$T407,""),"")</f>
        <v/>
      </c>
      <c r="BT407" s="71" t="str">
        <f>IFERROR(IF(BJ407&gt;0,BJ407/$T407,""),"")</f>
        <v/>
      </c>
      <c r="BU407" s="65" t="str">
        <f>IFERROR(IF(BA407&gt;0,BA407/$U407,""),"")</f>
        <v/>
      </c>
      <c r="BV407" s="48" t="str">
        <f>IFERROR(IF(BB407&gt;0,BB407/$U407,""),"")</f>
        <v/>
      </c>
      <c r="BW407" s="48" t="str">
        <f>IFERROR(IF(BC407&gt;0,BC407/$U407,""),"")</f>
        <v/>
      </c>
      <c r="BX407" s="48" t="str">
        <f>IFERROR(IF(BD407&gt;0,BD407/$U407,""),"")</f>
        <v/>
      </c>
      <c r="BY407" s="48" t="str">
        <f>IFERROR(IF(BE407&gt;0,BE407/$U407,""),"")</f>
        <v/>
      </c>
      <c r="BZ407" s="48" t="str">
        <f>IFERROR(IF(BF407&gt;0,BF407/$U407,""),"")</f>
        <v/>
      </c>
      <c r="CA407" s="48" t="str">
        <f>IFERROR(IF(BG407&gt;0,BG407/$U407,""),"")</f>
        <v/>
      </c>
      <c r="CB407" s="48" t="str">
        <f>IFERROR(IF(BH407&gt;0,BH407/$U407,""),"")</f>
        <v/>
      </c>
      <c r="CC407" s="48" t="str">
        <f>IFERROR(IF(BI407&gt;0,BI407/$U407,""),"")</f>
        <v/>
      </c>
      <c r="CD407" s="47" t="str">
        <f>IFERROR(IF(BJ407&gt;0,BJ407/$U407,""),"")</f>
        <v/>
      </c>
      <c r="CE407" s="66"/>
      <c r="CF407" s="62"/>
      <c r="CG407" s="74"/>
      <c r="CH407" s="75" t="str">
        <f>IFERROR(IF(SUM(CE407:CG407)&gt;0,SUM(CE407:CG407),""),"")</f>
        <v/>
      </c>
      <c r="CI407" s="62"/>
      <c r="CJ407" s="62"/>
      <c r="CK407" s="62"/>
      <c r="CL407" s="62"/>
      <c r="CM407" s="62"/>
      <c r="CN407" s="62"/>
      <c r="CO407" s="62"/>
      <c r="CP407" s="75" t="str">
        <f>IFERROR(IF(SUM(CI407:CO407)&gt;0,SUM(CI407:CO407),""),"")</f>
        <v/>
      </c>
      <c r="CQ407" s="62"/>
      <c r="CR407" s="75" t="str">
        <f>IFERROR(IF(SUM(CP407:CQ407)&gt;0,SUM(CP407:CQ407),""),"")</f>
        <v/>
      </c>
      <c r="CS407" s="75" t="str">
        <f>IFERROR(IF(CH407-CR407&gt;0,CH407-CP407,""),"")</f>
        <v/>
      </c>
      <c r="CT407" s="62"/>
      <c r="CU407" s="47" t="str">
        <f>IFERROR(IF(CS407-CT407&gt;0,CS407-CT407,""),"")</f>
        <v/>
      </c>
      <c r="CV407" s="76" t="str">
        <f>IFERROR(IF(CU407&gt;0,CS407/CH407,""),"")</f>
        <v/>
      </c>
      <c r="CW407" s="75" t="str">
        <f>IFERROR(IF(CU407&gt;0,CR407/T407,""),"")</f>
        <v/>
      </c>
      <c r="CX407" s="77" t="str">
        <f>IFERROR(IF(CU407&gt;0,CR407/CH407,""),"")</f>
        <v/>
      </c>
      <c r="CY407" s="75" t="str">
        <f>IFERROR(IF(CU407&gt;0,CU407/T407,""),"")</f>
        <v/>
      </c>
      <c r="CZ407" s="77" t="str">
        <f>IFERROR(IF(CU407&gt;0,CU407/CH407,""),"")</f>
        <v/>
      </c>
      <c r="DA407" s="77" t="str">
        <f>IFERROR(IF(CT407&gt;0,CT407/CH407,""),"")</f>
        <v/>
      </c>
      <c r="DB407" s="47" t="str">
        <f>IFERROR(IF(AR407&gt;0,AR407,""),"")</f>
        <v/>
      </c>
      <c r="DC407" s="69" t="str">
        <f>IFERROR(IF(ABS(CE407)&gt;0,CE407/$T407,""),"")</f>
        <v/>
      </c>
      <c r="DD407" s="70" t="str">
        <f>IFERROR(IF(ABS(CF407)&gt;0,CF407/$T407,""),"")</f>
        <v/>
      </c>
      <c r="DE407" s="70" t="str">
        <f>IFERROR(IF(ABS(CG407)&gt;0,CG407/$T407,""),"")</f>
        <v/>
      </c>
      <c r="DF407" s="70" t="str">
        <f>IFERROR(IF(ABS(CH407)&gt;0,CH407/$T407,""),"")</f>
        <v/>
      </c>
      <c r="DG407" s="70" t="str">
        <f>IFERROR(IF(ABS(CI407)&gt;0,CI407/$T407,""),"")</f>
        <v/>
      </c>
      <c r="DH407" s="70" t="str">
        <f>IFERROR(IF(ABS(CJ407)&gt;0,CJ407/$T407,""),"")</f>
        <v/>
      </c>
      <c r="DI407" s="70" t="str">
        <f>IFERROR(IF(ABS(CK407)&gt;0,CK407/$T407,""),"")</f>
        <v/>
      </c>
      <c r="DJ407" s="70" t="str">
        <f>IFERROR(IF(ABS(CL407)&gt;0,CL407/$T407,""),"")</f>
        <v/>
      </c>
      <c r="DK407" s="70" t="str">
        <f>IFERROR(IF(ABS(CM407)&gt;0,CM407/$T407,""),"")</f>
        <v/>
      </c>
      <c r="DL407" s="70" t="str">
        <f>IFERROR(IF(ABS(CN407)&gt;0,CN407/$T407,""),"")</f>
        <v/>
      </c>
      <c r="DM407" s="70" t="str">
        <f>IFERROR(IF(ABS(CO407)&gt;0,CO407/$T407,""),"")</f>
        <v/>
      </c>
      <c r="DN407" s="70" t="str">
        <f>IFERROR(IF(ABS(CP407)&gt;0,CP407/$T407,""),"")</f>
        <v/>
      </c>
      <c r="DO407" s="70" t="str">
        <f>IFERROR(IF(ABS(CQ407)&gt;0,CQ407/$T407,""),"")</f>
        <v/>
      </c>
      <c r="DP407" s="70" t="str">
        <f>IFERROR(IF(ABS(CR407)&gt;0,CR407/$T407,""),"")</f>
        <v/>
      </c>
      <c r="DQ407" s="70" t="str">
        <f>IFERROR(IF(ABS(CS407)&gt;0,CS407/$T407,""),"")</f>
        <v/>
      </c>
      <c r="DR407" s="70" t="str">
        <f>IFERROR(IF(ABS(CT407)&gt;0,CT407/$T407,""),"")</f>
        <v/>
      </c>
      <c r="DS407" s="71" t="str">
        <f>IFERROR(IF(ABS(CU407)&gt;0,CU407/$T407,""),"")</f>
        <v/>
      </c>
      <c r="DT407" s="106" t="str">
        <f>IFERROR(IF(ABS(CE407&gt;0),CE407/$CH407,""),"")</f>
        <v/>
      </c>
      <c r="DU407" s="92" t="str">
        <f>IFERROR(IF(ABS(CF407&gt;0),CF407/$CH407,""),"")</f>
        <v/>
      </c>
      <c r="DV407" s="92" t="str">
        <f>IFERROR(IF(ABS(CG407&gt;0),CG407/$CH407,""),"")</f>
        <v/>
      </c>
      <c r="DW407" s="92" t="str">
        <f>IFERROR(IF(ABS(CH407&gt;0),CH407/$CH407,""),"")</f>
        <v/>
      </c>
      <c r="DX407" s="92" t="str">
        <f>IFERROR(IF(ABS(CI407&gt;0),CI407/$CH407,""),"")</f>
        <v/>
      </c>
      <c r="DY407" s="92" t="str">
        <f>IFERROR(IF(ABS(CJ407&gt;0),CJ407/$CH407,""),"")</f>
        <v/>
      </c>
      <c r="DZ407" s="92" t="str">
        <f>IFERROR(IF(ABS(CK407&gt;0),CK407/$CH407,""),"")</f>
        <v/>
      </c>
      <c r="EA407" s="92" t="str">
        <f>IFERROR(IF(ABS(CL407&gt;0),CL407/$CH407,""),"")</f>
        <v/>
      </c>
      <c r="EB407" s="92" t="str">
        <f>IFERROR(IF(ABS(CM407&gt;0),CM407/$CH407,""),"")</f>
        <v/>
      </c>
      <c r="EC407" s="92" t="str">
        <f>IFERROR(IF(ABS(CN407&gt;0),CN407/$CH407,""),"")</f>
        <v/>
      </c>
      <c r="ED407" s="92" t="str">
        <f>IFERROR(IF(ABS(CO407&gt;0),CO407/$CH407,""),"")</f>
        <v/>
      </c>
      <c r="EE407" s="92" t="str">
        <f>IFERROR(IF(ABS(CP407&gt;0),CP407/$CH407,""),"")</f>
        <v/>
      </c>
      <c r="EF407" s="92" t="str">
        <f>IFERROR(IF(ABS(CQ407&gt;0),CQ407/$CH407,""),"")</f>
        <v/>
      </c>
      <c r="EG407" s="92" t="str">
        <f>IFERROR(IF(ABS(CR407&gt;0),CR407/$CH407,""),"")</f>
        <v/>
      </c>
      <c r="EH407" s="92" t="str">
        <f>IFERROR(IF(ABS(CS407&gt;0),CS407/$CH407,""),"")</f>
        <v/>
      </c>
      <c r="EI407" s="92" t="str">
        <f>IFERROR(IF(ABS(CT407&gt;0),CT407/$CH407,""),"")</f>
        <v/>
      </c>
      <c r="EJ407" s="122" t="str">
        <f>IFERROR(IF(ABS(CU407&gt;0),CU407/$CH407,""),"")</f>
        <v/>
      </c>
    </row>
    <row r="408" spans="2:140" ht="12" customHeight="1" outlineLevel="1">
      <c r="B408" s="272"/>
      <c r="C408" s="117"/>
      <c r="D408" s="50"/>
      <c r="E408" s="50"/>
      <c r="F408" s="50"/>
      <c r="G408" s="50"/>
      <c r="H408" s="50"/>
      <c r="I408" s="50"/>
      <c r="J408" s="52"/>
      <c r="K408" s="50"/>
      <c r="L408" s="49"/>
      <c r="M408" s="50"/>
      <c r="N408" s="50"/>
      <c r="O408" s="50"/>
      <c r="P408" s="50"/>
      <c r="Q408" s="53"/>
      <c r="R408" s="49"/>
      <c r="S408" s="49"/>
      <c r="T408" s="54" t="str">
        <f>IFERROR(IF(SUM(R408:S408)&gt;0,SUM(R408:S408),""),"")</f>
        <v/>
      </c>
      <c r="U408" s="55"/>
      <c r="V408" s="49"/>
      <c r="W408" s="56" t="str">
        <f>IFERROR(IF(T408&gt;0,T408/V408,""),"")</f>
        <v/>
      </c>
      <c r="X408" s="49"/>
      <c r="Y408" s="57"/>
      <c r="Z408" s="58"/>
      <c r="AA408" s="114"/>
      <c r="AB408" s="59"/>
      <c r="AC408" s="60"/>
      <c r="AD408" s="61"/>
      <c r="AE408" s="62"/>
      <c r="AF408" s="63"/>
      <c r="AG408" s="59"/>
      <c r="AH408" s="60"/>
      <c r="AI408" s="61"/>
      <c r="AJ408" s="64"/>
      <c r="AK408" s="65" t="str">
        <f>IFERROR(IF(AE408&gt;0,AJ408+AE408,""),"")</f>
        <v/>
      </c>
      <c r="AL408" s="66"/>
      <c r="AM408" s="49"/>
      <c r="AN408" s="67"/>
      <c r="AO408" s="62"/>
      <c r="AP408" s="62"/>
      <c r="AQ408" s="68"/>
      <c r="AR408" s="69" t="str">
        <f>IFERROR(IF(AK408&gt;0,AK408/T408,""),"")</f>
        <v/>
      </c>
      <c r="AS408" s="70" t="str">
        <f>IFERROR(IF(AL408&gt;0,AL408/T408,""),"")</f>
        <v/>
      </c>
      <c r="AT408" s="70" t="str">
        <f>IFERROR(IF(AO408&gt;0,AO408/T408,""),"")</f>
        <v/>
      </c>
      <c r="AU408" s="70" t="str">
        <f>IFERROR(IF(AP408&gt;0,AP408/T408,""),"")</f>
        <v/>
      </c>
      <c r="AV408" s="71" t="str">
        <f>IFERROR(IF(AQ408&gt;0,AQ408/T408,""),"")</f>
        <v/>
      </c>
      <c r="AW408" s="115" t="str">
        <f>IFERROR(IF(SUM(BB408:BC408)&gt;0,SUM(BB408:BC408)/T408,""),"")</f>
        <v/>
      </c>
      <c r="AX408" s="116" t="str">
        <f>IFERROR(IF(SUM(BB408:BC408)&gt;0,SUM(BB408:BC408)/U408,""),"")</f>
        <v/>
      </c>
      <c r="AY408" s="72" t="str">
        <f>IFERROR(IF(SUM(BL408:BO408)&gt;0,SUM(BL408:BO408),""),"")</f>
        <v/>
      </c>
      <c r="AZ408" s="73" t="str">
        <f>IFERROR(IF(SUM(BV408:BY408)&gt;0,SUM(BV408:BY408),""),"")</f>
        <v/>
      </c>
      <c r="BA408" s="66"/>
      <c r="BB408" s="62"/>
      <c r="BC408" s="62"/>
      <c r="BD408" s="62"/>
      <c r="BE408" s="62"/>
      <c r="BF408" s="62"/>
      <c r="BG408" s="62"/>
      <c r="BH408" s="62"/>
      <c r="BI408" s="62"/>
      <c r="BJ408" s="47" t="str">
        <f>IFERROR(IF(SUM(BA408:BI408)&gt;0,SUM(BA408:BI408),""),"")</f>
        <v/>
      </c>
      <c r="BK408" s="69" t="str">
        <f>IFERROR(IF(BA408&gt;0,BA408/$T408,""),"")</f>
        <v/>
      </c>
      <c r="BL408" s="70" t="str">
        <f>IFERROR(IF(BB408&gt;0,BB408/$T408,""),"")</f>
        <v/>
      </c>
      <c r="BM408" s="70" t="str">
        <f>IFERROR(IF(BC408&gt;0,BC408/$T408,""),"")</f>
        <v/>
      </c>
      <c r="BN408" s="70" t="str">
        <f>IFERROR(IF(BD408&gt;0,BD408/$T408,""),"")</f>
        <v/>
      </c>
      <c r="BO408" s="70" t="str">
        <f>IFERROR(IF(BE408&gt;0,BE408/$T408,""),"")</f>
        <v/>
      </c>
      <c r="BP408" s="70" t="str">
        <f>IFERROR(IF(BF408&gt;0,BF408/$T408,""),"")</f>
        <v/>
      </c>
      <c r="BQ408" s="70" t="str">
        <f>IFERROR(IF(BG408&gt;0,BG408/$T408,""),"")</f>
        <v/>
      </c>
      <c r="BR408" s="70" t="str">
        <f>IFERROR(IF(BH408&gt;0,BH408/$T408,""),"")</f>
        <v/>
      </c>
      <c r="BS408" s="70" t="str">
        <f>IFERROR(IF(BI408&gt;0,BI408/$T408,""),"")</f>
        <v/>
      </c>
      <c r="BT408" s="71" t="str">
        <f>IFERROR(IF(BJ408&gt;0,BJ408/$T408,""),"")</f>
        <v/>
      </c>
      <c r="BU408" s="65" t="str">
        <f>IFERROR(IF(BA408&gt;0,BA408/$U408,""),"")</f>
        <v/>
      </c>
      <c r="BV408" s="48" t="str">
        <f>IFERROR(IF(BB408&gt;0,BB408/$U408,""),"")</f>
        <v/>
      </c>
      <c r="BW408" s="48" t="str">
        <f>IFERROR(IF(BC408&gt;0,BC408/$U408,""),"")</f>
        <v/>
      </c>
      <c r="BX408" s="48" t="str">
        <f>IFERROR(IF(BD408&gt;0,BD408/$U408,""),"")</f>
        <v/>
      </c>
      <c r="BY408" s="48" t="str">
        <f>IFERROR(IF(BE408&gt;0,BE408/$U408,""),"")</f>
        <v/>
      </c>
      <c r="BZ408" s="48" t="str">
        <f>IFERROR(IF(BF408&gt;0,BF408/$U408,""),"")</f>
        <v/>
      </c>
      <c r="CA408" s="48" t="str">
        <f>IFERROR(IF(BG408&gt;0,BG408/$U408,""),"")</f>
        <v/>
      </c>
      <c r="CB408" s="48" t="str">
        <f>IFERROR(IF(BH408&gt;0,BH408/$U408,""),"")</f>
        <v/>
      </c>
      <c r="CC408" s="48" t="str">
        <f>IFERROR(IF(BI408&gt;0,BI408/$U408,""),"")</f>
        <v/>
      </c>
      <c r="CD408" s="47" t="str">
        <f>IFERROR(IF(BJ408&gt;0,BJ408/$U408,""),"")</f>
        <v/>
      </c>
      <c r="CE408" s="66"/>
      <c r="CF408" s="62"/>
      <c r="CG408" s="74"/>
      <c r="CH408" s="75" t="str">
        <f>IFERROR(IF(SUM(CE408:CG408)&gt;0,SUM(CE408:CG408),""),"")</f>
        <v/>
      </c>
      <c r="CI408" s="62"/>
      <c r="CJ408" s="62"/>
      <c r="CK408" s="62"/>
      <c r="CL408" s="62"/>
      <c r="CM408" s="62"/>
      <c r="CN408" s="62"/>
      <c r="CO408" s="62"/>
      <c r="CP408" s="75" t="str">
        <f>IFERROR(IF(SUM(CI408:CO408)&gt;0,SUM(CI408:CO408),""),"")</f>
        <v/>
      </c>
      <c r="CQ408" s="62"/>
      <c r="CR408" s="75" t="str">
        <f>IFERROR(IF(SUM(CP408:CQ408)&gt;0,SUM(CP408:CQ408),""),"")</f>
        <v/>
      </c>
      <c r="CS408" s="75" t="str">
        <f>IFERROR(IF(CH408-CR408&gt;0,CH408-CP408,""),"")</f>
        <v/>
      </c>
      <c r="CT408" s="62"/>
      <c r="CU408" s="47" t="str">
        <f>IFERROR(IF(CS408-CT408&gt;0,CS408-CT408,""),"")</f>
        <v/>
      </c>
      <c r="CV408" s="76" t="str">
        <f>IFERROR(IF(CU408&gt;0,CS408/CH408,""),"")</f>
        <v/>
      </c>
      <c r="CW408" s="75" t="str">
        <f>IFERROR(IF(CU408&gt;0,CR408/T408,""),"")</f>
        <v/>
      </c>
      <c r="CX408" s="77" t="str">
        <f>IFERROR(IF(CU408&gt;0,CR408/CH408,""),"")</f>
        <v/>
      </c>
      <c r="CY408" s="75" t="str">
        <f>IFERROR(IF(CU408&gt;0,CU408/T408,""),"")</f>
        <v/>
      </c>
      <c r="CZ408" s="77" t="str">
        <f>IFERROR(IF(CU408&gt;0,CU408/CH408,""),"")</f>
        <v/>
      </c>
      <c r="DA408" s="77" t="str">
        <f>IFERROR(IF(CT408&gt;0,CT408/CH408,""),"")</f>
        <v/>
      </c>
      <c r="DB408" s="47" t="str">
        <f>IFERROR(IF(AR408&gt;0,AR408,""),"")</f>
        <v/>
      </c>
      <c r="DC408" s="69" t="str">
        <f>IFERROR(IF(ABS(CE408)&gt;0,CE408/$T408,""),"")</f>
        <v/>
      </c>
      <c r="DD408" s="70" t="str">
        <f>IFERROR(IF(ABS(CF408)&gt;0,CF408/$T408,""),"")</f>
        <v/>
      </c>
      <c r="DE408" s="70" t="str">
        <f>IFERROR(IF(ABS(CG408)&gt;0,CG408/$T408,""),"")</f>
        <v/>
      </c>
      <c r="DF408" s="70" t="str">
        <f>IFERROR(IF(ABS(CH408)&gt;0,CH408/$T408,""),"")</f>
        <v/>
      </c>
      <c r="DG408" s="70" t="str">
        <f>IFERROR(IF(ABS(CI408)&gt;0,CI408/$T408,""),"")</f>
        <v/>
      </c>
      <c r="DH408" s="70" t="str">
        <f>IFERROR(IF(ABS(CJ408)&gt;0,CJ408/$T408,""),"")</f>
        <v/>
      </c>
      <c r="DI408" s="70" t="str">
        <f>IFERROR(IF(ABS(CK408)&gt;0,CK408/$T408,""),"")</f>
        <v/>
      </c>
      <c r="DJ408" s="70" t="str">
        <f>IFERROR(IF(ABS(CL408)&gt;0,CL408/$T408,""),"")</f>
        <v/>
      </c>
      <c r="DK408" s="70" t="str">
        <f>IFERROR(IF(ABS(CM408)&gt;0,CM408/$T408,""),"")</f>
        <v/>
      </c>
      <c r="DL408" s="70" t="str">
        <f>IFERROR(IF(ABS(CN408)&gt;0,CN408/$T408,""),"")</f>
        <v/>
      </c>
      <c r="DM408" s="70" t="str">
        <f>IFERROR(IF(ABS(CO408)&gt;0,CO408/$T408,""),"")</f>
        <v/>
      </c>
      <c r="DN408" s="70" t="str">
        <f>IFERROR(IF(ABS(CP408)&gt;0,CP408/$T408,""),"")</f>
        <v/>
      </c>
      <c r="DO408" s="70" t="str">
        <f>IFERROR(IF(ABS(CQ408)&gt;0,CQ408/$T408,""),"")</f>
        <v/>
      </c>
      <c r="DP408" s="70" t="str">
        <f>IFERROR(IF(ABS(CR408)&gt;0,CR408/$T408,""),"")</f>
        <v/>
      </c>
      <c r="DQ408" s="70" t="str">
        <f>IFERROR(IF(ABS(CS408)&gt;0,CS408/$T408,""),"")</f>
        <v/>
      </c>
      <c r="DR408" s="70" t="str">
        <f>IFERROR(IF(ABS(CT408)&gt;0,CT408/$T408,""),"")</f>
        <v/>
      </c>
      <c r="DS408" s="71" t="str">
        <f>IFERROR(IF(ABS(CU408)&gt;0,CU408/$T408,""),"")</f>
        <v/>
      </c>
      <c r="DT408" s="106" t="str">
        <f>IFERROR(IF(ABS(CE408&gt;0),CE408/$CH408,""),"")</f>
        <v/>
      </c>
      <c r="DU408" s="92" t="str">
        <f>IFERROR(IF(ABS(CF408&gt;0),CF408/$CH408,""),"")</f>
        <v/>
      </c>
      <c r="DV408" s="92" t="str">
        <f>IFERROR(IF(ABS(CG408&gt;0),CG408/$CH408,""),"")</f>
        <v/>
      </c>
      <c r="DW408" s="92" t="str">
        <f>IFERROR(IF(ABS(CH408&gt;0),CH408/$CH408,""),"")</f>
        <v/>
      </c>
      <c r="DX408" s="92" t="str">
        <f>IFERROR(IF(ABS(CI408&gt;0),CI408/$CH408,""),"")</f>
        <v/>
      </c>
      <c r="DY408" s="92" t="str">
        <f>IFERROR(IF(ABS(CJ408&gt;0),CJ408/$CH408,""),"")</f>
        <v/>
      </c>
      <c r="DZ408" s="92" t="str">
        <f>IFERROR(IF(ABS(CK408&gt;0),CK408/$CH408,""),"")</f>
        <v/>
      </c>
      <c r="EA408" s="92" t="str">
        <f>IFERROR(IF(ABS(CL408&gt;0),CL408/$CH408,""),"")</f>
        <v/>
      </c>
      <c r="EB408" s="92" t="str">
        <f>IFERROR(IF(ABS(CM408&gt;0),CM408/$CH408,""),"")</f>
        <v/>
      </c>
      <c r="EC408" s="92" t="str">
        <f>IFERROR(IF(ABS(CN408&gt;0),CN408/$CH408,""),"")</f>
        <v/>
      </c>
      <c r="ED408" s="92" t="str">
        <f>IFERROR(IF(ABS(CO408&gt;0),CO408/$CH408,""),"")</f>
        <v/>
      </c>
      <c r="EE408" s="92" t="str">
        <f>IFERROR(IF(ABS(CP408&gt;0),CP408/$CH408,""),"")</f>
        <v/>
      </c>
      <c r="EF408" s="92" t="str">
        <f>IFERROR(IF(ABS(CQ408&gt;0),CQ408/$CH408,""),"")</f>
        <v/>
      </c>
      <c r="EG408" s="92" t="str">
        <f>IFERROR(IF(ABS(CR408&gt;0),CR408/$CH408,""),"")</f>
        <v/>
      </c>
      <c r="EH408" s="92" t="str">
        <f>IFERROR(IF(ABS(CS408&gt;0),CS408/$CH408,""),"")</f>
        <v/>
      </c>
      <c r="EI408" s="92" t="str">
        <f>IFERROR(IF(ABS(CT408&gt;0),CT408/$CH408,""),"")</f>
        <v/>
      </c>
      <c r="EJ408" s="122" t="str">
        <f>IFERROR(IF(ABS(CU408&gt;0),CU408/$CH408,""),"")</f>
        <v/>
      </c>
    </row>
    <row r="409" spans="2:140" ht="12" customHeight="1" outlineLevel="1">
      <c r="B409" s="272"/>
      <c r="C409" s="117"/>
      <c r="D409" s="50"/>
      <c r="E409" s="50"/>
      <c r="F409" s="50"/>
      <c r="G409" s="50"/>
      <c r="H409" s="50"/>
      <c r="I409" s="50"/>
      <c r="J409" s="52"/>
      <c r="K409" s="50"/>
      <c r="L409" s="49"/>
      <c r="M409" s="50"/>
      <c r="N409" s="50"/>
      <c r="O409" s="50"/>
      <c r="P409" s="50"/>
      <c r="Q409" s="53"/>
      <c r="R409" s="49"/>
      <c r="S409" s="49"/>
      <c r="T409" s="54" t="str">
        <f t="shared" si="1182"/>
        <v/>
      </c>
      <c r="U409" s="55"/>
      <c r="V409" s="49"/>
      <c r="W409" s="56" t="str">
        <f t="shared" si="1183"/>
        <v/>
      </c>
      <c r="X409" s="49"/>
      <c r="Y409" s="57"/>
      <c r="Z409" s="58"/>
      <c r="AA409" s="114"/>
      <c r="AB409" s="59"/>
      <c r="AC409" s="60"/>
      <c r="AD409" s="61"/>
      <c r="AE409" s="62"/>
      <c r="AF409" s="63"/>
      <c r="AG409" s="59"/>
      <c r="AH409" s="60"/>
      <c r="AI409" s="61"/>
      <c r="AJ409" s="64"/>
      <c r="AK409" s="65" t="str">
        <f t="shared" si="1184"/>
        <v/>
      </c>
      <c r="AL409" s="66"/>
      <c r="AM409" s="49"/>
      <c r="AN409" s="67"/>
      <c r="AO409" s="62"/>
      <c r="AP409" s="62"/>
      <c r="AQ409" s="68"/>
      <c r="AR409" s="69" t="str">
        <f t="shared" si="1185"/>
        <v/>
      </c>
      <c r="AS409" s="70" t="str">
        <f t="shared" si="1186"/>
        <v/>
      </c>
      <c r="AT409" s="70" t="str">
        <f t="shared" si="1187"/>
        <v/>
      </c>
      <c r="AU409" s="70" t="str">
        <f t="shared" si="1188"/>
        <v/>
      </c>
      <c r="AV409" s="71" t="str">
        <f t="shared" si="1189"/>
        <v/>
      </c>
      <c r="AW409" s="115" t="str">
        <f t="shared" si="1190"/>
        <v/>
      </c>
      <c r="AX409" s="116" t="str">
        <f t="shared" si="1191"/>
        <v/>
      </c>
      <c r="AY409" s="72" t="str">
        <f t="shared" si="1192"/>
        <v/>
      </c>
      <c r="AZ409" s="73" t="str">
        <f t="shared" si="1193"/>
        <v/>
      </c>
      <c r="BA409" s="66"/>
      <c r="BB409" s="62"/>
      <c r="BC409" s="62"/>
      <c r="BD409" s="62"/>
      <c r="BE409" s="62"/>
      <c r="BF409" s="62"/>
      <c r="BG409" s="62"/>
      <c r="BH409" s="62"/>
      <c r="BI409" s="62"/>
      <c r="BJ409" s="47" t="str">
        <f t="shared" si="1194"/>
        <v/>
      </c>
      <c r="BK409" s="69" t="str">
        <f t="shared" si="1195"/>
        <v/>
      </c>
      <c r="BL409" s="70" t="str">
        <f t="shared" si="1112"/>
        <v/>
      </c>
      <c r="BM409" s="70" t="str">
        <f t="shared" si="1113"/>
        <v/>
      </c>
      <c r="BN409" s="70" t="str">
        <f t="shared" si="1114"/>
        <v/>
      </c>
      <c r="BO409" s="70" t="str">
        <f t="shared" si="1115"/>
        <v/>
      </c>
      <c r="BP409" s="70" t="str">
        <f t="shared" si="1116"/>
        <v/>
      </c>
      <c r="BQ409" s="70" t="str">
        <f t="shared" si="1117"/>
        <v/>
      </c>
      <c r="BR409" s="70" t="str">
        <f t="shared" si="1118"/>
        <v/>
      </c>
      <c r="BS409" s="70" t="str">
        <f t="shared" si="1119"/>
        <v/>
      </c>
      <c r="BT409" s="71" t="str">
        <f t="shared" si="1120"/>
        <v/>
      </c>
      <c r="BU409" s="65" t="str">
        <f t="shared" si="1196"/>
        <v/>
      </c>
      <c r="BV409" s="48" t="str">
        <f t="shared" si="1122"/>
        <v/>
      </c>
      <c r="BW409" s="48" t="str">
        <f t="shared" si="1123"/>
        <v/>
      </c>
      <c r="BX409" s="48" t="str">
        <f t="shared" si="1124"/>
        <v/>
      </c>
      <c r="BY409" s="48" t="str">
        <f t="shared" si="1125"/>
        <v/>
      </c>
      <c r="BZ409" s="48" t="str">
        <f t="shared" si="1126"/>
        <v/>
      </c>
      <c r="CA409" s="48" t="str">
        <f t="shared" si="1127"/>
        <v/>
      </c>
      <c r="CB409" s="48" t="str">
        <f t="shared" si="1128"/>
        <v/>
      </c>
      <c r="CC409" s="48" t="str">
        <f t="shared" si="1129"/>
        <v/>
      </c>
      <c r="CD409" s="47" t="str">
        <f t="shared" si="1130"/>
        <v/>
      </c>
      <c r="CE409" s="66"/>
      <c r="CF409" s="62"/>
      <c r="CG409" s="74"/>
      <c r="CH409" s="75" t="str">
        <f t="shared" si="1197"/>
        <v/>
      </c>
      <c r="CI409" s="62"/>
      <c r="CJ409" s="62"/>
      <c r="CK409" s="62"/>
      <c r="CL409" s="62"/>
      <c r="CM409" s="62"/>
      <c r="CN409" s="62"/>
      <c r="CO409" s="62"/>
      <c r="CP409" s="75" t="str">
        <f t="shared" si="1198"/>
        <v/>
      </c>
      <c r="CQ409" s="62"/>
      <c r="CR409" s="75" t="str">
        <f t="shared" si="1199"/>
        <v/>
      </c>
      <c r="CS409" s="75" t="str">
        <f t="shared" si="1200"/>
        <v/>
      </c>
      <c r="CT409" s="62"/>
      <c r="CU409" s="47" t="str">
        <f t="shared" si="1201"/>
        <v/>
      </c>
      <c r="CV409" s="76" t="str">
        <f t="shared" si="1202"/>
        <v/>
      </c>
      <c r="CW409" s="75" t="str">
        <f t="shared" si="1203"/>
        <v/>
      </c>
      <c r="CX409" s="77" t="str">
        <f t="shared" si="1204"/>
        <v/>
      </c>
      <c r="CY409" s="75" t="str">
        <f t="shared" si="1205"/>
        <v/>
      </c>
      <c r="CZ409" s="77" t="str">
        <f t="shared" si="1206"/>
        <v/>
      </c>
      <c r="DA409" s="77" t="str">
        <f t="shared" si="1207"/>
        <v/>
      </c>
      <c r="DB409" s="47" t="str">
        <f t="shared" si="1208"/>
        <v/>
      </c>
      <c r="DC409" s="69" t="str">
        <f t="shared" si="1209"/>
        <v/>
      </c>
      <c r="DD409" s="70" t="str">
        <f t="shared" si="1149"/>
        <v/>
      </c>
      <c r="DE409" s="70" t="str">
        <f t="shared" si="1150"/>
        <v/>
      </c>
      <c r="DF409" s="70" t="str">
        <f t="shared" si="1151"/>
        <v/>
      </c>
      <c r="DG409" s="70" t="str">
        <f t="shared" si="1152"/>
        <v/>
      </c>
      <c r="DH409" s="70" t="str">
        <f t="shared" si="1176"/>
        <v/>
      </c>
      <c r="DI409" s="70" t="str">
        <f t="shared" si="1177"/>
        <v/>
      </c>
      <c r="DJ409" s="70" t="str">
        <f t="shared" si="1178"/>
        <v/>
      </c>
      <c r="DK409" s="70" t="str">
        <f t="shared" si="1153"/>
        <v/>
      </c>
      <c r="DL409" s="70" t="str">
        <f t="shared" si="1154"/>
        <v/>
      </c>
      <c r="DM409" s="70" t="str">
        <f t="shared" si="1155"/>
        <v/>
      </c>
      <c r="DN409" s="70" t="str">
        <f t="shared" si="1156"/>
        <v/>
      </c>
      <c r="DO409" s="70" t="str">
        <f t="shared" si="1157"/>
        <v/>
      </c>
      <c r="DP409" s="70" t="str">
        <f t="shared" si="1158"/>
        <v/>
      </c>
      <c r="DQ409" s="70" t="str">
        <f t="shared" si="1159"/>
        <v/>
      </c>
      <c r="DR409" s="70" t="str">
        <f t="shared" si="1160"/>
        <v/>
      </c>
      <c r="DS409" s="71" t="str">
        <f t="shared" si="1161"/>
        <v/>
      </c>
      <c r="DT409" s="106" t="str">
        <f t="shared" si="1210"/>
        <v/>
      </c>
      <c r="DU409" s="92" t="str">
        <f t="shared" si="1163"/>
        <v/>
      </c>
      <c r="DV409" s="92" t="str">
        <f t="shared" si="1164"/>
        <v/>
      </c>
      <c r="DW409" s="92" t="str">
        <f t="shared" si="1165"/>
        <v/>
      </c>
      <c r="DX409" s="92" t="str">
        <f t="shared" si="1166"/>
        <v/>
      </c>
      <c r="DY409" s="92" t="str">
        <f t="shared" si="1179"/>
        <v/>
      </c>
      <c r="DZ409" s="92" t="str">
        <f t="shared" si="1180"/>
        <v/>
      </c>
      <c r="EA409" s="92" t="str">
        <f t="shared" si="1181"/>
        <v/>
      </c>
      <c r="EB409" s="92" t="str">
        <f t="shared" si="1167"/>
        <v/>
      </c>
      <c r="EC409" s="92" t="str">
        <f t="shared" si="1168"/>
        <v/>
      </c>
      <c r="ED409" s="92" t="str">
        <f t="shared" si="1169"/>
        <v/>
      </c>
      <c r="EE409" s="92" t="str">
        <f t="shared" si="1170"/>
        <v/>
      </c>
      <c r="EF409" s="92" t="str">
        <f t="shared" si="1171"/>
        <v/>
      </c>
      <c r="EG409" s="92" t="str">
        <f t="shared" si="1172"/>
        <v/>
      </c>
      <c r="EH409" s="92" t="str">
        <f t="shared" si="1173"/>
        <v/>
      </c>
      <c r="EI409" s="92" t="str">
        <f t="shared" si="1174"/>
        <v/>
      </c>
      <c r="EJ409" s="122" t="str">
        <f t="shared" si="1175"/>
        <v/>
      </c>
    </row>
    <row r="410" spans="2:140" ht="12" customHeight="1" outlineLevel="1">
      <c r="B410" s="272"/>
      <c r="C410" s="117"/>
      <c r="D410" s="50"/>
      <c r="E410" s="50"/>
      <c r="F410" s="50"/>
      <c r="G410" s="50"/>
      <c r="H410" s="50"/>
      <c r="I410" s="50"/>
      <c r="J410" s="52"/>
      <c r="K410" s="50"/>
      <c r="L410" s="49"/>
      <c r="M410" s="50"/>
      <c r="N410" s="50"/>
      <c r="O410" s="50"/>
      <c r="P410" s="50"/>
      <c r="Q410" s="53"/>
      <c r="R410" s="49"/>
      <c r="S410" s="49"/>
      <c r="T410" s="54" t="str">
        <f t="shared" si="1146"/>
        <v/>
      </c>
      <c r="U410" s="55"/>
      <c r="V410" s="49"/>
      <c r="W410" s="56" t="str">
        <f t="shared" si="1099"/>
        <v/>
      </c>
      <c r="X410" s="49"/>
      <c r="Y410" s="57"/>
      <c r="Z410" s="58"/>
      <c r="AA410" s="114"/>
      <c r="AB410" s="59"/>
      <c r="AC410" s="60"/>
      <c r="AD410" s="61"/>
      <c r="AE410" s="62"/>
      <c r="AF410" s="63"/>
      <c r="AG410" s="59"/>
      <c r="AH410" s="60"/>
      <c r="AI410" s="61"/>
      <c r="AJ410" s="64"/>
      <c r="AK410" s="65" t="str">
        <f t="shared" si="1100"/>
        <v/>
      </c>
      <c r="AL410" s="66"/>
      <c r="AM410" s="49"/>
      <c r="AN410" s="67"/>
      <c r="AO410" s="62"/>
      <c r="AP410" s="62"/>
      <c r="AQ410" s="68"/>
      <c r="AR410" s="69" t="str">
        <f t="shared" si="1101"/>
        <v/>
      </c>
      <c r="AS410" s="70" t="str">
        <f t="shared" si="1102"/>
        <v/>
      </c>
      <c r="AT410" s="70" t="str">
        <f t="shared" si="1103"/>
        <v/>
      </c>
      <c r="AU410" s="70" t="str">
        <f t="shared" si="1104"/>
        <v/>
      </c>
      <c r="AV410" s="71" t="str">
        <f t="shared" si="1105"/>
        <v/>
      </c>
      <c r="AW410" s="115" t="str">
        <f t="shared" si="1106"/>
        <v/>
      </c>
      <c r="AX410" s="116" t="str">
        <f t="shared" si="1107"/>
        <v/>
      </c>
      <c r="AY410" s="72" t="str">
        <f t="shared" si="1108"/>
        <v/>
      </c>
      <c r="AZ410" s="73" t="str">
        <f t="shared" si="1109"/>
        <v/>
      </c>
      <c r="BA410" s="66"/>
      <c r="BB410" s="62"/>
      <c r="BC410" s="62"/>
      <c r="BD410" s="62"/>
      <c r="BE410" s="62"/>
      <c r="BF410" s="62"/>
      <c r="BG410" s="62"/>
      <c r="BH410" s="62"/>
      <c r="BI410" s="62"/>
      <c r="BJ410" s="47" t="str">
        <f t="shared" si="1110"/>
        <v/>
      </c>
      <c r="BK410" s="69" t="str">
        <f t="shared" si="1111"/>
        <v/>
      </c>
      <c r="BL410" s="70" t="str">
        <f t="shared" si="1112"/>
        <v/>
      </c>
      <c r="BM410" s="70" t="str">
        <f t="shared" si="1113"/>
        <v/>
      </c>
      <c r="BN410" s="70" t="str">
        <f t="shared" si="1114"/>
        <v/>
      </c>
      <c r="BO410" s="70" t="str">
        <f t="shared" si="1115"/>
        <v/>
      </c>
      <c r="BP410" s="70" t="str">
        <f t="shared" si="1116"/>
        <v/>
      </c>
      <c r="BQ410" s="70" t="str">
        <f t="shared" si="1117"/>
        <v/>
      </c>
      <c r="BR410" s="70" t="str">
        <f t="shared" si="1118"/>
        <v/>
      </c>
      <c r="BS410" s="70" t="str">
        <f t="shared" si="1119"/>
        <v/>
      </c>
      <c r="BT410" s="71" t="str">
        <f t="shared" si="1120"/>
        <v/>
      </c>
      <c r="BU410" s="65" t="str">
        <f t="shared" si="1121"/>
        <v/>
      </c>
      <c r="BV410" s="48" t="str">
        <f t="shared" si="1122"/>
        <v/>
      </c>
      <c r="BW410" s="48" t="str">
        <f t="shared" si="1123"/>
        <v/>
      </c>
      <c r="BX410" s="48" t="str">
        <f t="shared" si="1124"/>
        <v/>
      </c>
      <c r="BY410" s="48" t="str">
        <f t="shared" si="1125"/>
        <v/>
      </c>
      <c r="BZ410" s="48" t="str">
        <f t="shared" si="1126"/>
        <v/>
      </c>
      <c r="CA410" s="48" t="str">
        <f t="shared" si="1127"/>
        <v/>
      </c>
      <c r="CB410" s="48" t="str">
        <f t="shared" si="1128"/>
        <v/>
      </c>
      <c r="CC410" s="48" t="str">
        <f t="shared" si="1129"/>
        <v/>
      </c>
      <c r="CD410" s="47" t="str">
        <f t="shared" si="1130"/>
        <v/>
      </c>
      <c r="CE410" s="66"/>
      <c r="CF410" s="62"/>
      <c r="CG410" s="74"/>
      <c r="CH410" s="75" t="str">
        <f t="shared" si="1131"/>
        <v/>
      </c>
      <c r="CI410" s="62"/>
      <c r="CJ410" s="62"/>
      <c r="CK410" s="62"/>
      <c r="CL410" s="62"/>
      <c r="CM410" s="62"/>
      <c r="CN410" s="62"/>
      <c r="CO410" s="62"/>
      <c r="CP410" s="75" t="str">
        <f t="shared" si="1147"/>
        <v/>
      </c>
      <c r="CQ410" s="62"/>
      <c r="CR410" s="75" t="str">
        <f t="shared" si="1132"/>
        <v/>
      </c>
      <c r="CS410" s="75" t="str">
        <f t="shared" si="1133"/>
        <v/>
      </c>
      <c r="CT410" s="62"/>
      <c r="CU410" s="47" t="str">
        <f t="shared" si="1134"/>
        <v/>
      </c>
      <c r="CV410" s="76" t="str">
        <f t="shared" si="1135"/>
        <v/>
      </c>
      <c r="CW410" s="75" t="str">
        <f t="shared" si="1136"/>
        <v/>
      </c>
      <c r="CX410" s="77" t="str">
        <f t="shared" si="1137"/>
        <v/>
      </c>
      <c r="CY410" s="75" t="str">
        <f t="shared" si="1138"/>
        <v/>
      </c>
      <c r="CZ410" s="77" t="str">
        <f t="shared" si="1139"/>
        <v/>
      </c>
      <c r="DA410" s="77" t="str">
        <f t="shared" si="1140"/>
        <v/>
      </c>
      <c r="DB410" s="47" t="str">
        <f t="shared" si="1141"/>
        <v/>
      </c>
      <c r="DC410" s="69" t="str">
        <f t="shared" si="1148"/>
        <v/>
      </c>
      <c r="DD410" s="70" t="str">
        <f t="shared" si="1149"/>
        <v/>
      </c>
      <c r="DE410" s="70" t="str">
        <f t="shared" si="1150"/>
        <v/>
      </c>
      <c r="DF410" s="70" t="str">
        <f t="shared" si="1151"/>
        <v/>
      </c>
      <c r="DG410" s="70" t="str">
        <f t="shared" si="1152"/>
        <v/>
      </c>
      <c r="DH410" s="70" t="str">
        <f t="shared" si="1176"/>
        <v/>
      </c>
      <c r="DI410" s="70" t="str">
        <f t="shared" si="1177"/>
        <v/>
      </c>
      <c r="DJ410" s="70" t="str">
        <f t="shared" si="1178"/>
        <v/>
      </c>
      <c r="DK410" s="70" t="str">
        <f t="shared" si="1153"/>
        <v/>
      </c>
      <c r="DL410" s="70" t="str">
        <f t="shared" si="1154"/>
        <v/>
      </c>
      <c r="DM410" s="70" t="str">
        <f t="shared" si="1155"/>
        <v/>
      </c>
      <c r="DN410" s="70" t="str">
        <f t="shared" si="1156"/>
        <v/>
      </c>
      <c r="DO410" s="70" t="str">
        <f t="shared" si="1157"/>
        <v/>
      </c>
      <c r="DP410" s="70" t="str">
        <f t="shared" si="1158"/>
        <v/>
      </c>
      <c r="DQ410" s="70" t="str">
        <f t="shared" si="1159"/>
        <v/>
      </c>
      <c r="DR410" s="70" t="str">
        <f t="shared" si="1160"/>
        <v/>
      </c>
      <c r="DS410" s="71" t="str">
        <f t="shared" si="1161"/>
        <v/>
      </c>
      <c r="DT410" s="106" t="str">
        <f t="shared" si="1162"/>
        <v/>
      </c>
      <c r="DU410" s="92" t="str">
        <f t="shared" si="1163"/>
        <v/>
      </c>
      <c r="DV410" s="92" t="str">
        <f t="shared" si="1164"/>
        <v/>
      </c>
      <c r="DW410" s="92" t="str">
        <f t="shared" si="1165"/>
        <v/>
      </c>
      <c r="DX410" s="92" t="str">
        <f t="shared" si="1166"/>
        <v/>
      </c>
      <c r="DY410" s="92" t="str">
        <f t="shared" si="1179"/>
        <v/>
      </c>
      <c r="DZ410" s="92" t="str">
        <f t="shared" si="1180"/>
        <v/>
      </c>
      <c r="EA410" s="92" t="str">
        <f t="shared" si="1181"/>
        <v/>
      </c>
      <c r="EB410" s="92" t="str">
        <f t="shared" si="1167"/>
        <v/>
      </c>
      <c r="EC410" s="92" t="str">
        <f t="shared" si="1168"/>
        <v/>
      </c>
      <c r="ED410" s="92" t="str">
        <f t="shared" si="1169"/>
        <v/>
      </c>
      <c r="EE410" s="92" t="str">
        <f t="shared" si="1170"/>
        <v/>
      </c>
      <c r="EF410" s="92" t="str">
        <f t="shared" si="1171"/>
        <v/>
      </c>
      <c r="EG410" s="92" t="str">
        <f t="shared" si="1172"/>
        <v/>
      </c>
      <c r="EH410" s="92" t="str">
        <f t="shared" si="1173"/>
        <v/>
      </c>
      <c r="EI410" s="92" t="str">
        <f t="shared" si="1174"/>
        <v/>
      </c>
      <c r="EJ410" s="122" t="str">
        <f t="shared" si="1175"/>
        <v/>
      </c>
    </row>
    <row r="411" spans="2:140" ht="12" customHeight="1" outlineLevel="1">
      <c r="B411" s="272"/>
      <c r="C411" s="117"/>
      <c r="D411" s="50"/>
      <c r="E411" s="50"/>
      <c r="F411" s="50"/>
      <c r="G411" s="50"/>
      <c r="H411" s="50"/>
      <c r="I411" s="50"/>
      <c r="J411" s="52"/>
      <c r="K411" s="50"/>
      <c r="L411" s="49"/>
      <c r="M411" s="50"/>
      <c r="N411" s="50"/>
      <c r="O411" s="50"/>
      <c r="P411" s="50"/>
      <c r="Q411" s="53"/>
      <c r="R411" s="49"/>
      <c r="S411" s="49"/>
      <c r="T411" s="54" t="str">
        <f t="shared" si="1146"/>
        <v/>
      </c>
      <c r="U411" s="55"/>
      <c r="V411" s="49"/>
      <c r="W411" s="56" t="str">
        <f t="shared" si="1099"/>
        <v/>
      </c>
      <c r="X411" s="49"/>
      <c r="Y411" s="57"/>
      <c r="Z411" s="58"/>
      <c r="AA411" s="114"/>
      <c r="AB411" s="59"/>
      <c r="AC411" s="60"/>
      <c r="AD411" s="61"/>
      <c r="AE411" s="62"/>
      <c r="AF411" s="63"/>
      <c r="AG411" s="59"/>
      <c r="AH411" s="60"/>
      <c r="AI411" s="61"/>
      <c r="AJ411" s="64"/>
      <c r="AK411" s="65" t="str">
        <f t="shared" si="1100"/>
        <v/>
      </c>
      <c r="AL411" s="66"/>
      <c r="AM411" s="49"/>
      <c r="AN411" s="67"/>
      <c r="AO411" s="62"/>
      <c r="AP411" s="62"/>
      <c r="AQ411" s="68"/>
      <c r="AR411" s="69" t="str">
        <f t="shared" si="1101"/>
        <v/>
      </c>
      <c r="AS411" s="70" t="str">
        <f t="shared" si="1102"/>
        <v/>
      </c>
      <c r="AT411" s="70" t="str">
        <f t="shared" si="1103"/>
        <v/>
      </c>
      <c r="AU411" s="70" t="str">
        <f t="shared" si="1104"/>
        <v/>
      </c>
      <c r="AV411" s="71" t="str">
        <f t="shared" si="1105"/>
        <v/>
      </c>
      <c r="AW411" s="115" t="str">
        <f t="shared" si="1106"/>
        <v/>
      </c>
      <c r="AX411" s="116" t="str">
        <f t="shared" si="1107"/>
        <v/>
      </c>
      <c r="AY411" s="72" t="str">
        <f t="shared" si="1108"/>
        <v/>
      </c>
      <c r="AZ411" s="73" t="str">
        <f t="shared" si="1109"/>
        <v/>
      </c>
      <c r="BA411" s="66"/>
      <c r="BB411" s="62"/>
      <c r="BC411" s="62"/>
      <c r="BD411" s="62"/>
      <c r="BE411" s="62"/>
      <c r="BF411" s="62"/>
      <c r="BG411" s="62"/>
      <c r="BH411" s="62"/>
      <c r="BI411" s="62"/>
      <c r="BJ411" s="47" t="str">
        <f t="shared" si="1110"/>
        <v/>
      </c>
      <c r="BK411" s="69" t="str">
        <f t="shared" si="1111"/>
        <v/>
      </c>
      <c r="BL411" s="70" t="str">
        <f t="shared" si="1112"/>
        <v/>
      </c>
      <c r="BM411" s="70" t="str">
        <f t="shared" si="1113"/>
        <v/>
      </c>
      <c r="BN411" s="70" t="str">
        <f t="shared" si="1114"/>
        <v/>
      </c>
      <c r="BO411" s="70" t="str">
        <f t="shared" si="1115"/>
        <v/>
      </c>
      <c r="BP411" s="70" t="str">
        <f t="shared" si="1116"/>
        <v/>
      </c>
      <c r="BQ411" s="70" t="str">
        <f t="shared" si="1117"/>
        <v/>
      </c>
      <c r="BR411" s="70" t="str">
        <f t="shared" si="1118"/>
        <v/>
      </c>
      <c r="BS411" s="70" t="str">
        <f t="shared" si="1119"/>
        <v/>
      </c>
      <c r="BT411" s="71" t="str">
        <f t="shared" si="1120"/>
        <v/>
      </c>
      <c r="BU411" s="65" t="str">
        <f t="shared" si="1121"/>
        <v/>
      </c>
      <c r="BV411" s="48" t="str">
        <f t="shared" si="1122"/>
        <v/>
      </c>
      <c r="BW411" s="48" t="str">
        <f t="shared" si="1123"/>
        <v/>
      </c>
      <c r="BX411" s="48" t="str">
        <f t="shared" si="1124"/>
        <v/>
      </c>
      <c r="BY411" s="48" t="str">
        <f t="shared" si="1125"/>
        <v/>
      </c>
      <c r="BZ411" s="48" t="str">
        <f t="shared" si="1126"/>
        <v/>
      </c>
      <c r="CA411" s="48" t="str">
        <f t="shared" si="1127"/>
        <v/>
      </c>
      <c r="CB411" s="48" t="str">
        <f t="shared" si="1128"/>
        <v/>
      </c>
      <c r="CC411" s="48" t="str">
        <f t="shared" si="1129"/>
        <v/>
      </c>
      <c r="CD411" s="47" t="str">
        <f t="shared" si="1130"/>
        <v/>
      </c>
      <c r="CE411" s="66"/>
      <c r="CF411" s="62"/>
      <c r="CG411" s="74"/>
      <c r="CH411" s="75" t="str">
        <f t="shared" si="1131"/>
        <v/>
      </c>
      <c r="CI411" s="62"/>
      <c r="CJ411" s="62"/>
      <c r="CK411" s="62"/>
      <c r="CL411" s="62"/>
      <c r="CM411" s="62"/>
      <c r="CN411" s="62"/>
      <c r="CO411" s="62"/>
      <c r="CP411" s="75" t="str">
        <f t="shared" si="1147"/>
        <v/>
      </c>
      <c r="CQ411" s="62"/>
      <c r="CR411" s="75" t="str">
        <f t="shared" si="1132"/>
        <v/>
      </c>
      <c r="CS411" s="75" t="str">
        <f t="shared" si="1133"/>
        <v/>
      </c>
      <c r="CT411" s="62"/>
      <c r="CU411" s="47" t="str">
        <f t="shared" si="1134"/>
        <v/>
      </c>
      <c r="CV411" s="76" t="str">
        <f t="shared" si="1135"/>
        <v/>
      </c>
      <c r="CW411" s="75" t="str">
        <f t="shared" si="1136"/>
        <v/>
      </c>
      <c r="CX411" s="77" t="str">
        <f t="shared" si="1137"/>
        <v/>
      </c>
      <c r="CY411" s="75" t="str">
        <f t="shared" si="1138"/>
        <v/>
      </c>
      <c r="CZ411" s="77" t="str">
        <f t="shared" si="1139"/>
        <v/>
      </c>
      <c r="DA411" s="77" t="str">
        <f t="shared" si="1140"/>
        <v/>
      </c>
      <c r="DB411" s="47" t="str">
        <f t="shared" si="1141"/>
        <v/>
      </c>
      <c r="DC411" s="69" t="str">
        <f t="shared" si="1148"/>
        <v/>
      </c>
      <c r="DD411" s="70" t="str">
        <f t="shared" si="1149"/>
        <v/>
      </c>
      <c r="DE411" s="70" t="str">
        <f t="shared" si="1150"/>
        <v/>
      </c>
      <c r="DF411" s="70" t="str">
        <f t="shared" si="1151"/>
        <v/>
      </c>
      <c r="DG411" s="70" t="str">
        <f t="shared" si="1152"/>
        <v/>
      </c>
      <c r="DH411" s="70" t="str">
        <f t="shared" si="1176"/>
        <v/>
      </c>
      <c r="DI411" s="70" t="str">
        <f t="shared" si="1177"/>
        <v/>
      </c>
      <c r="DJ411" s="70" t="str">
        <f t="shared" si="1178"/>
        <v/>
      </c>
      <c r="DK411" s="70" t="str">
        <f t="shared" si="1153"/>
        <v/>
      </c>
      <c r="DL411" s="70" t="str">
        <f t="shared" si="1154"/>
        <v/>
      </c>
      <c r="DM411" s="70" t="str">
        <f t="shared" si="1155"/>
        <v/>
      </c>
      <c r="DN411" s="70" t="str">
        <f t="shared" si="1156"/>
        <v/>
      </c>
      <c r="DO411" s="70" t="str">
        <f t="shared" si="1157"/>
        <v/>
      </c>
      <c r="DP411" s="70" t="str">
        <f t="shared" si="1158"/>
        <v/>
      </c>
      <c r="DQ411" s="70" t="str">
        <f t="shared" si="1159"/>
        <v/>
      </c>
      <c r="DR411" s="70" t="str">
        <f t="shared" si="1160"/>
        <v/>
      </c>
      <c r="DS411" s="71" t="str">
        <f t="shared" si="1161"/>
        <v/>
      </c>
      <c r="DT411" s="106" t="str">
        <f t="shared" si="1162"/>
        <v/>
      </c>
      <c r="DU411" s="92" t="str">
        <f t="shared" si="1163"/>
        <v/>
      </c>
      <c r="DV411" s="92" t="str">
        <f t="shared" si="1164"/>
        <v/>
      </c>
      <c r="DW411" s="92" t="str">
        <f t="shared" si="1165"/>
        <v/>
      </c>
      <c r="DX411" s="92" t="str">
        <f t="shared" si="1166"/>
        <v/>
      </c>
      <c r="DY411" s="92" t="str">
        <f t="shared" si="1179"/>
        <v/>
      </c>
      <c r="DZ411" s="92" t="str">
        <f t="shared" si="1180"/>
        <v/>
      </c>
      <c r="EA411" s="92" t="str">
        <f t="shared" si="1181"/>
        <v/>
      </c>
      <c r="EB411" s="92" t="str">
        <f t="shared" si="1167"/>
        <v/>
      </c>
      <c r="EC411" s="92" t="str">
        <f t="shared" si="1168"/>
        <v/>
      </c>
      <c r="ED411" s="92" t="str">
        <f t="shared" si="1169"/>
        <v/>
      </c>
      <c r="EE411" s="92" t="str">
        <f t="shared" si="1170"/>
        <v/>
      </c>
      <c r="EF411" s="92" t="str">
        <f t="shared" si="1171"/>
        <v/>
      </c>
      <c r="EG411" s="92" t="str">
        <f t="shared" si="1172"/>
        <v/>
      </c>
      <c r="EH411" s="92" t="str">
        <f t="shared" si="1173"/>
        <v/>
      </c>
      <c r="EI411" s="92" t="str">
        <f t="shared" si="1174"/>
        <v/>
      </c>
      <c r="EJ411" s="122" t="str">
        <f t="shared" si="1175"/>
        <v/>
      </c>
    </row>
    <row r="412" spans="2:140" ht="12" customHeight="1">
      <c r="B412" s="272"/>
      <c r="C412" s="117"/>
      <c r="D412" s="50"/>
      <c r="E412" s="50"/>
      <c r="F412" s="50"/>
      <c r="G412" s="50"/>
      <c r="H412" s="50"/>
      <c r="I412" s="50"/>
      <c r="J412" s="52"/>
      <c r="K412" s="50"/>
      <c r="L412" s="49"/>
      <c r="M412" s="50"/>
      <c r="N412" s="50"/>
      <c r="O412" s="50"/>
      <c r="P412" s="50"/>
      <c r="Q412" s="53"/>
      <c r="R412" s="49"/>
      <c r="S412" s="49"/>
      <c r="T412" s="54" t="str">
        <f t="shared" si="1146"/>
        <v/>
      </c>
      <c r="U412" s="55"/>
      <c r="V412" s="49"/>
      <c r="W412" s="56" t="str">
        <f t="shared" si="1099"/>
        <v/>
      </c>
      <c r="X412" s="49"/>
      <c r="Y412" s="57"/>
      <c r="Z412" s="58"/>
      <c r="AA412" s="114"/>
      <c r="AB412" s="59"/>
      <c r="AC412" s="60"/>
      <c r="AD412" s="61"/>
      <c r="AE412" s="62"/>
      <c r="AF412" s="63"/>
      <c r="AG412" s="59"/>
      <c r="AH412" s="60"/>
      <c r="AI412" s="61"/>
      <c r="AJ412" s="64"/>
      <c r="AK412" s="65" t="str">
        <f t="shared" si="1100"/>
        <v/>
      </c>
      <c r="AL412" s="66"/>
      <c r="AM412" s="49"/>
      <c r="AN412" s="67"/>
      <c r="AO412" s="62"/>
      <c r="AP412" s="62"/>
      <c r="AQ412" s="68"/>
      <c r="AR412" s="69" t="str">
        <f t="shared" si="1101"/>
        <v/>
      </c>
      <c r="AS412" s="70" t="str">
        <f t="shared" si="1102"/>
        <v/>
      </c>
      <c r="AT412" s="70" t="str">
        <f t="shared" si="1103"/>
        <v/>
      </c>
      <c r="AU412" s="70" t="str">
        <f t="shared" si="1104"/>
        <v/>
      </c>
      <c r="AV412" s="71" t="str">
        <f t="shared" si="1105"/>
        <v/>
      </c>
      <c r="AW412" s="115" t="str">
        <f t="shared" si="1106"/>
        <v/>
      </c>
      <c r="AX412" s="116" t="str">
        <f t="shared" si="1107"/>
        <v/>
      </c>
      <c r="AY412" s="72" t="str">
        <f t="shared" si="1108"/>
        <v/>
      </c>
      <c r="AZ412" s="73" t="str">
        <f t="shared" si="1109"/>
        <v/>
      </c>
      <c r="BA412" s="66"/>
      <c r="BB412" s="62"/>
      <c r="BC412" s="62"/>
      <c r="BD412" s="62"/>
      <c r="BE412" s="62"/>
      <c r="BF412" s="62"/>
      <c r="BG412" s="62"/>
      <c r="BH412" s="62"/>
      <c r="BI412" s="62"/>
      <c r="BJ412" s="47" t="str">
        <f t="shared" si="1110"/>
        <v/>
      </c>
      <c r="BK412" s="69" t="str">
        <f t="shared" si="1111"/>
        <v/>
      </c>
      <c r="BL412" s="70" t="str">
        <f t="shared" si="1112"/>
        <v/>
      </c>
      <c r="BM412" s="70" t="str">
        <f t="shared" si="1113"/>
        <v/>
      </c>
      <c r="BN412" s="70" t="str">
        <f t="shared" si="1114"/>
        <v/>
      </c>
      <c r="BO412" s="70" t="str">
        <f t="shared" si="1115"/>
        <v/>
      </c>
      <c r="BP412" s="70" t="str">
        <f t="shared" si="1116"/>
        <v/>
      </c>
      <c r="BQ412" s="70" t="str">
        <f t="shared" si="1117"/>
        <v/>
      </c>
      <c r="BR412" s="70" t="str">
        <f t="shared" si="1118"/>
        <v/>
      </c>
      <c r="BS412" s="70" t="str">
        <f t="shared" si="1119"/>
        <v/>
      </c>
      <c r="BT412" s="71" t="str">
        <f t="shared" si="1120"/>
        <v/>
      </c>
      <c r="BU412" s="65" t="str">
        <f t="shared" si="1121"/>
        <v/>
      </c>
      <c r="BV412" s="48" t="str">
        <f t="shared" si="1122"/>
        <v/>
      </c>
      <c r="BW412" s="48" t="str">
        <f t="shared" si="1123"/>
        <v/>
      </c>
      <c r="BX412" s="48" t="str">
        <f t="shared" si="1124"/>
        <v/>
      </c>
      <c r="BY412" s="48" t="str">
        <f t="shared" si="1125"/>
        <v/>
      </c>
      <c r="BZ412" s="48" t="str">
        <f t="shared" si="1126"/>
        <v/>
      </c>
      <c r="CA412" s="48" t="str">
        <f t="shared" si="1127"/>
        <v/>
      </c>
      <c r="CB412" s="48" t="str">
        <f t="shared" si="1128"/>
        <v/>
      </c>
      <c r="CC412" s="48" t="str">
        <f t="shared" si="1129"/>
        <v/>
      </c>
      <c r="CD412" s="47" t="str">
        <f t="shared" si="1130"/>
        <v/>
      </c>
      <c r="CE412" s="66"/>
      <c r="CF412" s="62"/>
      <c r="CG412" s="74"/>
      <c r="CH412" s="75" t="str">
        <f t="shared" si="1131"/>
        <v/>
      </c>
      <c r="CI412" s="62"/>
      <c r="CJ412" s="62"/>
      <c r="CK412" s="62"/>
      <c r="CL412" s="62"/>
      <c r="CM412" s="62"/>
      <c r="CN412" s="62"/>
      <c r="CO412" s="62"/>
      <c r="CP412" s="75" t="str">
        <f t="shared" si="1147"/>
        <v/>
      </c>
      <c r="CQ412" s="62"/>
      <c r="CR412" s="75" t="str">
        <f t="shared" si="1132"/>
        <v/>
      </c>
      <c r="CS412" s="75" t="str">
        <f t="shared" si="1133"/>
        <v/>
      </c>
      <c r="CT412" s="62"/>
      <c r="CU412" s="47" t="str">
        <f t="shared" si="1134"/>
        <v/>
      </c>
      <c r="CV412" s="76" t="str">
        <f t="shared" si="1135"/>
        <v/>
      </c>
      <c r="CW412" s="75" t="str">
        <f t="shared" si="1136"/>
        <v/>
      </c>
      <c r="CX412" s="77" t="str">
        <f t="shared" si="1137"/>
        <v/>
      </c>
      <c r="CY412" s="75" t="str">
        <f t="shared" si="1138"/>
        <v/>
      </c>
      <c r="CZ412" s="77" t="str">
        <f t="shared" si="1139"/>
        <v/>
      </c>
      <c r="DA412" s="77" t="str">
        <f t="shared" si="1140"/>
        <v/>
      </c>
      <c r="DB412" s="47" t="str">
        <f t="shared" si="1141"/>
        <v/>
      </c>
      <c r="DC412" s="69" t="str">
        <f t="shared" si="1148"/>
        <v/>
      </c>
      <c r="DD412" s="70" t="str">
        <f t="shared" si="1149"/>
        <v/>
      </c>
      <c r="DE412" s="70" t="str">
        <f t="shared" si="1150"/>
        <v/>
      </c>
      <c r="DF412" s="70" t="str">
        <f t="shared" si="1151"/>
        <v/>
      </c>
      <c r="DG412" s="70" t="str">
        <f t="shared" si="1152"/>
        <v/>
      </c>
      <c r="DH412" s="70" t="str">
        <f t="shared" si="1176"/>
        <v/>
      </c>
      <c r="DI412" s="70" t="str">
        <f t="shared" si="1177"/>
        <v/>
      </c>
      <c r="DJ412" s="70" t="str">
        <f t="shared" si="1178"/>
        <v/>
      </c>
      <c r="DK412" s="70" t="str">
        <f t="shared" si="1153"/>
        <v/>
      </c>
      <c r="DL412" s="70" t="str">
        <f t="shared" si="1154"/>
        <v/>
      </c>
      <c r="DM412" s="70" t="str">
        <f t="shared" si="1155"/>
        <v/>
      </c>
      <c r="DN412" s="70" t="str">
        <f t="shared" si="1156"/>
        <v/>
      </c>
      <c r="DO412" s="70" t="str">
        <f t="shared" si="1157"/>
        <v/>
      </c>
      <c r="DP412" s="70" t="str">
        <f t="shared" si="1158"/>
        <v/>
      </c>
      <c r="DQ412" s="70" t="str">
        <f t="shared" si="1159"/>
        <v/>
      </c>
      <c r="DR412" s="70" t="str">
        <f t="shared" si="1160"/>
        <v/>
      </c>
      <c r="DS412" s="71" t="str">
        <f t="shared" si="1161"/>
        <v/>
      </c>
      <c r="DT412" s="106" t="str">
        <f t="shared" si="1162"/>
        <v/>
      </c>
      <c r="DU412" s="92" t="str">
        <f t="shared" si="1163"/>
        <v/>
      </c>
      <c r="DV412" s="92" t="str">
        <f t="shared" si="1164"/>
        <v/>
      </c>
      <c r="DW412" s="92" t="str">
        <f t="shared" si="1165"/>
        <v/>
      </c>
      <c r="DX412" s="92" t="str">
        <f t="shared" si="1166"/>
        <v/>
      </c>
      <c r="DY412" s="92" t="str">
        <f t="shared" si="1179"/>
        <v/>
      </c>
      <c r="DZ412" s="92" t="str">
        <f t="shared" si="1180"/>
        <v/>
      </c>
      <c r="EA412" s="92" t="str">
        <f t="shared" si="1181"/>
        <v/>
      </c>
      <c r="EB412" s="92" t="str">
        <f t="shared" si="1167"/>
        <v/>
      </c>
      <c r="EC412" s="92" t="str">
        <f t="shared" si="1168"/>
        <v/>
      </c>
      <c r="ED412" s="92" t="str">
        <f t="shared" si="1169"/>
        <v/>
      </c>
      <c r="EE412" s="92" t="str">
        <f t="shared" si="1170"/>
        <v/>
      </c>
      <c r="EF412" s="92" t="str">
        <f t="shared" si="1171"/>
        <v/>
      </c>
      <c r="EG412" s="92" t="str">
        <f t="shared" si="1172"/>
        <v/>
      </c>
      <c r="EH412" s="92" t="str">
        <f t="shared" si="1173"/>
        <v/>
      </c>
      <c r="EI412" s="92" t="str">
        <f t="shared" si="1174"/>
        <v/>
      </c>
      <c r="EJ412" s="122" t="str">
        <f t="shared" si="1175"/>
        <v/>
      </c>
    </row>
    <row r="413" spans="2:140" ht="12" customHeight="1">
      <c r="B413" s="272"/>
      <c r="C413" s="117"/>
      <c r="D413" s="50"/>
      <c r="E413" s="50"/>
      <c r="F413" s="50"/>
      <c r="G413" s="50"/>
      <c r="H413" s="50"/>
      <c r="I413" s="50"/>
      <c r="J413" s="52"/>
      <c r="K413" s="50"/>
      <c r="L413" s="49"/>
      <c r="M413" s="50"/>
      <c r="N413" s="50"/>
      <c r="O413" s="50"/>
      <c r="P413" s="50"/>
      <c r="Q413" s="53"/>
      <c r="R413" s="49"/>
      <c r="S413" s="49"/>
      <c r="T413" s="54" t="str">
        <f t="shared" si="1146"/>
        <v/>
      </c>
      <c r="U413" s="55"/>
      <c r="V413" s="49"/>
      <c r="W413" s="56" t="str">
        <f t="shared" si="1099"/>
        <v/>
      </c>
      <c r="X413" s="49"/>
      <c r="Y413" s="57"/>
      <c r="Z413" s="58"/>
      <c r="AA413" s="114"/>
      <c r="AB413" s="59"/>
      <c r="AC413" s="60"/>
      <c r="AD413" s="61"/>
      <c r="AE413" s="62"/>
      <c r="AF413" s="63"/>
      <c r="AG413" s="59"/>
      <c r="AH413" s="60"/>
      <c r="AI413" s="61"/>
      <c r="AJ413" s="64"/>
      <c r="AK413" s="65" t="str">
        <f t="shared" si="1100"/>
        <v/>
      </c>
      <c r="AL413" s="66"/>
      <c r="AM413" s="49"/>
      <c r="AN413" s="67"/>
      <c r="AO413" s="62"/>
      <c r="AP413" s="62"/>
      <c r="AQ413" s="68"/>
      <c r="AR413" s="69" t="str">
        <f t="shared" si="1101"/>
        <v/>
      </c>
      <c r="AS413" s="70" t="str">
        <f t="shared" si="1102"/>
        <v/>
      </c>
      <c r="AT413" s="70" t="str">
        <f t="shared" si="1103"/>
        <v/>
      </c>
      <c r="AU413" s="70" t="str">
        <f t="shared" si="1104"/>
        <v/>
      </c>
      <c r="AV413" s="71" t="str">
        <f t="shared" si="1105"/>
        <v/>
      </c>
      <c r="AW413" s="115" t="str">
        <f t="shared" si="1106"/>
        <v/>
      </c>
      <c r="AX413" s="116" t="str">
        <f t="shared" si="1107"/>
        <v/>
      </c>
      <c r="AY413" s="72" t="str">
        <f t="shared" si="1108"/>
        <v/>
      </c>
      <c r="AZ413" s="73" t="str">
        <f t="shared" si="1109"/>
        <v/>
      </c>
      <c r="BA413" s="66"/>
      <c r="BB413" s="62"/>
      <c r="BC413" s="62"/>
      <c r="BD413" s="62"/>
      <c r="BE413" s="62"/>
      <c r="BF413" s="62"/>
      <c r="BG413" s="62"/>
      <c r="BH413" s="62"/>
      <c r="BI413" s="62"/>
      <c r="BJ413" s="47" t="str">
        <f t="shared" si="1110"/>
        <v/>
      </c>
      <c r="BK413" s="69" t="str">
        <f t="shared" si="1111"/>
        <v/>
      </c>
      <c r="BL413" s="70" t="str">
        <f t="shared" si="1112"/>
        <v/>
      </c>
      <c r="BM413" s="70" t="str">
        <f t="shared" si="1113"/>
        <v/>
      </c>
      <c r="BN413" s="70" t="str">
        <f t="shared" si="1114"/>
        <v/>
      </c>
      <c r="BO413" s="70" t="str">
        <f t="shared" si="1115"/>
        <v/>
      </c>
      <c r="BP413" s="70" t="str">
        <f t="shared" si="1116"/>
        <v/>
      </c>
      <c r="BQ413" s="70" t="str">
        <f t="shared" si="1117"/>
        <v/>
      </c>
      <c r="BR413" s="70" t="str">
        <f t="shared" si="1118"/>
        <v/>
      </c>
      <c r="BS413" s="70" t="str">
        <f t="shared" si="1119"/>
        <v/>
      </c>
      <c r="BT413" s="71" t="str">
        <f t="shared" si="1120"/>
        <v/>
      </c>
      <c r="BU413" s="65" t="str">
        <f t="shared" si="1121"/>
        <v/>
      </c>
      <c r="BV413" s="48" t="str">
        <f t="shared" si="1122"/>
        <v/>
      </c>
      <c r="BW413" s="48" t="str">
        <f t="shared" si="1123"/>
        <v/>
      </c>
      <c r="BX413" s="48" t="str">
        <f t="shared" si="1124"/>
        <v/>
      </c>
      <c r="BY413" s="48" t="str">
        <f t="shared" si="1125"/>
        <v/>
      </c>
      <c r="BZ413" s="48" t="str">
        <f t="shared" si="1126"/>
        <v/>
      </c>
      <c r="CA413" s="48" t="str">
        <f t="shared" si="1127"/>
        <v/>
      </c>
      <c r="CB413" s="48" t="str">
        <f t="shared" si="1128"/>
        <v/>
      </c>
      <c r="CC413" s="48" t="str">
        <f t="shared" si="1129"/>
        <v/>
      </c>
      <c r="CD413" s="47" t="str">
        <f t="shared" si="1130"/>
        <v/>
      </c>
      <c r="CE413" s="66"/>
      <c r="CF413" s="62"/>
      <c r="CG413" s="74"/>
      <c r="CH413" s="75" t="str">
        <f t="shared" si="1131"/>
        <v/>
      </c>
      <c r="CI413" s="62"/>
      <c r="CJ413" s="62"/>
      <c r="CK413" s="62"/>
      <c r="CL413" s="62"/>
      <c r="CM413" s="62"/>
      <c r="CN413" s="62"/>
      <c r="CO413" s="62"/>
      <c r="CP413" s="75" t="str">
        <f t="shared" si="1147"/>
        <v/>
      </c>
      <c r="CQ413" s="62"/>
      <c r="CR413" s="75" t="str">
        <f t="shared" si="1132"/>
        <v/>
      </c>
      <c r="CS413" s="75" t="str">
        <f t="shared" si="1133"/>
        <v/>
      </c>
      <c r="CT413" s="62"/>
      <c r="CU413" s="47" t="str">
        <f t="shared" si="1134"/>
        <v/>
      </c>
      <c r="CV413" s="76" t="str">
        <f t="shared" si="1135"/>
        <v/>
      </c>
      <c r="CW413" s="75" t="str">
        <f t="shared" si="1136"/>
        <v/>
      </c>
      <c r="CX413" s="77" t="str">
        <f t="shared" si="1137"/>
        <v/>
      </c>
      <c r="CY413" s="75" t="str">
        <f t="shared" si="1138"/>
        <v/>
      </c>
      <c r="CZ413" s="77" t="str">
        <f t="shared" si="1139"/>
        <v/>
      </c>
      <c r="DA413" s="77" t="str">
        <f t="shared" si="1140"/>
        <v/>
      </c>
      <c r="DB413" s="47" t="str">
        <f t="shared" si="1141"/>
        <v/>
      </c>
      <c r="DC413" s="69" t="str">
        <f t="shared" si="1148"/>
        <v/>
      </c>
      <c r="DD413" s="70" t="str">
        <f t="shared" si="1149"/>
        <v/>
      </c>
      <c r="DE413" s="70" t="str">
        <f t="shared" si="1150"/>
        <v/>
      </c>
      <c r="DF413" s="70" t="str">
        <f t="shared" si="1151"/>
        <v/>
      </c>
      <c r="DG413" s="70" t="str">
        <f t="shared" si="1152"/>
        <v/>
      </c>
      <c r="DH413" s="70" t="str">
        <f t="shared" si="1176"/>
        <v/>
      </c>
      <c r="DI413" s="70" t="str">
        <f t="shared" si="1177"/>
        <v/>
      </c>
      <c r="DJ413" s="70" t="str">
        <f t="shared" si="1178"/>
        <v/>
      </c>
      <c r="DK413" s="70" t="str">
        <f t="shared" si="1153"/>
        <v/>
      </c>
      <c r="DL413" s="70" t="str">
        <f t="shared" si="1154"/>
        <v/>
      </c>
      <c r="DM413" s="70" t="str">
        <f t="shared" si="1155"/>
        <v/>
      </c>
      <c r="DN413" s="70" t="str">
        <f t="shared" si="1156"/>
        <v/>
      </c>
      <c r="DO413" s="70" t="str">
        <f t="shared" si="1157"/>
        <v/>
      </c>
      <c r="DP413" s="70" t="str">
        <f t="shared" si="1158"/>
        <v/>
      </c>
      <c r="DQ413" s="70" t="str">
        <f t="shared" si="1159"/>
        <v/>
      </c>
      <c r="DR413" s="70" t="str">
        <f t="shared" si="1160"/>
        <v/>
      </c>
      <c r="DS413" s="71" t="str">
        <f t="shared" si="1161"/>
        <v/>
      </c>
      <c r="DT413" s="106" t="str">
        <f t="shared" si="1162"/>
        <v/>
      </c>
      <c r="DU413" s="92" t="str">
        <f t="shared" si="1163"/>
        <v/>
      </c>
      <c r="DV413" s="92" t="str">
        <f t="shared" si="1164"/>
        <v/>
      </c>
      <c r="DW413" s="92" t="str">
        <f t="shared" si="1165"/>
        <v/>
      </c>
      <c r="DX413" s="92" t="str">
        <f t="shared" si="1166"/>
        <v/>
      </c>
      <c r="DY413" s="92" t="str">
        <f t="shared" si="1179"/>
        <v/>
      </c>
      <c r="DZ413" s="92" t="str">
        <f t="shared" si="1180"/>
        <v/>
      </c>
      <c r="EA413" s="92" t="str">
        <f t="shared" si="1181"/>
        <v/>
      </c>
      <c r="EB413" s="92" t="str">
        <f t="shared" si="1167"/>
        <v/>
      </c>
      <c r="EC413" s="92" t="str">
        <f t="shared" si="1168"/>
        <v/>
      </c>
      <c r="ED413" s="92" t="str">
        <f t="shared" si="1169"/>
        <v/>
      </c>
      <c r="EE413" s="92" t="str">
        <f t="shared" si="1170"/>
        <v/>
      </c>
      <c r="EF413" s="92" t="str">
        <f t="shared" si="1171"/>
        <v/>
      </c>
      <c r="EG413" s="92" t="str">
        <f t="shared" si="1172"/>
        <v/>
      </c>
      <c r="EH413" s="92" t="str">
        <f t="shared" si="1173"/>
        <v/>
      </c>
      <c r="EI413" s="92" t="str">
        <f t="shared" si="1174"/>
        <v/>
      </c>
      <c r="EJ413" s="122" t="str">
        <f t="shared" si="1175"/>
        <v/>
      </c>
    </row>
    <row r="414" spans="2:140" ht="12" customHeight="1">
      <c r="B414" s="121"/>
      <c r="C414" s="117"/>
      <c r="D414" s="50"/>
      <c r="E414" s="50"/>
      <c r="F414" s="50"/>
      <c r="G414" s="50"/>
      <c r="H414" s="50"/>
      <c r="I414" s="50"/>
      <c r="J414" s="52"/>
      <c r="K414" s="50"/>
      <c r="L414" s="49"/>
      <c r="M414" s="50"/>
      <c r="N414" s="50"/>
      <c r="O414" s="50"/>
      <c r="P414" s="50"/>
      <c r="Q414" s="53"/>
      <c r="R414" s="49"/>
      <c r="S414" s="49"/>
      <c r="T414" s="54" t="str">
        <f t="shared" si="1146"/>
        <v/>
      </c>
      <c r="U414" s="55"/>
      <c r="V414" s="49"/>
      <c r="W414" s="56" t="str">
        <f t="shared" si="1099"/>
        <v/>
      </c>
      <c r="X414" s="49"/>
      <c r="Y414" s="57"/>
      <c r="Z414" s="58"/>
      <c r="AA414" s="114"/>
      <c r="AB414" s="59"/>
      <c r="AC414" s="60"/>
      <c r="AD414" s="61"/>
      <c r="AE414" s="62"/>
      <c r="AF414" s="63"/>
      <c r="AG414" s="59"/>
      <c r="AH414" s="60"/>
      <c r="AI414" s="61"/>
      <c r="AJ414" s="64"/>
      <c r="AK414" s="65" t="str">
        <f t="shared" si="1100"/>
        <v/>
      </c>
      <c r="AL414" s="66"/>
      <c r="AM414" s="49"/>
      <c r="AN414" s="67"/>
      <c r="AO414" s="62"/>
      <c r="AP414" s="62"/>
      <c r="AQ414" s="68"/>
      <c r="AR414" s="69" t="str">
        <f t="shared" si="1101"/>
        <v/>
      </c>
      <c r="AS414" s="70" t="str">
        <f t="shared" si="1102"/>
        <v/>
      </c>
      <c r="AT414" s="70" t="str">
        <f t="shared" si="1103"/>
        <v/>
      </c>
      <c r="AU414" s="70" t="str">
        <f t="shared" si="1104"/>
        <v/>
      </c>
      <c r="AV414" s="71" t="str">
        <f t="shared" si="1105"/>
        <v/>
      </c>
      <c r="AW414" s="115" t="str">
        <f t="shared" si="1106"/>
        <v/>
      </c>
      <c r="AX414" s="116" t="str">
        <f t="shared" si="1107"/>
        <v/>
      </c>
      <c r="AY414" s="72" t="str">
        <f t="shared" si="1108"/>
        <v/>
      </c>
      <c r="AZ414" s="73" t="str">
        <f t="shared" si="1109"/>
        <v/>
      </c>
      <c r="BA414" s="66"/>
      <c r="BB414" s="62"/>
      <c r="BC414" s="62"/>
      <c r="BD414" s="62"/>
      <c r="BE414" s="62"/>
      <c r="BF414" s="62"/>
      <c r="BG414" s="62"/>
      <c r="BH414" s="62"/>
      <c r="BI414" s="62"/>
      <c r="BJ414" s="47" t="str">
        <f t="shared" si="1110"/>
        <v/>
      </c>
      <c r="BK414" s="69" t="str">
        <f t="shared" si="1111"/>
        <v/>
      </c>
      <c r="BL414" s="70" t="str">
        <f t="shared" si="1112"/>
        <v/>
      </c>
      <c r="BM414" s="70" t="str">
        <f t="shared" si="1113"/>
        <v/>
      </c>
      <c r="BN414" s="70" t="str">
        <f t="shared" si="1114"/>
        <v/>
      </c>
      <c r="BO414" s="70" t="str">
        <f t="shared" si="1115"/>
        <v/>
      </c>
      <c r="BP414" s="70" t="str">
        <f t="shared" si="1116"/>
        <v/>
      </c>
      <c r="BQ414" s="70" t="str">
        <f t="shared" si="1117"/>
        <v/>
      </c>
      <c r="BR414" s="70" t="str">
        <f t="shared" si="1118"/>
        <v/>
      </c>
      <c r="BS414" s="70" t="str">
        <f t="shared" si="1119"/>
        <v/>
      </c>
      <c r="BT414" s="71" t="str">
        <f t="shared" si="1120"/>
        <v/>
      </c>
      <c r="BU414" s="65" t="str">
        <f t="shared" si="1121"/>
        <v/>
      </c>
      <c r="BV414" s="48" t="str">
        <f t="shared" si="1122"/>
        <v/>
      </c>
      <c r="BW414" s="48" t="str">
        <f t="shared" si="1123"/>
        <v/>
      </c>
      <c r="BX414" s="48" t="str">
        <f t="shared" si="1124"/>
        <v/>
      </c>
      <c r="BY414" s="48" t="str">
        <f t="shared" si="1125"/>
        <v/>
      </c>
      <c r="BZ414" s="48" t="str">
        <f t="shared" si="1126"/>
        <v/>
      </c>
      <c r="CA414" s="48" t="str">
        <f t="shared" si="1127"/>
        <v/>
      </c>
      <c r="CB414" s="48" t="str">
        <f t="shared" si="1128"/>
        <v/>
      </c>
      <c r="CC414" s="48" t="str">
        <f t="shared" si="1129"/>
        <v/>
      </c>
      <c r="CD414" s="47" t="str">
        <f t="shared" si="1130"/>
        <v/>
      </c>
      <c r="CE414" s="66"/>
      <c r="CF414" s="62"/>
      <c r="CG414" s="74"/>
      <c r="CH414" s="75" t="str">
        <f t="shared" si="1131"/>
        <v/>
      </c>
      <c r="CI414" s="62"/>
      <c r="CJ414" s="62"/>
      <c r="CK414" s="62"/>
      <c r="CL414" s="62"/>
      <c r="CM414" s="62"/>
      <c r="CN414" s="62"/>
      <c r="CO414" s="62"/>
      <c r="CP414" s="75" t="str">
        <f t="shared" si="1147"/>
        <v/>
      </c>
      <c r="CQ414" s="62"/>
      <c r="CR414" s="75" t="str">
        <f t="shared" si="1132"/>
        <v/>
      </c>
      <c r="CS414" s="75" t="str">
        <f t="shared" si="1133"/>
        <v/>
      </c>
      <c r="CT414" s="62"/>
      <c r="CU414" s="47" t="str">
        <f t="shared" si="1134"/>
        <v/>
      </c>
      <c r="CV414" s="76" t="str">
        <f t="shared" si="1135"/>
        <v/>
      </c>
      <c r="CW414" s="75" t="str">
        <f t="shared" si="1136"/>
        <v/>
      </c>
      <c r="CX414" s="77" t="str">
        <f t="shared" si="1137"/>
        <v/>
      </c>
      <c r="CY414" s="75" t="str">
        <f t="shared" si="1138"/>
        <v/>
      </c>
      <c r="CZ414" s="77" t="str">
        <f t="shared" si="1139"/>
        <v/>
      </c>
      <c r="DA414" s="77" t="str">
        <f t="shared" si="1140"/>
        <v/>
      </c>
      <c r="DB414" s="47" t="str">
        <f t="shared" si="1141"/>
        <v/>
      </c>
      <c r="DC414" s="69" t="str">
        <f t="shared" si="1148"/>
        <v/>
      </c>
      <c r="DD414" s="70" t="str">
        <f t="shared" si="1149"/>
        <v/>
      </c>
      <c r="DE414" s="70" t="str">
        <f t="shared" si="1150"/>
        <v/>
      </c>
      <c r="DF414" s="70" t="str">
        <f t="shared" si="1151"/>
        <v/>
      </c>
      <c r="DG414" s="70" t="str">
        <f t="shared" si="1152"/>
        <v/>
      </c>
      <c r="DH414" s="70" t="str">
        <f t="shared" si="1176"/>
        <v/>
      </c>
      <c r="DI414" s="70" t="str">
        <f t="shared" si="1177"/>
        <v/>
      </c>
      <c r="DJ414" s="70" t="str">
        <f t="shared" si="1178"/>
        <v/>
      </c>
      <c r="DK414" s="70" t="str">
        <f t="shared" si="1153"/>
        <v/>
      </c>
      <c r="DL414" s="70" t="str">
        <f t="shared" si="1154"/>
        <v/>
      </c>
      <c r="DM414" s="70" t="str">
        <f t="shared" si="1155"/>
        <v/>
      </c>
      <c r="DN414" s="70" t="str">
        <f t="shared" si="1156"/>
        <v/>
      </c>
      <c r="DO414" s="70" t="str">
        <f t="shared" si="1157"/>
        <v/>
      </c>
      <c r="DP414" s="70" t="str">
        <f t="shared" si="1158"/>
        <v/>
      </c>
      <c r="DQ414" s="70" t="str">
        <f t="shared" si="1159"/>
        <v/>
      </c>
      <c r="DR414" s="70" t="str">
        <f t="shared" si="1160"/>
        <v/>
      </c>
      <c r="DS414" s="71" t="str">
        <f t="shared" si="1161"/>
        <v/>
      </c>
      <c r="DT414" s="106" t="str">
        <f t="shared" si="1162"/>
        <v/>
      </c>
      <c r="DU414" s="92" t="str">
        <f t="shared" si="1163"/>
        <v/>
      </c>
      <c r="DV414" s="92" t="str">
        <f t="shared" si="1164"/>
        <v/>
      </c>
      <c r="DW414" s="92" t="str">
        <f t="shared" si="1165"/>
        <v/>
      </c>
      <c r="DX414" s="92" t="str">
        <f t="shared" si="1166"/>
        <v/>
      </c>
      <c r="DY414" s="92" t="str">
        <f t="shared" si="1179"/>
        <v/>
      </c>
      <c r="DZ414" s="92" t="str">
        <f t="shared" si="1180"/>
        <v/>
      </c>
      <c r="EA414" s="92" t="str">
        <f t="shared" si="1181"/>
        <v/>
      </c>
      <c r="EB414" s="92" t="str">
        <f t="shared" si="1167"/>
        <v/>
      </c>
      <c r="EC414" s="92" t="str">
        <f t="shared" si="1168"/>
        <v/>
      </c>
      <c r="ED414" s="92" t="str">
        <f t="shared" si="1169"/>
        <v/>
      </c>
      <c r="EE414" s="92" t="str">
        <f t="shared" si="1170"/>
        <v/>
      </c>
      <c r="EF414" s="92" t="str">
        <f t="shared" si="1171"/>
        <v/>
      </c>
      <c r="EG414" s="92" t="str">
        <f t="shared" si="1172"/>
        <v/>
      </c>
      <c r="EH414" s="92" t="str">
        <f t="shared" si="1173"/>
        <v/>
      </c>
      <c r="EI414" s="92" t="str">
        <f t="shared" si="1174"/>
        <v/>
      </c>
      <c r="EJ414" s="122" t="str">
        <f t="shared" si="1175"/>
        <v/>
      </c>
    </row>
    <row r="415" spans="2:140" ht="18" customHeight="1">
      <c r="B415" s="121"/>
      <c r="C415" s="117"/>
      <c r="D415" s="50"/>
      <c r="E415" s="50"/>
      <c r="F415" s="50"/>
      <c r="G415" s="50"/>
      <c r="H415" s="50"/>
      <c r="I415" s="50"/>
      <c r="J415" s="52"/>
      <c r="K415" s="50"/>
      <c r="L415" s="49"/>
      <c r="M415" s="50"/>
      <c r="N415" s="50"/>
      <c r="O415" s="50"/>
      <c r="P415" s="50"/>
      <c r="Q415" s="53"/>
      <c r="R415" s="49"/>
      <c r="S415" s="49"/>
      <c r="T415" s="54" t="str">
        <f t="shared" si="867"/>
        <v/>
      </c>
      <c r="U415" s="55"/>
      <c r="V415" s="49"/>
      <c r="W415" s="56" t="str">
        <f t="shared" si="1099"/>
        <v/>
      </c>
      <c r="X415" s="49"/>
      <c r="Y415" s="57"/>
      <c r="Z415" s="58"/>
      <c r="AA415" s="114"/>
      <c r="AB415" s="59"/>
      <c r="AC415" s="60"/>
      <c r="AD415" s="61"/>
      <c r="AE415" s="62"/>
      <c r="AF415" s="63"/>
      <c r="AG415" s="59"/>
      <c r="AH415" s="60"/>
      <c r="AI415" s="61"/>
      <c r="AJ415" s="64"/>
      <c r="AK415" s="65" t="str">
        <f t="shared" si="1100"/>
        <v/>
      </c>
      <c r="AL415" s="66"/>
      <c r="AM415" s="49"/>
      <c r="AN415" s="67"/>
      <c r="AO415" s="62"/>
      <c r="AP415" s="62"/>
      <c r="AQ415" s="68"/>
      <c r="AR415" s="69" t="str">
        <f t="shared" si="1101"/>
        <v/>
      </c>
      <c r="AS415" s="70" t="str">
        <f t="shared" si="1102"/>
        <v/>
      </c>
      <c r="AT415" s="70" t="str">
        <f t="shared" si="1103"/>
        <v/>
      </c>
      <c r="AU415" s="70" t="str">
        <f t="shared" si="1104"/>
        <v/>
      </c>
      <c r="AV415" s="71" t="str">
        <f t="shared" si="1105"/>
        <v/>
      </c>
      <c r="AW415" s="115" t="str">
        <f t="shared" si="1106"/>
        <v/>
      </c>
      <c r="AX415" s="116" t="str">
        <f t="shared" si="1107"/>
        <v/>
      </c>
      <c r="AY415" s="72" t="str">
        <f t="shared" si="1108"/>
        <v/>
      </c>
      <c r="AZ415" s="73" t="str">
        <f t="shared" si="1109"/>
        <v/>
      </c>
      <c r="BA415" s="66"/>
      <c r="BB415" s="62"/>
      <c r="BC415" s="62"/>
      <c r="BD415" s="62"/>
      <c r="BE415" s="62"/>
      <c r="BF415" s="62"/>
      <c r="BG415" s="62"/>
      <c r="BH415" s="62"/>
      <c r="BI415" s="62"/>
      <c r="BJ415" s="47" t="str">
        <f t="shared" si="1110"/>
        <v/>
      </c>
      <c r="BK415" s="69" t="str">
        <f t="shared" si="1111"/>
        <v/>
      </c>
      <c r="BL415" s="70" t="str">
        <f t="shared" si="1112"/>
        <v/>
      </c>
      <c r="BM415" s="70" t="str">
        <f t="shared" si="1113"/>
        <v/>
      </c>
      <c r="BN415" s="70" t="str">
        <f t="shared" si="1114"/>
        <v/>
      </c>
      <c r="BO415" s="70" t="str">
        <f t="shared" si="1115"/>
        <v/>
      </c>
      <c r="BP415" s="70" t="str">
        <f t="shared" si="1116"/>
        <v/>
      </c>
      <c r="BQ415" s="70" t="str">
        <f t="shared" si="1117"/>
        <v/>
      </c>
      <c r="BR415" s="70" t="str">
        <f t="shared" si="1118"/>
        <v/>
      </c>
      <c r="BS415" s="70" t="str">
        <f t="shared" si="1119"/>
        <v/>
      </c>
      <c r="BT415" s="71" t="str">
        <f t="shared" si="1120"/>
        <v/>
      </c>
      <c r="BU415" s="65" t="str">
        <f t="shared" si="1121"/>
        <v/>
      </c>
      <c r="BV415" s="48" t="str">
        <f t="shared" si="1122"/>
        <v/>
      </c>
      <c r="BW415" s="48" t="str">
        <f t="shared" si="1123"/>
        <v/>
      </c>
      <c r="BX415" s="48" t="str">
        <f t="shared" si="1124"/>
        <v/>
      </c>
      <c r="BY415" s="48" t="str">
        <f t="shared" si="1125"/>
        <v/>
      </c>
      <c r="BZ415" s="48" t="str">
        <f t="shared" si="1126"/>
        <v/>
      </c>
      <c r="CA415" s="48" t="str">
        <f t="shared" si="1127"/>
        <v/>
      </c>
      <c r="CB415" s="48" t="str">
        <f t="shared" si="1128"/>
        <v/>
      </c>
      <c r="CC415" s="48" t="str">
        <f t="shared" si="1129"/>
        <v/>
      </c>
      <c r="CD415" s="47" t="str">
        <f t="shared" si="1130"/>
        <v/>
      </c>
      <c r="CE415" s="66"/>
      <c r="CF415" s="62"/>
      <c r="CG415" s="74"/>
      <c r="CH415" s="75" t="str">
        <f t="shared" si="1131"/>
        <v/>
      </c>
      <c r="CI415" s="62"/>
      <c r="CJ415" s="62"/>
      <c r="CK415" s="62"/>
      <c r="CL415" s="62"/>
      <c r="CM415" s="62"/>
      <c r="CN415" s="62"/>
      <c r="CO415" s="62"/>
      <c r="CP415" s="75" t="str">
        <f t="shared" si="868"/>
        <v/>
      </c>
      <c r="CQ415" s="62"/>
      <c r="CR415" s="75" t="str">
        <f t="shared" si="1132"/>
        <v/>
      </c>
      <c r="CS415" s="75" t="str">
        <f t="shared" si="1133"/>
        <v/>
      </c>
      <c r="CT415" s="62"/>
      <c r="CU415" s="47" t="str">
        <f t="shared" si="1134"/>
        <v/>
      </c>
      <c r="CV415" s="76" t="str">
        <f t="shared" si="1135"/>
        <v/>
      </c>
      <c r="CW415" s="75" t="str">
        <f t="shared" si="1136"/>
        <v/>
      </c>
      <c r="CX415" s="77" t="str">
        <f t="shared" si="1137"/>
        <v/>
      </c>
      <c r="CY415" s="75" t="str">
        <f t="shared" si="1138"/>
        <v/>
      </c>
      <c r="CZ415" s="77" t="str">
        <f t="shared" si="1139"/>
        <v/>
      </c>
      <c r="DA415" s="77" t="str">
        <f t="shared" si="1140"/>
        <v/>
      </c>
      <c r="DB415" s="47" t="str">
        <f t="shared" si="1141"/>
        <v/>
      </c>
      <c r="DC415" s="69" t="str">
        <f t="shared" si="1148"/>
        <v/>
      </c>
      <c r="DD415" s="70" t="str">
        <f t="shared" si="1149"/>
        <v/>
      </c>
      <c r="DE415" s="70" t="str">
        <f t="shared" si="1150"/>
        <v/>
      </c>
      <c r="DF415" s="70" t="str">
        <f t="shared" si="1151"/>
        <v/>
      </c>
      <c r="DG415" s="70" t="str">
        <f t="shared" si="1152"/>
        <v/>
      </c>
      <c r="DH415" s="70" t="str">
        <f t="shared" si="1176"/>
        <v/>
      </c>
      <c r="DI415" s="70" t="str">
        <f t="shared" si="1177"/>
        <v/>
      </c>
      <c r="DJ415" s="70" t="str">
        <f t="shared" si="1178"/>
        <v/>
      </c>
      <c r="DK415" s="70" t="str">
        <f t="shared" si="1153"/>
        <v/>
      </c>
      <c r="DL415" s="70" t="str">
        <f t="shared" si="1154"/>
        <v/>
      </c>
      <c r="DM415" s="70" t="str">
        <f t="shared" si="1155"/>
        <v/>
      </c>
      <c r="DN415" s="70" t="str">
        <f t="shared" si="1156"/>
        <v/>
      </c>
      <c r="DO415" s="70" t="str">
        <f t="shared" si="1157"/>
        <v/>
      </c>
      <c r="DP415" s="70" t="str">
        <f t="shared" si="1158"/>
        <v/>
      </c>
      <c r="DQ415" s="70" t="str">
        <f t="shared" si="1159"/>
        <v/>
      </c>
      <c r="DR415" s="70" t="str">
        <f t="shared" si="1160"/>
        <v/>
      </c>
      <c r="DS415" s="71" t="str">
        <f t="shared" si="1161"/>
        <v/>
      </c>
      <c r="DT415" s="106" t="str">
        <f t="shared" si="1162"/>
        <v/>
      </c>
      <c r="DU415" s="92" t="str">
        <f t="shared" si="1163"/>
        <v/>
      </c>
      <c r="DV415" s="92" t="str">
        <f t="shared" si="1164"/>
        <v/>
      </c>
      <c r="DW415" s="92" t="str">
        <f t="shared" si="1165"/>
        <v/>
      </c>
      <c r="DX415" s="92" t="str">
        <f t="shared" si="1166"/>
        <v/>
      </c>
      <c r="DY415" s="92" t="str">
        <f t="shared" si="1179"/>
        <v/>
      </c>
      <c r="DZ415" s="92" t="str">
        <f t="shared" si="1180"/>
        <v/>
      </c>
      <c r="EA415" s="92" t="str">
        <f t="shared" si="1181"/>
        <v/>
      </c>
      <c r="EB415" s="92" t="str">
        <f t="shared" si="1167"/>
        <v/>
      </c>
      <c r="EC415" s="92" t="str">
        <f t="shared" si="1168"/>
        <v/>
      </c>
      <c r="ED415" s="92" t="str">
        <f t="shared" si="1169"/>
        <v/>
      </c>
      <c r="EE415" s="92" t="str">
        <f t="shared" si="1170"/>
        <v/>
      </c>
      <c r="EF415" s="92" t="str">
        <f t="shared" si="1171"/>
        <v/>
      </c>
      <c r="EG415" s="92" t="str">
        <f t="shared" si="1172"/>
        <v/>
      </c>
      <c r="EH415" s="92" t="str">
        <f t="shared" si="1173"/>
        <v/>
      </c>
      <c r="EI415" s="92" t="str">
        <f t="shared" si="1174"/>
        <v/>
      </c>
      <c r="EJ415" s="122" t="str">
        <f t="shared" si="1175"/>
        <v/>
      </c>
    </row>
    <row r="416" spans="2:140" ht="0.95" customHeight="1">
      <c r="B416" s="113"/>
      <c r="C416" s="117"/>
      <c r="D416" s="50"/>
      <c r="E416" s="50"/>
      <c r="F416" s="50"/>
      <c r="G416" s="50"/>
      <c r="H416" s="50"/>
      <c r="I416" s="50"/>
      <c r="J416" s="52"/>
      <c r="K416" s="50"/>
      <c r="L416" s="49"/>
      <c r="M416" s="50"/>
      <c r="N416" s="50"/>
      <c r="O416" s="50"/>
      <c r="P416" s="50"/>
      <c r="Q416" s="53"/>
      <c r="R416" s="49"/>
      <c r="S416" s="49"/>
      <c r="T416" s="54" t="str">
        <f>IFERROR(IF(SUM(R416:S416)&gt;0,SUM(R416:S416),""),"")</f>
        <v/>
      </c>
      <c r="U416" s="55"/>
      <c r="V416" s="49"/>
      <c r="W416" s="56" t="str">
        <f t="shared" si="1099"/>
        <v/>
      </c>
      <c r="X416" s="49"/>
      <c r="Y416" s="57"/>
      <c r="Z416" s="58"/>
      <c r="AA416" s="114"/>
      <c r="AB416" s="59"/>
      <c r="AC416" s="60"/>
      <c r="AD416" s="61"/>
      <c r="AE416" s="62"/>
      <c r="AF416" s="63"/>
      <c r="AG416" s="59"/>
      <c r="AH416" s="60"/>
      <c r="AI416" s="61"/>
      <c r="AJ416" s="64"/>
      <c r="AK416" s="65" t="str">
        <f t="shared" si="1100"/>
        <v/>
      </c>
      <c r="AL416" s="66"/>
      <c r="AM416" s="49"/>
      <c r="AN416" s="67"/>
      <c r="AO416" s="62"/>
      <c r="AP416" s="62"/>
      <c r="AQ416" s="68"/>
      <c r="AR416" s="69" t="str">
        <f t="shared" si="1101"/>
        <v/>
      </c>
      <c r="AS416" s="70" t="str">
        <f t="shared" si="1102"/>
        <v/>
      </c>
      <c r="AT416" s="70" t="str">
        <f t="shared" si="1103"/>
        <v/>
      </c>
      <c r="AU416" s="70" t="str">
        <f t="shared" si="1104"/>
        <v/>
      </c>
      <c r="AV416" s="71" t="str">
        <f t="shared" si="1105"/>
        <v/>
      </c>
      <c r="AW416" s="115" t="str">
        <f t="shared" si="1106"/>
        <v/>
      </c>
      <c r="AX416" s="116" t="str">
        <f t="shared" si="1107"/>
        <v/>
      </c>
      <c r="AY416" s="72" t="str">
        <f t="shared" si="1108"/>
        <v/>
      </c>
      <c r="AZ416" s="73" t="str">
        <f t="shared" si="1109"/>
        <v/>
      </c>
      <c r="BA416" s="66"/>
      <c r="BB416" s="62"/>
      <c r="BC416" s="62"/>
      <c r="BD416" s="62"/>
      <c r="BE416" s="62"/>
      <c r="BF416" s="62"/>
      <c r="BG416" s="62"/>
      <c r="BH416" s="62"/>
      <c r="BI416" s="62"/>
      <c r="BJ416" s="47" t="str">
        <f t="shared" si="1110"/>
        <v/>
      </c>
      <c r="BK416" s="69" t="str">
        <f t="shared" si="1111"/>
        <v/>
      </c>
      <c r="BL416" s="70" t="str">
        <f t="shared" si="1112"/>
        <v/>
      </c>
      <c r="BM416" s="70" t="str">
        <f t="shared" si="1113"/>
        <v/>
      </c>
      <c r="BN416" s="70" t="str">
        <f t="shared" si="1114"/>
        <v/>
      </c>
      <c r="BO416" s="70" t="str">
        <f t="shared" si="1115"/>
        <v/>
      </c>
      <c r="BP416" s="70" t="str">
        <f t="shared" si="1116"/>
        <v/>
      </c>
      <c r="BQ416" s="70" t="str">
        <f t="shared" si="1117"/>
        <v/>
      </c>
      <c r="BR416" s="70" t="str">
        <f t="shared" si="1118"/>
        <v/>
      </c>
      <c r="BS416" s="70" t="str">
        <f t="shared" si="1119"/>
        <v/>
      </c>
      <c r="BT416" s="71" t="str">
        <f t="shared" si="1120"/>
        <v/>
      </c>
      <c r="BU416" s="65" t="str">
        <f t="shared" si="1121"/>
        <v/>
      </c>
      <c r="BV416" s="48" t="str">
        <f t="shared" si="1122"/>
        <v/>
      </c>
      <c r="BW416" s="48" t="str">
        <f t="shared" si="1123"/>
        <v/>
      </c>
      <c r="BX416" s="48" t="str">
        <f t="shared" si="1124"/>
        <v/>
      </c>
      <c r="BY416" s="48" t="str">
        <f t="shared" si="1125"/>
        <v/>
      </c>
      <c r="BZ416" s="48" t="str">
        <f t="shared" si="1126"/>
        <v/>
      </c>
      <c r="CA416" s="48" t="str">
        <f t="shared" si="1127"/>
        <v/>
      </c>
      <c r="CB416" s="48" t="str">
        <f t="shared" si="1128"/>
        <v/>
      </c>
      <c r="CC416" s="48" t="str">
        <f t="shared" si="1129"/>
        <v/>
      </c>
      <c r="CD416" s="47" t="str">
        <f t="shared" si="1130"/>
        <v/>
      </c>
      <c r="CE416" s="66"/>
      <c r="CF416" s="62"/>
      <c r="CG416" s="74"/>
      <c r="CH416" s="75" t="str">
        <f t="shared" si="1131"/>
        <v/>
      </c>
      <c r="CI416" s="62"/>
      <c r="CJ416" s="62"/>
      <c r="CK416" s="62"/>
      <c r="CL416" s="62"/>
      <c r="CM416" s="62"/>
      <c r="CN416" s="62"/>
      <c r="CO416" s="62"/>
      <c r="CP416" s="75" t="str">
        <f>IFERROR(IF(SUM(CI416:CO416)&gt;0,SUM(CI416:CO416),""),"")</f>
        <v/>
      </c>
      <c r="CQ416" s="62"/>
      <c r="CR416" s="75" t="str">
        <f t="shared" si="1132"/>
        <v/>
      </c>
      <c r="CS416" s="75" t="str">
        <f t="shared" si="1133"/>
        <v/>
      </c>
      <c r="CT416" s="62"/>
      <c r="CU416" s="47" t="str">
        <f t="shared" si="1134"/>
        <v/>
      </c>
      <c r="CV416" s="76" t="str">
        <f t="shared" si="1135"/>
        <v/>
      </c>
      <c r="CW416" s="75" t="str">
        <f t="shared" si="1136"/>
        <v/>
      </c>
      <c r="CX416" s="77" t="str">
        <f t="shared" si="1137"/>
        <v/>
      </c>
      <c r="CY416" s="75" t="str">
        <f t="shared" si="1138"/>
        <v/>
      </c>
      <c r="CZ416" s="77" t="str">
        <f t="shared" si="1139"/>
        <v/>
      </c>
      <c r="DA416" s="77" t="str">
        <f t="shared" si="1140"/>
        <v/>
      </c>
      <c r="DB416" s="47" t="str">
        <f t="shared" si="1141"/>
        <v/>
      </c>
      <c r="DC416" s="69" t="str">
        <f t="shared" si="1148"/>
        <v/>
      </c>
      <c r="DD416" s="70" t="str">
        <f t="shared" si="1149"/>
        <v/>
      </c>
      <c r="DE416" s="70" t="str">
        <f t="shared" si="1150"/>
        <v/>
      </c>
      <c r="DF416" s="70" t="str">
        <f t="shared" si="1151"/>
        <v/>
      </c>
      <c r="DG416" s="70" t="str">
        <f t="shared" si="1152"/>
        <v/>
      </c>
      <c r="DH416" s="70" t="str">
        <f t="shared" si="1176"/>
        <v/>
      </c>
      <c r="DI416" s="70" t="str">
        <f t="shared" si="1177"/>
        <v/>
      </c>
      <c r="DJ416" s="70" t="str">
        <f t="shared" si="1178"/>
        <v/>
      </c>
      <c r="DK416" s="70" t="str">
        <f t="shared" si="1153"/>
        <v/>
      </c>
      <c r="DL416" s="70" t="str">
        <f t="shared" si="1154"/>
        <v/>
      </c>
      <c r="DM416" s="70" t="str">
        <f t="shared" si="1155"/>
        <v/>
      </c>
      <c r="DN416" s="70" t="str">
        <f t="shared" si="1156"/>
        <v/>
      </c>
      <c r="DO416" s="70" t="str">
        <f t="shared" si="1157"/>
        <v/>
      </c>
      <c r="DP416" s="70" t="str">
        <f t="shared" si="1158"/>
        <v/>
      </c>
      <c r="DQ416" s="70" t="str">
        <f t="shared" si="1159"/>
        <v/>
      </c>
      <c r="DR416" s="70" t="str">
        <f t="shared" si="1160"/>
        <v/>
      </c>
      <c r="DS416" s="71" t="str">
        <f t="shared" si="1161"/>
        <v/>
      </c>
      <c r="DT416" s="106" t="str">
        <f t="shared" si="1162"/>
        <v/>
      </c>
      <c r="DU416" s="92" t="str">
        <f t="shared" si="1163"/>
        <v/>
      </c>
      <c r="DV416" s="92" t="str">
        <f t="shared" si="1164"/>
        <v/>
      </c>
      <c r="DW416" s="92" t="str">
        <f t="shared" si="1165"/>
        <v/>
      </c>
      <c r="DX416" s="92" t="str">
        <f t="shared" si="1166"/>
        <v/>
      </c>
      <c r="DY416" s="92" t="str">
        <f t="shared" si="1179"/>
        <v/>
      </c>
      <c r="DZ416" s="92" t="str">
        <f t="shared" si="1180"/>
        <v/>
      </c>
      <c r="EA416" s="92" t="str">
        <f t="shared" si="1181"/>
        <v/>
      </c>
      <c r="EB416" s="92" t="str">
        <f t="shared" si="1167"/>
        <v/>
      </c>
      <c r="EC416" s="92" t="str">
        <f t="shared" si="1168"/>
        <v/>
      </c>
      <c r="ED416" s="92" t="str">
        <f t="shared" si="1169"/>
        <v/>
      </c>
      <c r="EE416" s="92" t="str">
        <f t="shared" si="1170"/>
        <v/>
      </c>
      <c r="EF416" s="92" t="str">
        <f t="shared" si="1171"/>
        <v/>
      </c>
      <c r="EG416" s="92" t="str">
        <f t="shared" si="1172"/>
        <v/>
      </c>
      <c r="EH416" s="92" t="str">
        <f t="shared" si="1173"/>
        <v/>
      </c>
      <c r="EI416" s="92" t="str">
        <f t="shared" si="1174"/>
        <v/>
      </c>
      <c r="EJ416" s="107" t="str">
        <f t="shared" si="1175"/>
        <v/>
      </c>
    </row>
    <row r="419" spans="4:140" ht="12.6" thickBot="1"/>
    <row r="420" spans="4:140">
      <c r="D420" s="209" t="s">
        <v>1714</v>
      </c>
      <c r="Q420" s="80" t="s">
        <v>1714</v>
      </c>
      <c r="R420" s="81">
        <f>IFERROR(ROUND(SUBTOTAL(101,R$5:R416),0),0)</f>
        <v>190</v>
      </c>
      <c r="S420" s="82">
        <f>IFERROR(ROUND(SUBTOTAL(101,S$5:S416),0),0)</f>
        <v>1</v>
      </c>
      <c r="T420" s="82">
        <f>IFERROR(ROUND(SUBTOTAL(101,T$5:T416),0),0)</f>
        <v>191</v>
      </c>
      <c r="U420" s="83">
        <f>IFERROR(ROUND(SUBTOTAL(101,U$5:U416),0),0)</f>
        <v>176953</v>
      </c>
      <c r="V420" s="88">
        <f>IFERROR(SUBTOTAL(101,V$5:V416),0)</f>
        <v>10.975499999999998</v>
      </c>
      <c r="W420" s="88">
        <f>IFERROR(SUBTOTAL(101,W$5:W416),0)</f>
        <v>21.152666309977743</v>
      </c>
      <c r="X420" s="82">
        <f>IFERROR(ROUND(SUBTOTAL(101,X$5:X416),0),0)</f>
        <v>1994</v>
      </c>
      <c r="Y420" s="82"/>
      <c r="Z420" s="85">
        <f>IFERROR(ROUND(SUBTOTAL(101,Z$5:Z416),0),0)</f>
        <v>26460455</v>
      </c>
      <c r="AA420" s="87">
        <f>IFERROR(SUBTOTAL(101,AA$5:AA416),0)</f>
        <v>6.2660714285714306E-2</v>
      </c>
      <c r="AB420" s="84">
        <f>IFERROR(ROUND(SUBTOTAL(101,AB$5:AB416),0),0)</f>
        <v>20</v>
      </c>
      <c r="AC420" s="84">
        <f>IFERROR(ROUND(SUBTOTAL(101,AC$5:AC416),0),0)</f>
        <v>39</v>
      </c>
      <c r="AD420" s="87">
        <f>IFERROR(SUBTOTAL(101,AD$5:AD416),0)</f>
        <v>5.6089285714285717E-2</v>
      </c>
      <c r="AE420" s="85">
        <f>IFERROR(ROUND(SUBTOTAL(101,AE$5:AE416),0),0)</f>
        <v>22777094</v>
      </c>
      <c r="AF420" s="88">
        <f>IFERROR(SUBTOTAL(101,AF$5:AF416),0)</f>
        <v>1.1796428571428572</v>
      </c>
      <c r="AG420" s="84">
        <f>IFERROR(ROUND(SUBTOTAL(101,AG$5:AG416),0),0)</f>
        <v>27</v>
      </c>
      <c r="AH420" s="84">
        <f>IFERROR(ROUND(SUBTOTAL(101,AH$5:AH416),0),0)</f>
        <v>24</v>
      </c>
      <c r="AI420" s="87">
        <f>IFERROR(SUBTOTAL(101,AI$5:AI416),0)</f>
        <v>2.8839999999999998E-2</v>
      </c>
      <c r="AJ420" s="85">
        <f>IFERROR(ROUND(SUBTOTAL(101,AJ$5:AJ416),0),0)</f>
        <v>6096054</v>
      </c>
      <c r="AK420" s="85">
        <f>IFERROR(ROUND(SUBTOTAL(101,AK$5:AK416),0),0)</f>
        <v>23865675</v>
      </c>
      <c r="AL420" s="85">
        <f>IFERROR(ROUND(SUBTOTAL(101,AL$5:AL416),0),0)</f>
        <v>1460571</v>
      </c>
      <c r="AM420" s="82"/>
      <c r="AN420" s="118">
        <f>IFERROR(SUBTOTAL(101,AN$5:AN416),0)</f>
        <v>0.84964285714285737</v>
      </c>
      <c r="AO420" s="85">
        <f>IFERROR(SUBTOTAL(101,AO$5:AO416),0)</f>
        <v>21283583.321428571</v>
      </c>
      <c r="AP420" s="85">
        <f>IFERROR(ROUND(SUBTOTAL(101,AP$5:AP416),0),0)</f>
        <v>1594944</v>
      </c>
      <c r="AQ420" s="85">
        <f>IFERROR(ROUND(SUBTOTAL(101,AQ$5:AQ416),0),0)</f>
        <v>3624933</v>
      </c>
      <c r="AR420" s="85">
        <f>IFERROR(ROUND(SUBTOTAL(101,AR$5:AR416),0),0)</f>
        <v>112288</v>
      </c>
      <c r="AS420" s="85">
        <f>IFERROR(ROUND(SUBTOTAL(101,AS$5:AS416),0),0)</f>
        <v>31319</v>
      </c>
      <c r="AT420" s="85">
        <f>IFERROR(ROUND(SUBTOTAL(101,AT$5:AT416),0),0)</f>
        <v>114764</v>
      </c>
      <c r="AU420" s="85">
        <f>IFERROR(ROUND(SUBTOTAL(101,AU$5:AU416),0),0)</f>
        <v>7735</v>
      </c>
      <c r="AV420" s="85">
        <f>IFERROR(ROUND(SUBTOTAL(101,AV$5:AV416),0),0)</f>
        <v>16492</v>
      </c>
      <c r="AW420" s="85">
        <f>IFERROR(ROUND(SUBTOTAL(101,AW$5:AW416),0),0)</f>
        <v>108989</v>
      </c>
      <c r="AX420" s="85">
        <f>IFERROR(ROUND(SUBTOTAL(101,AX$5:AX416),0),0)</f>
        <v>123</v>
      </c>
      <c r="AY420" s="85">
        <f>IFERROR(ROUND(SUBTOTAL(101,AY$5:AY416),0),0)</f>
        <v>132064</v>
      </c>
      <c r="AZ420" s="85">
        <f>IFERROR(ROUND(SUBTOTAL(101,AZ$5:AZ416),0),0)</f>
        <v>148</v>
      </c>
      <c r="BA420" s="85">
        <f>IFERROR(ROUND(SUBTOTAL(101,BA$5:BA416),0),0)</f>
        <v>21985480</v>
      </c>
      <c r="BB420" s="85">
        <f>IFERROR(ROUND(SUBTOTAL(101,BB$5:BB416),0),0)</f>
        <v>3538649</v>
      </c>
      <c r="BC420" s="85">
        <f>IFERROR(ROUND(SUBTOTAL(101,BC$5:BC416),0),0)</f>
        <v>18224508</v>
      </c>
      <c r="BD420" s="85">
        <f>IFERROR(ROUND(SUBTOTAL(101,BD$5:BD416),0),0)</f>
        <v>1416261</v>
      </c>
      <c r="BE420" s="85">
        <f>IFERROR(ROUND(SUBTOTAL(101,BE$5:BE416),0),0)</f>
        <v>3158779</v>
      </c>
      <c r="BF420" s="85">
        <f>IFERROR(ROUND(SUBTOTAL(101,BF$5:BF416),0),0)</f>
        <v>3029312</v>
      </c>
      <c r="BG420" s="85">
        <f>IFERROR(ROUND(SUBTOTAL(101,BG$5:BG416),0),0)</f>
        <v>6677210</v>
      </c>
      <c r="BH420" s="85">
        <f>IFERROR(ROUND(SUBTOTAL(101,BH$5:BH416),0),0)</f>
        <v>6078468</v>
      </c>
      <c r="BI420" s="85">
        <f>IFERROR(ROUND(SUBTOTAL(101,BI$5:BI416),0),0)</f>
        <v>965426</v>
      </c>
      <c r="BJ420" s="85">
        <f>IFERROR(ROUND(SUBTOTAL(101,BJ$5:BJ416),0),0)</f>
        <v>65074095</v>
      </c>
      <c r="BK420" s="85">
        <f>IFERROR(ROUND(SUBTOTAL(101,BK$5:BK416),0),0)</f>
        <v>110872</v>
      </c>
      <c r="BL420" s="85">
        <f>IFERROR(ROUND(SUBTOTAL(101,BL$5:BL416),0),0)</f>
        <v>17347</v>
      </c>
      <c r="BM420" s="85">
        <f>IFERROR(ROUND(SUBTOTAL(101,BM$5:BM416),0),0)</f>
        <v>91643</v>
      </c>
      <c r="BN420" s="85">
        <f>IFERROR(ROUND(SUBTOTAL(101,BN$5:BN416),0),0)</f>
        <v>7118</v>
      </c>
      <c r="BO420" s="85">
        <f>IFERROR(ROUND(SUBTOTAL(101,BO$5:BO416),0),0)</f>
        <v>15956</v>
      </c>
      <c r="BP420" s="85">
        <f>IFERROR(ROUND(SUBTOTAL(101,BP$5:BP416),0),0)</f>
        <v>15418</v>
      </c>
      <c r="BQ420" s="85">
        <f>IFERROR(ROUND(SUBTOTAL(101,BQ$5:BQ416),0),0)</f>
        <v>29743</v>
      </c>
      <c r="BR420" s="85">
        <f>IFERROR(ROUND(SUBTOTAL(101,BR$5:BR416),0),0)</f>
        <v>31206</v>
      </c>
      <c r="BS420" s="85">
        <f>IFERROR(ROUND(SUBTOTAL(101,BS$5:BS416),0),0)</f>
        <v>4894</v>
      </c>
      <c r="BT420" s="85">
        <f>IFERROR(ROUND(SUBTOTAL(101,BT$5:BT416),0),0)</f>
        <v>320083</v>
      </c>
      <c r="BU420" s="85">
        <f>IFERROR(ROUND(SUBTOTAL(101,BU$5:BU416),0),0)</f>
        <v>121</v>
      </c>
      <c r="BV420" s="85">
        <f>IFERROR(ROUND(SUBTOTAL(101,BV$5:BV416),0),0)</f>
        <v>19</v>
      </c>
      <c r="BW420" s="85">
        <f>IFERROR(ROUND(SUBTOTAL(101,BW$5:BW416),0),0)</f>
        <v>104</v>
      </c>
      <c r="BX420" s="85">
        <f>IFERROR(ROUND(SUBTOTAL(101,BX$5:BX416),0),0)</f>
        <v>8</v>
      </c>
      <c r="BY420" s="85">
        <f>IFERROR(ROUND(SUBTOTAL(101,BY$5:BY416),0),0)</f>
        <v>18</v>
      </c>
      <c r="BZ420" s="85">
        <f>IFERROR(ROUND(SUBTOTAL(101,BZ$5:BZ416),0),0)</f>
        <v>17</v>
      </c>
      <c r="CA420" s="85">
        <f>IFERROR(ROUND(SUBTOTAL(101,CA$5:CA416),0),0)</f>
        <v>32</v>
      </c>
      <c r="CB420" s="85">
        <f>IFERROR(ROUND(SUBTOTAL(101,CB$5:CB416),0),0)</f>
        <v>35</v>
      </c>
      <c r="CC420" s="85">
        <f>IFERROR(ROUND(SUBTOTAL(101,CC$5:CC416),0),0)</f>
        <v>5</v>
      </c>
      <c r="CD420" s="85">
        <f>IFERROR(ROUND(SUBTOTAL(101,CD$5:CD416),0),0)</f>
        <v>354</v>
      </c>
      <c r="CE420" s="85">
        <f>IFERROR(ROUND(SUBTOTAL(101,CE$5:CE416),0),0)</f>
        <v>2954952</v>
      </c>
      <c r="CF420" s="85">
        <f>IFERROR(ROUND(SUBTOTAL(101,CF$5:CF416),0),0)</f>
        <v>62549</v>
      </c>
      <c r="CG420" s="109">
        <f>IFERROR(ROUND(SUBTOTAL(101,CG$5:CG416),0),0)</f>
        <v>-222488</v>
      </c>
      <c r="CH420" s="85">
        <f>IFERROR(ROUND(SUBTOTAL(101,CH$5:CH416),0),0)</f>
        <v>2795014</v>
      </c>
      <c r="CI420" s="85">
        <f>IFERROR(ROUND(SUBTOTAL(101,CI$5:CI416),0),0)</f>
        <v>104677</v>
      </c>
      <c r="CJ420" s="85">
        <f>IFERROR(ROUND(SUBTOTAL(101,CJ$5:CJ416),0),0)</f>
        <v>104965</v>
      </c>
      <c r="CK420" s="85">
        <f>IFERROR(ROUND(SUBTOTAL(101,CK$5:CK416),0),0)</f>
        <v>267080</v>
      </c>
      <c r="CL420" s="85">
        <f>IFERROR(ROUND(SUBTOTAL(101,CL$5:CL416),0),0)</f>
        <v>139651</v>
      </c>
      <c r="CM420" s="85">
        <f>IFERROR(ROUND(SUBTOTAL(101,CM$5:CM416),0),0)</f>
        <v>183371</v>
      </c>
      <c r="CN420" s="85">
        <f>IFERROR(ROUND(SUBTOTAL(101,CN$5:CN416),0),0)</f>
        <v>144128</v>
      </c>
      <c r="CO420" s="85">
        <f>IFERROR(ROUND(SUBTOTAL(101,CO$5:CO416),0),0)</f>
        <v>16662</v>
      </c>
      <c r="CP420" s="85">
        <f>IFERROR(ROUND(SUBTOTAL(101,CP$5:CP416),0),0)</f>
        <v>960533</v>
      </c>
      <c r="CQ420" s="85">
        <f>IFERROR(ROUND(SUBTOTAL(101,CQ$5:CQ416),0),0)</f>
        <v>52932</v>
      </c>
      <c r="CR420" s="85">
        <f>IFERROR(ROUND(SUBTOTAL(101,CR$5:CR416),0),0)</f>
        <v>1013465</v>
      </c>
      <c r="CS420" s="85">
        <f>IFERROR(ROUND(SUBTOTAL(101,CS$5:CS416),0),0)</f>
        <v>1834481</v>
      </c>
      <c r="CT420" s="85">
        <f>IFERROR(ROUND(SUBTOTAL(101,CT$5:CT416),0),0)</f>
        <v>1404951</v>
      </c>
      <c r="CU420" s="85">
        <f>IFERROR(ROUND(SUBTOTAL(101,CU$5:CU416),0),0)</f>
        <v>429529</v>
      </c>
      <c r="CV420" s="86">
        <f>IFERROR(SUBTOTAL(101,CV$5:CV416),0)</f>
        <v>0.60234674656531151</v>
      </c>
      <c r="CW420" s="103">
        <f>IFERROR(SUBTOTAL(101,CW$5:CW416),0)</f>
        <v>5458.8723725367818</v>
      </c>
      <c r="CX420" s="86">
        <f>IFERROR(SUBTOTAL(101,CX$5:CX416),0)</f>
        <v>0.41952531239769569</v>
      </c>
      <c r="CY420" s="103">
        <f>IFERROR(SUBTOTAL(101,CY$5:CY416),0)</f>
        <v>1844.8997985352453</v>
      </c>
      <c r="CZ420" s="86">
        <f>IFERROR(SUBTOTAL(101,CZ$5:CZ416),0)</f>
        <v>0.12690391056060954</v>
      </c>
      <c r="DA420" s="86">
        <f>IFERROR(SUBTOTAL(101,DA$5:DA416),0)</f>
        <v>0.47544283600470172</v>
      </c>
      <c r="DB420" s="103">
        <f>IFERROR(SUBTOTAL(101,DB$5:DB416),0)</f>
        <v>112287.86182003378</v>
      </c>
      <c r="DC420" s="85">
        <f>IFERROR(ROUND(SUBTOTAL(101,DC$5:DC416),0),0)</f>
        <v>14451</v>
      </c>
      <c r="DD420" s="85">
        <f>IFERROR(ROUND(SUBTOTAL(101,DD$5:DD416),0),0)</f>
        <v>321</v>
      </c>
      <c r="DE420" s="109">
        <f>IFERROR(ROUND(SUBTOTAL(101,DE$5:DE416),0),0)</f>
        <v>-1080</v>
      </c>
      <c r="DF420" s="85">
        <f>IFERROR(ROUND(SUBTOTAL(101,DF$5:DF416),0),0)</f>
        <v>13693</v>
      </c>
      <c r="DG420" s="85">
        <f>IFERROR(ROUND(SUBTOTAL(101,DG$5:DG416),0),0)</f>
        <v>572</v>
      </c>
      <c r="DH420" s="85">
        <f>IFERROR(ROUND(SUBTOTAL(101,DH$5:DH416),0),0)</f>
        <v>536</v>
      </c>
      <c r="DI420" s="85">
        <f>IFERROR(ROUND(SUBTOTAL(101,DI$5:DI416),0),0)</f>
        <v>1421</v>
      </c>
      <c r="DJ420" s="85">
        <f>IFERROR(ROUND(SUBTOTAL(101,DJ$5:DJ416),0),0)</f>
        <v>757</v>
      </c>
      <c r="DK420" s="85">
        <f>IFERROR(ROUND(SUBTOTAL(101,DK$5:DK416),0),0)</f>
        <v>978</v>
      </c>
      <c r="DL420" s="85">
        <f>IFERROR(ROUND(SUBTOTAL(101,DL$5:DL416),0),0)</f>
        <v>777</v>
      </c>
      <c r="DM420" s="85">
        <f>IFERROR(ROUND(SUBTOTAL(101,DM$5:DM416),0),0)</f>
        <v>591</v>
      </c>
      <c r="DN420" s="85">
        <f>IFERROR(ROUND(SUBTOTAL(101,DN$5:DN416),0),0)</f>
        <v>5180</v>
      </c>
      <c r="DO420" s="85">
        <f>IFERROR(ROUND(SUBTOTAL(101,DO$5:DO416),0),0)</f>
        <v>279</v>
      </c>
      <c r="DP420" s="85">
        <f>IFERROR(ROUND(SUBTOTAL(101,DP$5:DP416),0),0)</f>
        <v>5459</v>
      </c>
      <c r="DQ420" s="85">
        <f>IFERROR(ROUND(SUBTOTAL(101,DQ$5:DQ416),0),0)</f>
        <v>8513</v>
      </c>
      <c r="DR420" s="85">
        <f>IFERROR(ROUND(SUBTOTAL(101,DR$5:DR416),0),0)</f>
        <v>6668</v>
      </c>
      <c r="DS420" s="85">
        <f>IFERROR(ROUND(SUBTOTAL(101,DS$5:DS416),0),0)</f>
        <v>1845</v>
      </c>
      <c r="DT420" s="86">
        <f>IFERROR(SUBTOTAL(101,DT$5:DT416),0)</f>
        <v>1.0535859890205821</v>
      </c>
      <c r="DU420" s="86">
        <f>IFERROR(SUBTOTAL(101,DU$5:DU416),0)</f>
        <v>2.5599979212671421E-2</v>
      </c>
      <c r="DV420" s="86">
        <f>IFERROR(SUBTOTAL(101,DV$5:DV416),0)</f>
        <v>0</v>
      </c>
      <c r="DW420" s="86">
        <f>IFERROR(SUBTOTAL(101,DW$5:DW416),0)</f>
        <v>1</v>
      </c>
      <c r="DX420" s="86">
        <f>IFERROR(SUBTOTAL(101,DX$5:DX416),0)</f>
        <v>4.4652668372957699E-2</v>
      </c>
      <c r="DY420" s="86">
        <f>IFERROR(SUBTOTAL(101,DY$5:DY416),0)</f>
        <v>4.040247041981844E-2</v>
      </c>
      <c r="DZ420" s="86">
        <f>IFERROR(SUBTOTAL(101,DZ$5:DZ416),0)</f>
        <v>0.10960010818565472</v>
      </c>
      <c r="EA420" s="86">
        <f>IFERROR(SUBTOTAL(101,EA$5:EA416),0)</f>
        <v>5.8439413259618413E-2</v>
      </c>
      <c r="EB420" s="86">
        <f>IFERROR(SUBTOTAL(101,EB$5:EB416),0)</f>
        <v>7.2887679529255719E-2</v>
      </c>
      <c r="EC420" s="86">
        <f>IFERROR(SUBTOTAL(101,EC$5:EC416),0)</f>
        <v>5.8240368818488562E-2</v>
      </c>
      <c r="ED420" s="86">
        <f>IFERROR(SUBTOTAL(101,ED$5:ED416),0)</f>
        <v>5.931494216700936E-2</v>
      </c>
      <c r="EE420" s="86">
        <f>IFERROR(SUBTOTAL(101,EE$5:EE416),0)</f>
        <v>0.39765325343468855</v>
      </c>
      <c r="EF420" s="86">
        <f>IFERROR(SUBTOTAL(101,EF$5:EF416),0)</f>
        <v>2.1872058963007011E-2</v>
      </c>
      <c r="EG420" s="86">
        <f>IFERROR(SUBTOTAL(101,EG$5:EG416),0)</f>
        <v>0.41952531239769569</v>
      </c>
      <c r="EH420" s="86">
        <f>IFERROR(SUBTOTAL(101,EH$5:EH416),0)</f>
        <v>0.60234674656531151</v>
      </c>
      <c r="EI420" s="86">
        <f>IFERROR(SUBTOTAL(101,EI$5:EI416),0)</f>
        <v>0.47544283600470172</v>
      </c>
      <c r="EJ420" s="112">
        <f>IFERROR(SUBTOTAL(101,EJ$5:EJ416),0)</f>
        <v>0.12690391056060954</v>
      </c>
    </row>
    <row r="421" spans="4:140">
      <c r="D421" s="210" t="s">
        <v>1715</v>
      </c>
      <c r="Q421" s="89" t="s">
        <v>1715</v>
      </c>
      <c r="R421" s="90">
        <f>IFERROR(_xlfn.AGGREGATE(12,7,R$5:R416),0)</f>
        <v>186</v>
      </c>
      <c r="S421" s="54">
        <f>IFERROR(_xlfn.AGGREGATE(12,7,S$5:S416),0)</f>
        <v>0</v>
      </c>
      <c r="T421" s="54">
        <f>IFERROR(_xlfn.AGGREGATE(12,7,T$5:T416),0)</f>
        <v>188</v>
      </c>
      <c r="U421" s="91">
        <f>IFERROR(_xlfn.AGGREGATE(12,7,U$5:U416),0)</f>
        <v>162008.5</v>
      </c>
      <c r="V421" s="54">
        <f>IFERROR(_xlfn.AGGREGATE(12,7,V$5:V416),0)</f>
        <v>10.5</v>
      </c>
      <c r="W421" s="95">
        <f>IFERROR(_xlfn.AGGREGATE(12,7,W$5:W416),0)</f>
        <v>18.018332295096556</v>
      </c>
      <c r="X421" s="54">
        <f>IFERROR(_xlfn.AGGREGATE(12,7,X$5:X416),0)</f>
        <v>2001</v>
      </c>
      <c r="Y421" s="54"/>
      <c r="Z421" s="70">
        <f>IFERROR(_xlfn.AGGREGATE(12,7,Z$5:Z416),0)</f>
        <v>22055000</v>
      </c>
      <c r="AA421" s="94">
        <f>IFERROR(_xlfn.AGGREGATE(12,7,AA$5:AA416),0)</f>
        <v>6.2350000000000003E-2</v>
      </c>
      <c r="AB421" s="93">
        <f>IFERROR(_xlfn.AGGREGATE(12,7,AB$5:AB416),0)</f>
        <v>17</v>
      </c>
      <c r="AC421" s="93">
        <f>IFERROR(_xlfn.AGGREGATE(12,7,AC$5:AC416),0)</f>
        <v>40</v>
      </c>
      <c r="AD421" s="94">
        <f>IFERROR(_xlfn.AGGREGATE(12,7,AD$5:AD416),0)</f>
        <v>5.7999999999999996E-2</v>
      </c>
      <c r="AE421" s="70">
        <f>IFERROR(_xlfn.AGGREGATE(12,7,AE$5:AE416),0)</f>
        <v>21599500</v>
      </c>
      <c r="AF421" s="95">
        <f>IFERROR(_xlfn.AGGREGATE(12,7,AF$5:AF416),0)</f>
        <v>1.1499999999999999</v>
      </c>
      <c r="AG421" s="93">
        <f>IFERROR(_xlfn.AGGREGATE(12,7,AG$5:AG416),0)</f>
        <v>20</v>
      </c>
      <c r="AH421" s="93">
        <f>IFERROR(_xlfn.AGGREGATE(12,7,AH$5:AH416),0)</f>
        <v>40</v>
      </c>
      <c r="AI421" s="94">
        <f>IFERROR(_xlfn.AGGREGATE(12,7,AI$5:AI416),0)</f>
        <v>0.02</v>
      </c>
      <c r="AJ421" s="70">
        <f>IFERROR(_xlfn.AGGREGATE(12,7,AJ$5:AJ416),0)</f>
        <v>4000000</v>
      </c>
      <c r="AK421" s="70">
        <f>IFERROR(_xlfn.AGGREGATE(12,7,AK$5:AK416),0)</f>
        <v>23004500</v>
      </c>
      <c r="AL421" s="70">
        <f>IFERROR(_xlfn.AGGREGATE(12,7,AL$5:AL416),0)</f>
        <v>0</v>
      </c>
      <c r="AM421" s="54"/>
      <c r="AN421" s="119">
        <f>IFERROR(_xlfn.AGGREGATE(12,7,AN$5:AN416),0)</f>
        <v>0.85</v>
      </c>
      <c r="AO421" s="70">
        <f>IFERROR(_xlfn.AGGREGATE(12,7,AO$5:AO416),0)</f>
        <v>20406122.5</v>
      </c>
      <c r="AP421" s="70">
        <f>IFERROR(_xlfn.AGGREGATE(12,7,AP$5:AP416),0)</f>
        <v>1236637</v>
      </c>
      <c r="AQ421" s="70">
        <f>IFERROR(_xlfn.AGGREGATE(12,7,AQ$5:AQ416),0)</f>
        <v>3655315.5</v>
      </c>
      <c r="AR421" s="70">
        <f>IFERROR(_xlfn.AGGREGATE(12,7,AR$5:AR416),0)</f>
        <v>104252.23793103448</v>
      </c>
      <c r="AS421" s="70">
        <f>IFERROR(_xlfn.AGGREGATE(12,7,AS$5:AS416),0)</f>
        <v>23437.5</v>
      </c>
      <c r="AT421" s="70">
        <f>IFERROR(_xlfn.AGGREGATE(12,7,AT$5:AT416),0)</f>
        <v>117448.77365869425</v>
      </c>
      <c r="AU421" s="70">
        <f>IFERROR(_xlfn.AGGREGATE(12,7,AU$5:AU416),0)</f>
        <v>7415.0734674329506</v>
      </c>
      <c r="AV421" s="70">
        <f>IFERROR(_xlfn.AGGREGATE(12,7,AV$5:AV416),0)</f>
        <v>16579.674219269102</v>
      </c>
      <c r="AW421" s="70">
        <f>IFERROR(_xlfn.AGGREGATE(12,7,AW$5:AW416),0)</f>
        <v>112699.21091954023</v>
      </c>
      <c r="AX421" s="70">
        <f>IFERROR(_xlfn.AGGREGATE(12,7,AX$5:AX416),0)</f>
        <v>133.90823126384512</v>
      </c>
      <c r="AY421" s="70">
        <f>IFERROR(_xlfn.AGGREGATE(12,7,AY$5:AY416),0)</f>
        <v>137084.31916445622</v>
      </c>
      <c r="AZ421" s="70">
        <f>IFERROR(_xlfn.AGGREGATE(12,7,AZ$5:AZ416),0)</f>
        <v>164.31404141765861</v>
      </c>
      <c r="BA421" s="70">
        <f>IFERROR(_xlfn.AGGREGATE(12,7,BA$5:BA416),0)</f>
        <v>3055045</v>
      </c>
      <c r="BB421" s="70">
        <f>IFERROR(_xlfn.AGGREGATE(12,7,BB$5:BB416),0)</f>
        <v>2054310</v>
      </c>
      <c r="BC421" s="70">
        <f>IFERROR(_xlfn.AGGREGATE(12,7,BC$5:BC416),0)</f>
        <v>16064228.5</v>
      </c>
      <c r="BD421" s="70">
        <f>IFERROR(_xlfn.AGGREGATE(12,7,BD$5:BD416),0)</f>
        <v>1410324.5</v>
      </c>
      <c r="BE421" s="70">
        <f>IFERROR(_xlfn.AGGREGATE(12,7,BE$5:BE416),0)</f>
        <v>2580474</v>
      </c>
      <c r="BF421" s="70">
        <f>IFERROR(_xlfn.AGGREGATE(12,7,BF$5:BF416),0)</f>
        <v>2048755</v>
      </c>
      <c r="BG421" s="70">
        <f>IFERROR(_xlfn.AGGREGATE(12,7,BG$5:BG416),0)</f>
        <v>4610380</v>
      </c>
      <c r="BH421" s="70">
        <f>IFERROR(_xlfn.AGGREGATE(12,7,BH$5:BH416),0)</f>
        <v>5821166.5</v>
      </c>
      <c r="BI421" s="70">
        <f>IFERROR(_xlfn.AGGREGATE(12,7,BI$5:BI416),0)</f>
        <v>853669.5</v>
      </c>
      <c r="BJ421" s="70">
        <f>IFERROR(_xlfn.AGGREGATE(12,7,BJ$5:BJ416),0)</f>
        <v>49326118</v>
      </c>
      <c r="BK421" s="70">
        <f>IFERROR(_xlfn.AGGREGATE(12,7,BK$5:BK416),0)</f>
        <v>17364.864864864863</v>
      </c>
      <c r="BL421" s="70">
        <f>IFERROR(_xlfn.AGGREGATE(12,7,BL$5:BL416),0)</f>
        <v>16088.455953663793</v>
      </c>
      <c r="BM421" s="70">
        <f>IFERROR(_xlfn.AGGREGATE(12,7,BM$5:BM416),0)</f>
        <v>96900.048189655179</v>
      </c>
      <c r="BN421" s="70">
        <f>IFERROR(_xlfn.AGGREGATE(12,7,BN$5:BN416),0)</f>
        <v>6664.0365530303034</v>
      </c>
      <c r="BO421" s="70">
        <f>IFERROR(_xlfn.AGGREGATE(12,7,BO$5:BO416),0)</f>
        <v>16361.565021008402</v>
      </c>
      <c r="BP421" s="70">
        <f>IFERROR(_xlfn.AGGREGATE(12,7,BP$5:BP416),0)</f>
        <v>13539.107471264368</v>
      </c>
      <c r="BQ421" s="70">
        <f>IFERROR(_xlfn.AGGREGATE(12,7,BQ$5:BQ416),0)</f>
        <v>24165.942724458204</v>
      </c>
      <c r="BR421" s="70">
        <f>IFERROR(_xlfn.AGGREGATE(12,7,BR$5:BR416),0)</f>
        <v>29273.2109375</v>
      </c>
      <c r="BS421" s="70">
        <f>IFERROR(_xlfn.AGGREGATE(12,7,BS$5:BS416),0)</f>
        <v>4864.7541756465516</v>
      </c>
      <c r="BT421" s="70">
        <f>IFERROR(_xlfn.AGGREGATE(12,7,BT$5:BT416),0)</f>
        <v>243071.42804505007</v>
      </c>
      <c r="BU421" s="70">
        <f>IFERROR(_xlfn.AGGREGATE(12,7,BU$5:BU416),0)</f>
        <v>20.725806451612904</v>
      </c>
      <c r="BV421" s="70">
        <f>IFERROR(_xlfn.AGGREGATE(12,7,BV$5:BV416),0)</f>
        <v>18.711697500717936</v>
      </c>
      <c r="BW421" s="70">
        <f>IFERROR(_xlfn.AGGREGATE(12,7,BW$5:BW416),0)</f>
        <v>111.0906180832559</v>
      </c>
      <c r="BX421" s="70">
        <f>IFERROR(_xlfn.AGGREGATE(12,7,BX$5:BX416),0)</f>
        <v>7.9051113579407133</v>
      </c>
      <c r="BY421" s="70">
        <f>IFERROR(_xlfn.AGGREGATE(12,7,BY$5:BY416),0)</f>
        <v>19.083845392228909</v>
      </c>
      <c r="BZ421" s="70">
        <f>IFERROR(_xlfn.AGGREGATE(12,7,BZ$5:BZ416),0)</f>
        <v>15.553157528014204</v>
      </c>
      <c r="CA421" s="70">
        <f>IFERROR(_xlfn.AGGREGATE(12,7,CA$5:CA416),0)</f>
        <v>30.622760316068309</v>
      </c>
      <c r="CB421" s="70">
        <f>IFERROR(_xlfn.AGGREGATE(12,7,CB$5:CB416),0)</f>
        <v>33.088374919296648</v>
      </c>
      <c r="CC421" s="70">
        <f>IFERROR(_xlfn.AGGREGATE(12,7,CC$5:CC416),0)</f>
        <v>5.0579953651169145</v>
      </c>
      <c r="CD421" s="70">
        <f>IFERROR(_xlfn.AGGREGATE(12,7,CD$5:CD416),0)</f>
        <v>281.03351383705876</v>
      </c>
      <c r="CE421" s="70">
        <f>IFERROR(_xlfn.AGGREGATE(12,7,CE$5:CE416),0)</f>
        <v>2492202</v>
      </c>
      <c r="CF421" s="70">
        <f>IFERROR(_xlfn.AGGREGATE(12,7,CF$5:CF416),0)</f>
        <v>53556</v>
      </c>
      <c r="CG421" s="110">
        <f>IFERROR(_xlfn.AGGREGATE(12,7,CG$5:CG416),0)</f>
        <v>-189855.5</v>
      </c>
      <c r="CH421" s="70">
        <f>IFERROR(_xlfn.AGGREGATE(12,7,CH$5:CH416),0)</f>
        <v>2372025.5</v>
      </c>
      <c r="CI421" s="70">
        <f>IFERROR(_xlfn.AGGREGATE(12,7,CI$5:CI416),0)</f>
        <v>97129</v>
      </c>
      <c r="CJ421" s="70">
        <f>IFERROR(_xlfn.AGGREGATE(12,7,CJ$5:CJ416),0)</f>
        <v>92758</v>
      </c>
      <c r="CK421" s="70">
        <f>IFERROR(_xlfn.AGGREGATE(12,7,CK$5:CK416),0)</f>
        <v>280794.5</v>
      </c>
      <c r="CL421" s="70">
        <f>IFERROR(_xlfn.AGGREGATE(12,7,CL$5:CL416),0)</f>
        <v>141516</v>
      </c>
      <c r="CM421" s="70">
        <f>IFERROR(_xlfn.AGGREGATE(12,7,CM$5:CM416),0)</f>
        <v>165279</v>
      </c>
      <c r="CN421" s="70">
        <f>IFERROR(_xlfn.AGGREGATE(12,7,CN$5:CN416),0)</f>
        <v>145000</v>
      </c>
      <c r="CO421" s="70">
        <f>IFERROR(_xlfn.AGGREGATE(12,7,CO$5:CO416),0)</f>
        <v>0</v>
      </c>
      <c r="CP421" s="70">
        <f>IFERROR(_xlfn.AGGREGATE(12,7,CP$5:CP416),0)</f>
        <v>955909</v>
      </c>
      <c r="CQ421" s="70">
        <f>IFERROR(_xlfn.AGGREGATE(12,7,CQ$5:CQ416),0)</f>
        <v>59150</v>
      </c>
      <c r="CR421" s="70">
        <f>IFERROR(_xlfn.AGGREGATE(12,7,CR$5:CR416),0)</f>
        <v>1023159</v>
      </c>
      <c r="CS421" s="70">
        <f>IFERROR(_xlfn.AGGREGATE(12,7,CS$5:CS416),0)</f>
        <v>1488493.5</v>
      </c>
      <c r="CT421" s="70">
        <f>IFERROR(_xlfn.AGGREGATE(12,7,CT$5:CT416),0)</f>
        <v>1127030.5</v>
      </c>
      <c r="CU421" s="70">
        <f>IFERROR(_xlfn.AGGREGATE(12,7,CU$5:CU416),0)</f>
        <v>273304</v>
      </c>
      <c r="CV421" s="92">
        <f>IFERROR(_xlfn.AGGREGATE(12,7,CV$5:CV416),0)</f>
        <v>0.61746911161269491</v>
      </c>
      <c r="CW421" s="104">
        <f>IFERROR(_xlfn.AGGREGATE(12,7,CW$5:CW416),0)</f>
        <v>5455.4289560439556</v>
      </c>
      <c r="CX421" s="92">
        <f>IFERROR(_xlfn.AGGREGATE(12,7,CX$5:CX416),0)</f>
        <v>0.40975095527477079</v>
      </c>
      <c r="CY421" s="104">
        <f>IFERROR(_xlfn.AGGREGATE(12,7,CY$5:CY416),0)</f>
        <v>1556.3764745916515</v>
      </c>
      <c r="CZ421" s="92">
        <f>IFERROR(_xlfn.AGGREGATE(12,7,CZ$5:CZ416),0)</f>
        <v>0.1109587114186279</v>
      </c>
      <c r="DA421" s="92">
        <f>IFERROR(_xlfn.AGGREGATE(12,7,DA$5:DA416),0)</f>
        <v>0.49026511531142902</v>
      </c>
      <c r="DB421" s="104">
        <f>IFERROR(_xlfn.AGGREGATE(12,7,DB$5:DB416),0)</f>
        <v>104252.23793103448</v>
      </c>
      <c r="DC421" s="70">
        <f>IFERROR(_xlfn.AGGREGATE(12,7,DC$5:DC416),0)</f>
        <v>13295.352631578948</v>
      </c>
      <c r="DD421" s="70">
        <f>IFERROR(_xlfn.AGGREGATE(12,7,DD$5:DD416),0)</f>
        <v>300</v>
      </c>
      <c r="DE421" s="110">
        <f>IFERROR(_xlfn.AGGREGATE(12,7,DE$5:DE416),0)</f>
        <v>-1002.4617996604414</v>
      </c>
      <c r="DF421" s="70">
        <f>IFERROR(_xlfn.AGGREGATE(12,7,DF$5:DF416),0)</f>
        <v>12576.316812865498</v>
      </c>
      <c r="DG421" s="70">
        <f>IFERROR(_xlfn.AGGREGATE(12,7,DG$5:DG416),0)</f>
        <v>510.33333333333331</v>
      </c>
      <c r="DH421" s="70">
        <f>IFERROR(_xlfn.AGGREGATE(12,7,DH$5:DH416),0)</f>
        <v>492.46217105263156</v>
      </c>
      <c r="DI421" s="70">
        <f>IFERROR(_xlfn.AGGREGATE(12,7,DI$5:DI416),0)</f>
        <v>1294.0741145833333</v>
      </c>
      <c r="DJ421" s="70">
        <f>IFERROR(_xlfn.AGGREGATE(12,7,DJ$5:DJ416),0)</f>
        <v>676.67422867513619</v>
      </c>
      <c r="DK421" s="70">
        <f>IFERROR(_xlfn.AGGREGATE(12,7,DK$5:DK416),0)</f>
        <v>918.5344827586207</v>
      </c>
      <c r="DL421" s="70">
        <f>IFERROR(_xlfn.AGGREGATE(12,7,DL$5:DL416),0)</f>
        <v>750.14285714285711</v>
      </c>
      <c r="DM421" s="70">
        <f>IFERROR(_xlfn.AGGREGATE(12,7,DM$5:DM416),0)</f>
        <v>630.06666666666672</v>
      </c>
      <c r="DN421" s="70">
        <f>IFERROR(_xlfn.AGGREGATE(12,7,DN$5:DN416),0)</f>
        <v>5195.9659151785709</v>
      </c>
      <c r="DO421" s="70">
        <f>IFERROR(_xlfn.AGGREGATE(12,7,DO$5:DO416),0)</f>
        <v>250</v>
      </c>
      <c r="DP421" s="70">
        <f>IFERROR(_xlfn.AGGREGATE(12,7,DP$5:DP416),0)</f>
        <v>5455.4289560439556</v>
      </c>
      <c r="DQ421" s="70">
        <f>IFERROR(_xlfn.AGGREGATE(12,7,DQ$5:DQ416),0)</f>
        <v>8220.8062068965519</v>
      </c>
      <c r="DR421" s="70">
        <f>IFERROR(_xlfn.AGGREGATE(12,7,DR$5:DR416),0)</f>
        <v>6442.6632183908041</v>
      </c>
      <c r="DS421" s="70">
        <f>IFERROR(_xlfn.AGGREGATE(12,7,DS$5:DS416),0)</f>
        <v>1556.3764745916515</v>
      </c>
      <c r="DT421" s="92">
        <f>IFERROR(_xlfn.AGGREGATE(12,7,DT$5:DT416),0)</f>
        <v>1.0579829270038661</v>
      </c>
      <c r="DU421" s="92">
        <f>IFERROR(_xlfn.AGGREGATE(12,7,DU$5:DU416),0)</f>
        <v>2.0992069301593634E-2</v>
      </c>
      <c r="DV421" s="92">
        <f>IFERROR(_xlfn.AGGREGATE(12,7,DV$5:DV416),0)</f>
        <v>0</v>
      </c>
      <c r="DW421" s="92">
        <f>IFERROR(_xlfn.AGGREGATE(12,7,DW$5:DW416),0)</f>
        <v>1</v>
      </c>
      <c r="DX421" s="92">
        <f>IFERROR(_xlfn.AGGREGATE(12,7,DX$5:DX416),0)</f>
        <v>3.6855820284185589E-2</v>
      </c>
      <c r="DY421" s="92">
        <f>IFERROR(_xlfn.AGGREGATE(12,7,DY$5:DY416),0)</f>
        <v>4.000011485324409E-2</v>
      </c>
      <c r="DZ421" s="92">
        <f>IFERROR(_xlfn.AGGREGATE(12,7,DZ$5:DZ416),0)</f>
        <v>0.10864878266908747</v>
      </c>
      <c r="EA421" s="92">
        <f>IFERROR(_xlfn.AGGREGATE(12,7,EA$5:EA416),0)</f>
        <v>5.3903049524197361E-2</v>
      </c>
      <c r="EB421" s="92">
        <f>IFERROR(_xlfn.AGGREGATE(12,7,EB$5:EB416),0)</f>
        <v>7.3373883442219706E-2</v>
      </c>
      <c r="EC421" s="92">
        <f>IFERROR(_xlfn.AGGREGATE(12,7,EC$5:EC416),0)</f>
        <v>6.0860196290978649E-2</v>
      </c>
      <c r="ED421" s="92">
        <f>IFERROR(_xlfn.AGGREGATE(12,7,ED$5:ED416),0)</f>
        <v>6.9222881418003368E-2</v>
      </c>
      <c r="EE421" s="92">
        <f>IFERROR(_xlfn.AGGREGATE(12,7,EE$5:EE416),0)</f>
        <v>0.38253088838730515</v>
      </c>
      <c r="EF421" s="92">
        <f>IFERROR(_xlfn.AGGREGATE(12,7,EF$5:EF416),0)</f>
        <v>2.1073066381658186E-2</v>
      </c>
      <c r="EG421" s="92">
        <f>IFERROR(_xlfn.AGGREGATE(12,7,EG$5:EG416),0)</f>
        <v>0.40975095527477079</v>
      </c>
      <c r="EH421" s="92">
        <f>IFERROR(_xlfn.AGGREGATE(12,7,EH$5:EH416),0)</f>
        <v>0.61746911161269491</v>
      </c>
      <c r="EI421" s="92">
        <f>IFERROR(_xlfn.AGGREGATE(12,7,EI$5:EI416),0)</f>
        <v>0.49026511531142902</v>
      </c>
      <c r="EJ421" s="107">
        <f>IFERROR(_xlfn.AGGREGATE(12,7,EJ$5:EJ416),0)</f>
        <v>0.1109587114186279</v>
      </c>
    </row>
    <row r="422" spans="4:140">
      <c r="D422" s="210" t="s">
        <v>1716</v>
      </c>
      <c r="Q422" s="89" t="s">
        <v>1716</v>
      </c>
      <c r="R422" s="90">
        <f>IFERROR(SUBTOTAL(104,R$5:R416),"")</f>
        <v>350</v>
      </c>
      <c r="S422" s="54">
        <f>IFERROR(SUBTOTAL(104,S$5:S416),"")</f>
        <v>30</v>
      </c>
      <c r="T422" s="54">
        <f>IFERROR(SUBTOTAL(104,T$5:T416),"")</f>
        <v>350</v>
      </c>
      <c r="U422" s="91">
        <f>IFERROR(SUBTOTAL(104,U$5:U416),"")</f>
        <v>436500</v>
      </c>
      <c r="V422" s="54">
        <f>IFERROR(SUBTOTAL(104,V$5:V416),"")</f>
        <v>32.549999999999997</v>
      </c>
      <c r="W422" s="95">
        <f>IFERROR(SUBTOTAL(104,W$5:W416),"")</f>
        <v>76.991150442477888</v>
      </c>
      <c r="X422" s="54">
        <f>IFERROR(SUBTOTAL(104,X$5:X416),"")</f>
        <v>2008</v>
      </c>
      <c r="Y422" s="54"/>
      <c r="Z422" s="70">
        <f>IFERROR(SUBTOTAL(104,Z$5:Z416),"")</f>
        <v>72774039</v>
      </c>
      <c r="AA422" s="94">
        <f>IFERROR(SUBTOTAL(104,AA$5:AA416),"")</f>
        <v>0.08</v>
      </c>
      <c r="AB422" s="93">
        <f>IFERROR(SUBTOTAL(104,AB$5:AB416),"")</f>
        <v>40</v>
      </c>
      <c r="AC422" s="93">
        <f>IFERROR(SUBTOTAL(104,AC$5:AC416),"")</f>
        <v>40</v>
      </c>
      <c r="AD422" s="94">
        <f>IFERROR(SUBTOTAL(104,AD$5:AD416),"")</f>
        <v>6.6100000000000006E-2</v>
      </c>
      <c r="AE422" s="70">
        <f>IFERROR(SUBTOTAL(104,AE$5:AE416),"")</f>
        <v>70270000</v>
      </c>
      <c r="AF422" s="95">
        <f>IFERROR(SUBTOTAL(104,AF$5:AF416),"")</f>
        <v>1.32</v>
      </c>
      <c r="AG422" s="93">
        <f>IFERROR(SUBTOTAL(104,AG$5:AG416),"")</f>
        <v>40</v>
      </c>
      <c r="AH422" s="93">
        <f>IFERROR(SUBTOTAL(104,AH$5:AH416),"")</f>
        <v>40</v>
      </c>
      <c r="AI422" s="94">
        <f>IFERROR(SUBTOTAL(104,AI$5:AI416),"")</f>
        <v>6.6000000000000003E-2</v>
      </c>
      <c r="AJ422" s="70">
        <f>IFERROR(SUBTOTAL(104,AJ$5:AJ416),"")</f>
        <v>10875000</v>
      </c>
      <c r="AK422" s="70">
        <f>IFERROR(SUBTOTAL(104,AK$5:AK416),"")</f>
        <v>70270000</v>
      </c>
      <c r="AL422" s="70">
        <f>IFERROR(SUBTOTAL(104,AL$5:AL416),"")</f>
        <v>15501940</v>
      </c>
      <c r="AM422" s="54"/>
      <c r="AN422" s="119">
        <f>IFERROR(SUBTOTAL(104,AN$5:AN416),"")</f>
        <v>0.94</v>
      </c>
      <c r="AO422" s="70">
        <f>IFERROR(SUBTOTAL(104,AO$5:AO416),"")</f>
        <v>50408237</v>
      </c>
      <c r="AP422" s="70">
        <f>IFERROR(SUBTOTAL(104,AP$5:AP416),"")</f>
        <v>5195776</v>
      </c>
      <c r="AQ422" s="70">
        <f>IFERROR(SUBTOTAL(104,AQ$5:AQ416),"")</f>
        <v>7802098</v>
      </c>
      <c r="AR422" s="70">
        <f>IFERROR(SUBTOTAL(104,AR$5:AR416),"")</f>
        <v>210166.66666666666</v>
      </c>
      <c r="AS422" s="70">
        <f>IFERROR(SUBTOTAL(104,AS$5:AS416),"")</f>
        <v>83333.333333333328</v>
      </c>
      <c r="AT422" s="70">
        <f>IFERROR(SUBTOTAL(104,AT$5:AT416),"")</f>
        <v>222137.94444444444</v>
      </c>
      <c r="AU422" s="70">
        <f>IFERROR(SUBTOTAL(104,AU$5:AU416),"")</f>
        <v>14845.074285714285</v>
      </c>
      <c r="AV422" s="70">
        <f>IFERROR(SUBTOTAL(104,AV$5:AV416),"")</f>
        <v>33629.732758620688</v>
      </c>
      <c r="AW422" s="70">
        <f>IFERROR(SUBTOTAL(104,AW$5:AW416),"")</f>
        <v>198222.51666666666</v>
      </c>
      <c r="AX422" s="70">
        <f>IFERROR(SUBTOTAL(104,AX$5:AX416),"")</f>
        <v>205.79580218715392</v>
      </c>
      <c r="AY422" s="70">
        <f>IFERROR(SUBTOTAL(104,AY$5:AY416),"")</f>
        <v>239532.08333333334</v>
      </c>
      <c r="AZ422" s="70">
        <f>IFERROR(SUBTOTAL(104,AZ$5:AZ416),"")</f>
        <v>248.68364133444078</v>
      </c>
      <c r="BA422" s="70">
        <f>IFERROR(SUBTOTAL(104,BA$5:BA416),"")</f>
        <v>411102000</v>
      </c>
      <c r="BB422" s="70">
        <f>IFERROR(SUBTOTAL(104,BB$5:BB416),"")</f>
        <v>21935000</v>
      </c>
      <c r="BC422" s="70">
        <f>IFERROR(SUBTOTAL(104,BC$5:BC416),"")</f>
        <v>46532868</v>
      </c>
      <c r="BD422" s="70">
        <f>IFERROR(SUBTOTAL(104,BD$5:BD416),"")</f>
        <v>4183000</v>
      </c>
      <c r="BE422" s="70">
        <f>IFERROR(SUBTOTAL(104,BE$5:BE416),"")</f>
        <v>9684211</v>
      </c>
      <c r="BF422" s="70">
        <f>IFERROR(SUBTOTAL(104,BF$5:BF416),"")</f>
        <v>10021887</v>
      </c>
      <c r="BG422" s="70">
        <f>IFERROR(SUBTOTAL(104,BG$5:BG416),"")</f>
        <v>23903636</v>
      </c>
      <c r="BH422" s="70">
        <f>IFERROR(SUBTOTAL(104,BH$5:BH416),"")</f>
        <v>15967699</v>
      </c>
      <c r="BI422" s="70">
        <f>IFERROR(SUBTOTAL(104,BI$5:BI416),"")</f>
        <v>3525917</v>
      </c>
      <c r="BJ422" s="70">
        <f>IFERROR(SUBTOTAL(104,BJ$5:BJ416),"")</f>
        <v>452766941</v>
      </c>
      <c r="BK422" s="70">
        <f>IFERROR(SUBTOTAL(104,BK$5:BK416),"")</f>
        <v>1771991.3793103448</v>
      </c>
      <c r="BL422" s="70">
        <f>IFERROR(SUBTOTAL(104,BL$5:BL416),"")</f>
        <v>62671.428571428572</v>
      </c>
      <c r="BM422" s="70">
        <f>IFERROR(SUBTOTAL(104,BM$5:BM416),"")</f>
        <v>167569.58333333334</v>
      </c>
      <c r="BN422" s="70">
        <f>IFERROR(SUBTOTAL(104,BN$5:BN416),"")</f>
        <v>11951.428571428571</v>
      </c>
      <c r="BO422" s="70">
        <f>IFERROR(SUBTOTAL(104,BO$5:BO416),"")</f>
        <v>29416.216666666667</v>
      </c>
      <c r="BP422" s="70">
        <f>IFERROR(SUBTOTAL(104,BP$5:BP416),"")</f>
        <v>48338.791666666664</v>
      </c>
      <c r="BQ422" s="70">
        <f>IFERROR(SUBTOTAL(104,BQ$5:BQ416),"")</f>
        <v>68296.102857142861</v>
      </c>
      <c r="BR422" s="70">
        <f>IFERROR(SUBTOTAL(104,BR$5:BR416),"")</f>
        <v>47285.933333333334</v>
      </c>
      <c r="BS422" s="70">
        <f>IFERROR(SUBTOTAL(104,BS$5:BS416),"")</f>
        <v>10074.048571428571</v>
      </c>
      <c r="BT422" s="70">
        <f>IFERROR(SUBTOTAL(104,BT$5:BT416),"")</f>
        <v>1951581.6422413792</v>
      </c>
      <c r="BU422" s="70">
        <f>IFERROR(SUBTOTAL(104,BU$5:BU416),"")</f>
        <v>1935.4355768144326</v>
      </c>
      <c r="BV422" s="70">
        <f>IFERROR(SUBTOTAL(104,BV$5:BV416),"")</f>
        <v>50.252004581901488</v>
      </c>
      <c r="BW422" s="70">
        <f>IFERROR(SUBTOTAL(104,BW$5:BW416),"")</f>
        <v>173.9717434939092</v>
      </c>
      <c r="BX422" s="70">
        <f>IFERROR(SUBTOTAL(104,BX$5:BX416),"")</f>
        <v>13.034070084200099</v>
      </c>
      <c r="BY422" s="70">
        <f>IFERROR(SUBTOTAL(104,BY$5:BY416),"")</f>
        <v>30.540092054263567</v>
      </c>
      <c r="BZ422" s="70">
        <f>IFERROR(SUBTOTAL(104,BZ$5:BZ416),"")</f>
        <v>50.185622577519382</v>
      </c>
      <c r="CA422" s="70">
        <f>IFERROR(SUBTOTAL(104,CA$5:CA416),"")</f>
        <v>63.379569739670956</v>
      </c>
      <c r="CB422" s="70">
        <f>IFERROR(SUBTOTAL(104,CB$5:CB416),"")</f>
        <v>49.092538759689923</v>
      </c>
      <c r="CC422" s="70">
        <f>IFERROR(SUBTOTAL(104,CC$5:CC416),"")</f>
        <v>9.6297175486330904</v>
      </c>
      <c r="CD422" s="70">
        <f>IFERROR(SUBTOTAL(104,CD$5:CD416),"")</f>
        <v>2131.5908110805622</v>
      </c>
      <c r="CE422" s="70">
        <f>IFERROR(SUBTOTAL(104,CE$5:CE416),"")</f>
        <v>7553928</v>
      </c>
      <c r="CF422" s="70">
        <f>IFERROR(SUBTOTAL(104,CF$5:CF416),"")</f>
        <v>216828</v>
      </c>
      <c r="CG422" s="110">
        <f>IFERROR(SUBTOTAL(104,CG$5:CG416),"")</f>
        <v>-24470</v>
      </c>
      <c r="CH422" s="70">
        <f>IFERROR(SUBTOTAL(104,CH$5:CH416),"")</f>
        <v>7103933</v>
      </c>
      <c r="CI422" s="70">
        <f>IFERROR(SUBTOTAL(104,CI$5:CI416),"")</f>
        <v>331100</v>
      </c>
      <c r="CJ422" s="70">
        <f>IFERROR(SUBTOTAL(104,CJ$5:CJ416),"")</f>
        <v>284157</v>
      </c>
      <c r="CK422" s="70">
        <f>IFERROR(SUBTOTAL(104,CK$5:CK416),"")</f>
        <v>500000</v>
      </c>
      <c r="CL422" s="70">
        <f>IFERROR(SUBTOTAL(104,CL$5:CL416),"")</f>
        <v>264500</v>
      </c>
      <c r="CM422" s="70">
        <f>IFERROR(SUBTOTAL(104,CM$5:CM416),"")</f>
        <v>398000</v>
      </c>
      <c r="CN422" s="70">
        <f>IFERROR(SUBTOTAL(104,CN$5:CN416),"")</f>
        <v>320000</v>
      </c>
      <c r="CO422" s="70">
        <f>IFERROR(SUBTOTAL(104,CO$5:CO416),"")</f>
        <v>115968</v>
      </c>
      <c r="CP422" s="70">
        <f>IFERROR(SUBTOTAL(104,CP$5:CP416),"")</f>
        <v>1820657</v>
      </c>
      <c r="CQ422" s="70">
        <f>IFERROR(SUBTOTAL(104,CQ$5:CQ416),"")</f>
        <v>105700</v>
      </c>
      <c r="CR422" s="70">
        <f>IFERROR(SUBTOTAL(104,CR$5:CR416),"")</f>
        <v>1908157</v>
      </c>
      <c r="CS422" s="70">
        <f>IFERROR(SUBTOTAL(104,CS$5:CS416),"")</f>
        <v>5283276</v>
      </c>
      <c r="CT422" s="70">
        <f>IFERROR(SUBTOTAL(104,CT$5:CT416),"")</f>
        <v>4516605</v>
      </c>
      <c r="CU422" s="70">
        <f>IFERROR(SUBTOTAL(104,CU$5:CU416),"")</f>
        <v>3405969</v>
      </c>
      <c r="CV422" s="92">
        <f>IFERROR(SUBTOTAL(104,CV$5:CV416),"")</f>
        <v>0.74373926620609088</v>
      </c>
      <c r="CW422" s="104">
        <f>IFERROR(SUBTOTAL(104,CW$5:CW416),"")</f>
        <v>8378.67</v>
      </c>
      <c r="CX422" s="92">
        <f>IFERROR(SUBTOTAL(104,CX$5:CX416),"")</f>
        <v>0.71077275162878273</v>
      </c>
      <c r="CY422" s="104">
        <f>IFERROR(SUBTOTAL(104,CY$5:CY416),"")</f>
        <v>10544.795665634674</v>
      </c>
      <c r="CZ422" s="92">
        <f>IFERROR(SUBTOTAL(104,CZ$5:CZ416),"")</f>
        <v>0.58698383384242492</v>
      </c>
      <c r="DA422" s="92">
        <f>IFERROR(SUBTOTAL(104,DA$5:DA416),"")</f>
        <v>0.63578935781066626</v>
      </c>
      <c r="DB422" s="104">
        <f>IFERROR(SUBTOTAL(104,DB$5:DB416),"")</f>
        <v>210166.66666666666</v>
      </c>
      <c r="DC422" s="70">
        <f>IFERROR(SUBTOTAL(104,DC$5:DC416),"")</f>
        <v>24111.54</v>
      </c>
      <c r="DD422" s="70">
        <f>IFERROR(SUBTOTAL(104,DD$5:DD416),"")</f>
        <v>1106.2653061224489</v>
      </c>
      <c r="DE422" s="110">
        <f>IFERROR(SUBTOTAL(104,DE$5:DE416),"")</f>
        <v>-622.73076923076928</v>
      </c>
      <c r="DF422" s="70">
        <f>IFERROR(SUBTOTAL(104,DF$5:DF416),"")</f>
        <v>22636.174999999999</v>
      </c>
      <c r="DG422" s="70">
        <f>IFERROR(SUBTOTAL(104,DG$5:DG416),"")</f>
        <v>1748.2567567567567</v>
      </c>
      <c r="DH422" s="70">
        <f>IFERROR(SUBTOTAL(104,DH$5:DH416),"")</f>
        <v>811.87714285714287</v>
      </c>
      <c r="DI422" s="70">
        <f>IFERROR(SUBTOTAL(104,DI$5:DI416),"")</f>
        <v>1993.9208333333333</v>
      </c>
      <c r="DJ422" s="70">
        <f>IFERROR(SUBTOTAL(104,DJ$5:DJ416),"")</f>
        <v>1743.325</v>
      </c>
      <c r="DK422" s="70">
        <f>IFERROR(SUBTOTAL(104,DK$5:DK416),"")</f>
        <v>2135</v>
      </c>
      <c r="DL422" s="70">
        <f>IFERROR(SUBTOTAL(104,DL$5:DL416),"")</f>
        <v>1600</v>
      </c>
      <c r="DM422" s="70">
        <f>IFERROR(SUBTOTAL(104,DM$5:DM416),"")</f>
        <v>906</v>
      </c>
      <c r="DN422" s="70">
        <f>IFERROR(SUBTOTAL(104,DN$5:DN416),"")</f>
        <v>8078.67</v>
      </c>
      <c r="DO422" s="70">
        <f>IFERROR(SUBTOTAL(104,DO$5:DO416),"")</f>
        <v>400</v>
      </c>
      <c r="DP422" s="70">
        <f>IFERROR(SUBTOTAL(104,DP$5:DP416),"")</f>
        <v>8378.67</v>
      </c>
      <c r="DQ422" s="70">
        <f>IFERROR(SUBTOTAL(104,DQ$5:DQ416),"")</f>
        <v>15095.074285714285</v>
      </c>
      <c r="DR422" s="70">
        <f>IFERROR(SUBTOTAL(104,DR$5:DR416),"")</f>
        <v>12904.585714285715</v>
      </c>
      <c r="DS422" s="70">
        <f>IFERROR(SUBTOTAL(104,DS$5:DS416),"")</f>
        <v>10544.795665634674</v>
      </c>
      <c r="DT422" s="92">
        <f>IFERROR(SUBTOTAL(104,DT$5:DT416),"")</f>
        <v>1.071015473816654</v>
      </c>
      <c r="DU422" s="92">
        <f>IFERROR(SUBTOTAL(104,DU$5:DU416),"")</f>
        <v>0.10827292038473868</v>
      </c>
      <c r="DV422" s="92">
        <f>IFERROR(SUBTOTAL(104,DV$5:DV416),"")</f>
        <v>0</v>
      </c>
      <c r="DW422" s="92">
        <f>IFERROR(SUBTOTAL(104,DW$5:DW416),"")</f>
        <v>1</v>
      </c>
      <c r="DX422" s="92">
        <f>IFERROR(SUBTOTAL(104,DX$5:DX416),"")</f>
        <v>0.21199845963506461</v>
      </c>
      <c r="DY422" s="92">
        <f>IFERROR(SUBTOTAL(104,DY$5:DY416),"")</f>
        <v>6.2499687013305688E-2</v>
      </c>
      <c r="DZ422" s="92">
        <f>IFERROR(SUBTOTAL(104,DZ$5:DZ416),"")</f>
        <v>0.15473109866365439</v>
      </c>
      <c r="EA422" s="92">
        <f>IFERROR(SUBTOTAL(104,EA$5:EA416),"")</f>
        <v>0.15045395590142671</v>
      </c>
      <c r="EB422" s="92">
        <f>IFERROR(SUBTOTAL(104,EB$5:EB416),"")</f>
        <v>0.13905606010869168</v>
      </c>
      <c r="EC422" s="92">
        <f>IFERROR(SUBTOTAL(104,EC$5:EC416),"")</f>
        <v>9.5382943858331418E-2</v>
      </c>
      <c r="ED422" s="92">
        <f>IFERROR(SUBTOTAL(104,ED$5:ED416),"")</f>
        <v>9.7651848624611265E-2</v>
      </c>
      <c r="EE422" s="92">
        <f>IFERROR(SUBTOTAL(104,EE$5:EE416),"")</f>
        <v>0.67822213542057896</v>
      </c>
      <c r="EF422" s="92">
        <f>IFERROR(SUBTOTAL(104,EF$5:EF416),"")</f>
        <v>3.467286951290359E-2</v>
      </c>
      <c r="EG422" s="92">
        <f>IFERROR(SUBTOTAL(104,EG$5:EG416),"")</f>
        <v>0.71077275162878273</v>
      </c>
      <c r="EH422" s="92">
        <f>IFERROR(SUBTOTAL(104,EH$5:EH416),"")</f>
        <v>0.74373926620609088</v>
      </c>
      <c r="EI422" s="92">
        <f>IFERROR(SUBTOTAL(104,EI$5:EI416),"")</f>
        <v>0.63578935781066626</v>
      </c>
      <c r="EJ422" s="107">
        <f>IFERROR(SUBTOTAL(104,EJ$5:EJ416),"")</f>
        <v>0.58698383384242492</v>
      </c>
    </row>
    <row r="423" spans="4:140" ht="12.6" thickBot="1">
      <c r="D423" s="96" t="s">
        <v>1717</v>
      </c>
      <c r="Q423" s="96" t="s">
        <v>1717</v>
      </c>
      <c r="R423" s="97">
        <f>IFERROR(SUBTOTAL(105,R$5:R416),"")</f>
        <v>36</v>
      </c>
      <c r="S423" s="78">
        <f>IFERROR(SUBTOTAL(105,S$5:S416),"")</f>
        <v>0</v>
      </c>
      <c r="T423" s="78">
        <f>IFERROR(SUBTOTAL(105,T$5:T416),"")</f>
        <v>36</v>
      </c>
      <c r="U423" s="98">
        <f>IFERROR(SUBTOTAL(105,U$5:U416),"")</f>
        <v>30250</v>
      </c>
      <c r="V423" s="102">
        <f>IFERROR(SUBTOTAL(105,V$5:V416),"")</f>
        <v>1.48</v>
      </c>
      <c r="W423" s="102">
        <f>IFERROR(SUBTOTAL(105,W$5:W416),"")</f>
        <v>6.8744271310724105</v>
      </c>
      <c r="X423" s="78">
        <f>IFERROR(SUBTOTAL(105,X$5:X416),"")</f>
        <v>1971</v>
      </c>
      <c r="Y423" s="78"/>
      <c r="Z423" s="79">
        <f>IFERROR(SUBTOTAL(105,Z$5:Z416),"")</f>
        <v>6500000</v>
      </c>
      <c r="AA423" s="101">
        <f>IFERROR(SUBTOTAL(105,AA$5:AA416),"")</f>
        <v>3.8199999999999998E-2</v>
      </c>
      <c r="AB423" s="100">
        <f>IFERROR(SUBTOTAL(105,AB$5:AB416),"")</f>
        <v>15</v>
      </c>
      <c r="AC423" s="100">
        <f>IFERROR(SUBTOTAL(105,AC$5:AC416),"")</f>
        <v>35</v>
      </c>
      <c r="AD423" s="101">
        <f>IFERROR(SUBTOTAL(105,AD$5:AD416),"")</f>
        <v>0.02</v>
      </c>
      <c r="AE423" s="79">
        <f>IFERROR(SUBTOTAL(105,AE$5:AE416),"")</f>
        <v>1410000</v>
      </c>
      <c r="AF423" s="102">
        <f>IFERROR(SUBTOTAL(105,AF$5:AF416),"")</f>
        <v>1.1200000000000001</v>
      </c>
      <c r="AG423" s="100">
        <f>IFERROR(SUBTOTAL(105,AG$5:AG416),"")</f>
        <v>16</v>
      </c>
      <c r="AH423" s="100">
        <f>IFERROR(SUBTOTAL(105,AH$5:AH416),"")</f>
        <v>0</v>
      </c>
      <c r="AI423" s="101">
        <f>IFERROR(SUBTOTAL(105,AI$5:AI416),"")</f>
        <v>0</v>
      </c>
      <c r="AJ423" s="79">
        <f>IFERROR(SUBTOTAL(105,AJ$5:AJ416),"")</f>
        <v>1914570</v>
      </c>
      <c r="AK423" s="79">
        <f>IFERROR(SUBTOTAL(105,AK$5:AK416),"")</f>
        <v>1410000</v>
      </c>
      <c r="AL423" s="79">
        <f>IFERROR(SUBTOTAL(105,AL$5:AL416),"")</f>
        <v>0</v>
      </c>
      <c r="AM423" s="78"/>
      <c r="AN423" s="120">
        <f>IFERROR(SUBTOTAL(105,AN$5:AN416),"")</f>
        <v>0.78</v>
      </c>
      <c r="AO423" s="79">
        <f>IFERROR(SUBTOTAL(105,AO$5:AO416),"")</f>
        <v>5712020</v>
      </c>
      <c r="AP423" s="79">
        <f>IFERROR(SUBTOTAL(105,AP$5:AP416),"")</f>
        <v>108054</v>
      </c>
      <c r="AQ423" s="79">
        <f>IFERROR(SUBTOTAL(105,AQ$5:AQ416),"")</f>
        <v>78440</v>
      </c>
      <c r="AR423" s="79">
        <f>IFERROR(SUBTOTAL(105,AR$5:AR416),"")</f>
        <v>37500</v>
      </c>
      <c r="AS423" s="79">
        <f>IFERROR(SUBTOTAL(105,AS$5:AS416),"")</f>
        <v>13.888888888888889</v>
      </c>
      <c r="AT423" s="79">
        <f>IFERROR(SUBTOTAL(105,AT$5:AT416),"")</f>
        <v>2158.641129032258</v>
      </c>
      <c r="AU423" s="79">
        <f>IFERROR(SUBTOTAL(105,AU$5:AU416),"")</f>
        <v>2700</v>
      </c>
      <c r="AV423" s="79">
        <f>IFERROR(SUBTOTAL(105,AV$5:AV416),"")</f>
        <v>1447.4459459459461</v>
      </c>
      <c r="AW423" s="79">
        <f>IFERROR(SUBTOTAL(105,AW$5:AW416),"")</f>
        <v>41309.51315789474</v>
      </c>
      <c r="AX423" s="79">
        <f>IFERROR(SUBTOTAL(105,AX$5:AX416),"")</f>
        <v>38.409719531098624</v>
      </c>
      <c r="AY423" s="79">
        <f>IFERROR(SUBTOTAL(105,AY$5:AY416),"")</f>
        <v>51802.131578947367</v>
      </c>
      <c r="AZ423" s="79">
        <f>IFERROR(SUBTOTAL(105,AZ$5:AZ416),"")</f>
        <v>48.165786669250139</v>
      </c>
      <c r="BA423" s="79">
        <f>IFERROR(SUBTOTAL(105,BA$5:BA416),"")</f>
        <v>0</v>
      </c>
      <c r="BB423" s="79">
        <f>IFERROR(SUBTOTAL(105,BB$5:BB416),"")</f>
        <v>352810</v>
      </c>
      <c r="BC423" s="79">
        <f>IFERROR(SUBTOTAL(105,BC$5:BC416),"")</f>
        <v>2471727</v>
      </c>
      <c r="BD423" s="79">
        <f>IFERROR(SUBTOTAL(105,BD$5:BD416),"")</f>
        <v>130704</v>
      </c>
      <c r="BE423" s="79">
        <f>IFERROR(SUBTOTAL(105,BE$5:BE416),"")</f>
        <v>483487</v>
      </c>
      <c r="BF423" s="79">
        <f>IFERROR(SUBTOTAL(105,BF$5:BF416),"")</f>
        <v>430495</v>
      </c>
      <c r="BG423" s="79">
        <f>IFERROR(SUBTOTAL(105,BG$5:BG416),"")</f>
        <v>153092</v>
      </c>
      <c r="BH423" s="79">
        <f>IFERROR(SUBTOTAL(105,BH$5:BH416),"")</f>
        <v>1222347</v>
      </c>
      <c r="BI423" s="79">
        <f>IFERROR(SUBTOTAL(105,BI$5:BI416),"")</f>
        <v>84778</v>
      </c>
      <c r="BJ423" s="79">
        <f>IFERROR(SUBTOTAL(105,BJ$5:BJ416),"")</f>
        <v>9407466</v>
      </c>
      <c r="BK423" s="79">
        <f>IFERROR(SUBTOTAL(105,BK$5:BK416),"")</f>
        <v>3596.1538461538462</v>
      </c>
      <c r="BL423" s="79">
        <f>IFERROR(SUBTOTAL(105,BL$5:BL416),"")</f>
        <v>3268.85</v>
      </c>
      <c r="BM423" s="79">
        <f>IFERROR(SUBTOTAL(105,BM$5:BM416),"")</f>
        <v>32522.723684210527</v>
      </c>
      <c r="BN423" s="79">
        <f>IFERROR(SUBTOTAL(105,BN$5:BN416),"")</f>
        <v>1021.125</v>
      </c>
      <c r="BO423" s="79">
        <f>IFERROR(SUBTOTAL(105,BO$5:BO416),"")</f>
        <v>6361.6710526315792</v>
      </c>
      <c r="BP423" s="79">
        <f>IFERROR(SUBTOTAL(105,BP$5:BP416),"")</f>
        <v>5231.08</v>
      </c>
      <c r="BQ423" s="79">
        <f>IFERROR(SUBTOTAL(105,BQ$5:BQ416),"")</f>
        <v>2041.2266666666667</v>
      </c>
      <c r="BR423" s="79">
        <f>IFERROR(SUBTOTAL(105,BR$5:BR416),"")</f>
        <v>20244.18604651163</v>
      </c>
      <c r="BS423" s="79">
        <f>IFERROR(SUBTOTAL(105,BS$5:BS416),"")</f>
        <v>666.66666666666663</v>
      </c>
      <c r="BT423" s="79">
        <f>IFERROR(SUBTOTAL(105,BT$5:BT416),"")</f>
        <v>170794.95348837209</v>
      </c>
      <c r="BU423" s="79">
        <f>IFERROR(SUBTOTAL(105,BU$5:BU416),"")</f>
        <v>4.2388843069873996</v>
      </c>
      <c r="BV423" s="79">
        <f>IFERROR(SUBTOTAL(105,BV$5:BV416),"")</f>
        <v>3.4214757409024905</v>
      </c>
      <c r="BW423" s="79">
        <f>IFERROR(SUBTOTAL(105,BW$5:BW416),"")</f>
        <v>29.932752857973259</v>
      </c>
      <c r="BX423" s="79">
        <f>IFERROR(SUBTOTAL(105,BX$5:BX416),"")</f>
        <v>1.2799435941126356</v>
      </c>
      <c r="BY423" s="79">
        <f>IFERROR(SUBTOTAL(105,BY$5:BY416),"")</f>
        <v>5.9150963960472778</v>
      </c>
      <c r="BZ423" s="79">
        <f>IFERROR(SUBTOTAL(105,BZ$5:BZ416),"")</f>
        <v>5.213318639798489</v>
      </c>
      <c r="CA423" s="79">
        <f>IFERROR(SUBTOTAL(105,CA$5:CA416),"")</f>
        <v>2.8219723502304146</v>
      </c>
      <c r="CB423" s="79">
        <f>IFERROR(SUBTOTAL(105,CB$5:CB416),"")</f>
        <v>21.494285120532002</v>
      </c>
      <c r="CC423" s="79">
        <f>IFERROR(SUBTOTAL(105,CC$5:CC416),"")</f>
        <v>0.69383733677476656</v>
      </c>
      <c r="CD423" s="79">
        <f>IFERROR(SUBTOTAL(105,CD$5:CD416),"")</f>
        <v>188.29583113572434</v>
      </c>
      <c r="CE423" s="79">
        <f>IFERROR(SUBTOTAL(105,CE$5:CE416),"")</f>
        <v>317628</v>
      </c>
      <c r="CF423" s="79">
        <f>IFERROR(SUBTOTAL(105,CF$5:CF416),"")</f>
        <v>8640</v>
      </c>
      <c r="CG423" s="111">
        <f>IFERROR(SUBTOTAL(105,CG$5:CG416),"")</f>
        <v>-575995</v>
      </c>
      <c r="CH423" s="79">
        <f>IFERROR(SUBTOTAL(105,CH$5:CH416),"")</f>
        <v>301798</v>
      </c>
      <c r="CI423" s="79">
        <f>IFERROR(SUBTOTAL(105,CI$5:CI416),"")</f>
        <v>19240</v>
      </c>
      <c r="CJ423" s="79">
        <f>IFERROR(SUBTOTAL(105,CJ$5:CJ416),"")</f>
        <v>17280</v>
      </c>
      <c r="CK423" s="79">
        <f>IFERROR(SUBTOTAL(105,CK$5:CK416),"")</f>
        <v>44044</v>
      </c>
      <c r="CL423" s="79">
        <f>IFERROR(SUBTOTAL(105,CL$5:CL416),"")</f>
        <v>28220</v>
      </c>
      <c r="CM423" s="79">
        <f>IFERROR(SUBTOTAL(105,CM$5:CM416),"")</f>
        <v>26000</v>
      </c>
      <c r="CN423" s="79">
        <f>IFERROR(SUBTOTAL(105,CN$5:CN416),"")</f>
        <v>16735</v>
      </c>
      <c r="CO423" s="79">
        <f>IFERROR(SUBTOTAL(105,CO$5:CO416),"")</f>
        <v>0</v>
      </c>
      <c r="CP423" s="79">
        <f>IFERROR(SUBTOTAL(105,CP$5:CP416),"")</f>
        <v>184744</v>
      </c>
      <c r="CQ423" s="79">
        <f>IFERROR(SUBTOTAL(105,CQ$5:CQ416),"")</f>
        <v>9000</v>
      </c>
      <c r="CR423" s="79">
        <f>IFERROR(SUBTOTAL(105,CR$5:CR416),"")</f>
        <v>193744</v>
      </c>
      <c r="CS423" s="79">
        <f>IFERROR(SUBTOTAL(105,CS$5:CS416),"")</f>
        <v>117054</v>
      </c>
      <c r="CT423" s="79">
        <f>IFERROR(SUBTOTAL(105,CT$5:CT416),"")</f>
        <v>93652</v>
      </c>
      <c r="CU423" s="79">
        <f>IFERROR(SUBTOTAL(105,CU$5:CU416),"")</f>
        <v>10414</v>
      </c>
      <c r="CV423" s="99">
        <f>IFERROR(SUBTOTAL(105,CV$5:CV416),"")</f>
        <v>0.32177786457942098</v>
      </c>
      <c r="CW423" s="105">
        <f>IFERROR(SUBTOTAL(105,CW$5:CW416),"")</f>
        <v>3705.4413793103449</v>
      </c>
      <c r="CX423" s="99">
        <f>IFERROR(SUBTOTAL(105,CX$5:CX416),"")</f>
        <v>0.2686057146090764</v>
      </c>
      <c r="CY423" s="105">
        <f>IFERROR(SUBTOTAL(105,CY$5:CY416),"")</f>
        <v>200.26923076923077</v>
      </c>
      <c r="CZ423" s="99">
        <f>IFERROR(SUBTOTAL(105,CZ$5:CZ416),"")</f>
        <v>2.6075547476325685E-2</v>
      </c>
      <c r="DA423" s="99">
        <f>IFERROR(SUBTOTAL(105,DA$5:DA416),"")</f>
        <v>0.10501195003801815</v>
      </c>
      <c r="DB423" s="105">
        <f>IFERROR(SUBTOTAL(105,DB$5:DB416),"")</f>
        <v>37500</v>
      </c>
      <c r="DC423" s="79">
        <f>IFERROR(SUBTOTAL(105,DC$5:DC416),"")</f>
        <v>8063.0769230769229</v>
      </c>
      <c r="DD423" s="79">
        <f>IFERROR(SUBTOTAL(105,DD$5:DD416),"")</f>
        <v>144</v>
      </c>
      <c r="DE423" s="111">
        <f>IFERROR(SUBTOTAL(105,DE$5:DE416),"")</f>
        <v>-1835.365</v>
      </c>
      <c r="DF423" s="79">
        <f>IFERROR(SUBTOTAL(105,DF$5:DF416),"")</f>
        <v>7680.3461538461543</v>
      </c>
      <c r="DG423" s="79">
        <f>IFERROR(SUBTOTAL(105,DG$5:DG416),"")</f>
        <v>297.88461538461536</v>
      </c>
      <c r="DH423" s="79">
        <f>IFERROR(SUBTOTAL(105,DH$5:DH416),"")</f>
        <v>357.60714285714283</v>
      </c>
      <c r="DI423" s="79">
        <f>IFERROR(SUBTOTAL(105,DI$5:DI416),"")</f>
        <v>1016.6666666666666</v>
      </c>
      <c r="DJ423" s="79">
        <f>IFERROR(SUBTOTAL(105,DJ$5:DJ416),"")</f>
        <v>363.79310344827587</v>
      </c>
      <c r="DK423" s="79">
        <f>IFERROR(SUBTOTAL(105,DK$5:DK416),"")</f>
        <v>195</v>
      </c>
      <c r="DL423" s="79">
        <f>IFERROR(SUBTOTAL(105,DL$5:DL416),"")</f>
        <v>69.729166666666671</v>
      </c>
      <c r="DM423" s="79">
        <f>IFERROR(SUBTOTAL(105,DM$5:DM416),"")</f>
        <v>342.55263157894734</v>
      </c>
      <c r="DN423" s="79">
        <f>IFERROR(SUBTOTAL(105,DN$5:DN416),"")</f>
        <v>3455.4413793103449</v>
      </c>
      <c r="DO423" s="79">
        <f>IFERROR(SUBTOTAL(105,DO$5:DO416),"")</f>
        <v>250</v>
      </c>
      <c r="DP423" s="79">
        <f>IFERROR(SUBTOTAL(105,DP$5:DP416),"")</f>
        <v>3705.4413793103449</v>
      </c>
      <c r="DQ423" s="79">
        <f>IFERROR(SUBTOTAL(105,DQ$5:DQ416),"")</f>
        <v>2471.3653846153848</v>
      </c>
      <c r="DR423" s="79">
        <f>IFERROR(SUBTOTAL(105,DR$5:DR416),"")</f>
        <v>1886.4736842105262</v>
      </c>
      <c r="DS423" s="79">
        <f>IFERROR(SUBTOTAL(105,DS$5:DS416),"")</f>
        <v>200.26923076923077</v>
      </c>
      <c r="DT423" s="99">
        <f>IFERROR(SUBTOTAL(105,DT$5:DT416),"")</f>
        <v>0.97280843061490874</v>
      </c>
      <c r="DU423" s="99">
        <f>IFERROR(SUBTOTAL(105,DU$5:DU416),"")</f>
        <v>1.0065706696490984E-2</v>
      </c>
      <c r="DV423" s="99">
        <f>IFERROR(SUBTOTAL(105,DV$5:DV416),"")</f>
        <v>0</v>
      </c>
      <c r="DW423" s="99">
        <f>IFERROR(SUBTOTAL(105,DW$5:DW416),"")</f>
        <v>1</v>
      </c>
      <c r="DX423" s="99">
        <f>IFERROR(SUBTOTAL(105,DX$5:DX416),"")</f>
        <v>1.936709000033008E-2</v>
      </c>
      <c r="DY423" s="99">
        <f>IFERROR(SUBTOTAL(105,DY$5:DY416),"")</f>
        <v>2.5000029406033412E-2</v>
      </c>
      <c r="DZ423" s="99">
        <f>IFERROR(SUBTOTAL(105,DZ$5:DZ416),"")</f>
        <v>5.7030761644886838E-2</v>
      </c>
      <c r="EA423" s="99">
        <f>IFERROR(SUBTOTAL(105,EA$5:EA416),"")</f>
        <v>3.0814600765935115E-2</v>
      </c>
      <c r="EB423" s="99">
        <f>IFERROR(SUBTOTAL(105,EB$5:EB416),"")</f>
        <v>1.7529122667599338E-2</v>
      </c>
      <c r="EC423" s="99">
        <f>IFERROR(SUBTOTAL(105,EC$5:EC416),"")</f>
        <v>4.7809627690559289E-3</v>
      </c>
      <c r="ED423" s="99">
        <f>IFERROR(SUBTOTAL(105,ED$5:ED416),"")</f>
        <v>2.7313138794677477E-2</v>
      </c>
      <c r="EE423" s="99">
        <f>IFERROR(SUBTOTAL(105,EE$5:EE416),"")</f>
        <v>0.25626073379390918</v>
      </c>
      <c r="EF423" s="99">
        <f>IFERROR(SUBTOTAL(105,EF$5:EF416),"")</f>
        <v>1.2317120671042365E-2</v>
      </c>
      <c r="EG423" s="99">
        <f>IFERROR(SUBTOTAL(105,EG$5:EG416),"")</f>
        <v>0.2686057146090764</v>
      </c>
      <c r="EH423" s="99">
        <f>IFERROR(SUBTOTAL(105,EH$5:EH416),"")</f>
        <v>0.32177786457942098</v>
      </c>
      <c r="EI423" s="99">
        <f>IFERROR(SUBTOTAL(105,EI$5:EI416),"")</f>
        <v>0.10501195003801815</v>
      </c>
      <c r="EJ423" s="108">
        <f>IFERROR(SUBTOTAL(105,EJ$5:EJ416),"")</f>
        <v>2.6075547476325685E-2</v>
      </c>
    </row>
  </sheetData>
  <phoneticPr fontId="8" type="noConversion"/>
  <conditionalFormatting sqref="C410:C514 C5:C385">
    <cfRule type="duplicateValues" dxfId="143" priority="9"/>
  </conditionalFormatting>
  <hyperlinks>
    <hyperlink ref="C62" r:id="rId1" xr:uid="{1DD58169-29F8-5348-B014-FAB384AF0D53}"/>
    <hyperlink ref="C70" r:id="rId2" display="22476" xr:uid="{1773FCB0-6BEB-F044-9BA2-3A2A3188DAB8}"/>
    <hyperlink ref="C75" r:id="rId3" display="22482" xr:uid="{BDADFEEF-D1E9-3D4C-931E-CA05A8154D63}"/>
    <hyperlink ref="C74" r:id="rId4" display="22486" xr:uid="{1C09D459-B2E6-574D-9A8C-A2DD863E54A8}"/>
    <hyperlink ref="C72" r:id="rId5" display="22604" xr:uid="{2E9D33DA-BA68-3A41-8DF3-05B639260917}"/>
    <hyperlink ref="C73" r:id="rId6" display="21600" xr:uid="{2F30C524-B42B-C44F-A275-BDFD2BF76998}"/>
    <hyperlink ref="C71" r:id="rId7" display="https://www.tdhca.state.tx.us/readocs/uwrep/22485.pdf" xr:uid="{8D598EAA-EDA3-7B46-8BF3-BA8D979BF2F1}"/>
    <hyperlink ref="C68" r:id="rId8" display="https://www.tdhca.state.tx.us/readocs/uwrep/22480.pdf" xr:uid="{EE79DE21-F6F5-8849-ADFA-1A26F6DEA6BE}"/>
    <hyperlink ref="C69" r:id="rId9" display="https://www.tdhca.state.tx.us/readocs/uwrep/22483.pdf" xr:uid="{9CFC91E5-546C-9145-A3EA-40018E35DE31}"/>
    <hyperlink ref="C67" r:id="rId10" xr:uid="{71D9ADAA-BF1B-1B48-BA95-981F74E7C717}"/>
    <hyperlink ref="C65" r:id="rId11" display="https://www.tdhca.state.tx.us/readocs/uwrep/22487.pdf" xr:uid="{F7233440-A197-B34F-BBA5-0D8BAA3B5BA6}"/>
    <hyperlink ref="C64" r:id="rId12" display="https://www.tdhca.state.tx.us/readocs/uwrep/22474.pdf" xr:uid="{F7B8F374-094A-1140-94DF-076B9C4C80B1}"/>
    <hyperlink ref="C63" r:id="rId13" display="https://www.tdhca.state.tx.us/readocs/uwrep/22617.pdf" xr:uid="{74F2884C-8932-AA45-B3E5-33A2B02A586B}"/>
    <hyperlink ref="C61" r:id="rId14" display="https://www.tdhca.state.tx.us/readocs/uwrep/22478.pdf" xr:uid="{90B37E32-05CC-E041-B039-907356BD2608}"/>
    <hyperlink ref="C60" r:id="rId15" display="https://www.tdhca.state.tx.us/readocs/uwrep/22479.pdf" xr:uid="{29E20D83-1C60-F745-ABB4-6672BD7DC54D}"/>
    <hyperlink ref="C58" r:id="rId16" display="https://www.tdhca.state.tx.us/readocs/uwrep/22471.pdf" xr:uid="{5623CBDD-F4B5-634C-834A-693074AC4899}"/>
    <hyperlink ref="C59" r:id="rId17" xr:uid="{88F8D579-E9C7-1047-8568-2B8DC12EA97C}"/>
    <hyperlink ref="C57" r:id="rId18" display="https://www.tdhca.state.tx.us/readocs/uwrep/22460.pdf" xr:uid="{C459C791-C74D-B14F-A5AC-D9496186C4A8}"/>
    <hyperlink ref="C55" r:id="rId19" xr:uid="{425C494F-AEF7-C244-B82D-473B6890EA97}"/>
    <hyperlink ref="C56" r:id="rId20" display="https://www.tdhca.state.tx.us/readocs/uwrep/22461.pdf" xr:uid="{5B7B0B9E-9075-2245-8CB1-5F1DDAB44E0F}"/>
    <hyperlink ref="C54" r:id="rId21" display="https://www.tdhca.state.tx.us/readocs/uwrep/22610.pdf" xr:uid="{D148AC96-FEB5-4C42-AAD1-A60CEAAAF502}"/>
    <hyperlink ref="C53" r:id="rId22" display="https://www.tdhca.state.tx.us/readocs/uwrep/22469.pdf" xr:uid="{0E8E6FF0-3F17-2849-9303-B6BD58F841F4}"/>
    <hyperlink ref="C52" r:id="rId23" xr:uid="{00A38464-315B-E948-A5DE-5351CAE585EA}"/>
    <hyperlink ref="C51" r:id="rId24" xr:uid="{90A82BB9-59A2-BF41-B4A8-BE9BE0AB6B72}"/>
    <hyperlink ref="C49" r:id="rId25" display="https://www.tdhca.state.tx.us/readocs/uwrep/21017.pdf" xr:uid="{E036ADA8-879E-0847-A0D2-4DBD2EAC0F45}"/>
    <hyperlink ref="C50" r:id="rId26" display="https://www.tdhca.state.tx.us/readocs/uwrep/22455.pdf" xr:uid="{0B414F3D-9DE3-EE45-97A5-B8B7CDF899B0}"/>
    <hyperlink ref="C48" r:id="rId27" display="https://www.tdhca.state.tx.us/readocs/uwrep/22456.pdf" xr:uid="{9DBE4621-133C-5B4E-ABD0-93763331EAB1}"/>
    <hyperlink ref="C47" r:id="rId28" display="https://www.tdhca.state.tx.us/readocs/uwrep/22462.pdf" xr:uid="{9FA08577-F11A-254B-9D2D-9AA28F556799}"/>
    <hyperlink ref="C46" r:id="rId29" display="https://www.tdhca.state.tx.us/readocs/uwrep/22449.pdf" xr:uid="{B6CE646B-C975-F449-860A-9EE1110EFF85}"/>
    <hyperlink ref="C45" r:id="rId30" display="https://www.tdhca.state.tx.us/readocs/uwrep/22451.pdf" xr:uid="{ABD1F75D-A760-454F-ADBE-1F43C2865E27}"/>
    <hyperlink ref="C44" r:id="rId31" display="https://www.tdhca.state.tx.us/readocs/uwrep/22454.pdf" xr:uid="{88BAFC61-24D6-994F-BE47-FAAD1E64916E}"/>
    <hyperlink ref="C43" r:id="rId32" xr:uid="{0C4957BB-631D-1C46-B71C-E4C0F0E73E7E}"/>
    <hyperlink ref="C42" r:id="rId33" display="https://www.tdhca.state.tx.us/readocs/uwrep/22458.pdf" xr:uid="{3768EC4D-64DE-E844-9751-BDA574340CE7}"/>
    <hyperlink ref="C39" r:id="rId34" display="https://www.tdhca.state.tx.us/readocs/uwrep/22450.pdf" xr:uid="{1345F434-BD31-214B-B972-DEA15B165C9C}"/>
    <hyperlink ref="C40" r:id="rId35" display="https://www.tdhca.state.tx.us/readocs/uwrep/22459.pdf" xr:uid="{6B98D7E3-64CC-8B4C-8B43-F0C2A1BB3876}"/>
    <hyperlink ref="C41" r:id="rId36" display="https://www.tdhca.state.tx.us/readocs/uwrep/21515.pdf" xr:uid="{0C08D4D6-64FE-BF4C-B79D-2E035EDD0D97}"/>
    <hyperlink ref="C38" r:id="rId37" display="https://www.tdhca.state.tx.us/readocs/uwrep/21513.pdf" xr:uid="{70F77C3A-CA1F-3847-9942-57FB514011D7}"/>
    <hyperlink ref="C37" r:id="rId38" display="https://www.tdhca.state.tx.us/readocs/uwrep/22457.pdf" xr:uid="{044EC8A1-062D-DB42-A2AF-308F355B24F1}"/>
    <hyperlink ref="C36" r:id="rId39" display="https://www.tdhca.state.tx.us/readocs/uwrep/22420.pdf" xr:uid="{83F57596-4EBB-E94A-B005-01F19E7052BF}"/>
    <hyperlink ref="C35" r:id="rId40" display="https://www.tdhca.state.tx.us/readocs/uwrep/22172.pdf" xr:uid="{D252E787-F9FE-E543-8B45-04C4108CE2B5}"/>
    <hyperlink ref="C32" r:id="rId41" display="https://www.tdhca.state.tx.us/readocs/uwrep/22220.pdf" xr:uid="{378A50BE-AECB-8540-A291-61E7EE7B143D}"/>
    <hyperlink ref="C33" r:id="rId42" display="https://www.tdhca.state.tx.us/readocs/uwrep/22269.pdf" xr:uid="{8B260D0D-65B1-CD44-BBA7-532B1C9DFC69}"/>
    <hyperlink ref="C34" r:id="rId43" display="https://www.tdhca.state.tx.us/readocs/uwrep/22224.pdf" xr:uid="{1D90E425-44C1-A441-8B6B-1080699ACB4D}"/>
    <hyperlink ref="C30" r:id="rId44" display="https://www.tdhca.state.tx.us/readocs/uwrep/22211.pdf" xr:uid="{CDC4ACA3-05EC-904B-BEFA-1C38D12C3310}"/>
    <hyperlink ref="C31" r:id="rId45" xr:uid="{F90FD6CA-9302-9946-9060-A58F26C9D3E9}"/>
    <hyperlink ref="C29" r:id="rId46" display="https://www.tdhca.state.tx.us/readocs/uwrep/22448.pdf" xr:uid="{4FF74151-EBB9-4A4B-A964-58B3BF529F19}"/>
    <hyperlink ref="C26" r:id="rId47" display="https://www.tdhca.state.tx.us/readocs/uwrep/21413.pdf" xr:uid="{987E50CB-44B1-9D4E-A96F-84073EE0BBA0}"/>
    <hyperlink ref="C27" r:id="rId48" xr:uid="{208D9E7A-E147-E244-8619-CD5711995844}"/>
    <hyperlink ref="C28" r:id="rId49" xr:uid="{CA6B1B9F-3B07-D54E-8978-44EF4C946FD6}"/>
    <hyperlink ref="C25" r:id="rId50" display="https://www.tdhca.state.tx.us/readocs/uwrep/22443.pdf" xr:uid="{283973BD-FE1F-4440-9E79-1AB7CAEF5ECC}"/>
    <hyperlink ref="C24" r:id="rId51" display="https://www.tdhca.state.tx.us/readocs/uwrep/22446.pdf" xr:uid="{6461EEEB-185D-7146-8A37-4562E6455364}"/>
    <hyperlink ref="C18" r:id="rId52" xr:uid="{44B108E5-30C3-3143-9D89-07809E35FA2C}"/>
    <hyperlink ref="C19" r:id="rId53" display="https://www.tdhca.state.tx.us/readocs/uwrep/22445.pdf" xr:uid="{47A87FBF-5B2B-CE43-A4F4-539B58CADD0F}"/>
    <hyperlink ref="C20" r:id="rId54" display="https://www.tdhca.state.tx.us/readocs/uwrep/22422.pdf" xr:uid="{64E7071D-3C61-9449-9D37-A47CD4303D7E}"/>
    <hyperlink ref="C21" r:id="rId55" display="https://www.tdhca.state.tx.us/readocs/uwrep/22453.pdf" xr:uid="{BE2DA8A3-E645-2740-BEF3-D1DCF1A1A305}"/>
    <hyperlink ref="C22" r:id="rId56" display="https://www.tdhca.state.tx.us/readocs/uwrep/22452.pdfhttps://www.tdhca.state.tx.us/readocs/uwrep/22452.pdf" xr:uid="{D15B20B0-CEED-FB4D-A712-BA228804AEDA}"/>
    <hyperlink ref="C23" r:id="rId57" xr:uid="{325A71B7-2A4F-CB41-A1BC-CDF1FAB93E22}"/>
    <hyperlink ref="C17" r:id="rId58" xr:uid="{1284889E-85E0-7340-95EE-5E6213070CC5}"/>
    <hyperlink ref="C16" r:id="rId59" display="https://www.tdhca.state.tx.us/readocs/uwrep/22434.pdf" xr:uid="{8F844E93-C895-C541-93E3-085779D0FE26}"/>
    <hyperlink ref="C14" r:id="rId60" display="https://www.tdhca.state.tx.us/readocs/uwrep/22439.pdf" xr:uid="{F4461378-A619-4244-9A4E-024846D831A0}"/>
    <hyperlink ref="C15" r:id="rId61" display="https://www.tdhca.state.tx.us/readocs/uwrep/22438.pdf" xr:uid="{13A5BBE0-F329-BD4D-86FE-E657F196D125}"/>
    <hyperlink ref="C12" r:id="rId62" display="https://www.tdhca.state.tx.us/readocs/uwrep/22429.pdf" xr:uid="{72F1B410-4B69-9B42-B69A-1869148F9CE8}"/>
    <hyperlink ref="C13" r:id="rId63" display="https://www.tdhca.state.tx.us/readocs/uwrep/22424.pdf" xr:uid="{1B6D0A2F-8DEC-1441-9CD2-6EDAC5583202}"/>
    <hyperlink ref="C11" r:id="rId64" display="https://www.tdhca.state.tx.us/readocs/uwrep/22426.pdf" xr:uid="{98101035-9ACE-C04B-81E1-CA1B90B5D362}"/>
    <hyperlink ref="C9" r:id="rId65" display="https://www.tdhca.state.tx.us/readocs/uwrep/22603.pdf" xr:uid="{F0BD4C36-E1E8-DC4B-8EFB-2D00BB350AB1}"/>
    <hyperlink ref="C10" r:id="rId66" display="https://www.tdhca.state.tx.us/readocs/uwrep/22441.pdf" xr:uid="{AE862344-406C-C444-942F-A9E34C0767BA}"/>
    <hyperlink ref="C8" r:id="rId67" display="https://www.tdhca.state.tx.us/readocs/uwrep/22437.pdf" xr:uid="{B9307B31-7556-F24A-8B5D-FB10B9BF75B6}"/>
    <hyperlink ref="C7" r:id="rId68" display="https://www.tdhca.state.tx.us/readocs/uwrep/22419.pdf" xr:uid="{AEC48E72-969D-F848-B37D-55BB2C724A2D}"/>
    <hyperlink ref="C6" r:id="rId69" display="https://www.tdhca.state.tx.us/readocs/uwrep/22608.pdf" xr:uid="{CBE329F7-B645-E64C-B8A5-D8651D9432E1}"/>
    <hyperlink ref="C5" r:id="rId70" display="https://www.tdhca.state.tx.us/readocs/uwrep/22430.pdf" xr:uid="{3A441635-286F-0A49-92A8-9E530FCFDFBB}"/>
    <hyperlink ref="C76" r:id="rId71" xr:uid="{0252AE6F-2CDB-6543-B074-7F58E7FBEC2D}"/>
    <hyperlink ref="C77" r:id="rId72" xr:uid="{DE57E721-9F82-7845-A8BB-14A2FA64FBC2}"/>
    <hyperlink ref="C78" r:id="rId73" xr:uid="{6AB631D1-2857-B342-9A53-BFFACB38B539}"/>
    <hyperlink ref="C79" r:id="rId74" xr:uid="{4625C192-9F69-E949-8868-0523E478DA47}"/>
    <hyperlink ref="C80" r:id="rId75" xr:uid="{CAD26EFA-D335-2F49-A05C-7854F1497907}"/>
    <hyperlink ref="C81" r:id="rId76" xr:uid="{9DAF0E2A-5756-C340-BD26-63AF2C710115}"/>
    <hyperlink ref="C82" r:id="rId77" xr:uid="{3FACCC14-0F67-E24B-B684-818E67769D7E}"/>
    <hyperlink ref="C83" r:id="rId78" xr:uid="{D7EB5CAA-E898-D645-9F7F-1DA2A8A6256C}"/>
    <hyperlink ref="C84" r:id="rId79" xr:uid="{4F7B97DB-6254-8E4B-9ECA-6C19EFB57C9A}"/>
    <hyperlink ref="C85" r:id="rId80" xr:uid="{E6F76A2C-1EC5-E740-99BE-42CA5479C42F}"/>
    <hyperlink ref="C86" r:id="rId81" xr:uid="{97B82753-A866-E242-89DD-CEDE806EAFF0}"/>
    <hyperlink ref="C87" r:id="rId82" xr:uid="{AF90BEEE-506E-0649-8732-D9D5EE58DED2}"/>
    <hyperlink ref="C88" r:id="rId83" xr:uid="{9C9B353A-62CC-8F48-9AF4-C4FEC0231694}"/>
    <hyperlink ref="C89" r:id="rId84" xr:uid="{CE257AF8-D94D-3F4E-BF91-A104EAE69A68}"/>
    <hyperlink ref="C90" r:id="rId85" xr:uid="{8E093EFA-2FD5-174D-8F28-FDA447CB3E12}"/>
    <hyperlink ref="C91" r:id="rId86" xr:uid="{CAD793F7-DA38-ED43-BB99-282B82B876DF}"/>
    <hyperlink ref="C92" r:id="rId87" xr:uid="{3F961AC4-C0AE-8447-9493-8C7328A20EA5}"/>
    <hyperlink ref="C93" r:id="rId88" xr:uid="{05654448-0865-F44F-961F-A71A6FBF8007}"/>
    <hyperlink ref="C94" r:id="rId89" xr:uid="{1C775353-8839-354F-8AF1-BAB8EBF06B7C}"/>
    <hyperlink ref="C95" r:id="rId90" xr:uid="{5E2EC6A4-0AA2-5946-AACC-C065B45321EB}"/>
    <hyperlink ref="C96" r:id="rId91" xr:uid="{895F7839-24EF-2749-9201-A74B08860E30}"/>
    <hyperlink ref="C97" r:id="rId92" xr:uid="{A0F68AB3-9549-6944-8F17-1921D29ADC77}"/>
    <hyperlink ref="C98" r:id="rId93" xr:uid="{2CB25D42-3EAA-9447-8557-259908099271}"/>
    <hyperlink ref="C99" r:id="rId94" xr:uid="{16A88555-A871-C449-858B-CBD911634086}"/>
    <hyperlink ref="C100" r:id="rId95" xr:uid="{81B09D88-78A7-9644-8591-71055B9FDD79}"/>
    <hyperlink ref="C101" r:id="rId96" xr:uid="{6D2306B2-8631-B948-B750-6B86E5F72992}"/>
    <hyperlink ref="C102" r:id="rId97" xr:uid="{B65E38B3-BF05-7F4A-BF87-1EE6EA6A3FDE}"/>
    <hyperlink ref="C111" r:id="rId98" xr:uid="{918EAD6F-388E-F144-B269-04D13098EC88}"/>
    <hyperlink ref="C110" r:id="rId99" xr:uid="{AB2E4DFC-5F02-ED4B-9A41-AF2BEE61BA47}"/>
    <hyperlink ref="C109" r:id="rId100" xr:uid="{5C7ADB48-B21B-5B49-9F7A-6CACD217B111}"/>
    <hyperlink ref="C108" r:id="rId101" xr:uid="{74648F80-FA02-4641-80A2-682A5F31154F}"/>
    <hyperlink ref="C107" r:id="rId102" xr:uid="{E25AFDF4-D925-A640-8B03-40A45935F3FD}"/>
    <hyperlink ref="C106" r:id="rId103" xr:uid="{37A0D230-50B1-CC4A-B879-5CEE78600D7E}"/>
    <hyperlink ref="C105" r:id="rId104" xr:uid="{DDCE34D7-9165-1C41-B604-E069E8E9D441}"/>
    <hyperlink ref="C104" r:id="rId105" xr:uid="{DA2ED74E-44B0-5444-BF9C-BD0D80DDACEC}"/>
    <hyperlink ref="C103" r:id="rId106" xr:uid="{AFEF8C56-4D30-D24D-95A1-0D5E695BB753}"/>
    <hyperlink ref="C112" r:id="rId107" xr:uid="{FEBD8B03-3F20-5C4E-8099-C6585D2FCB74}"/>
    <hyperlink ref="C113" r:id="rId108" xr:uid="{A7B76027-937F-3747-9A7A-6A24FE14F8BC}"/>
    <hyperlink ref="C114" r:id="rId109" xr:uid="{73C2DEA8-8712-B442-9574-B4AD54DAF0D0}"/>
    <hyperlink ref="C115" r:id="rId110" xr:uid="{44FCB0E2-571A-104F-AE0F-C6E32DCA66AC}"/>
    <hyperlink ref="C116" r:id="rId111" xr:uid="{73FE7501-5596-0642-94BE-D66CF526BA5E}"/>
    <hyperlink ref="C117" r:id="rId112" xr:uid="{6A236008-1575-9D47-9885-4AB4E0500902}"/>
    <hyperlink ref="C118" r:id="rId113" xr:uid="{502865AE-6215-0D40-8DBD-A64D49442A52}"/>
    <hyperlink ref="C119" r:id="rId114" xr:uid="{5C59AA72-7DEC-DC4C-8B19-144927A02294}"/>
    <hyperlink ref="C120" r:id="rId115" xr:uid="{3E8175B8-2AD6-D643-8D16-5FE0A5F640BB}"/>
    <hyperlink ref="C121" r:id="rId116" xr:uid="{6EE6C573-BE5F-B64D-AFDB-334AA617B1EC}"/>
    <hyperlink ref="C122" r:id="rId117" xr:uid="{99CC9A2E-70EB-0643-9A23-0F37227414D7}"/>
    <hyperlink ref="C123" r:id="rId118" xr:uid="{C2BFF477-93C0-C24B-8C6E-5F000F042FB1}"/>
    <hyperlink ref="C124" r:id="rId119" xr:uid="{E3969674-D869-C244-A2E3-48A13CE885A7}"/>
    <hyperlink ref="C125" r:id="rId120" xr:uid="{13CD8910-1301-8D4A-9181-ADE664489B09}"/>
    <hyperlink ref="C126" r:id="rId121" xr:uid="{642D40AC-8CB9-AC49-8F87-59AACE05F758}"/>
    <hyperlink ref="C127" r:id="rId122" xr:uid="{D84C0D4D-D50A-1741-B5DA-7B71A1423225}"/>
    <hyperlink ref="C128" r:id="rId123" display="https://www.tdhca.state.tx.us/readocs/uwrep/23407.pdf" xr:uid="{B4766324-8A45-E846-AADE-1EE1C352FDB8}"/>
    <hyperlink ref="C130" r:id="rId124" display="https://www.tdhca.state.tx.us/readocs/uwrep/23404.pdf" xr:uid="{1982FCB5-CB66-5A42-8942-8C08AE7E9AD9}"/>
    <hyperlink ref="C131" r:id="rId125" display="https://www.tdhca.state.tx.us/readocs/uwrep/22492.pdf" xr:uid="{507E5552-3861-E44A-B533-C77A7F667F53}"/>
    <hyperlink ref="C132" r:id="rId126" display="https://www.tdhca.state.tx.us/readocs/uwrep/23414.pdf" xr:uid="{E13B1680-E149-C049-80C7-AF74E5BE48A0}"/>
    <hyperlink ref="C133" r:id="rId127" display="https://www.tdhca.state.tx.us/readocs/uwrep/23412.pdf" xr:uid="{C634BFD4-58DA-D64B-91A8-4DBC34721CCC}"/>
    <hyperlink ref="C135" r:id="rId128" display="https://www.tdhca.state.tx.us/readocs/uwrep/23423.pdf" xr:uid="{2E4CBC1B-994B-7A45-9488-FC6063FC052D}"/>
    <hyperlink ref="C136" r:id="rId129" display="https://www.tdhca.state.tx.us/readocs/uwrep/23400.pdf" xr:uid="{E70F4F36-03FF-BA4D-A839-AE39457708DB}"/>
    <hyperlink ref="C137" r:id="rId130" display="https://www.tdhca.state.tx.us/readocs/uwrep/23428.pdf" xr:uid="{55FFA0C8-AA7C-4A47-A62F-F8222DA904D2}"/>
    <hyperlink ref="C138" r:id="rId131" display="https://www.tdhca.state.tx.us/readocs/uwrep/23413.pdf" xr:uid="{12E167E9-AADF-4E40-A903-9162897B556A}"/>
    <hyperlink ref="C139" r:id="rId132" display="https://www.tdhca.state.tx.us/readocs/uwrep/23401.pdf" xr:uid="{7BA255C7-2C8C-B644-AC1F-52B86584CCF7}"/>
    <hyperlink ref="C140" r:id="rId133" display="https://www.tdhca.state.tx.us/readocs/uwrep/23438.pdf" xr:uid="{64291012-E7FE-EF43-8550-232C02BF578B}"/>
    <hyperlink ref="C141" r:id="rId134" xr:uid="{60C0E7BF-418F-7748-B5DC-490BC82E1ADD}"/>
    <hyperlink ref="C142" r:id="rId135" display="https://www.tdhca.state.tx.us/readocs/uwrep/23435.pdf" xr:uid="{9775AEDF-B19B-ED41-9252-34BE08F18E94}"/>
    <hyperlink ref="C143" r:id="rId136" xr:uid="{11EC739D-FE85-9149-ABA9-0B4F075818E7}"/>
    <hyperlink ref="C144" r:id="rId137" display="https://www.tdhca.state.tx.us/readocs/uwrep/23425.pdf" xr:uid="{6DDC15AF-C496-B24A-88D8-D16E72D41419}"/>
    <hyperlink ref="C145" r:id="rId138" display="https://www.tdhca.state.tx.us/readocs/uwrep/23442.pdf" xr:uid="{932B390E-211F-4D0D-B584-42AE570574C7}"/>
    <hyperlink ref="C147" r:id="rId139" display="https://www.tdhca.state.tx.us/readocs/uwrep/23440.pdf" xr:uid="{DBC77F42-B20D-4A24-A065-34D67A24FC31}"/>
    <hyperlink ref="C148" r:id="rId140" display="https://www.tdhca.state.tx.us/readocs/uwrep/23418.pdf" xr:uid="{52F3D51F-8C05-473A-8240-D4B36F9EA2B3}"/>
    <hyperlink ref="C149" r:id="rId141" display="https://www.tdhca.state.tx.us/readocs/uwrep/23427.pdf" xr:uid="{4D8CBFE7-05D1-47B3-B0AF-55E33666E76D}"/>
    <hyperlink ref="C150" r:id="rId142" display="https://www.tdhca.state.tx.us/readocs/uwrep/23430.pdf" xr:uid="{2DEC7B4D-26FF-4A0A-9045-B43A3A5B426C}"/>
    <hyperlink ref="C151" r:id="rId143" display="https://www.tdhca.state.tx.us/readocs/uwrep/23424.pdf" xr:uid="{0E3D6C03-B5CF-492B-9BBA-4F538D6B1A60}"/>
    <hyperlink ref="C155" r:id="rId144" display="https://www.tdhca.state.tx.us/readocs/uwrep/23433.pdf" xr:uid="{E0B5AD8C-3EAE-48A8-91E1-58A0E11EBBAE}"/>
    <hyperlink ref="C154" r:id="rId145" display="https://www.tdhca.state.tx.us/readocs/uwrep/23432.pdf" xr:uid="{FAA5BCD1-959E-4229-8464-AE2F1C99FC7E}"/>
    <hyperlink ref="C156" r:id="rId146" display="https://www.tdhca.state.tx.us/readocs/uwrep/23420.pdf" xr:uid="{13ADFA4C-8A14-4B34-8AD2-10B493D77CCA}"/>
    <hyperlink ref="C157" r:id="rId147" display="https://www.tdhca.state.tx.us/readocs/uwrep/23437.pdf" xr:uid="{50C1EE68-03BE-4DEA-90CC-E1C54E267FC2}"/>
    <hyperlink ref="C158" r:id="rId148" xr:uid="{765F1009-7F1A-48D7-8D2D-DB7741F87188}"/>
    <hyperlink ref="C159" r:id="rId149" xr:uid="{316855A5-4723-424F-91BC-AEFDD55183A6}"/>
    <hyperlink ref="C162" r:id="rId150" display="https://www.tdhca.state.tx.us/readocs/uwrep/23443.pdf" xr:uid="{E85B4024-92DC-4505-9733-ACCCD1C10B0D}"/>
    <hyperlink ref="C163" r:id="rId151" display="https://www.tdhca.state.tx.us/readocs/uwrep/23446.pdf" xr:uid="{AACA62E8-57E2-490D-8E08-7BEC72192C6E}"/>
    <hyperlink ref="C160" r:id="rId152" xr:uid="{A534B468-211C-4882-8E03-D3BC11A8C581}"/>
    <hyperlink ref="C161" r:id="rId153" xr:uid="{F5877619-C458-44C0-BF40-2C905C81BC8B}"/>
    <hyperlink ref="C153" r:id="rId154" display="https://www.tdhca.state.tx.us/readocs/uwrep/23606.pdf" xr:uid="{94C25404-6BA3-49A5-9623-BA43C6288E6A}"/>
    <hyperlink ref="C152" r:id="rId155" display="https://www.tdhca.state.tx.us/readocs/uwrep/23610.pdf" xr:uid="{3F604220-66E5-4F9F-9650-279B8CD77601}"/>
    <hyperlink ref="C146" r:id="rId156" display="https://www.tdhca.state.tx.us/readocs/uwrep/23609.pdf" xr:uid="{C443A171-E458-4292-B3AE-948FDCF27023}"/>
    <hyperlink ref="C134" r:id="rId157" display="https://www.tdhca.state.tx.us/readocs/uwrep/23601.pdf" xr:uid="{BBD0BF25-7902-40E7-B9C8-D97F6F79E883}"/>
    <hyperlink ref="C165" r:id="rId158" display="chrome-extension://efaidnbmnnnibpcajpcglclefindmkaj/https://www.tdhca.state.tx.us/readocs/uwrep/23444.pdf" xr:uid="{CE51B4C1-F3BA-2146-9D76-9872A1BA036E}"/>
    <hyperlink ref="C166" r:id="rId159" display="chrome-extension://efaidnbmnnnibpcajpcglclefindmkaj/https://www.tdhca.state.tx.us/readocs/uwrep/23421.pdf" xr:uid="{1A0468D8-A8C8-EC43-B0D7-F4FCC0FAAFDB}"/>
    <hyperlink ref="C167" r:id="rId160" display="chrome-extension://efaidnbmnnnibpcajpcglclefindmkaj/https://www.tdhca.state.tx.us/readocs/uwrep/23452.pdf" xr:uid="{E4FE1B64-C961-2E47-9455-EFC821520A85}"/>
    <hyperlink ref="C168" r:id="rId161" display="chrome-extension://efaidnbmnnnibpcajpcglclefindmkaj/https://www.tdhca.state.tx.us/readocs/uwrep/23460.pdf" xr:uid="{4BD42C7E-1F2D-664B-AC11-093EF2C9AB67}"/>
    <hyperlink ref="C169" r:id="rId162" display="chrome-extension://efaidnbmnnnibpcajpcglclefindmkaj/https://www.tdhca.state.tx.us/readocs/uwrep/23456.pdf" xr:uid="{BF69227F-0D74-3A4D-8212-C6F81D80118D}"/>
    <hyperlink ref="C170" r:id="rId163" display="chrome-extension://efaidnbmnnnibpcajpcglclefindmkaj/https://www.tdhca.state.tx.us/readocs/uwrep/23453.pdf" xr:uid="{D0F73E24-12C9-AF42-AE22-A50B34B0B73B}"/>
    <hyperlink ref="C171" r:id="rId164" display="chrome-extension://efaidnbmnnnibpcajpcglclefindmkaj/https://www.tdhca.state.tx.us/readocs/uwrep/23462.pdf" xr:uid="{20FF0923-D6D5-AB43-A163-F23923481C22}"/>
    <hyperlink ref="C172" r:id="rId165" display="chrome-extension://efaidnbmnnnibpcajpcglclefindmkaj/https://www.tdhca.state.tx.us/readocs/uwrep/23459.pdf" xr:uid="{709C7564-CC79-A448-98C1-E5F0A77C935B}"/>
    <hyperlink ref="C173" r:id="rId166" display="chrome-extension://efaidnbmnnnibpcajpcglclefindmkaj/https://www.tdhca.state.tx.us/readocs/uwrep/23461.pdf" xr:uid="{BF73861C-CF12-B340-BFA4-2C4ACAE22E03}"/>
    <hyperlink ref="C174" r:id="rId167" display="chrome-extension://efaidnbmnnnibpcajpcglclefindmkaj/https://www.tdhca.state.tx.us/readocs/uwrep/23469.pdf" xr:uid="{B06C34EE-214A-3D4A-A00D-61BD3D3AD130}"/>
    <hyperlink ref="C175" r:id="rId168" display="chrome-extension://efaidnbmnnnibpcajpcglclefindmkaj/https://www.tdhca.state.tx.us/readocs/uwrep/23454.pdf" xr:uid="{25D30F46-2BA0-AF49-BFD3-CEC2A51F1D2E}"/>
    <hyperlink ref="C176" r:id="rId169" display="22254" xr:uid="{F2FDF156-4024-48EC-B775-6A24DE863E51}"/>
    <hyperlink ref="C177" r:id="rId170" display="chrome-extension://efaidnbmnnnibpcajpcglclefindmkaj/https://www.tdhca.state.tx.us/readocs/uwrep/22204.pdf" xr:uid="{5D9C24AB-AF16-764B-BA2A-CA5977AF6281}"/>
    <hyperlink ref="C178" r:id="rId171" xr:uid="{4CC3DE5D-A08D-EE4C-A615-31B01E1372C5}"/>
    <hyperlink ref="C179" r:id="rId172" display="chrome-extension://efaidnbmnnnibpcajpcglclefindmkaj/https://www.tdhca.state.tx.us/readocs/uwrep/23472.pdf" xr:uid="{982FA6EE-45B8-554F-B8C5-B4951C1D947F}"/>
    <hyperlink ref="C180" r:id="rId173" display="chrome-extension://efaidnbmnnnibpcajpcglclefindmkaj/https://www.tdhca.state.tx.us/readocs/uwrep/23470.pdf" xr:uid="{669F643A-00EC-CD43-919F-2D57EDB9BA5A}"/>
    <hyperlink ref="C181" r:id="rId174" display="chrome-extension://efaidnbmnnnibpcajpcglclefindmkaj/https://www.tdhca.state.tx.us/readocs/uwrep/23013.pdf" xr:uid="{3F75451A-5CF4-C443-9A86-926065CAE9C0}"/>
    <hyperlink ref="C182" r:id="rId175" display="chrome-extension://efaidnbmnnnibpcajpcglclefindmkaj/https://www.tdhca.state.tx.us/readocs/uwrep/22251.pdf" xr:uid="{6C318AFD-09C2-ED47-A2E9-C941B8BBA8D5}"/>
    <hyperlink ref="C183" r:id="rId176" display="chrome-extension://efaidnbmnnnibpcajpcglclefindmkaj/https://www.tdhca.state.tx.us/readocs/uwrep/23703.pdf" xr:uid="{4EF04CFD-0B9F-5246-AD3B-11098F167592}"/>
    <hyperlink ref="C184" r:id="rId177" display="chrome-extension://efaidnbmnnnibpcajpcglclefindmkaj/https://www.tdhca.state.tx.us/readocs/uwrep/23477.pdf" xr:uid="{54C62B61-5557-6E43-ADE4-9DEFD74EA681}"/>
    <hyperlink ref="C185" r:id="rId178" display="chrome-extension://efaidnbmnnnibpcajpcglclefindmkaj/https://www.tdhca.state.tx.us/readocs/uwrep/22054.pdf" xr:uid="{D64EF3F1-AB0D-3240-BED7-FBC23BA23C1E}"/>
    <hyperlink ref="C186" r:id="rId179" xr:uid="{37148539-DDA3-D64A-A0CE-21A524383B57}"/>
    <hyperlink ref="C187" r:id="rId180" display="chrome-extension://efaidnbmnnnibpcajpcglclefindmkaj/https://www.tdhca.state.tx.us/readocs/uwrep/23466.pdf" xr:uid="{2B690B3A-C347-B84F-8570-0E244098CF07}"/>
    <hyperlink ref="C188" r:id="rId181" display="chrome-extension://efaidnbmnnnibpcajpcglclefindmkaj/https://www.tdhca.state.tx.us/readocs/uwrep/23473.pdf" xr:uid="{BD0F43CC-E2CD-CC48-B0C0-270D6B7D2380}"/>
    <hyperlink ref="C189" r:id="rId182" display="chrome-extension://efaidnbmnnnibpcajpcglclefindmkaj/https://www.tdhca.state.tx.us/readocs/uwrep/22218.pdf" xr:uid="{2C713006-8271-2A4A-B714-FFDF833BE459}"/>
    <hyperlink ref="C190" r:id="rId183" display="chrome-extension://efaidnbmnnnibpcajpcglclefindmkaj/https://www.tdhca.state.tx.us/readocs/uwrep/22609.pdf" xr:uid="{DAD782AF-6B16-734A-A45D-016BCF453149}"/>
    <hyperlink ref="C191" r:id="rId184" xr:uid="{812324BE-6B12-9F4D-93B0-6D402C87113D}"/>
    <hyperlink ref="C193" r:id="rId185" xr:uid="{A9C3CF8C-F076-AA45-B176-2843DC20EB08}"/>
    <hyperlink ref="C194" r:id="rId186" display="chrome-extension://efaidnbmnnnibpcajpcglclefindmkaj/https://www.tdhca.state.tx.us/readocs/uwrep/23471.pdf" xr:uid="{0B14E107-0ABB-6F48-8353-6C338BF02742}"/>
    <hyperlink ref="C195" r:id="rId187" xr:uid="{4B0B5375-D936-6F4C-99F1-8F4C701039C3}"/>
    <hyperlink ref="C196" r:id="rId188" xr:uid="{597E18C5-5F6F-C441-9288-D41C4FF8760A}"/>
    <hyperlink ref="C197" r:id="rId189" xr:uid="{1A3A51F8-E6CB-C642-9415-528C7259DAD1}"/>
    <hyperlink ref="C198" r:id="rId190" display="chrome-extension://efaidnbmnnnibpcajpcglclefindmkaj/https://www.tdhca.state.tx.us/readocs/uwrep/23436.pdf" xr:uid="{B542AE0F-4410-FD4F-AFDB-DCC0DA880E08}"/>
    <hyperlink ref="C199" r:id="rId191" xr:uid="{0053BF11-59D8-D744-98A5-163CA1176A04}"/>
    <hyperlink ref="C201" r:id="rId192" xr:uid="{2B596A53-4F78-1C41-AC6B-6A256DFF683B}"/>
    <hyperlink ref="C202" r:id="rId193" display="chrome-extension://efaidnbmnnnibpcajpcglclefindmkaj/https://www.tdhca.state.tx.us/readocs/uwrep/23476.pdf" xr:uid="{88509CA9-EA4A-DA4A-B70D-4FB37E89310C}"/>
    <hyperlink ref="C203" r:id="rId194" display="chrome-extension://efaidnbmnnnibpcajpcglclefindmkaj/https://www.tdhca.state.tx.us/readocs/uwrep/23479.pdf" xr:uid="{3BA0B380-A8E6-EE4B-B7D1-5FD926A81179}"/>
    <hyperlink ref="C204" r:id="rId195" display="chrome-extension://efaidnbmnnnibpcajpcglclefindmkaj/https://www.tdhca.state.tx.us/readocs/uwrep/22053.pdf" xr:uid="{A0E8F22E-9D8A-F24E-9DD1-D350994A5A99}"/>
    <hyperlink ref="C205" r:id="rId196" display="chrome-extension://efaidnbmnnnibpcajpcglclefindmkaj/https://www.tdhca.state.tx.us/readocs/uwrep/23480.pdf" xr:uid="{0D1A09D8-066C-3344-8114-2447C3256060}"/>
    <hyperlink ref="C206" r:id="rId197" display="chrome-extension://efaidnbmnnnibpcajpcglclefindmkaj/https://www.tdhca.state.tx.us/readocs/uwrep/23475.pdf" xr:uid="{B78782A8-5BBC-0640-B7B1-63901F40A2FF}"/>
    <hyperlink ref="C207" r:id="rId198" display="chrome-extension://efaidnbmnnnibpcajpcglclefindmkaj/https://www.tdhca.state.tx.us/readocs/uwrep/23701.pdf" xr:uid="{B9AFB94A-15D5-6C41-88B1-A7E1FE616BF2}"/>
    <hyperlink ref="C208" r:id="rId199" display="chrome-extension://efaidnbmnnnibpcajpcglclefindmkaj/https://www.tdhca.state.tx.us/readocs/uwrep/23482.pdf" xr:uid="{2A62B8B5-F3DB-2E48-91E2-16DAEE557A50}"/>
    <hyperlink ref="C209" r:id="rId200" display="chrome-extension://efaidnbmnnnibpcajpcglclefindmkaj/https://www.tdhca.state.tx.us/readocs/uwrep/23481.pdf" xr:uid="{7D9A702F-D743-6349-AE60-9753C3AB5B47}"/>
    <hyperlink ref="C210" r:id="rId201" xr:uid="{14345629-8506-364F-81A6-02DF87A739DF}"/>
    <hyperlink ref="C211" r:id="rId202" display="chrome-extension://efaidnbmnnnibpcajpcglclefindmkaj/https://www.tdhca.state.tx.us/readocs/uwrep/23416.pdf" xr:uid="{1C95C717-0B0A-0340-B618-3A04C1E827DB}"/>
    <hyperlink ref="C212" r:id="rId203" xr:uid="{D156E5AF-FC7A-FC49-AE5F-4EAC2B149A51}"/>
    <hyperlink ref="C213" r:id="rId204" display="chrome-extension://efaidnbmnnnibpcajpcglclefindmkaj/https://www.tdhca.state.tx.us/readocs/uwrep/24406.pdf" xr:uid="{7DF82C8C-D853-8042-A4CE-50D21924EA03}"/>
    <hyperlink ref="C214" r:id="rId205" display="chrome-extension://efaidnbmnnnibpcajpcglclefindmkaj/https:/www.tdhca.state.tx.us/readocs/uwrep/24410.pdf" xr:uid="{0D3C2373-EF57-C245-9509-5C47DD1C8E04}"/>
    <hyperlink ref="C215" r:id="rId206" display="chrome-extension://efaidnbmnnnibpcajpcglclefindmkaj/https://www.tdhca.state.tx.us/readocs/uwrep/24412.pdf" xr:uid="{64BC330E-81EF-7347-9A72-58DC9093595D}"/>
    <hyperlink ref="C216" r:id="rId207" display="chrome-extension://efaidnbmnnnibpcajpcglclefindmkaj/https://www.tdhca.state.tx.us/readocs/uwrep/24431.pdf" xr:uid="{650B18FD-B5B0-DB43-8B76-DAB5DFA980DA}"/>
    <hyperlink ref="C217" r:id="rId208" display="chrome-extension://efaidnbmnnnibpcajpcglclefindmkaj/https://www.tdhca.state.tx.us/readocs/uwrep/24436.pdf" xr:uid="{E5847D11-D8C6-FE47-8C46-C069FC45ECDA}"/>
    <hyperlink ref="C218" r:id="rId209" display="chrome-extension://efaidnbmnnnibpcajpcglclefindmkaj/https://www.tdhca.state.tx.us/readocs/uwrep/24413.pdf" xr:uid="{037F6532-9B4F-A74D-B519-2882C98126A9}"/>
    <hyperlink ref="C219" r:id="rId210" display="chrome-extension://efaidnbmnnnibpcajpcglclefindmkaj/https://www.tdhca.state.tx.us/readocs/uwrep/22039.pdf" xr:uid="{66978202-2713-1445-AB41-D9133F3B568B}"/>
    <hyperlink ref="C220" r:id="rId211" display="chrome-extension://efaidnbmnnnibpcajpcglclefindmkaj/https://www.tdhca.state.tx.us/readocs/uwrep/24424.pdf" xr:uid="{B0782261-1B86-F54A-805B-D5F784214C68}"/>
    <hyperlink ref="C221" r:id="rId212" display="chrome-extension://efaidnbmnnnibpcajpcglclefindmkaj/https://www.tdhca.state.tx.us/readocs/uwrep/24442.pdf" xr:uid="{2FC325BF-CA7A-E54D-96CC-A78897F44E46}"/>
    <hyperlink ref="C222" r:id="rId213" display="chrome-extension://efaidnbmnnnibpcajpcglclefindmkaj/https://www.tdhca.state.tx.us/readocs/uwrep/24422.pdf" xr:uid="{CF39B6C4-8253-A54F-A96F-A0C48DA38DCC}"/>
    <hyperlink ref="C223" r:id="rId214" display="chrome-extension://efaidnbmnnnibpcajpcglclefindmkaj/https://www.tdhca.state.tx.us/readocs/uwrep/24414.pdf" xr:uid="{D59FB34D-4627-5543-B849-40924CDC3B46}"/>
    <hyperlink ref="C224" r:id="rId215" display="chrome-extension://efaidnbmnnnibpcajpcglclefindmkaj/https://www.tdhca.state.tx.us/readocs/uwrep/24400.pdf" xr:uid="{A6228E8B-A0B9-4643-B213-E916B570D3F0}"/>
    <hyperlink ref="C225" r:id="rId216" display="chrome-extension://efaidnbmnnnibpcajpcglclefindmkaj/https://www.tdhca.state.tx.us/readocs/uwrep/24447.pdf" xr:uid="{D0B98EE6-2A4A-2C4F-82A2-C5A63CA9E18D}"/>
    <hyperlink ref="C226" r:id="rId217" display="chrome-extension://efaidnbmnnnibpcajpcglclefindmkaj/https://www.tdhca.state.tx.us/readocs/uwrep/24448.pdf" xr:uid="{2C0D84C5-2178-7D4A-86B5-C43F8158CB3A}"/>
    <hyperlink ref="C227" r:id="rId218" xr:uid="{EEDA5D8C-E0FD-0D43-8415-43FA32920E17}"/>
    <hyperlink ref="C228" r:id="rId219" display="chrome-extension://efaidnbmnnnibpcajpcglclefindmkaj/https://www.tdhca.state.tx.us/readocs/uwrep/22219.pdf" xr:uid="{0D5155A9-12AC-604A-B05B-69F9D841E05B}"/>
    <hyperlink ref="C229" r:id="rId220" display="chrome-extension://efaidnbmnnnibpcajpcglclefindmkaj/https://www.tdhca.state.tx.us/readocs/uwrep/24441.pdf" xr:uid="{234F6DFA-1BBB-E143-92C1-EE64FAF81380}"/>
    <hyperlink ref="C230" r:id="rId221" display="chrome-extension://efaidnbmnnnibpcajpcglclefindmkaj/https://www.tdhca.state.tx.us/readocs/uwrep/24427.pdf" xr:uid="{F041FE6F-7EE6-7548-8576-868CF437397F}"/>
    <hyperlink ref="C231" r:id="rId222" display="chrome-extension://efaidnbmnnnibpcajpcglclefindmkaj/https:/www.tdhca.state.tx.us/readocs/uwrep/24600.pdf" xr:uid="{9230E7D7-E02D-D54F-8E67-65ADFB901016}"/>
    <hyperlink ref="C232" r:id="rId223" display="chrome-extension://efaidnbmnnnibpcajpcglclefindmkaj/https://www.tdhca.state.tx.us/readocs/uwrep/24601.pdf" xr:uid="{3C4C3EE4-0445-1E4F-81B4-8A90F6528942}"/>
    <hyperlink ref="C233" r:id="rId224" display="chrome-extension://efaidnbmnnnibpcajpcglclefindmkaj/https://www.tdhca.state.tx.us/readocs/uwrep/24455.pdf" xr:uid="{9E114178-CA9B-8749-B18C-D6EC040463FF}"/>
    <hyperlink ref="C234" r:id="rId225" display="chrome-extension://efaidnbmnnnibpcajpcglclefindmkaj/https://www.tdhca.state.tx.us/readocs/uwrep/19409.pdf" xr:uid="{505449DD-A933-C443-A1DD-17796833E712}"/>
    <hyperlink ref="C235" r:id="rId226" display="chrome-extension://efaidnbmnnnibpcajpcglclefindmkaj/https://www.tdhca.state.tx.us/readocs/uwrep/24429.pdf" xr:uid="{B292FABC-ED29-6549-949C-2797558A93BB}"/>
    <hyperlink ref="C236" r:id="rId227" display="chrome-extension://efaidnbmnnnibpcajpcglclefindmkaj/https://www.tdhca.state.tx.us/readocs/uwrep/24602.pdf" xr:uid="{D98CC2F0-FD29-B544-8437-F8C9F3217BEA}"/>
    <hyperlink ref="C237" r:id="rId228" display="chrome-extension://efaidnbmnnnibpcajpcglclefindmkaj/https://www.tdhca.state.tx.us/readocs/uwrep/24445.pdf" xr:uid="{5E92C1E6-4802-F741-B35C-80D66CA561F6}"/>
    <hyperlink ref="C238" r:id="rId229" display="chrome-extension://efaidnbmnnnibpcajpcglclefindmkaj/https://www.tdhca.state.tx.us/readocs/uwrep/24443.pdf" xr:uid="{D5B6B6CC-1B58-6848-9BB1-465ACBB51095}"/>
    <hyperlink ref="C239" r:id="rId230" display="chrome-extension://efaidnbmnnnibpcajpcglclefindmkaj/https://www.tdhca.state.tx.us/readocs/uwrep/24407.pdf" xr:uid="{D1E8762E-892F-4045-B891-9F02B9DEF817}"/>
    <hyperlink ref="C240" r:id="rId231" display="chrome-extension://efaidnbmnnnibpcajpcglclefindmkaj/https://www.tdhca.state.tx.us/readocs/uwrep/24439.pdf" xr:uid="{58CE0345-D5BD-8142-9DC9-C28B0E5AE3B7}"/>
    <hyperlink ref="C241" r:id="rId232" display="chrome-extension://efaidnbmnnnibpcajpcglclefindmkaj/https://www.tdhca.state.tx.us/readocs/uwrep/24426.pdf" xr:uid="{9BF6ACC5-5BCB-2842-B656-D9675F2E7C52}"/>
    <hyperlink ref="C242" r:id="rId233" display="chrome-extension://efaidnbmnnnibpcajpcglclefindmkaj/https://www.tdhca.state.tx.us/readocs/uwrep/23160.pdf" xr:uid="{9E9C2D5D-5BAB-ED43-BA73-1CF94487EA38}"/>
    <hyperlink ref="C243" r:id="rId234" display="chrome-extension://efaidnbmnnnibpcajpcglclefindmkaj/https://www.tdhca.state.tx.us/readocs/uwrep/24457.pdf" xr:uid="{CD0C6087-EDD8-704A-A12C-4D64A80E7587}"/>
    <hyperlink ref="C244" r:id="rId235" display="chrome-extension://efaidnbmnnnibpcajpcglclefindmkaj/https://www.tdhca.state.tx.us/readocs/uwrep/24415.pdf" xr:uid="{31B81BE9-CEAC-8C4C-822C-45D1491A5772}"/>
    <hyperlink ref="C245" r:id="rId236" display="chrome-extension://efaidnbmnnnibpcajpcglclefindmkaj/https://www.tdhca.state.tx.us/readocs/uwrep/24450.pdf" xr:uid="{BA8D93E3-B890-CB42-A6B0-FA751236ACDD}"/>
    <hyperlink ref="C246" r:id="rId237" display="chrome-extension://efaidnbmnnnibpcajpcglclefindmkaj/https://www.tdhca.state.tx.us/readocs/uwrep/24452.pdf" xr:uid="{1F766277-4EC3-EC46-94D2-C5BE376888DF}"/>
    <hyperlink ref="C247" r:id="rId238" display="chrome-extension://efaidnbmnnnibpcajpcglclefindmkaj/https://www.tdhca.state.tx.us/readocs/uwrep/24409.pdf" xr:uid="{E185CA70-2549-9043-B68E-37CAA5EE36F5}"/>
    <hyperlink ref="C248" r:id="rId239" display="chrome-extension://efaidnbmnnnibpcajpcglclefindmkaj/https://www.tdhca.state.tx.us/readocs/uwrep/24462.pdf" xr:uid="{1973613C-EBF5-6B4F-8A49-81D2FC858E81}"/>
    <hyperlink ref="C249" r:id="rId240" display="chrome-extension://efaidnbmnnnibpcajpcglclefindmkaj/https:/www.tdhca.state.tx.us/readocs/uwrep/24444.pdf" xr:uid="{035FE781-2ACE-7642-A1D5-52446EA75F7A}"/>
    <hyperlink ref="C250" r:id="rId241" display="chrome-extension://efaidnbmnnnibpcajpcglclefindmkaj/https://www.tdhca.state.tx.us/readocs/uwrep/24417.pdf" xr:uid="{8719CC55-F23C-0044-BA2E-5D4B6B921083}"/>
    <hyperlink ref="C251" r:id="rId242" display="chrome-extension://efaidnbmnnnibpcajpcglclefindmkaj/https://www.tdhca.state.tx.us/readocs/uwrep/24405.pdf" xr:uid="{D3D05479-6F74-EF42-AC65-816006111F77}"/>
    <hyperlink ref="C252" r:id="rId243" display="chrome-extension://efaidnbmnnnibpcajpcglclefindmkaj/https://www.tdhca.state.tx.us/readocs/uwrep/23702.pdf" xr:uid="{DDF07C0D-818B-BD41-9C3C-45E95DF0F55A}"/>
    <hyperlink ref="C253" r:id="rId244" display="chrome-extension://efaidnbmnnnibpcajpcglclefindmkaj/https://www.tdhca.state.tx.us/readocs/uwrep/24454.pdf" xr:uid="{A6C6580A-1DF0-FA4B-8501-FA8FD79BFBE0}"/>
    <hyperlink ref="C254" r:id="rId245" xr:uid="{83C01A32-6A42-3342-8250-FCA21A8CFC4A}"/>
    <hyperlink ref="C255" r:id="rId246" display="chrome-extension://efaidnbmnnnibpcajpcglclefindmkaj/https://www.tdhca.state.tx.us/readocs/uwrep/24473.pdf" xr:uid="{1702AD7A-0ACE-E847-9EAF-9EF4DEC32E67}"/>
    <hyperlink ref="C256" r:id="rId247" display="chrome-extension://efaidnbmnnnibpcajpcglclefindmkaj/https://www.tdhca.state.tx.us/readocs/uwrep/24470.pdf" xr:uid="{E0CA4B8F-F38D-9F44-A0A8-B79D3DBB38CA}"/>
    <hyperlink ref="C257" r:id="rId248" display="chrome-extension://efaidnbmnnnibpcajpcglclefindmkaj/https://www.tdhca.state.tx.us/readocs/uwrep/24437.pdf" xr:uid="{E61B41FF-1C13-8B4D-9313-848F1797EBF9}"/>
    <hyperlink ref="C258" r:id="rId249" display="chrome-extension://efaidnbmnnnibpcajpcglclefindmkaj/https://www.tdhca.state.tx.us/readocs/uwrep/24476.pdf" xr:uid="{DB2F8AB9-BDB6-094F-9F70-7DA079FDD21E}"/>
    <hyperlink ref="C259" r:id="rId250" display="chrome-extension://efaidnbmnnnibpcajpcglclefindmkaj/https://www.tdhca.state.tx.us/readocs/uwrep/24483.pdf" xr:uid="{E5ED7E25-58CC-2C4F-9E60-B48CCD1BD7DC}"/>
    <hyperlink ref="C260" r:id="rId251" display="chrome-extension://efaidnbmnnnibpcajpcglclefindmkaj/https://www.tdhca.state.tx.us/readocs/uwrep/24479.pdf" xr:uid="{5F21EE49-15F1-7E4B-9E1B-595D44C908F2}"/>
    <hyperlink ref="C261" r:id="rId252" display="chrome-extension://efaidnbmnnnibpcajpcglclefindmkaj/https://www.tdhca.state.tx.us/readocs/uwrep/24451.pdf" xr:uid="{11A8FEC7-C356-344A-960A-82E51DFCF0D3}"/>
    <hyperlink ref="C262" r:id="rId253" display="chrome-extension://efaidnbmnnnibpcajpcglclefindmkaj/https://www.tdhca.state.tx.us/readocs/uwrep/24044.pdf" xr:uid="{8D7BCC74-62A5-3E4A-8DC2-3D2158C31CF1}"/>
    <hyperlink ref="C263" r:id="rId254" display="chrome-extension://efaidnbmnnnibpcajpcglclefindmkaj/https://www.tdhca.state.tx.us/readocs/uwrep/24045.pdf" xr:uid="{DB55D798-19FF-1B45-B2BF-01BDA0FE6586}"/>
    <hyperlink ref="C264" r:id="rId255" display="chrome-extension://efaidnbmnnnibpcajpcglclefindmkaj/https://www.tdhca.state.tx.us/readocs/uwrep/24438.pdf" xr:uid="{65972979-BD2E-AC4B-A71C-414A8EE7F041}"/>
    <hyperlink ref="C265" r:id="rId256" display="chrome-extension://efaidnbmnnnibpcajpcglclefindmkaj/https://www.tdhca.state.tx.us/readocs/uwrep/23015.pdf" xr:uid="{0A6D369D-0B0C-5746-BEC1-0C33BF71DBB3}"/>
    <hyperlink ref="C266" r:id="rId257" display="chrome-extension://efaidnbmnnnibpcajpcglclefindmkaj/https://www.tdhca.state.tx.us/readocs/uwrep/24196.pdf" xr:uid="{A8367F5C-636E-6440-B6A1-F4315E64EF54}"/>
    <hyperlink ref="C268" r:id="rId258" display="chrome-extension://efaidnbmnnnibpcajpcglclefindmkaj/https://www.tdhca.state.tx.us/readocs/uwrep/24198.pdf" xr:uid="{6C57054C-1139-AB41-9A2D-A4EC398B4AB2}"/>
    <hyperlink ref="C269" r:id="rId259" display="chrome-extension://efaidnbmnnnibpcajpcglclefindmkaj/https://www.tdhca.state.tx.us/readocs/uwrep/24478.pdf" xr:uid="{E91136BA-5BD0-EB44-AFFD-C5747690CB91}"/>
    <hyperlink ref="C270" r:id="rId260" xr:uid="{88A51087-032F-5948-B540-2196AB1192C0}"/>
    <hyperlink ref="C271" r:id="rId261" display="chrome-extension://efaidnbmnnnibpcajpcglclefindmkaj/https://www.tdhca.state.tx.us/readocs/uwrep/24244.pdf" xr:uid="{318B54E7-84D2-4A49-944B-2EBD82283232}"/>
    <hyperlink ref="C272" r:id="rId262" xr:uid="{1B4BE956-C271-6B47-A9E7-D9F0318B176F}"/>
    <hyperlink ref="C273" r:id="rId263" display="chrome-extension://efaidnbmnnnibpcajpcglclefindmkaj/https://www.tdhca.state.tx.us/readocs/uwrep/24468.pdf" xr:uid="{DC205352-1353-CA4E-BD72-FC708F3FC012}"/>
    <hyperlink ref="C274" r:id="rId264" display="chrome-extension://efaidnbmnnnibpcajpcglclefindmkaj/https://www.tdhca.state.tx.us/readocs/uwrep/24491.pdf" xr:uid="{53EDB4AE-ADD9-3942-95FC-A3398614146C}"/>
    <hyperlink ref="C275" r:id="rId265" display="chrome-extension://efaidnbmnnnibpcajpcglclefindmkaj/https://www.tdhca.state.tx.us/readocs/uwrep/24481.pdf" xr:uid="{30E780AB-9101-514F-ACAD-4D14CB2CDA0E}"/>
    <hyperlink ref="C276" r:id="rId266" display="chrome-extension://efaidnbmnnnibpcajpcglclefindmkaj/https://www.tdhca.state.tx.us/readocs/uwrep/24606.pdf" xr:uid="{19EA6822-0198-1747-B13D-0FFDC0F6405A}"/>
    <hyperlink ref="C277" r:id="rId267" display="chrome-extension://efaidnbmnnnibpcajpcglclefindmkaj/https://www.tdhca.state.tx.us/readocs/uwrep/23019.pdf" xr:uid="{AFB09F27-0863-7341-9E93-7AE5A572C879}"/>
    <hyperlink ref="C278" r:id="rId268" display="chrome-extension://efaidnbmnnnibpcajpcglclefindmkaj/https://www.tdhca.state.tx.us/readocs/uwrep/24488.pdf" xr:uid="{74EC963C-D640-0D49-BDE5-D3AE318AB455}"/>
    <hyperlink ref="C279" r:id="rId269" xr:uid="{67CF42E7-A4B3-2644-8F36-14DD8ED21740}"/>
    <hyperlink ref="C280" r:id="rId270" display="chrome-extension://efaidnbmnnnibpcajpcglclefindmkaj/https://www.tdhca.state.tx.us/readocs/uwrep/24492.pdf" xr:uid="{EF7E04D8-A1D1-E04F-A1A2-9560999419D6}"/>
    <hyperlink ref="C281" r:id="rId271" display="chrome-extension://efaidnbmnnnibpcajpcglclefindmkaj/https://www.tdhca.state.tx.us/readocs/uwrep/24472.pdf" xr:uid="{CA9823D5-5615-EF41-BE9B-A474C18FFB68}"/>
    <hyperlink ref="C282" r:id="rId272" display="chrome-extension://efaidnbmnnnibpcajpcglclefindmkaj/https://www.tdhca.state.tx.us/readocs/uwrep/24474.pdf" xr:uid="{75B5651C-4B21-AF44-B83D-C0D26CBF9626}"/>
    <hyperlink ref="C283" r:id="rId273" display="chrome-extension://efaidnbmnnnibpcajpcglclefindmkaj/https://www.tdhca.state.tx.us/readocs/uwrep/24484.pdf" xr:uid="{5007E4F8-D08D-F248-97D5-9349BEE7241D}"/>
    <hyperlink ref="C284" r:id="rId274" display="chrome-extension://efaidnbmnnnibpcajpcglclefindmkaj/https://www.tdhca.state.tx.us/readocs/uwrep/24497.pdf" xr:uid="{D0A37EAD-507E-D84F-9414-E1872CCD8A31}"/>
    <hyperlink ref="C285" r:id="rId275" display="chrome-extension://efaidnbmnnnibpcajpcglclefindmkaj/https://www.tdhca.state.tx.us/readocs/uwrep/23178.pdf" xr:uid="{1FE75E26-5CAB-704D-AC8C-8045768337EF}"/>
    <hyperlink ref="C287" r:id="rId276" display="chrome-extension://efaidnbmnnnibpcajpcglclefindmkaj/https://www.tdhca.state.tx.us/readocs/uwrep/24607.pdf" xr:uid="{5B6589CE-CF96-DF4B-8E71-70430574D5A4}"/>
    <hyperlink ref="C288" r:id="rId277" xr:uid="{1676DB37-B3B6-FD42-9ACC-D14A62FD9095}"/>
    <hyperlink ref="C289" r:id="rId278" display="chrome-extension://efaidnbmnnnibpcajpcglclefindmkaj/https://www.tdhca.state.tx.us/readocs/uwrep/24493.pdf" xr:uid="{B174BA88-CDFD-E643-978E-33F86753CE3B}"/>
    <hyperlink ref="C291" r:id="rId279" display="chrome-extension://efaidnbmnnnibpcajpcglclefindmkaj/https://www.tdhca.state.tx.us/readocs/uwrep/24487.pdf" xr:uid="{96CB145C-C3AF-B347-92A1-C527CB8CA10E}"/>
    <hyperlink ref="C292" r:id="rId280" xr:uid="{436C8265-E33C-194B-ACEB-D0E7E99D65FB}"/>
    <hyperlink ref="C293" r:id="rId281" display="chrome-extension://efaidnbmnnnibpcajpcglclefindmkaj/https://www.tdhca.state.tx.us/readocs/uwrep/24411.pdf" xr:uid="{4FCFE214-9978-9E42-8C49-4A5157615EFE}"/>
    <hyperlink ref="C294" r:id="rId282" xr:uid="{3C2FE3A8-4C8F-3045-8D25-6495532491A7}"/>
    <hyperlink ref="C295" r:id="rId283" xr:uid="{BE84F61F-E072-1E4B-99E4-1F8846054C50}"/>
    <hyperlink ref="C296" r:id="rId284" display="chrome-extension://efaidnbmnnnibpcajpcglclefindmkaj/https://www.tdhca.state.tx.us/readocs/uwrep/24485.pdf" xr:uid="{1BC065AF-778E-9244-B660-BCE87B49BEFB}"/>
    <hyperlink ref="C297" r:id="rId285" display="chrome-extension://efaidnbmnnnibpcajpcglclefindmkaj/https://www.tdhca.state.tx.us/readocs/uwrep/24496.pdf" xr:uid="{176756BA-D9C2-A44C-A6C5-01798DAC3D74}"/>
    <hyperlink ref="C298" r:id="rId286" display="chrome-extension://efaidnbmnnnibpcajpcglclefindmkaj/https://www.tdhca.state.tx.us/readocs/uwrep/24703.pdf" xr:uid="{E1660EF9-884C-1948-AC5F-5E6F07DBE0E7}"/>
    <hyperlink ref="C299" r:id="rId287" display="chrome-extension://efaidnbmnnnibpcajpcglclefindmkaj/https://www.tdhca.state.tx.us/readocs/uwrep/24145.pdf" xr:uid="{4CC9B909-5EF3-C24A-8723-2DB60F6B3F13}"/>
    <hyperlink ref="C301" r:id="rId288" display="chrome-extension://efaidnbmnnnibpcajpcglclefindmkaj/https://www.tdhca.state.tx.us/readocs/uwrep/24475.pdf" xr:uid="{76494A38-FA65-9547-B20C-D26529B1E42A}"/>
    <hyperlink ref="C302" r:id="rId289" display="chrome-extension://efaidnbmnnnibpcajpcglclefindmkaj/https://www.tdhca.state.tx.us/readocs/uwrep/25453.pdf" xr:uid="{4B780CD2-E8D5-E745-B7FE-9F3DD38B485F}"/>
    <hyperlink ref="C304" r:id="rId290" display="chrome-extension://efaidnbmnnnibpcajpcglclefindmkaj/https://www.tdhca.state.tx.us/readocs/uwrep/25411.pdf" xr:uid="{44510855-F682-6141-990F-9E7698CF4984}"/>
    <hyperlink ref="C305" r:id="rId291" display="chrome-extension://efaidnbmnnnibpcajpcglclefindmkaj/https://www.tdhca.state.tx.us/readocs/uwrep/25405.pdf" xr:uid="{66ECAE3A-C6DC-D042-9E73-E109B1C868A6}"/>
    <hyperlink ref="C306" r:id="rId292" display="chrome-extension://efaidnbmnnnibpcajpcglclefindmkaj/https://www.tdhca.state.tx.us/readocs/uwrep/25413.pdf" xr:uid="{0971E0C7-5BD3-9748-AC9F-91E6BDF8A3AF}"/>
    <hyperlink ref="C307" r:id="rId293" display="chrome-extension://efaidnbmnnnibpcajpcglclefindmkaj/https://www.tdhca.state.tx.us/readocs/uwrep/25419.pdf" xr:uid="{F8179A22-6397-0645-898A-0DD6A4E1C698}"/>
    <hyperlink ref="C308" r:id="rId294" display="chrome-extension://efaidnbmnnnibpcajpcglclefindmkaj/https://www.tdhca.state.tx.us/readocs/uwrep/25447.pdf" xr:uid="{27B317F8-C763-7047-98C8-D8B4BC49D6D7}"/>
    <hyperlink ref="C309" r:id="rId295" display="chrome-extension://efaidnbmnnnibpcajpcglclefindmkaj/https://www.tdhca.state.tx.us/readocs/uwrep/25409.pdf" xr:uid="{A9D46FFE-1C95-C64E-BFDF-F9288CDAB8BA}"/>
    <hyperlink ref="C310" r:id="rId296" display="chrome-extension://efaidnbmnnnibpcajpcglclefindmkaj/https://www.tdhca.state.tx.us/readocs/uwrep/25406.pdf" xr:uid="{35212452-DECF-724C-81A4-38F993C5CF7B}"/>
    <hyperlink ref="C311" r:id="rId297" display="chrome-extension://efaidnbmnnnibpcajpcglclefindmkaj/https://www.tdhca.state.tx.us/readocs/uwrep/25429.pdf" xr:uid="{2B1E28B4-445F-5C41-975E-27DF9425E6DF}"/>
    <hyperlink ref="C312" r:id="rId298" display="chrome-extension://efaidnbmnnnibpcajpcglclefindmkaj/https://www.tdhca.state.tx.us/readocs/uwrep/25420.pdf" xr:uid="{8A3B2DFE-BBC7-784B-A063-8B80D4E6DE39}"/>
    <hyperlink ref="C313" r:id="rId299" display="chrome-extension://efaidnbmnnnibpcajpcglclefindmkaj/https://www.tdhca.state.tx.us/readocs/uwrep/25422.pdf" xr:uid="{0AC9A32D-4F6E-6148-BCEB-FC5E4CDADE39}"/>
    <hyperlink ref="C314" r:id="rId300" display="chrome-extension://efaidnbmnnnibpcajpcglclefindmkaj/https://www.tdhca.state.tx.us/readocs/uwrep/25442.pdf" xr:uid="{CD9716DA-1470-4B40-98F2-E8942FE66C04}"/>
    <hyperlink ref="C315" r:id="rId301" display="chrome-extension://efaidnbmnnnibpcajpcglclefindmkaj/https://www.tdhca.state.tx.us/readocs/uwrep/25425.pdf" xr:uid="{9AAE86B1-63AD-504D-8047-7BE4A36F0B84}"/>
    <hyperlink ref="C316" r:id="rId302" display="chrome-extension://efaidnbmnnnibpcajpcglclefindmkaj/https://www.tdhca.state.tx.us/readocs/uwrep/25412.pdf" xr:uid="{9EDB2850-7EC2-484D-A182-C3EA50D2CC70}"/>
    <hyperlink ref="C317" r:id="rId303" display="chrome-extension://efaidnbmnnnibpcajpcglclefindmkaj/https://www.tdhca.state.tx.us/readocs/uwrep/25437.pdf" xr:uid="{17986101-B081-9F4D-8D47-7B257ED73C52}"/>
    <hyperlink ref="C318" r:id="rId304" display="chrome-extension://efaidnbmnnnibpcajpcglclefindmkaj/https://www.tdhca.state.tx.us/readocs/uwrep/25403.pdf" xr:uid="{667DB18A-B983-D84C-93C6-62347EC798EE}"/>
    <hyperlink ref="C319" r:id="rId305" display="chrome-extension://efaidnbmnnnibpcajpcglclefindmkaj/https://www.tdhca.state.tx.us/readocs/uwrep/25415.pdf" xr:uid="{C9583BE2-7579-EB40-90DF-334B8637CB5C}"/>
    <hyperlink ref="C320" r:id="rId306" display="chrome-extension://efaidnbmnnnibpcajpcglclefindmkaj/https://www.tdhca.state.tx.us/readocs/uwrep/25404.pdf" xr:uid="{A3ED9389-674B-5D4B-AB45-3EBF06A20B68}"/>
    <hyperlink ref="C321" r:id="rId307" display="chrome-extension://efaidnbmnnnibpcajpcglclefindmkaj/https://www.tdhca.state.tx.us/readocs/uwrep/25439.pdf" xr:uid="{CA5BA924-37A5-A54D-88CD-F82BE92AC465}"/>
    <hyperlink ref="C322" r:id="rId308" display="https://www.tdhca.state.tx.us/readocs/uwrep/25414.pdf" xr:uid="{CC13751D-4CB5-8449-AB7F-E2393EF88C8F}"/>
    <hyperlink ref="C323" r:id="rId309" display="https://www.tdhca.state.tx.us/readocs/uwrep/25438.pdf" xr:uid="{6791788D-5339-D14E-925F-86F6B9057927}"/>
    <hyperlink ref="C324" r:id="rId310" display="https://www.tdhca.state.tx.us/readocs/uwrep/25420.pdf" xr:uid="{72A0AB26-F4B5-1243-BC6D-007A13DD334F}"/>
    <hyperlink ref="C325" r:id="rId311" tooltip="opens in a new window" display="https://www.tdhca.state.tx.us/readocs/uwrep/25459.pdf" xr:uid="{EFE08B7B-CCC2-9941-A3C9-DA2A2E249E8B}"/>
    <hyperlink ref="C326" r:id="rId312" display="https://www.tdhca.state.tx.us/readocs/uwrep/25451.pdf" xr:uid="{FFE8BD8B-10F9-A246-958E-BF83C5CF1286}"/>
    <hyperlink ref="C327" r:id="rId313" display="https://www.tdhca.state.tx.us/readocs/uwrep/25448.pdf" xr:uid="{1D491F15-7B69-D246-91C0-3AAB8D076E62}"/>
    <hyperlink ref="C328" r:id="rId314" tooltip="opens in a new window" display="https://www.tdhca.state.tx.us/readocs/uwrep/24502_23906_21033.pdf" xr:uid="{2A44B457-5F5D-FC42-8CC8-8E51DDB4AB01}"/>
    <hyperlink ref="C329" r:id="rId315" tooltip="opens in a new window" display="https://www.tdhca.state.tx.us/readocs/uwrep/24501_23905_21032.pdf" xr:uid="{7BAB0D75-ADE7-BC43-8800-A35FD64B9257}"/>
    <hyperlink ref="C330" r:id="rId316" tooltip="opens in a new window" display="https://www.tdhca.state.tx.us/readocs/uwrep/25427.pdf" xr:uid="{78097C9D-68F2-A54B-9F97-559DE03395B8}"/>
    <hyperlink ref="C331" r:id="rId317" tooltip="opens in a new window" display="https://www.tdhca.state.tx.us/readocs/uwrep/25461.pdf" xr:uid="{0F85965D-30B6-FA4E-BDD7-4EAA72151D66}"/>
    <hyperlink ref="C332" r:id="rId318" tooltip="opens in a new window" display="https://www.tdhca.state.tx.us/readocs/uwrep/25454.pdf" xr:uid="{05A20106-4F5F-0A4D-9D27-1E27459EF58C}"/>
    <hyperlink ref="C349" r:id="rId319" tooltip="opens in a new window" display="https://www.tdhca.state.tx.us/readocs/uwrep/25201.pdf" xr:uid="{57487915-0546-4EC1-BBB6-6BEE0A14AD31}"/>
    <hyperlink ref="C350" r:id="rId320" tooltip="opens in a new window" display="https://www.tdhca.state.tx.us/readocs/uwrep/25481.pdf" xr:uid="{4BBF2D26-6F86-4CC3-92A3-8F6D88CABE28}"/>
    <hyperlink ref="C351" r:id="rId321" tooltip="opens in a new window" display="https://www.tdhca.state.tx.us/readocs/uwrep/23229.pdf" xr:uid="{93952CCA-5426-4C5F-9A43-AF47106D16F3}"/>
    <hyperlink ref="C352" r:id="rId322" tooltip="opens in a new window" display="https://www.tdhca.state.tx.us/readocs/uwrep/25163.pdf" xr:uid="{6CD3D26D-A8D0-4E3B-A6A7-4C667B5E9548}"/>
    <hyperlink ref="C353" r:id="rId323" tooltip="opens in a new window" display="https://www.tdhca.state.tx.us/readocs/uwrep/25504_24023.pdf" xr:uid="{E51746A1-86D7-42C6-ADA9-B91994E6F6C1}"/>
    <hyperlink ref="C354" r:id="rId324" tooltip="opens in a new window" display="https://www.tdhca.state.tx.us/readocs/uwrep/25107.pdf" xr:uid="{C22B037D-40FE-4760-B78F-1DA6739AB4E5}"/>
    <hyperlink ref="C355" r:id="rId325" tooltip="opens in a new window" display="https://www.tdhca.state.tx.us/readocs/uwrep/25609.pdf" xr:uid="{35667057-2AC9-4CD3-AA46-C0FEE2D14E78}"/>
    <hyperlink ref="C356" r:id="rId326" tooltip="opens in a new window" display="https://www.tdhca.state.tx.us/readocs/uwrep/25093.pdf" xr:uid="{499DC838-B71D-4D1F-A846-82E821CD02BD}"/>
    <hyperlink ref="C357" r:id="rId327" tooltip="opens in a new window" display="https://www.tdhca.state.tx.us/readocs/uwrep/25271.pdf" xr:uid="{DD2B413D-A31A-4FC9-89A8-F1D1666D3D18}"/>
    <hyperlink ref="C358" r:id="rId328" tooltip="opens in a new window" display="https://www.tdhca.state.tx.us/readocs/uwrep/25443.pdf" xr:uid="{51113B38-CAF2-4989-9161-98A79765F8FD}"/>
    <hyperlink ref="C359" r:id="rId329" tooltip="opens in a new window" display="https://www.tdhca.state.tx.us/readocs/uwrep/25480.pdf" xr:uid="{1883DF62-75DE-470F-A93D-F2C846A66D21}"/>
    <hyperlink ref="C360" r:id="rId330" tooltip="opens in a new window" display="https://www.tdhca.state.tx.us/readocs/uwrep/25505_24146.pdf" xr:uid="{646090EF-B92E-4E9D-81D6-5D7DEFD55999}"/>
    <hyperlink ref="C361" r:id="rId331" tooltip="opens in a new window" display="https://www.tdhca.state.tx.us/readocs/uwrep/25473.pdf" xr:uid="{2AE44DBD-38C5-48D1-8279-704A07E0DE5B}"/>
    <hyperlink ref="C362" r:id="rId332" tooltip="opens in a new window" display="https://www.tdhca.state.tx.us/readocs/uwrep/25479.pdf" xr:uid="{CFA40F2C-3C15-4D18-9E16-AC4EFAC8E2DE}"/>
    <hyperlink ref="C363" r:id="rId333" tooltip="opens in a new window" display="https://www.tdhca.state.tx.us/readocs/uwrep/25474.pdf" xr:uid="{60FC5D0A-516F-4FCC-82F6-A77EF792B49E}"/>
    <hyperlink ref="C364" r:id="rId334" tooltip="opens in a new window" display="https://www.tdhca.state.tx.us/readocs/uwrep/25088.pdf" xr:uid="{BF09FD6B-38FB-4699-9698-5CB092FD0B14}"/>
    <hyperlink ref="C365" r:id="rId335" tooltip="opens in a new window" display="https://www.tdhca.state.tx.us/readocs/uwrep/25187.pdf" xr:uid="{3412CCC8-7A4A-4888-8242-40C44ECD80A1}"/>
    <hyperlink ref="C366" r:id="rId336" tooltip="opens in a new window" display="https://www.tdhca.state.tx.us/readocs/uwrep/25196.pdf" xr:uid="{E867724A-2AD5-4F1F-83B5-BF6918808199}"/>
    <hyperlink ref="C367" r:id="rId337" tooltip="opens in a new window" display="https://www.tdhca.state.tx.us/readocs/uwrep/25177.pdf" xr:uid="{07C759C9-9D71-48BE-AA97-B86E90CC53FD}"/>
    <hyperlink ref="C368" r:id="rId338" tooltip="opens in a new window" display="https://www.tdhca.state.tx.us/readocs/uwrep/25402.pdf" xr:uid="{975F3556-8CE4-44C9-B347-B25E20F370EC}"/>
    <hyperlink ref="C369" r:id="rId339" tooltip="opens in a new window" display="https://www.tdhca.state.tx.us/readocs/uwrep/25494.pdf" xr:uid="{BD12C7DF-B6EA-4100-844D-BB67CADA5E9B}"/>
    <hyperlink ref="C370" r:id="rId340" tooltip="opens in a new window" display="https://www.tdhca.state.tx.us/readocs/uwrep/24509_23920_21093.pdf" xr:uid="{6117A369-C5BE-4994-9241-68CF9EB60589}"/>
    <hyperlink ref="C371" r:id="rId341" tooltip="opens in a new window" display="https://www.tdhca.state.tx.us/readocs/uwrep/25483.pdf" xr:uid="{32B40D3A-7DD6-4774-A287-4D3B4632DD99}"/>
    <hyperlink ref="C373" r:id="rId342" tooltip="opens in a new window" display="https://www.tdhca.state.tx.us/readocs/uwrep/25490.pdf" xr:uid="{385703D7-4A83-44A4-AA37-5974912EE60C}"/>
    <hyperlink ref="C374" r:id="rId343" tooltip="opens in a new window" display="https://www.tdhca.state.tx.us/readocs/uwrep/25491.pdf" xr:uid="{13335F45-CB42-42A1-82F2-B2A4C395853E}"/>
    <hyperlink ref="C375" r:id="rId344" tooltip="opens in a new window" display="https://www.tdhca.state.tx.us/readocs/uwrep/21608.pdf" xr:uid="{986C7A2E-3221-476B-9CA4-CFE0E784E755}"/>
    <hyperlink ref="C376" r:id="rId345" tooltip="opens in a new window" display="https://www.tdhca.state.tx.us/readocs/uwrep/25477.pdf" xr:uid="{2E808B03-7B9E-441F-A02D-8C77F9DE1C64}"/>
    <hyperlink ref="C377" r:id="rId346" tooltip="opens in a new window" display="https://www.tdhca.state.tx.us/readocs/uwrep/24504_23927_21116.pdf" xr:uid="{4710A531-A611-4545-A26E-A2957FCA467F}"/>
    <hyperlink ref="C378" r:id="rId347" tooltip="opens in a new window" display="https://www.tdhca.state.tx.us/readocs/uwrep/24505_22159.pdf" xr:uid="{8844EF5E-A706-4A32-AEDD-E1D0C2947428}"/>
    <hyperlink ref="C379" r:id="rId348" tooltip="opens in a new window" display="https://www.tdhca.state.tx.us/readocs/uwrep/25484.pdf" xr:uid="{730F97E4-E16C-4491-B31C-D1862C851AF1}"/>
    <hyperlink ref="C380" r:id="rId349" tooltip="opens in a new window" display="https://www.tdhca.state.tx.us/readocs/uwrep/25487.pdf" xr:uid="{F52519D4-5FCB-46A8-8946-4AE099380593}"/>
    <hyperlink ref="C381" r:id="rId350" tooltip="opens in a new window" display="https://www.tdhca.state.tx.us/readocs/uwrep/25488.pdf" xr:uid="{3131F435-C632-4FC5-BB50-3B04348C1127}"/>
    <hyperlink ref="C382" r:id="rId351" tooltip="opens in a new window" display="https://www.tdhca.state.tx.us/readocs/uwrep/26422.pdf" xr:uid="{DC67306A-AF63-4CE6-8618-2EB2F9A458F1}"/>
    <hyperlink ref="C383" r:id="rId352" tooltip="opens in a new window" display="https://www.tdhca.state.tx.us/readocs/uwrep/21614.pdf" xr:uid="{ED93B047-A256-4C7D-ADF3-388C18C1514F}"/>
    <hyperlink ref="C384" r:id="rId353" tooltip="opens in a new window" display="https://www.tdhca.state.tx.us/readocs/uwrep/24456.pdf" xr:uid="{C9131121-7048-41F1-AC92-22606D9C5A6B}"/>
    <hyperlink ref="C385" r:id="rId354" tooltip="opens in a new window" display="https://www.tdhca.state.tx.us/readocs/uwrep/24508_22228.pdf" xr:uid="{514BF45A-ACC2-4F9F-8772-9F7D86E559A7}"/>
    <hyperlink ref="C386" r:id="rId355" tooltip="opens in a new window" display="https://www.tdhca.state.tx.us/readocs/uwrep/26425.pdf" xr:uid="{DC8FF60D-E227-4610-8C0F-21521D3F08AC}"/>
    <hyperlink ref="C387" r:id="rId356" tooltip="opens in a new window" display="https://www.tdhca.state.tx.us/readocs/uwrep/24076.pdf" xr:uid="{836A0292-2367-4D7E-901C-61157AAE1946}"/>
    <hyperlink ref="C388" r:id="rId357" tooltip="opens in a new window" display="https://www.tdhca.state.tx.us/readocs/uwrep/25013.pdf" xr:uid="{5F7ED70D-4BB6-4D64-AEB5-9FCBD91EF37A}"/>
    <hyperlink ref="C389" r:id="rId358" tooltip="opens in a new window" display="https://www.tdhca.state.tx.us/readocs/uwrep/26604.pdf" xr:uid="{E164B5B6-C108-40C8-9167-085633CB91AD}"/>
    <hyperlink ref="C390" r:id="rId359" tooltip="opens in a new window" display="https://www.tdhca.state.tx.us/readocs/uwrep/26410.pdf" xr:uid="{3FD8EDEB-D875-4411-BBC3-C826F480C42D}"/>
    <hyperlink ref="C391" r:id="rId360" tooltip="opens in a new window" display="https://www.tdhca.state.tx.us/readocs/uwrep/26423.pdf" xr:uid="{C63322F8-160F-4D48-A7CF-94885D6A0212}"/>
    <hyperlink ref="C392" r:id="rId361" tooltip="opens in a new window" display="https://www.tdhca.state.tx.us/readocs/uwrep/26412.pdf" xr:uid="{F211B806-9BDD-4741-9260-A3153CC0FEA4}"/>
    <hyperlink ref="C393" r:id="rId362" tooltip="opens in a new window" display="https://www.tdhca.state.tx.us/readocs/uwrep/24607.pdf" xr:uid="{1D946149-EEDA-4C38-8D6F-309FEDBCA2E2}"/>
    <hyperlink ref="C394" r:id="rId363" tooltip="opens in a new window" display="https://www.tdhca.state.tx.us/readocs/uwrep/26400.pdf" xr:uid="{61522A67-9BE0-4053-9888-DF93F7A2CF32}"/>
    <hyperlink ref="C395" r:id="rId364" tooltip="opens in a new window" display="https://www.tdhca.state.tx.us/readocs/uwrep/26405.pdf" xr:uid="{E08ED167-A331-4BF6-BEB2-3F098D39FA9A}"/>
    <hyperlink ref="C396" r:id="rId365" tooltip="opens in a new window" display="https://www.tdhca.state.tx.us/readocs/uwrep/26411.pdf" xr:uid="{06A2F820-8C89-4A50-980C-F50F87EAF3E4}"/>
    <hyperlink ref="C397" r:id="rId366" tooltip="opens in a new window" display="https://www.tdhca.state.tx.us/readocs/uwrep/26418.pdf" xr:uid="{EED44388-DD98-4D8F-B543-0C5BF06577DF}"/>
    <hyperlink ref="C348" r:id="rId367" tooltip="opens in a new window" display="https://www.tdhca.state.tx.us/readocs/uwrep/24506_22208.pdf" xr:uid="{785EE64D-D2DD-4635-AFD9-5DF58E26AE11}"/>
    <hyperlink ref="C347" r:id="rId368" tooltip="opens in a new window" display="https://www.tdhca.state.tx.us/readocs/uwrep/25468.pdf" xr:uid="{B1680CB0-CB6E-446E-93DC-1BCF4E78AF45}"/>
    <hyperlink ref="C346" r:id="rId369" tooltip="opens in a new window" display="https://www.tdhca.state.tx.us/readocs/uwrep/25469.pdf" xr:uid="{8ACF4F0D-2CCB-497D-A4D1-1B9089F8CB61}"/>
    <hyperlink ref="C345" r:id="rId370" tooltip="opens in a new window" display="https://www.tdhca.state.tx.us/readocs/uwrep/25471.pdf" xr:uid="{B1519588-1F1C-470A-8A36-5DF47C61DE21}"/>
    <hyperlink ref="C344" r:id="rId371" tooltip="opens in a new window" display="https://www.tdhca.state.tx.us/readocs/uwrep/25466.pdf" xr:uid="{AB4716D8-AA08-4BC1-A862-2543355408E7}"/>
    <hyperlink ref="C343" r:id="rId372" tooltip="opens in a new window" display="https://www.tdhca.state.tx.us/readocs/uwrep/25465.pdf" xr:uid="{41DA62EE-517C-4164-AD53-67959ECEE77E}"/>
    <hyperlink ref="C342" r:id="rId373" tooltip="opens in a new window" display="https://www.tdhca.state.tx.us/readocs/uwrep/25467.pdf" xr:uid="{AB8F25AB-101E-4133-8D07-3BBD3400526B}"/>
    <hyperlink ref="C341" r:id="rId374" tooltip="opens in a new window" display="https://www.tdhca.state.tx.us/readocs/uwrep/25455.pdf" xr:uid="{D4691B6C-F6A8-458E-A887-7BEA6636AE5C}"/>
    <hyperlink ref="C340" r:id="rId375" tooltip="opens in a new window" display="https://www.tdhca.state.tx.us/readocs/uwrep/25423.pdf" xr:uid="{61CEF45A-2776-4F90-B094-C2734E5BC8E2}"/>
    <hyperlink ref="C339" r:id="rId376" tooltip="opens in a new window" display="https://www.tdhca.state.tx.us/readocs/uwrep/25463.pdf" xr:uid="{834769B0-D5B9-4C2A-984A-FEC7C2AB0D29}"/>
    <hyperlink ref="C338" r:id="rId377" tooltip="opens in a new window" display="https://www.tdhca.state.tx.us/readocs/uwrep/25456.pdf" xr:uid="{ECE0EC78-157A-4B18-8BAA-9818C75693D4}"/>
    <hyperlink ref="C337" r:id="rId378" tooltip="opens in a new window" display="https://www.tdhca.state.tx.us/readocs/uwrep/25470.pdf" xr:uid="{940AC4C7-0F23-4E84-A8DB-6CD33C92886B}"/>
    <hyperlink ref="C336" r:id="rId379" tooltip="opens in a new window" display="https://www.tdhca.state.tx.us/readocs/uwrep/25462.pdf" xr:uid="{4FE567E6-5B96-4B90-8156-8DA115578F1B}"/>
    <hyperlink ref="C335" r:id="rId380" tooltip="opens in a new window" display="https://www.tdhca.state.tx.us/readocs/uwrep/25426.pdf" xr:uid="{B76AE9FA-A444-43DD-BC5D-AB20C57ACF5F}"/>
    <hyperlink ref="C334" r:id="rId381" tooltip="opens in a new window" display="https://www.tdhca.state.tx.us/readocs/uwrep/25421.pdf" xr:uid="{1D478398-78BA-451F-B1B6-9C68EBFCAD66}"/>
    <hyperlink ref="C333" r:id="rId382" tooltip="opens in a new window" display="https://www.tdhca.state.tx.us/readocs/uwrep/25408.pdf" xr:uid="{2883BE16-ACE4-418D-BBE8-FC5343F0E264}"/>
    <hyperlink ref="C398" r:id="rId383" tooltip="opens in a new window" display="https://www.tdhca.state.tx.us/readocs/uwrep/26417.pdf" xr:uid="{25A30C49-0729-45C0-89E2-2652F2460197}"/>
    <hyperlink ref="C399" r:id="rId384" tooltip="opens in a new window" display="https://www.tdhca.state.tx.us/readocs/uwrep/26416.pdf" xr:uid="{91B7ED45-8052-43F6-8F76-FF052665E670}"/>
    <hyperlink ref="C400" r:id="rId385" tooltip="opens in a new window" display="https://www.tdhca.state.tx.us/readocs/uwrep/26407.pdf" xr:uid="{69669833-ABF1-4AA8-8D7D-AF538C3FEC25}"/>
  </hyperlinks>
  <pageMargins left="0.7" right="0.7" top="0.75" bottom="0.75" header="0.3" footer="0.3"/>
  <pageSetup orientation="portrait" r:id="rId386"/>
  <ignoredErrors>
    <ignoredError sqref="T3" formulaRange="1"/>
  </ignoredErrors>
  <legacyDrawing r:id="rId387"/>
  <tableParts count="1">
    <tablePart r:id="rId38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BB86-4DCE-3044-ABFA-2EC9321536D8}">
  <dimension ref="B1:AZ119"/>
  <sheetViews>
    <sheetView showGridLines="0" topLeftCell="A18" zoomScale="85" zoomScaleNormal="85" workbookViewId="0">
      <pane xSplit="4" topLeftCell="E1" activePane="topRight" state="frozen"/>
      <selection pane="topRight" activeCell="H104" sqref="H104"/>
      <selection activeCell="A49" sqref="A49"/>
    </sheetView>
  </sheetViews>
  <sheetFormatPr defaultColWidth="10.85546875" defaultRowHeight="14.1"/>
  <cols>
    <col min="1" max="1" width="3.42578125" style="213" customWidth="1"/>
    <col min="2" max="2" width="37.42578125" style="213" bestFit="1" customWidth="1"/>
    <col min="3" max="52" width="15.85546875" style="213" customWidth="1"/>
    <col min="53" max="16384" width="10.85546875" style="213"/>
  </cols>
  <sheetData>
    <row r="1" spans="2:52" ht="14.45" thickBot="1"/>
    <row r="2" spans="2:52" ht="14.45" thickBot="1">
      <c r="B2" s="214" t="s">
        <v>1718</v>
      </c>
      <c r="C2" s="215"/>
      <c r="D2" s="250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7"/>
    </row>
    <row r="3" spans="2:52" ht="15.95" customHeight="1" thickBot="1">
      <c r="B3" s="218" t="s">
        <v>1719</v>
      </c>
      <c r="C3" s="287" t="s">
        <v>1714</v>
      </c>
      <c r="D3" s="288"/>
      <c r="E3" s="279" t="s">
        <v>1720</v>
      </c>
      <c r="F3" s="280"/>
      <c r="G3" s="279" t="s">
        <v>1721</v>
      </c>
      <c r="H3" s="280"/>
      <c r="I3" s="279" t="s">
        <v>1722</v>
      </c>
      <c r="J3" s="280"/>
      <c r="K3" s="279" t="s">
        <v>1723</v>
      </c>
      <c r="L3" s="280"/>
      <c r="M3" s="279" t="s">
        <v>1724</v>
      </c>
      <c r="N3" s="280"/>
      <c r="O3" s="279" t="s">
        <v>1725</v>
      </c>
      <c r="P3" s="280"/>
      <c r="Q3" s="279" t="s">
        <v>1726</v>
      </c>
      <c r="R3" s="280"/>
      <c r="S3" s="279" t="s">
        <v>1727</v>
      </c>
      <c r="T3" s="280"/>
      <c r="U3" s="279" t="s">
        <v>1728</v>
      </c>
      <c r="V3" s="280"/>
      <c r="W3" s="279" t="s">
        <v>1729</v>
      </c>
      <c r="X3" s="280"/>
      <c r="Y3" s="279" t="s">
        <v>1730</v>
      </c>
      <c r="Z3" s="280"/>
      <c r="AA3" s="279" t="s">
        <v>1731</v>
      </c>
      <c r="AB3" s="280"/>
      <c r="AC3" s="279" t="s">
        <v>387</v>
      </c>
      <c r="AD3" s="280"/>
      <c r="AE3" s="279" t="s">
        <v>1732</v>
      </c>
      <c r="AF3" s="280"/>
      <c r="AG3" s="279" t="s">
        <v>1733</v>
      </c>
      <c r="AH3" s="280"/>
      <c r="AI3" s="279" t="s">
        <v>1734</v>
      </c>
      <c r="AJ3" s="280"/>
      <c r="AK3" s="279"/>
      <c r="AL3" s="280"/>
      <c r="AM3" s="279"/>
      <c r="AN3" s="280"/>
      <c r="AO3" s="279"/>
      <c r="AP3" s="280"/>
      <c r="AQ3" s="279"/>
      <c r="AR3" s="280"/>
      <c r="AS3" s="279"/>
      <c r="AT3" s="280"/>
      <c r="AU3" s="279"/>
      <c r="AV3" s="280"/>
      <c r="AW3" s="279"/>
      <c r="AX3" s="280"/>
      <c r="AY3" s="279"/>
      <c r="AZ3" s="293"/>
    </row>
    <row r="4" spans="2:52" ht="15" customHeight="1">
      <c r="B4" s="219" t="s">
        <v>1735</v>
      </c>
      <c r="C4" s="289"/>
      <c r="D4" s="290"/>
      <c r="E4" s="281">
        <v>45777</v>
      </c>
      <c r="F4" s="282"/>
      <c r="G4" s="281">
        <v>45777</v>
      </c>
      <c r="H4" s="282"/>
      <c r="I4" s="281">
        <v>45777</v>
      </c>
      <c r="J4" s="282"/>
      <c r="K4" s="281">
        <v>45777</v>
      </c>
      <c r="L4" s="282"/>
      <c r="M4" s="281">
        <v>45777</v>
      </c>
      <c r="N4" s="282"/>
      <c r="O4" s="281">
        <v>45777</v>
      </c>
      <c r="P4" s="282"/>
      <c r="Q4" s="281">
        <v>45777</v>
      </c>
      <c r="R4" s="282"/>
      <c r="S4" s="281">
        <v>45777</v>
      </c>
      <c r="T4" s="282"/>
      <c r="U4" s="281">
        <v>45777</v>
      </c>
      <c r="V4" s="282"/>
      <c r="W4" s="281">
        <v>45777</v>
      </c>
      <c r="X4" s="282"/>
      <c r="Y4" s="281">
        <v>45777</v>
      </c>
      <c r="Z4" s="282"/>
      <c r="AA4" s="281">
        <v>45777</v>
      </c>
      <c r="AB4" s="282"/>
      <c r="AC4" s="281">
        <v>45777</v>
      </c>
      <c r="AD4" s="282"/>
      <c r="AE4" s="281">
        <v>45777</v>
      </c>
      <c r="AF4" s="282"/>
      <c r="AG4" s="281">
        <v>45777</v>
      </c>
      <c r="AH4" s="282"/>
      <c r="AI4" s="281">
        <v>45777</v>
      </c>
      <c r="AJ4" s="282"/>
      <c r="AK4" s="281"/>
      <c r="AL4" s="282"/>
      <c r="AM4" s="281"/>
      <c r="AN4" s="282"/>
      <c r="AO4" s="281"/>
      <c r="AP4" s="282"/>
      <c r="AQ4" s="281"/>
      <c r="AR4" s="282"/>
      <c r="AS4" s="281"/>
      <c r="AT4" s="282"/>
      <c r="AU4" s="281"/>
      <c r="AV4" s="282"/>
      <c r="AW4" s="281"/>
      <c r="AX4" s="282"/>
      <c r="AY4" s="281"/>
      <c r="AZ4" s="294"/>
    </row>
    <row r="5" spans="2:52" ht="15" customHeight="1">
      <c r="B5" s="220" t="s">
        <v>1736</v>
      </c>
      <c r="C5" s="291">
        <f>AVERAGE(E5:AZ5)</f>
        <v>170539.1875</v>
      </c>
      <c r="D5" s="292"/>
      <c r="E5" s="273">
        <v>104874</v>
      </c>
      <c r="F5" s="274"/>
      <c r="G5" s="273">
        <v>42952</v>
      </c>
      <c r="H5" s="274"/>
      <c r="I5" s="273">
        <v>147214</v>
      </c>
      <c r="J5" s="274"/>
      <c r="K5" s="273">
        <v>72172</v>
      </c>
      <c r="L5" s="274"/>
      <c r="M5" s="273">
        <v>170276</v>
      </c>
      <c r="N5" s="274"/>
      <c r="O5" s="273">
        <v>111296</v>
      </c>
      <c r="P5" s="274"/>
      <c r="Q5" s="273">
        <v>203774</v>
      </c>
      <c r="R5" s="274"/>
      <c r="S5" s="273">
        <v>355252</v>
      </c>
      <c r="T5" s="274"/>
      <c r="U5" s="273">
        <v>165844</v>
      </c>
      <c r="V5" s="274"/>
      <c r="W5" s="273">
        <v>302400</v>
      </c>
      <c r="X5" s="274"/>
      <c r="Y5" s="273">
        <v>263464</v>
      </c>
      <c r="Z5" s="274"/>
      <c r="AA5" s="273">
        <v>137210</v>
      </c>
      <c r="AB5" s="274"/>
      <c r="AC5" s="273">
        <v>137996</v>
      </c>
      <c r="AD5" s="274"/>
      <c r="AE5" s="273">
        <v>134574</v>
      </c>
      <c r="AF5" s="274"/>
      <c r="AG5" s="273">
        <v>227007</v>
      </c>
      <c r="AH5" s="274"/>
      <c r="AI5" s="273">
        <v>152322</v>
      </c>
      <c r="AJ5" s="274"/>
      <c r="AK5" s="273"/>
      <c r="AL5" s="274"/>
      <c r="AM5" s="273"/>
      <c r="AN5" s="274"/>
      <c r="AO5" s="273"/>
      <c r="AP5" s="274"/>
      <c r="AQ5" s="273"/>
      <c r="AR5" s="274"/>
      <c r="AS5" s="273"/>
      <c r="AT5" s="274"/>
      <c r="AU5" s="273"/>
      <c r="AV5" s="274"/>
      <c r="AW5" s="273"/>
      <c r="AX5" s="274"/>
      <c r="AY5" s="273"/>
      <c r="AZ5" s="275"/>
    </row>
    <row r="6" spans="2:52" ht="15" customHeight="1">
      <c r="B6" s="220" t="s">
        <v>31</v>
      </c>
      <c r="C6" s="283">
        <f>AVERAGE(E6:AZ6)</f>
        <v>199.6875</v>
      </c>
      <c r="D6" s="284"/>
      <c r="E6" s="273">
        <v>142</v>
      </c>
      <c r="F6" s="274"/>
      <c r="G6" s="273">
        <v>160</v>
      </c>
      <c r="H6" s="274"/>
      <c r="I6" s="273">
        <v>153</v>
      </c>
      <c r="J6" s="274"/>
      <c r="K6" s="273">
        <v>192</v>
      </c>
      <c r="L6" s="274"/>
      <c r="M6" s="273">
        <v>184</v>
      </c>
      <c r="N6" s="274"/>
      <c r="O6" s="273">
        <v>160</v>
      </c>
      <c r="P6" s="274"/>
      <c r="Q6" s="273">
        <v>216</v>
      </c>
      <c r="R6" s="274"/>
      <c r="S6" s="273">
        <v>300</v>
      </c>
      <c r="T6" s="274"/>
      <c r="U6" s="273">
        <v>200</v>
      </c>
      <c r="V6" s="274"/>
      <c r="W6" s="273">
        <v>300</v>
      </c>
      <c r="X6" s="274"/>
      <c r="Y6" s="273">
        <v>280</v>
      </c>
      <c r="Z6" s="274"/>
      <c r="AA6" s="273">
        <v>174</v>
      </c>
      <c r="AB6" s="274"/>
      <c r="AC6" s="273">
        <v>176</v>
      </c>
      <c r="AD6" s="274"/>
      <c r="AE6" s="273">
        <v>134</v>
      </c>
      <c r="AF6" s="274"/>
      <c r="AG6" s="273">
        <v>239</v>
      </c>
      <c r="AH6" s="274"/>
      <c r="AI6" s="273">
        <v>185</v>
      </c>
      <c r="AJ6" s="274"/>
      <c r="AK6" s="273"/>
      <c r="AL6" s="274"/>
      <c r="AM6" s="273"/>
      <c r="AN6" s="274"/>
      <c r="AO6" s="273"/>
      <c r="AP6" s="274"/>
      <c r="AQ6" s="273"/>
      <c r="AR6" s="274"/>
      <c r="AS6" s="273"/>
      <c r="AT6" s="274"/>
      <c r="AU6" s="273"/>
      <c r="AV6" s="274"/>
      <c r="AW6" s="273"/>
      <c r="AX6" s="274"/>
      <c r="AY6" s="273"/>
      <c r="AZ6" s="275"/>
    </row>
    <row r="7" spans="2:52" ht="15" customHeight="1">
      <c r="B7" s="220" t="s">
        <v>1737</v>
      </c>
      <c r="C7" s="283">
        <f>AVERAGE(E7:AZ7)</f>
        <v>23.933333333333334</v>
      </c>
      <c r="D7" s="284"/>
      <c r="E7" s="273">
        <v>4</v>
      </c>
      <c r="F7" s="274"/>
      <c r="G7" s="273">
        <v>4</v>
      </c>
      <c r="H7" s="274"/>
      <c r="I7" s="273">
        <v>6</v>
      </c>
      <c r="J7" s="274"/>
      <c r="K7" s="273">
        <v>62</v>
      </c>
      <c r="L7" s="274"/>
      <c r="M7" s="273">
        <v>12</v>
      </c>
      <c r="N7" s="274"/>
      <c r="O7" s="273">
        <v>7</v>
      </c>
      <c r="P7" s="274"/>
      <c r="Q7" s="273">
        <v>24</v>
      </c>
      <c r="R7" s="274"/>
      <c r="S7" s="273">
        <v>126</v>
      </c>
      <c r="T7" s="274"/>
      <c r="U7" s="273">
        <v>16</v>
      </c>
      <c r="V7" s="274"/>
      <c r="W7" s="273">
        <v>7</v>
      </c>
      <c r="X7" s="274"/>
      <c r="Y7" s="273">
        <v>5</v>
      </c>
      <c r="Z7" s="274"/>
      <c r="AA7" s="273"/>
      <c r="AB7" s="274"/>
      <c r="AC7" s="273">
        <v>60</v>
      </c>
      <c r="AD7" s="274"/>
      <c r="AE7" s="273">
        <v>7</v>
      </c>
      <c r="AF7" s="274"/>
      <c r="AG7" s="273">
        <v>7</v>
      </c>
      <c r="AH7" s="274"/>
      <c r="AI7" s="273">
        <v>12</v>
      </c>
      <c r="AJ7" s="274"/>
      <c r="AK7" s="273"/>
      <c r="AL7" s="274"/>
      <c r="AM7" s="273"/>
      <c r="AN7" s="274"/>
      <c r="AO7" s="273"/>
      <c r="AP7" s="274"/>
      <c r="AQ7" s="273"/>
      <c r="AR7" s="274"/>
      <c r="AS7" s="273"/>
      <c r="AT7" s="274"/>
      <c r="AU7" s="273"/>
      <c r="AV7" s="274"/>
      <c r="AW7" s="273"/>
      <c r="AX7" s="274"/>
      <c r="AY7" s="273"/>
      <c r="AZ7" s="275"/>
    </row>
    <row r="8" spans="2:52" ht="15" customHeight="1">
      <c r="B8" s="220" t="s">
        <v>1738</v>
      </c>
      <c r="C8" s="283">
        <f>AVERAGE(E8:AZ8)</f>
        <v>1.5</v>
      </c>
      <c r="D8" s="284"/>
      <c r="E8" s="273"/>
      <c r="F8" s="274"/>
      <c r="G8" s="273"/>
      <c r="H8" s="274"/>
      <c r="I8" s="273">
        <v>2</v>
      </c>
      <c r="J8" s="274"/>
      <c r="K8" s="273"/>
      <c r="L8" s="274"/>
      <c r="M8" s="273"/>
      <c r="N8" s="274"/>
      <c r="O8" s="273"/>
      <c r="P8" s="274"/>
      <c r="Q8" s="273">
        <v>2</v>
      </c>
      <c r="R8" s="274"/>
      <c r="S8" s="273"/>
      <c r="T8" s="274"/>
      <c r="U8" s="273"/>
      <c r="V8" s="274"/>
      <c r="W8" s="273"/>
      <c r="X8" s="274"/>
      <c r="Y8" s="273"/>
      <c r="Z8" s="274"/>
      <c r="AA8" s="273"/>
      <c r="AB8" s="274"/>
      <c r="AC8" s="273">
        <v>1</v>
      </c>
      <c r="AD8" s="274"/>
      <c r="AE8" s="273">
        <v>1</v>
      </c>
      <c r="AF8" s="274"/>
      <c r="AG8" s="273"/>
      <c r="AH8" s="274"/>
      <c r="AI8" s="273"/>
      <c r="AJ8" s="274"/>
      <c r="AK8" s="273"/>
      <c r="AL8" s="274"/>
      <c r="AM8" s="273"/>
      <c r="AN8" s="274"/>
      <c r="AO8" s="273"/>
      <c r="AP8" s="274"/>
      <c r="AQ8" s="273"/>
      <c r="AR8" s="274"/>
      <c r="AS8" s="273"/>
      <c r="AT8" s="274"/>
      <c r="AU8" s="273"/>
      <c r="AV8" s="274"/>
      <c r="AW8" s="273"/>
      <c r="AX8" s="274"/>
      <c r="AY8" s="273"/>
      <c r="AZ8" s="275"/>
    </row>
    <row r="9" spans="2:52" ht="15.95" customHeight="1" thickBot="1">
      <c r="B9" s="221" t="s">
        <v>1739</v>
      </c>
      <c r="C9" s="285">
        <f>AVERAGE(E9:AZ9)</f>
        <v>0.11328983131584482</v>
      </c>
      <c r="D9" s="286"/>
      <c r="E9" s="276">
        <f>IFERROR(SUM(E7:E8)/E6," ")</f>
        <v>2.8169014084507043E-2</v>
      </c>
      <c r="F9" s="277"/>
      <c r="G9" s="276">
        <f>IFERROR(SUM(G7:G8)/G6," ")</f>
        <v>2.5000000000000001E-2</v>
      </c>
      <c r="H9" s="277"/>
      <c r="I9" s="276">
        <f>IFERROR(SUM(I7:I8)/I6," ")</f>
        <v>5.2287581699346407E-2</v>
      </c>
      <c r="J9" s="277"/>
      <c r="K9" s="276">
        <f>IFERROR(SUM(K7:K8)/K6," ")</f>
        <v>0.32291666666666669</v>
      </c>
      <c r="L9" s="277"/>
      <c r="M9" s="276">
        <f>IFERROR(SUM(M7:M8)/M6," ")</f>
        <v>6.5217391304347824E-2</v>
      </c>
      <c r="N9" s="277"/>
      <c r="O9" s="276">
        <f>IFERROR(SUM(O7:O8)/O6," ")</f>
        <v>4.3749999999999997E-2</v>
      </c>
      <c r="P9" s="277"/>
      <c r="Q9" s="276">
        <f>IFERROR(SUM(Q7:Q8)/Q6," ")</f>
        <v>0.12037037037037036</v>
      </c>
      <c r="R9" s="277"/>
      <c r="S9" s="276">
        <f>IFERROR(SUM(S7:S8)/S6," ")</f>
        <v>0.42</v>
      </c>
      <c r="T9" s="277"/>
      <c r="U9" s="276">
        <f>IFERROR(SUM(U7:U8)/U6," ")</f>
        <v>0.08</v>
      </c>
      <c r="V9" s="277"/>
      <c r="W9" s="276">
        <f>IFERROR(SUM(W7:W8)/W6," ")</f>
        <v>2.3333333333333334E-2</v>
      </c>
      <c r="X9" s="277"/>
      <c r="Y9" s="276">
        <f>IFERROR(SUM(Y7:Y8)/Y6," ")</f>
        <v>1.7857142857142856E-2</v>
      </c>
      <c r="Z9" s="277"/>
      <c r="AA9" s="276"/>
      <c r="AB9" s="277"/>
      <c r="AC9" s="276">
        <f>IFERROR(SUM(AC7:AC8)/AC6," ")</f>
        <v>0.34659090909090912</v>
      </c>
      <c r="AD9" s="277"/>
      <c r="AE9" s="276">
        <f>IFERROR(SUM(AE7:AE8)/AE6," ")</f>
        <v>5.9701492537313432E-2</v>
      </c>
      <c r="AF9" s="277"/>
      <c r="AG9" s="276">
        <f>IFERROR(SUM(AG7:AG8)/AG6," ")</f>
        <v>2.9288702928870293E-2</v>
      </c>
      <c r="AH9" s="277"/>
      <c r="AI9" s="276">
        <f>IFERROR(SUM(AI7:AI8)/AI6," ")</f>
        <v>6.4864864864864868E-2</v>
      </c>
      <c r="AJ9" s="277"/>
      <c r="AK9" s="276" t="str">
        <f>IFERROR(SUM(AK7:AK8)/AK6," ")</f>
        <v xml:space="preserve"> </v>
      </c>
      <c r="AL9" s="277"/>
      <c r="AM9" s="276" t="str">
        <f>IFERROR(SUM(AM7:AM8)/AM6," ")</f>
        <v xml:space="preserve"> </v>
      </c>
      <c r="AN9" s="277"/>
      <c r="AO9" s="276" t="str">
        <f>IFERROR(SUM(AO7:AO8)/AO6," ")</f>
        <v xml:space="preserve"> </v>
      </c>
      <c r="AP9" s="277"/>
      <c r="AQ9" s="276" t="str">
        <f>IFERROR(SUM(AQ7:AQ8)/AQ6," ")</f>
        <v xml:space="preserve"> </v>
      </c>
      <c r="AR9" s="277"/>
      <c r="AS9" s="276" t="str">
        <f>IFERROR(SUM(AS7:AS8)/AS6," ")</f>
        <v xml:space="preserve"> </v>
      </c>
      <c r="AT9" s="277"/>
      <c r="AU9" s="276" t="str">
        <f>IFERROR(SUM(AU7:AU8)/AU6," ")</f>
        <v xml:space="preserve"> </v>
      </c>
      <c r="AV9" s="277"/>
      <c r="AW9" s="276" t="str">
        <f>IFERROR(SUM(AW7:AW8)/AW6," ")</f>
        <v xml:space="preserve"> </v>
      </c>
      <c r="AX9" s="277"/>
      <c r="AY9" s="276" t="str">
        <f>IFERROR(SUM(AY7:AY8)/AY6," ")</f>
        <v xml:space="preserve"> </v>
      </c>
      <c r="AZ9" s="278"/>
    </row>
    <row r="10" spans="2:52" ht="14.45" thickBot="1"/>
    <row r="11" spans="2:52">
      <c r="B11" s="297" t="s">
        <v>1719</v>
      </c>
      <c r="C11" s="295" t="s">
        <v>1714</v>
      </c>
      <c r="D11" s="296"/>
      <c r="E11" s="299" t="str">
        <f>E3</f>
        <v>Montrose Valley</v>
      </c>
      <c r="F11" s="300"/>
      <c r="G11" s="299" t="str">
        <f>G3</f>
        <v>4415 Perry</v>
      </c>
      <c r="H11" s="300"/>
      <c r="I11" s="299" t="str">
        <f>I3</f>
        <v>The Orchard at Westchase</v>
      </c>
      <c r="J11" s="300"/>
      <c r="K11" s="299" t="str">
        <f>K3</f>
        <v>Travis Street Plaza Apartments</v>
      </c>
      <c r="L11" s="300"/>
      <c r="M11" s="299" t="str">
        <f>M3</f>
        <v>Allegre Point</v>
      </c>
      <c r="N11" s="300"/>
      <c r="O11" s="299" t="str">
        <f>O3</f>
        <v>Silver Glen</v>
      </c>
      <c r="P11" s="300"/>
      <c r="Q11" s="299" t="str">
        <f>Q3</f>
        <v>The Lantana</v>
      </c>
      <c r="R11" s="300"/>
      <c r="S11" s="299" t="str">
        <f>S3</f>
        <v>Yager Flats</v>
      </c>
      <c r="T11" s="300"/>
      <c r="U11" s="299" t="str">
        <f>U3</f>
        <v>Parmore Arcadia Trails</v>
      </c>
      <c r="V11" s="300"/>
      <c r="W11" s="299" t="str">
        <f>W3</f>
        <v>The Element</v>
      </c>
      <c r="X11" s="300"/>
      <c r="Y11" s="299" t="str">
        <f>Y3</f>
        <v>Torrey Chase</v>
      </c>
      <c r="Z11" s="300"/>
      <c r="AA11" s="299" t="str">
        <f>AA3</f>
        <v>Coral Hills Apartments</v>
      </c>
      <c r="AB11" s="300"/>
      <c r="AC11" s="299" t="str">
        <f>AC3</f>
        <v>Arbors at Creekside</v>
      </c>
      <c r="AD11" s="300"/>
      <c r="AE11" s="299" t="str">
        <f>AE3</f>
        <v>North Court Villas</v>
      </c>
      <c r="AF11" s="300"/>
      <c r="AG11" s="299" t="str">
        <f>AG3</f>
        <v>Palladium East Foster Crossing</v>
      </c>
      <c r="AH11" s="300"/>
      <c r="AI11" s="299" t="str">
        <f>AI3</f>
        <v>Parmore Anna</v>
      </c>
      <c r="AJ11" s="300"/>
      <c r="AK11" s="299">
        <f>AK3</f>
        <v>0</v>
      </c>
      <c r="AL11" s="300"/>
      <c r="AM11" s="299">
        <f>AM3</f>
        <v>0</v>
      </c>
      <c r="AN11" s="300"/>
      <c r="AO11" s="299">
        <f>AO3</f>
        <v>0</v>
      </c>
      <c r="AP11" s="300"/>
      <c r="AQ11" s="299">
        <f>AQ3</f>
        <v>0</v>
      </c>
      <c r="AR11" s="300"/>
      <c r="AS11" s="299">
        <f>AS3</f>
        <v>0</v>
      </c>
      <c r="AT11" s="300"/>
      <c r="AU11" s="299">
        <f>AU3</f>
        <v>0</v>
      </c>
      <c r="AV11" s="300"/>
      <c r="AW11" s="299">
        <f>AW3</f>
        <v>0</v>
      </c>
      <c r="AX11" s="300"/>
      <c r="AY11" s="299">
        <f>AY3</f>
        <v>0</v>
      </c>
      <c r="AZ11" s="301"/>
    </row>
    <row r="12" spans="2:52" ht="14.45" thickBot="1">
      <c r="B12" s="298"/>
      <c r="C12" s="222" t="s">
        <v>1740</v>
      </c>
      <c r="D12" s="223" t="s">
        <v>1741</v>
      </c>
      <c r="E12" s="224" t="s">
        <v>1740</v>
      </c>
      <c r="F12" s="223" t="s">
        <v>1741</v>
      </c>
      <c r="G12" s="224" t="s">
        <v>1740</v>
      </c>
      <c r="H12" s="223" t="s">
        <v>1741</v>
      </c>
      <c r="I12" s="224" t="s">
        <v>1740</v>
      </c>
      <c r="J12" s="223" t="s">
        <v>1741</v>
      </c>
      <c r="K12" s="224" t="s">
        <v>1740</v>
      </c>
      <c r="L12" s="223" t="s">
        <v>1741</v>
      </c>
      <c r="M12" s="224" t="s">
        <v>1740</v>
      </c>
      <c r="N12" s="223" t="s">
        <v>1741</v>
      </c>
      <c r="O12" s="224" t="s">
        <v>1740</v>
      </c>
      <c r="P12" s="223" t="s">
        <v>1741</v>
      </c>
      <c r="Q12" s="224" t="s">
        <v>1740</v>
      </c>
      <c r="R12" s="223" t="s">
        <v>1741</v>
      </c>
      <c r="S12" s="224" t="s">
        <v>1740</v>
      </c>
      <c r="T12" s="223" t="s">
        <v>1741</v>
      </c>
      <c r="U12" s="224" t="s">
        <v>1740</v>
      </c>
      <c r="V12" s="223" t="s">
        <v>1741</v>
      </c>
      <c r="W12" s="224" t="s">
        <v>1740</v>
      </c>
      <c r="X12" s="223" t="s">
        <v>1741</v>
      </c>
      <c r="Y12" s="224" t="s">
        <v>1740</v>
      </c>
      <c r="Z12" s="223" t="s">
        <v>1741</v>
      </c>
      <c r="AA12" s="224" t="s">
        <v>1740</v>
      </c>
      <c r="AB12" s="223" t="s">
        <v>1741</v>
      </c>
      <c r="AC12" s="224" t="s">
        <v>1740</v>
      </c>
      <c r="AD12" s="223" t="s">
        <v>1741</v>
      </c>
      <c r="AE12" s="224" t="s">
        <v>1740</v>
      </c>
      <c r="AF12" s="223" t="s">
        <v>1741</v>
      </c>
      <c r="AG12" s="224" t="s">
        <v>1740</v>
      </c>
      <c r="AH12" s="223" t="s">
        <v>1741</v>
      </c>
      <c r="AI12" s="224" t="s">
        <v>1740</v>
      </c>
      <c r="AJ12" s="223" t="s">
        <v>1741</v>
      </c>
      <c r="AK12" s="224" t="s">
        <v>1740</v>
      </c>
      <c r="AL12" s="223" t="s">
        <v>1741</v>
      </c>
      <c r="AM12" s="224" t="s">
        <v>1740</v>
      </c>
      <c r="AN12" s="223" t="s">
        <v>1741</v>
      </c>
      <c r="AO12" s="224" t="s">
        <v>1740</v>
      </c>
      <c r="AP12" s="223" t="s">
        <v>1741</v>
      </c>
      <c r="AQ12" s="224" t="s">
        <v>1740</v>
      </c>
      <c r="AR12" s="223" t="s">
        <v>1741</v>
      </c>
      <c r="AS12" s="224" t="s">
        <v>1740</v>
      </c>
      <c r="AT12" s="223" t="s">
        <v>1741</v>
      </c>
      <c r="AU12" s="224" t="s">
        <v>1740</v>
      </c>
      <c r="AV12" s="223" t="s">
        <v>1741</v>
      </c>
      <c r="AW12" s="224" t="s">
        <v>1740</v>
      </c>
      <c r="AX12" s="223" t="s">
        <v>1741</v>
      </c>
      <c r="AY12" s="224" t="s">
        <v>1740</v>
      </c>
      <c r="AZ12" s="225" t="s">
        <v>1741</v>
      </c>
    </row>
    <row r="13" spans="2:52" ht="14.45" thickBot="1">
      <c r="B13" s="229" t="s">
        <v>1742</v>
      </c>
      <c r="C13" s="228"/>
      <c r="D13" s="227"/>
      <c r="E13" s="226"/>
      <c r="F13" s="227"/>
      <c r="G13" s="226"/>
      <c r="H13" s="227"/>
      <c r="I13" s="226"/>
      <c r="J13" s="227"/>
      <c r="K13" s="226"/>
      <c r="L13" s="227"/>
      <c r="M13" s="226"/>
      <c r="N13" s="227"/>
      <c r="O13" s="226"/>
      <c r="P13" s="227"/>
      <c r="Q13" s="226"/>
      <c r="R13" s="227"/>
      <c r="S13" s="226"/>
      <c r="T13" s="227"/>
      <c r="U13" s="226"/>
      <c r="V13" s="227"/>
      <c r="W13" s="226"/>
      <c r="X13" s="227"/>
      <c r="Y13" s="226"/>
      <c r="Z13" s="227"/>
      <c r="AA13" s="226"/>
      <c r="AB13" s="227"/>
      <c r="AC13" s="226"/>
      <c r="AD13" s="227"/>
      <c r="AE13" s="226"/>
      <c r="AF13" s="227"/>
      <c r="AG13" s="226"/>
      <c r="AH13" s="227"/>
      <c r="AI13" s="226"/>
      <c r="AJ13" s="227"/>
      <c r="AK13" s="226"/>
      <c r="AL13" s="227"/>
      <c r="AM13" s="226"/>
      <c r="AN13" s="227"/>
      <c r="AO13" s="226"/>
      <c r="AP13" s="227"/>
      <c r="AQ13" s="226"/>
      <c r="AR13" s="227"/>
      <c r="AS13" s="226"/>
      <c r="AT13" s="227"/>
      <c r="AU13" s="226"/>
      <c r="AV13" s="227"/>
      <c r="AW13" s="226"/>
      <c r="AX13" s="227"/>
      <c r="AY13" s="226"/>
      <c r="AZ13" s="251"/>
    </row>
    <row r="14" spans="2:52">
      <c r="B14" s="230" t="s">
        <v>1743</v>
      </c>
      <c r="C14" s="259">
        <f>IFERROR(AVERAGE(E14,G14,I14,K14,M14,O14,Q14,S14,U14,W14,Y14,AA14,AC14,AE14,AG14,AI14,AK14,AM14,AO14,AQ14,AS14,AU14,AW14,AY14),)</f>
        <v>2861280.3499999996</v>
      </c>
      <c r="D14" s="260">
        <f>IFERROR(AVERAGE(F14,H14,J14,L14,N14,P14,R14,T14,V14,X14,Z14,AB14,AD14,AF14,AH14,AJ14,AL14,AN14,AP14,AR14,AT14,AV14,AX14,AZ14),)</f>
        <v>13832.538050650151</v>
      </c>
      <c r="E14" s="243">
        <v>1226127</v>
      </c>
      <c r="F14" s="247">
        <f>IFERROR(IF(E14&gt;0,E14/E$6," ")," ")</f>
        <v>8634.6971830985913</v>
      </c>
      <c r="G14" s="243">
        <v>1879680</v>
      </c>
      <c r="H14" s="247">
        <f t="shared" ref="H14:H45" si="0">IFERROR(IF(G14&gt;0,G14/G$6," ")," ")</f>
        <v>11748</v>
      </c>
      <c r="I14" s="243">
        <v>1611073</v>
      </c>
      <c r="J14" s="247">
        <f t="shared" ref="J14:J45" si="1">IFERROR(IF(I14&gt;0,I14/I$6," ")," ")</f>
        <v>10529.888888888889</v>
      </c>
      <c r="K14" s="243">
        <v>2108721</v>
      </c>
      <c r="L14" s="247">
        <f t="shared" ref="L14:L45" si="2">IFERROR(IF(K14&gt;0,K14/K$6," ")," ")</f>
        <v>10982.921875</v>
      </c>
      <c r="M14" s="243">
        <v>2926956</v>
      </c>
      <c r="N14" s="247">
        <f t="shared" ref="N14:N45" si="3">IFERROR(IF(M14&gt;0,M14/M$6," ")," ")</f>
        <v>15907.369565217392</v>
      </c>
      <c r="O14" s="243">
        <v>2457608</v>
      </c>
      <c r="P14" s="247">
        <f t="shared" ref="P14:P45" si="4">IFERROR(IF(O14&gt;0,O14/O$6," ")," ")</f>
        <v>15360.05</v>
      </c>
      <c r="Q14" s="243">
        <v>3337535.72</v>
      </c>
      <c r="R14" s="247">
        <f t="shared" ref="R14:R45" si="5">IFERROR(IF(Q14&gt;0,Q14/Q$6," ")," ")</f>
        <v>15451.554259259261</v>
      </c>
      <c r="S14" s="243">
        <v>6755804</v>
      </c>
      <c r="T14" s="247">
        <f t="shared" ref="T14:T45" si="6">IFERROR(IF(S14&gt;0,S14/S$6," ")," ")</f>
        <v>22519.346666666668</v>
      </c>
      <c r="U14" s="243">
        <v>2789072</v>
      </c>
      <c r="V14" s="247">
        <f t="shared" ref="V14:V45" si="7">IFERROR(IF(U14&gt;0,U14/U$6," ")," ")</f>
        <v>13945.36</v>
      </c>
      <c r="W14" s="243">
        <v>4319564.88</v>
      </c>
      <c r="X14" s="247">
        <f t="shared" ref="X14:X45" si="8">IFERROR(IF(W14&gt;0,W14/W$6," ")," ")</f>
        <v>14398.5496</v>
      </c>
      <c r="Y14" s="243">
        <v>3679693</v>
      </c>
      <c r="Z14" s="247">
        <f t="shared" ref="Z14:Z45" si="9">IFERROR(IF(Y14&gt;0,Y14/Y$6," ")," ")</f>
        <v>13141.760714285714</v>
      </c>
      <c r="AA14" s="243">
        <v>1801673</v>
      </c>
      <c r="AB14" s="247">
        <f t="shared" ref="AB14:AB45" si="10">IFERROR(IF(AA14&gt;0,AA14/AA$6," ")," ")</f>
        <v>10354.442528735632</v>
      </c>
      <c r="AC14" s="243">
        <v>2489054</v>
      </c>
      <c r="AD14" s="247">
        <f t="shared" ref="AD14:AD45" si="11">IFERROR(IF(AC14&gt;0,AC14/AC$6," ")," ")</f>
        <v>14142.352272727272</v>
      </c>
      <c r="AE14" s="243">
        <v>1750199</v>
      </c>
      <c r="AF14" s="247">
        <f t="shared" ref="AF14:AF45" si="12">IFERROR(IF(AE14&gt;0,AE14/AE$6," ")," ")</f>
        <v>13061.186567164179</v>
      </c>
      <c r="AG14" s="243">
        <v>3922460</v>
      </c>
      <c r="AH14" s="247">
        <f t="shared" ref="AH14:AH45" si="13">IFERROR(IF(AG14&gt;0,AG14/AG$6," ")," ")</f>
        <v>16411.966527196651</v>
      </c>
      <c r="AI14" s="243">
        <v>2725265</v>
      </c>
      <c r="AJ14" s="247">
        <f t="shared" ref="AJ14:AJ45" si="14">IFERROR(IF(AI14&gt;0,AI14/AI$6," ")," ")</f>
        <v>14731.162162162162</v>
      </c>
      <c r="AK14" s="243"/>
      <c r="AL14" s="247" t="str">
        <f t="shared" ref="AL14:AL45" si="15">IFERROR(IF(AK14&gt;0,AK14/AK$6," ")," ")</f>
        <v xml:space="preserve"> </v>
      </c>
      <c r="AM14" s="243"/>
      <c r="AN14" s="247" t="str">
        <f t="shared" ref="AN14:AN45" si="16">IFERROR(IF(AM14&gt;0,AM14/AM$6," ")," ")</f>
        <v xml:space="preserve"> </v>
      </c>
      <c r="AO14" s="243"/>
      <c r="AP14" s="247" t="str">
        <f t="shared" ref="AP14:AP45" si="17">IFERROR(IF(AO14&gt;0,AO14/AO$6," ")," ")</f>
        <v xml:space="preserve"> </v>
      </c>
      <c r="AQ14" s="243"/>
      <c r="AR14" s="247" t="str">
        <f t="shared" ref="AR14:AR45" si="18">IFERROR(IF(AQ14&gt;0,AQ14/AQ$6," ")," ")</f>
        <v xml:space="preserve"> </v>
      </c>
      <c r="AS14" s="243"/>
      <c r="AT14" s="247" t="str">
        <f t="shared" ref="AT14:AT45" si="19">IFERROR(IF(AS14&gt;0,AS14/AS$6," ")," ")</f>
        <v xml:space="preserve"> </v>
      </c>
      <c r="AU14" s="243"/>
      <c r="AV14" s="247" t="str">
        <f t="shared" ref="AV14:AV45" si="20">IFERROR(IF(AU14&gt;0,AU14/AU$6," ")," ")</f>
        <v xml:space="preserve"> </v>
      </c>
      <c r="AW14" s="243"/>
      <c r="AX14" s="247" t="str">
        <f t="shared" ref="AX14:AX45" si="21">IFERROR(IF(AW14&gt;0,AW14/AW$6," ")," ")</f>
        <v xml:space="preserve"> </v>
      </c>
      <c r="AY14" s="243"/>
      <c r="AZ14" s="252" t="str">
        <f t="shared" ref="AZ14:AZ45" si="22">IFERROR(IF(AY14&gt;0,AY14/AY$6," ")," ")</f>
        <v xml:space="preserve"> </v>
      </c>
    </row>
    <row r="15" spans="2:52">
      <c r="B15" s="220" t="s">
        <v>1744</v>
      </c>
      <c r="C15" s="263">
        <f t="shared" ref="C15:C21" si="23">IFERROR(AVERAGE(E15,G15,I15,K15,M15,O15,Q15,S15,U15,W15,Y15,AA15,AC15,AE15,AG15,AI15,AK15,AM15,AO15,AQ15,AS15,AU15,AW15,AY15),0)</f>
        <v>39390.29111111111</v>
      </c>
      <c r="D15" s="261">
        <f t="shared" ref="D15:D21" si="24">IFERROR(AVERAGE(F15,H15,J15,L15,N15,P15,R15,T15,V15,X15,Z15,AB15,AD15,AF15,AH15,AJ15,AL15,AN15,AP15,AR15,AT15,AV15,AX15,AZ15),0)</f>
        <v>195.47264446251356</v>
      </c>
      <c r="E15" s="242">
        <v>12853</v>
      </c>
      <c r="F15" s="241">
        <f t="shared" ref="F15:F78" si="25">IFERROR(IF(E15&gt;0,E15/E$6," ")," ")</f>
        <v>90.514084507042256</v>
      </c>
      <c r="G15" s="242"/>
      <c r="H15" s="241" t="str">
        <f t="shared" si="0"/>
        <v xml:space="preserve"> </v>
      </c>
      <c r="I15" s="242">
        <v>26773.42</v>
      </c>
      <c r="J15" s="241">
        <f t="shared" si="1"/>
        <v>174.98967320261437</v>
      </c>
      <c r="K15" s="242">
        <v>39847</v>
      </c>
      <c r="L15" s="241">
        <f t="shared" si="2"/>
        <v>207.53645833333334</v>
      </c>
      <c r="M15" s="242"/>
      <c r="N15" s="241" t="str">
        <f t="shared" si="3"/>
        <v xml:space="preserve"> </v>
      </c>
      <c r="O15" s="242">
        <v>14357</v>
      </c>
      <c r="P15" s="241">
        <f t="shared" si="4"/>
        <v>89.731250000000003</v>
      </c>
      <c r="Q15" s="242">
        <v>3252.27</v>
      </c>
      <c r="R15" s="241">
        <f t="shared" si="5"/>
        <v>15.056805555555556</v>
      </c>
      <c r="S15" s="242">
        <v>12519</v>
      </c>
      <c r="T15" s="241">
        <f t="shared" si="6"/>
        <v>41.73</v>
      </c>
      <c r="U15" s="242"/>
      <c r="V15" s="241" t="str">
        <f t="shared" si="7"/>
        <v xml:space="preserve"> </v>
      </c>
      <c r="W15" s="242">
        <v>135651.70000000001</v>
      </c>
      <c r="X15" s="241">
        <f t="shared" si="8"/>
        <v>452.17233333333337</v>
      </c>
      <c r="Y15" s="242"/>
      <c r="Z15" s="241" t="str">
        <f t="shared" si="9"/>
        <v xml:space="preserve"> </v>
      </c>
      <c r="AA15" s="242">
        <v>74520.38</v>
      </c>
      <c r="AB15" s="241">
        <f t="shared" si="10"/>
        <v>428.27804597701152</v>
      </c>
      <c r="AC15" s="242"/>
      <c r="AD15" s="241" t="str">
        <f t="shared" si="11"/>
        <v xml:space="preserve"> </v>
      </c>
      <c r="AE15" s="242">
        <v>34738.85</v>
      </c>
      <c r="AF15" s="241">
        <f t="shared" si="12"/>
        <v>259.24514925373131</v>
      </c>
      <c r="AG15" s="242"/>
      <c r="AH15" s="241" t="str">
        <f t="shared" si="13"/>
        <v xml:space="preserve"> </v>
      </c>
      <c r="AI15" s="242"/>
      <c r="AJ15" s="241" t="str">
        <f t="shared" si="14"/>
        <v xml:space="preserve"> </v>
      </c>
      <c r="AK15" s="242"/>
      <c r="AL15" s="241" t="str">
        <f t="shared" si="15"/>
        <v xml:space="preserve"> </v>
      </c>
      <c r="AM15" s="242"/>
      <c r="AN15" s="241" t="str">
        <f t="shared" si="16"/>
        <v xml:space="preserve"> </v>
      </c>
      <c r="AO15" s="242"/>
      <c r="AP15" s="241" t="str">
        <f t="shared" si="17"/>
        <v xml:space="preserve"> </v>
      </c>
      <c r="AQ15" s="242"/>
      <c r="AR15" s="241" t="str">
        <f t="shared" si="18"/>
        <v xml:space="preserve"> </v>
      </c>
      <c r="AS15" s="242"/>
      <c r="AT15" s="241" t="str">
        <f t="shared" si="19"/>
        <v xml:space="preserve"> </v>
      </c>
      <c r="AU15" s="242"/>
      <c r="AV15" s="241" t="str">
        <f t="shared" si="20"/>
        <v xml:space="preserve"> </v>
      </c>
      <c r="AW15" s="242"/>
      <c r="AX15" s="241" t="str">
        <f t="shared" si="21"/>
        <v xml:space="preserve"> </v>
      </c>
      <c r="AY15" s="242"/>
      <c r="AZ15" s="253" t="str">
        <f t="shared" si="22"/>
        <v xml:space="preserve"> </v>
      </c>
    </row>
    <row r="16" spans="2:52" ht="14.45" thickBot="1">
      <c r="B16" s="231" t="s">
        <v>1745</v>
      </c>
      <c r="C16" s="264">
        <f t="shared" si="23"/>
        <v>44064.060909090913</v>
      </c>
      <c r="D16" s="262">
        <f t="shared" si="24"/>
        <v>234.29050291163242</v>
      </c>
      <c r="E16" s="244"/>
      <c r="F16" s="248" t="str">
        <f t="shared" si="25"/>
        <v xml:space="preserve"> </v>
      </c>
      <c r="G16" s="244">
        <v>59445</v>
      </c>
      <c r="H16" s="248">
        <f t="shared" si="0"/>
        <v>371.53125</v>
      </c>
      <c r="I16" s="244"/>
      <c r="J16" s="248" t="str">
        <f t="shared" si="1"/>
        <v xml:space="preserve"> </v>
      </c>
      <c r="K16" s="244"/>
      <c r="L16" s="248" t="str">
        <f t="shared" si="2"/>
        <v xml:space="preserve"> </v>
      </c>
      <c r="M16" s="244">
        <v>106934</v>
      </c>
      <c r="N16" s="248">
        <f t="shared" si="3"/>
        <v>581.16304347826087</v>
      </c>
      <c r="O16" s="244">
        <v>29107</v>
      </c>
      <c r="P16" s="248">
        <f t="shared" si="4"/>
        <v>181.91874999999999</v>
      </c>
      <c r="Q16" s="244">
        <v>46014.29</v>
      </c>
      <c r="R16" s="248">
        <f t="shared" si="5"/>
        <v>213.02912037037038</v>
      </c>
      <c r="S16" s="244"/>
      <c r="T16" s="248" t="str">
        <f t="shared" si="6"/>
        <v xml:space="preserve"> </v>
      </c>
      <c r="U16" s="244">
        <v>62719</v>
      </c>
      <c r="V16" s="248">
        <f t="shared" si="7"/>
        <v>313.59500000000003</v>
      </c>
      <c r="W16" s="244">
        <v>9309.6200000000008</v>
      </c>
      <c r="X16" s="248">
        <f t="shared" si="8"/>
        <v>31.032066666666669</v>
      </c>
      <c r="Y16" s="244">
        <v>75184.37</v>
      </c>
      <c r="Z16" s="248">
        <f t="shared" si="9"/>
        <v>268.51560714285711</v>
      </c>
      <c r="AA16" s="244">
        <v>7333.87</v>
      </c>
      <c r="AB16" s="248">
        <f t="shared" si="10"/>
        <v>42.148678160919538</v>
      </c>
      <c r="AC16" s="244">
        <v>10640</v>
      </c>
      <c r="AD16" s="248">
        <f t="shared" si="11"/>
        <v>60.454545454545453</v>
      </c>
      <c r="AE16" s="244">
        <v>44763.519999999997</v>
      </c>
      <c r="AF16" s="248">
        <f t="shared" si="12"/>
        <v>334.05611940298508</v>
      </c>
      <c r="AG16" s="244"/>
      <c r="AH16" s="248" t="str">
        <f t="shared" si="13"/>
        <v xml:space="preserve"> </v>
      </c>
      <c r="AI16" s="244">
        <v>33254</v>
      </c>
      <c r="AJ16" s="248">
        <f t="shared" si="14"/>
        <v>179.75135135135136</v>
      </c>
      <c r="AK16" s="244"/>
      <c r="AL16" s="248" t="str">
        <f t="shared" si="15"/>
        <v xml:space="preserve"> </v>
      </c>
      <c r="AM16" s="244"/>
      <c r="AN16" s="248" t="str">
        <f t="shared" si="16"/>
        <v xml:space="preserve"> </v>
      </c>
      <c r="AO16" s="244"/>
      <c r="AP16" s="248" t="str">
        <f t="shared" si="17"/>
        <v xml:space="preserve"> </v>
      </c>
      <c r="AQ16" s="244"/>
      <c r="AR16" s="248" t="str">
        <f t="shared" si="18"/>
        <v xml:space="preserve"> </v>
      </c>
      <c r="AS16" s="244"/>
      <c r="AT16" s="248" t="str">
        <f t="shared" si="19"/>
        <v xml:space="preserve"> </v>
      </c>
      <c r="AU16" s="244"/>
      <c r="AV16" s="248" t="str">
        <f t="shared" si="20"/>
        <v xml:space="preserve"> </v>
      </c>
      <c r="AW16" s="244"/>
      <c r="AX16" s="248" t="str">
        <f t="shared" si="21"/>
        <v xml:space="preserve"> </v>
      </c>
      <c r="AY16" s="244"/>
      <c r="AZ16" s="254" t="str">
        <f t="shared" si="22"/>
        <v xml:space="preserve"> </v>
      </c>
    </row>
    <row r="17" spans="2:52" ht="14.45" thickTop="1">
      <c r="B17" s="230" t="s">
        <v>1746</v>
      </c>
      <c r="C17" s="265">
        <f t="shared" si="23"/>
        <v>2913731.4306249996</v>
      </c>
      <c r="D17" s="266">
        <f t="shared" si="24"/>
        <v>14103.566133912063</v>
      </c>
      <c r="E17" s="267">
        <f>IF(E14&gt;0,SUM(E14:E16)," ")</f>
        <v>1238980</v>
      </c>
      <c r="F17" s="268">
        <f t="shared" si="25"/>
        <v>8725.2112676056331</v>
      </c>
      <c r="G17" s="267">
        <f>IF(G14&gt;0,SUM(G14:G16)," ")</f>
        <v>1939125</v>
      </c>
      <c r="H17" s="268">
        <f t="shared" si="0"/>
        <v>12119.53125</v>
      </c>
      <c r="I17" s="267">
        <f>IF(I14&gt;0,SUM(I14:I16)," ")</f>
        <v>1637846.42</v>
      </c>
      <c r="J17" s="268">
        <f t="shared" si="1"/>
        <v>10704.878562091502</v>
      </c>
      <c r="K17" s="267">
        <f>IF(K14&gt;0,SUM(K14:K16)," ")</f>
        <v>2148568</v>
      </c>
      <c r="L17" s="268">
        <f t="shared" si="2"/>
        <v>11190.458333333334</v>
      </c>
      <c r="M17" s="267">
        <f>IF(M14&gt;0,SUM(M14:M16)," ")</f>
        <v>3033890</v>
      </c>
      <c r="N17" s="268">
        <f t="shared" si="3"/>
        <v>16488.532608695652</v>
      </c>
      <c r="O17" s="267">
        <f>IF(O14&gt;0,SUM(O14:O16)," ")</f>
        <v>2501072</v>
      </c>
      <c r="P17" s="268">
        <f t="shared" si="4"/>
        <v>15631.7</v>
      </c>
      <c r="Q17" s="267">
        <f>IF(Q14&gt;0,SUM(Q14:Q16)," ")</f>
        <v>3386802.2800000003</v>
      </c>
      <c r="R17" s="268">
        <f t="shared" si="5"/>
        <v>15679.640185185186</v>
      </c>
      <c r="S17" s="267">
        <f>IF(S14&gt;0,SUM(S14:S16)," ")</f>
        <v>6768323</v>
      </c>
      <c r="T17" s="268">
        <f t="shared" si="6"/>
        <v>22561.076666666668</v>
      </c>
      <c r="U17" s="267">
        <f>IF(U14&gt;0,SUM(U14:U16)," ")</f>
        <v>2851791</v>
      </c>
      <c r="V17" s="268">
        <f t="shared" si="7"/>
        <v>14258.955</v>
      </c>
      <c r="W17" s="267">
        <f>IF(W14&gt;0,SUM(W14:W16)," ")</f>
        <v>4464526.2</v>
      </c>
      <c r="X17" s="268">
        <f t="shared" si="8"/>
        <v>14881.754000000001</v>
      </c>
      <c r="Y17" s="267">
        <f>IF(Y14&gt;0,SUM(Y14:Y16)," ")</f>
        <v>3754877.37</v>
      </c>
      <c r="Z17" s="268">
        <f t="shared" si="9"/>
        <v>13410.276321428571</v>
      </c>
      <c r="AA17" s="267">
        <f>IF(AA14&gt;0,SUM(AA14:AA16)," ")</f>
        <v>1883527.25</v>
      </c>
      <c r="AB17" s="268">
        <f t="shared" si="10"/>
        <v>10824.869252873563</v>
      </c>
      <c r="AC17" s="267">
        <f>IF(AC14&gt;0,SUM(AC14:AC16)," ")</f>
        <v>2499694</v>
      </c>
      <c r="AD17" s="268">
        <f t="shared" si="11"/>
        <v>14202.806818181818</v>
      </c>
      <c r="AE17" s="267">
        <f>IF(AE14&gt;0,SUM(AE14:AE16)," ")</f>
        <v>1829701.37</v>
      </c>
      <c r="AF17" s="268">
        <f t="shared" si="12"/>
        <v>13654.487835820897</v>
      </c>
      <c r="AG17" s="267">
        <f>IF(AG14&gt;0,SUM(AG14:AG16)," ")</f>
        <v>3922460</v>
      </c>
      <c r="AH17" s="268">
        <f t="shared" si="13"/>
        <v>16411.966527196651</v>
      </c>
      <c r="AI17" s="267">
        <f>IF(AI14&gt;0,SUM(AI14:AI16)," ")</f>
        <v>2758519</v>
      </c>
      <c r="AJ17" s="268">
        <f t="shared" si="14"/>
        <v>14910.913513513513</v>
      </c>
      <c r="AK17" s="267" t="str">
        <f>IF(AK14&gt;0,SUM(AK14:AK16)," ")</f>
        <v xml:space="preserve"> </v>
      </c>
      <c r="AL17" s="268" t="str">
        <f t="shared" si="15"/>
        <v xml:space="preserve"> </v>
      </c>
      <c r="AM17" s="267" t="str">
        <f>IF(AM14&gt;0,SUM(AM14:AM16)," ")</f>
        <v xml:space="preserve"> </v>
      </c>
      <c r="AN17" s="268" t="str">
        <f t="shared" si="16"/>
        <v xml:space="preserve"> </v>
      </c>
      <c r="AO17" s="267" t="str">
        <f>IF(AO14&gt;0,SUM(AO14:AO16)," ")</f>
        <v xml:space="preserve"> </v>
      </c>
      <c r="AP17" s="268" t="str">
        <f t="shared" si="17"/>
        <v xml:space="preserve"> </v>
      </c>
      <c r="AQ17" s="267" t="str">
        <f>IF(AQ14&gt;0,SUM(AQ14:AQ16)," ")</f>
        <v xml:space="preserve"> </v>
      </c>
      <c r="AR17" s="268" t="str">
        <f t="shared" si="18"/>
        <v xml:space="preserve"> </v>
      </c>
      <c r="AS17" s="267" t="str">
        <f>IF(AS14&gt;0,SUM(AS14:AS16)," ")</f>
        <v xml:space="preserve"> </v>
      </c>
      <c r="AT17" s="268" t="str">
        <f t="shared" si="19"/>
        <v xml:space="preserve"> </v>
      </c>
      <c r="AU17" s="267" t="str">
        <f>IF(AU14&gt;0,SUM(AU14:AU16)," ")</f>
        <v xml:space="preserve"> </v>
      </c>
      <c r="AV17" s="268" t="str">
        <f t="shared" si="20"/>
        <v xml:space="preserve"> </v>
      </c>
      <c r="AW17" s="267" t="str">
        <f>IF(AW14&gt;0,SUM(AW14:AW16)," ")</f>
        <v xml:space="preserve"> </v>
      </c>
      <c r="AX17" s="268" t="str">
        <f t="shared" si="21"/>
        <v xml:space="preserve"> </v>
      </c>
      <c r="AY17" s="267" t="str">
        <f>IF(AY14&gt;0,SUM(AY14:AY16)," ")</f>
        <v xml:space="preserve"> </v>
      </c>
      <c r="AZ17" s="269" t="str">
        <f t="shared" si="22"/>
        <v xml:space="preserve"> </v>
      </c>
    </row>
    <row r="18" spans="2:52">
      <c r="B18" s="220" t="s">
        <v>1747</v>
      </c>
      <c r="C18" s="263">
        <f t="shared" si="23"/>
        <v>691807.14375000005</v>
      </c>
      <c r="D18" s="261">
        <f t="shared" si="24"/>
        <v>3031.1136930842458</v>
      </c>
      <c r="E18" s="242">
        <v>203750</v>
      </c>
      <c r="F18" s="241">
        <f t="shared" si="25"/>
        <v>1434.8591549295775</v>
      </c>
      <c r="G18" s="242">
        <v>141170</v>
      </c>
      <c r="H18" s="241">
        <f t="shared" si="0"/>
        <v>882.3125</v>
      </c>
      <c r="I18" s="242">
        <v>33980.67</v>
      </c>
      <c r="J18" s="241">
        <f t="shared" si="1"/>
        <v>222.09588235294117</v>
      </c>
      <c r="K18" s="242">
        <v>364739</v>
      </c>
      <c r="L18" s="241">
        <f t="shared" si="2"/>
        <v>1899.6822916666667</v>
      </c>
      <c r="M18" s="242">
        <v>402255</v>
      </c>
      <c r="N18" s="241">
        <f t="shared" si="3"/>
        <v>2186.1684782608695</v>
      </c>
      <c r="O18" s="242">
        <v>154628</v>
      </c>
      <c r="P18" s="241">
        <f t="shared" si="4"/>
        <v>966.42499999999995</v>
      </c>
      <c r="Q18" s="242">
        <v>1525552.15</v>
      </c>
      <c r="R18" s="241">
        <f t="shared" si="5"/>
        <v>7062.7414351851849</v>
      </c>
      <c r="S18" s="242">
        <v>1299379</v>
      </c>
      <c r="T18" s="241">
        <f t="shared" si="6"/>
        <v>4331.2633333333333</v>
      </c>
      <c r="U18" s="242">
        <v>138228</v>
      </c>
      <c r="V18" s="241">
        <f t="shared" si="7"/>
        <v>691.14</v>
      </c>
      <c r="W18" s="242">
        <v>2406275.2599999998</v>
      </c>
      <c r="X18" s="241">
        <f t="shared" si="8"/>
        <v>8020.9175333333324</v>
      </c>
      <c r="Y18" s="242">
        <v>614223.4</v>
      </c>
      <c r="Z18" s="241">
        <f t="shared" si="9"/>
        <v>2193.6550000000002</v>
      </c>
      <c r="AA18" s="242">
        <v>34835.5</v>
      </c>
      <c r="AB18" s="241">
        <f t="shared" si="10"/>
        <v>200.20402298850576</v>
      </c>
      <c r="AC18" s="242">
        <v>947886</v>
      </c>
      <c r="AD18" s="241">
        <f t="shared" si="11"/>
        <v>5385.715909090909</v>
      </c>
      <c r="AE18" s="242">
        <v>12440.32</v>
      </c>
      <c r="AF18" s="241">
        <f t="shared" si="12"/>
        <v>92.838208955223877</v>
      </c>
      <c r="AG18" s="242">
        <v>1761204</v>
      </c>
      <c r="AH18" s="241">
        <f t="shared" si="13"/>
        <v>7369.0543933054396</v>
      </c>
      <c r="AI18" s="242">
        <v>1028368</v>
      </c>
      <c r="AJ18" s="241">
        <f t="shared" si="14"/>
        <v>5558.745945945946</v>
      </c>
      <c r="AK18" s="242"/>
      <c r="AL18" s="241" t="str">
        <f t="shared" si="15"/>
        <v xml:space="preserve"> </v>
      </c>
      <c r="AM18" s="242"/>
      <c r="AN18" s="241" t="str">
        <f t="shared" si="16"/>
        <v xml:space="preserve"> </v>
      </c>
      <c r="AO18" s="242"/>
      <c r="AP18" s="241" t="str">
        <f t="shared" si="17"/>
        <v xml:space="preserve"> </v>
      </c>
      <c r="AQ18" s="242"/>
      <c r="AR18" s="241" t="str">
        <f t="shared" si="18"/>
        <v xml:space="preserve"> </v>
      </c>
      <c r="AS18" s="242"/>
      <c r="AT18" s="241" t="str">
        <f t="shared" si="19"/>
        <v xml:space="preserve"> </v>
      </c>
      <c r="AU18" s="242"/>
      <c r="AV18" s="241" t="str">
        <f t="shared" si="20"/>
        <v xml:space="preserve"> </v>
      </c>
      <c r="AW18" s="242"/>
      <c r="AX18" s="241" t="str">
        <f t="shared" si="21"/>
        <v xml:space="preserve"> </v>
      </c>
      <c r="AY18" s="242"/>
      <c r="AZ18" s="253" t="str">
        <f t="shared" si="22"/>
        <v xml:space="preserve"> </v>
      </c>
    </row>
    <row r="19" spans="2:52">
      <c r="B19" s="220" t="s">
        <v>1748</v>
      </c>
      <c r="C19" s="263">
        <f t="shared" si="23"/>
        <v>110721.29666666668</v>
      </c>
      <c r="D19" s="261">
        <f t="shared" si="24"/>
        <v>528.59666148283679</v>
      </c>
      <c r="E19" s="242"/>
      <c r="F19" s="241" t="str">
        <f t="shared" si="25"/>
        <v xml:space="preserve"> </v>
      </c>
      <c r="G19" s="242">
        <v>392497</v>
      </c>
      <c r="H19" s="241">
        <f t="shared" si="0"/>
        <v>2453.1062499999998</v>
      </c>
      <c r="I19" s="242">
        <v>300</v>
      </c>
      <c r="J19" s="241">
        <f t="shared" si="1"/>
        <v>1.9607843137254901</v>
      </c>
      <c r="K19" s="242"/>
      <c r="L19" s="241" t="str">
        <f t="shared" si="2"/>
        <v xml:space="preserve"> </v>
      </c>
      <c r="M19" s="242">
        <v>38080</v>
      </c>
      <c r="N19" s="241">
        <f t="shared" si="3"/>
        <v>206.95652173913044</v>
      </c>
      <c r="O19" s="242">
        <v>268</v>
      </c>
      <c r="P19" s="241">
        <f t="shared" si="4"/>
        <v>1.675</v>
      </c>
      <c r="Q19" s="242">
        <v>96391.66</v>
      </c>
      <c r="R19" s="241">
        <f t="shared" si="5"/>
        <v>446.25768518518521</v>
      </c>
      <c r="S19" s="242">
        <v>78185</v>
      </c>
      <c r="T19" s="241">
        <f t="shared" si="6"/>
        <v>260.61666666666667</v>
      </c>
      <c r="U19" s="242">
        <v>65</v>
      </c>
      <c r="V19" s="241">
        <f t="shared" si="7"/>
        <v>0.32500000000000001</v>
      </c>
      <c r="W19" s="242">
        <v>336059.9</v>
      </c>
      <c r="X19" s="241">
        <f t="shared" si="8"/>
        <v>1120.1996666666666</v>
      </c>
      <c r="Y19" s="242"/>
      <c r="Z19" s="241" t="str">
        <f t="shared" si="9"/>
        <v xml:space="preserve"> </v>
      </c>
      <c r="AA19" s="242">
        <v>31158</v>
      </c>
      <c r="AB19" s="241">
        <f t="shared" si="10"/>
        <v>179.06896551724137</v>
      </c>
      <c r="AC19" s="242">
        <v>12194</v>
      </c>
      <c r="AD19" s="241">
        <f t="shared" si="11"/>
        <v>69.284090909090907</v>
      </c>
      <c r="AE19" s="242"/>
      <c r="AF19" s="241" t="str">
        <f t="shared" si="12"/>
        <v xml:space="preserve"> </v>
      </c>
      <c r="AG19" s="242">
        <v>207004</v>
      </c>
      <c r="AH19" s="241">
        <f t="shared" si="13"/>
        <v>866.12552301255232</v>
      </c>
      <c r="AI19" s="242">
        <v>136453</v>
      </c>
      <c r="AJ19" s="241">
        <f t="shared" si="14"/>
        <v>737.58378378378382</v>
      </c>
      <c r="AK19" s="242"/>
      <c r="AL19" s="241" t="str">
        <f t="shared" si="15"/>
        <v xml:space="preserve"> </v>
      </c>
      <c r="AM19" s="242"/>
      <c r="AN19" s="241" t="str">
        <f t="shared" si="16"/>
        <v xml:space="preserve"> </v>
      </c>
      <c r="AO19" s="242"/>
      <c r="AP19" s="241" t="str">
        <f t="shared" si="17"/>
        <v xml:space="preserve"> </v>
      </c>
      <c r="AQ19" s="242"/>
      <c r="AR19" s="241" t="str">
        <f t="shared" si="18"/>
        <v xml:space="preserve"> </v>
      </c>
      <c r="AS19" s="242"/>
      <c r="AT19" s="241" t="str">
        <f t="shared" si="19"/>
        <v xml:space="preserve"> </v>
      </c>
      <c r="AU19" s="242"/>
      <c r="AV19" s="241" t="str">
        <f t="shared" si="20"/>
        <v xml:space="preserve"> </v>
      </c>
      <c r="AW19" s="242"/>
      <c r="AX19" s="241" t="str">
        <f t="shared" si="21"/>
        <v xml:space="preserve"> </v>
      </c>
      <c r="AY19" s="242"/>
      <c r="AZ19" s="253" t="str">
        <f t="shared" si="22"/>
        <v xml:space="preserve"> </v>
      </c>
    </row>
    <row r="20" spans="2:52" ht="14.45" thickBot="1">
      <c r="B20" s="231" t="s">
        <v>1749</v>
      </c>
      <c r="C20" s="264">
        <f t="shared" si="23"/>
        <v>12464.446666666669</v>
      </c>
      <c r="D20" s="262">
        <f t="shared" si="24"/>
        <v>72.850722766884545</v>
      </c>
      <c r="E20" s="244"/>
      <c r="F20" s="248" t="str">
        <f t="shared" si="25"/>
        <v xml:space="preserve"> </v>
      </c>
      <c r="G20" s="244"/>
      <c r="H20" s="248" t="str">
        <f t="shared" si="0"/>
        <v xml:space="preserve"> </v>
      </c>
      <c r="I20" s="244">
        <v>28244</v>
      </c>
      <c r="J20" s="248">
        <f t="shared" si="1"/>
        <v>184.6013071895425</v>
      </c>
      <c r="K20" s="244"/>
      <c r="L20" s="248" t="str">
        <f t="shared" si="2"/>
        <v xml:space="preserve"> </v>
      </c>
      <c r="M20" s="244"/>
      <c r="N20" s="248" t="str">
        <f t="shared" si="3"/>
        <v xml:space="preserve"> </v>
      </c>
      <c r="O20" s="244"/>
      <c r="P20" s="248" t="str">
        <f t="shared" si="4"/>
        <v xml:space="preserve"> </v>
      </c>
      <c r="Q20" s="244">
        <v>2663.79</v>
      </c>
      <c r="R20" s="248">
        <f t="shared" si="5"/>
        <v>12.33236111111111</v>
      </c>
      <c r="S20" s="244"/>
      <c r="T20" s="248" t="str">
        <f t="shared" si="6"/>
        <v xml:space="preserve"> </v>
      </c>
      <c r="U20" s="244"/>
      <c r="V20" s="248" t="str">
        <f t="shared" si="7"/>
        <v xml:space="preserve"> </v>
      </c>
      <c r="W20" s="244">
        <v>6485.55</v>
      </c>
      <c r="X20" s="248">
        <f t="shared" si="8"/>
        <v>21.618500000000001</v>
      </c>
      <c r="Y20" s="244"/>
      <c r="Z20" s="248" t="str">
        <f t="shared" si="9"/>
        <v xml:space="preserve"> </v>
      </c>
      <c r="AA20" s="244"/>
      <c r="AB20" s="248" t="str">
        <f t="shared" si="10"/>
        <v xml:space="preserve"> </v>
      </c>
      <c r="AC20" s="244"/>
      <c r="AD20" s="248" t="str">
        <f t="shared" si="11"/>
        <v xml:space="preserve"> </v>
      </c>
      <c r="AE20" s="244"/>
      <c r="AF20" s="248" t="str">
        <f t="shared" si="12"/>
        <v xml:space="preserve"> </v>
      </c>
      <c r="AG20" s="244"/>
      <c r="AH20" s="248" t="str">
        <f t="shared" si="13"/>
        <v xml:space="preserve"> </v>
      </c>
      <c r="AI20" s="244"/>
      <c r="AJ20" s="248" t="str">
        <f t="shared" si="14"/>
        <v xml:space="preserve"> </v>
      </c>
      <c r="AK20" s="244"/>
      <c r="AL20" s="248" t="str">
        <f t="shared" si="15"/>
        <v xml:space="preserve"> </v>
      </c>
      <c r="AM20" s="244"/>
      <c r="AN20" s="248" t="str">
        <f t="shared" si="16"/>
        <v xml:space="preserve"> </v>
      </c>
      <c r="AO20" s="244"/>
      <c r="AP20" s="248" t="str">
        <f t="shared" si="17"/>
        <v xml:space="preserve"> </v>
      </c>
      <c r="AQ20" s="244"/>
      <c r="AR20" s="248" t="str">
        <f t="shared" si="18"/>
        <v xml:space="preserve"> </v>
      </c>
      <c r="AS20" s="244"/>
      <c r="AT20" s="248" t="str">
        <f t="shared" si="19"/>
        <v xml:space="preserve"> </v>
      </c>
      <c r="AU20" s="244"/>
      <c r="AV20" s="248" t="str">
        <f t="shared" si="20"/>
        <v xml:space="preserve"> </v>
      </c>
      <c r="AW20" s="244"/>
      <c r="AX20" s="248" t="str">
        <f t="shared" si="21"/>
        <v xml:space="preserve"> </v>
      </c>
      <c r="AY20" s="244"/>
      <c r="AZ20" s="254" t="str">
        <f t="shared" si="22"/>
        <v xml:space="preserve"> </v>
      </c>
    </row>
    <row r="21" spans="2:52" ht="14.45" thickTop="1">
      <c r="B21" s="230" t="s">
        <v>1750</v>
      </c>
      <c r="C21" s="265">
        <f t="shared" si="23"/>
        <v>2136546.2306249999</v>
      </c>
      <c r="D21" s="266">
        <f t="shared" si="24"/>
        <v>10662.345434196897</v>
      </c>
      <c r="E21" s="267">
        <f>IFERROR(IF(E17&gt;0,E17-SUM(E18:E20)," ")," ")</f>
        <v>1035230</v>
      </c>
      <c r="F21" s="268">
        <f t="shared" si="25"/>
        <v>7290.3521126760561</v>
      </c>
      <c r="G21" s="267">
        <f>IFERROR(IF(G17&gt;0,G17-SUM(G18:G20)," ")," ")</f>
        <v>1405458</v>
      </c>
      <c r="H21" s="268">
        <f t="shared" si="0"/>
        <v>8784.1124999999993</v>
      </c>
      <c r="I21" s="267">
        <f>IFERROR(IF(I17&gt;0,I17-SUM(I18:I20)," ")," ")</f>
        <v>1575321.75</v>
      </c>
      <c r="J21" s="268">
        <f t="shared" si="1"/>
        <v>10296.220588235294</v>
      </c>
      <c r="K21" s="267">
        <f>IFERROR(IF(K17&gt;0,K17-SUM(K18:K20)," ")," ")</f>
        <v>1783829</v>
      </c>
      <c r="L21" s="268">
        <f t="shared" si="2"/>
        <v>9290.7760416666661</v>
      </c>
      <c r="M21" s="267">
        <f>IFERROR(IF(M17&gt;0,M17-SUM(M18:M20)," ")," ")</f>
        <v>2593555</v>
      </c>
      <c r="N21" s="268">
        <f t="shared" si="3"/>
        <v>14095.407608695652</v>
      </c>
      <c r="O21" s="267">
        <f>IFERROR(IF(O17&gt;0,O17-SUM(O18:O20)," ")," ")</f>
        <v>2346176</v>
      </c>
      <c r="P21" s="268">
        <f t="shared" si="4"/>
        <v>14663.6</v>
      </c>
      <c r="Q21" s="267">
        <f>IFERROR(IF(Q17&gt;0,Q17-SUM(Q18:Q20)," ")," ")</f>
        <v>1762194.6800000004</v>
      </c>
      <c r="R21" s="268">
        <f t="shared" si="5"/>
        <v>8158.3087037037058</v>
      </c>
      <c r="S21" s="267">
        <f>IFERROR(IF(S17&gt;0,S17-SUM(S18:S20)," ")," ")</f>
        <v>5390759</v>
      </c>
      <c r="T21" s="268">
        <f t="shared" si="6"/>
        <v>17969.196666666667</v>
      </c>
      <c r="U21" s="267">
        <f>IFERROR(IF(U17&gt;0,U17-SUM(U18:U20)," ")," ")</f>
        <v>2713498</v>
      </c>
      <c r="V21" s="268">
        <f t="shared" si="7"/>
        <v>13567.49</v>
      </c>
      <c r="W21" s="267">
        <f>IFERROR(IF(W17&gt;0,W17-SUM(W18:W20)," ")," ")</f>
        <v>1715705.4900000007</v>
      </c>
      <c r="X21" s="268">
        <f t="shared" si="8"/>
        <v>5719.0183000000025</v>
      </c>
      <c r="Y21" s="267">
        <f>IFERROR(IF(Y17&gt;0,Y17-SUM(Y18:Y20)," ")," ")</f>
        <v>3140653.97</v>
      </c>
      <c r="Z21" s="268">
        <f t="shared" si="9"/>
        <v>11216.621321428573</v>
      </c>
      <c r="AA21" s="267">
        <f>IFERROR(IF(AA17&gt;0,AA17-SUM(AA18:AA20)," ")," ")</f>
        <v>1817533.75</v>
      </c>
      <c r="AB21" s="268">
        <f t="shared" si="10"/>
        <v>10445.596264367816</v>
      </c>
      <c r="AC21" s="267">
        <f>IFERROR(IF(AC17&gt;0,AC17-SUM(AC18:AC20)," ")," ")</f>
        <v>1539614</v>
      </c>
      <c r="AD21" s="268">
        <f t="shared" si="11"/>
        <v>8747.806818181818</v>
      </c>
      <c r="AE21" s="267">
        <f>IFERROR(IF(AE17&gt;0,AE17-SUM(AE18:AE20)," ")," ")</f>
        <v>1817261.05</v>
      </c>
      <c r="AF21" s="268">
        <f t="shared" si="12"/>
        <v>13561.649626865672</v>
      </c>
      <c r="AG21" s="267">
        <f>IFERROR(IF(AG17&gt;0,AG17-SUM(AG18:AG20)," ")," ")</f>
        <v>1954252</v>
      </c>
      <c r="AH21" s="268">
        <f t="shared" si="13"/>
        <v>8176.7866108786611</v>
      </c>
      <c r="AI21" s="267">
        <f>IFERROR(IF(AI17&gt;0,AI17-SUM(AI18:AI20)," ")," ")</f>
        <v>1593698</v>
      </c>
      <c r="AJ21" s="268">
        <f t="shared" si="14"/>
        <v>8614.5837837837844</v>
      </c>
      <c r="AK21" s="267" t="str">
        <f>IFERROR(IF(AK17&gt;0,AK17-SUM(AK18:AK20)," ")," ")</f>
        <v xml:space="preserve"> </v>
      </c>
      <c r="AL21" s="268" t="str">
        <f t="shared" si="15"/>
        <v xml:space="preserve"> </v>
      </c>
      <c r="AM21" s="267" t="str">
        <f>IFERROR(IF(AM17&gt;0,AM17-SUM(AM18:AM20)," ")," ")</f>
        <v xml:space="preserve"> </v>
      </c>
      <c r="AN21" s="268" t="str">
        <f t="shared" si="16"/>
        <v xml:space="preserve"> </v>
      </c>
      <c r="AO21" s="267" t="str">
        <f>IFERROR(IF(AO17&gt;0,AO17-SUM(AO18:AO20)," ")," ")</f>
        <v xml:space="preserve"> </v>
      </c>
      <c r="AP21" s="268" t="str">
        <f t="shared" si="17"/>
        <v xml:space="preserve"> </v>
      </c>
      <c r="AQ21" s="267" t="str">
        <f>IFERROR(IF(AQ17&gt;0,AQ17-SUM(AQ18:AQ20)," ")," ")</f>
        <v xml:space="preserve"> </v>
      </c>
      <c r="AR21" s="268" t="str">
        <f t="shared" si="18"/>
        <v xml:space="preserve"> </v>
      </c>
      <c r="AS21" s="267" t="str">
        <f>IFERROR(IF(AS17&gt;0,AS17-SUM(AS18:AS20)," ")," ")</f>
        <v xml:space="preserve"> </v>
      </c>
      <c r="AT21" s="268" t="str">
        <f t="shared" si="19"/>
        <v xml:space="preserve"> </v>
      </c>
      <c r="AU21" s="267" t="str">
        <f>IFERROR(IF(AU17&gt;0,AU17-SUM(AU18:AU20)," ")," ")</f>
        <v xml:space="preserve"> </v>
      </c>
      <c r="AV21" s="268" t="str">
        <f t="shared" si="20"/>
        <v xml:space="preserve"> </v>
      </c>
      <c r="AW21" s="267" t="str">
        <f>IFERROR(IF(AW17&gt;0,AW17-SUM(AW18:AW20)," ")," ")</f>
        <v xml:space="preserve"> </v>
      </c>
      <c r="AX21" s="268" t="str">
        <f t="shared" si="21"/>
        <v xml:space="preserve"> </v>
      </c>
      <c r="AY21" s="267" t="str">
        <f>IFERROR(IF(AY17&gt;0,AY17-SUM(AY18:AY20)," ")," ")</f>
        <v xml:space="preserve"> </v>
      </c>
      <c r="AZ21" s="269" t="str">
        <f t="shared" si="22"/>
        <v xml:space="preserve"> </v>
      </c>
    </row>
    <row r="22" spans="2:52" ht="5.0999999999999996" customHeight="1" thickBot="1">
      <c r="B22" s="220"/>
      <c r="C22" s="235"/>
      <c r="D22" s="236"/>
      <c r="E22" s="242"/>
      <c r="F22" s="241" t="str">
        <f t="shared" si="25"/>
        <v xml:space="preserve"> </v>
      </c>
      <c r="G22" s="242"/>
      <c r="H22" s="241" t="str">
        <f t="shared" si="0"/>
        <v xml:space="preserve"> </v>
      </c>
      <c r="I22" s="242"/>
      <c r="J22" s="241" t="str">
        <f t="shared" si="1"/>
        <v xml:space="preserve"> </v>
      </c>
      <c r="K22" s="242"/>
      <c r="L22" s="241" t="str">
        <f t="shared" si="2"/>
        <v xml:space="preserve"> </v>
      </c>
      <c r="M22" s="242"/>
      <c r="N22" s="241" t="str">
        <f t="shared" si="3"/>
        <v xml:space="preserve"> </v>
      </c>
      <c r="O22" s="242"/>
      <c r="P22" s="241" t="str">
        <f t="shared" si="4"/>
        <v xml:space="preserve"> </v>
      </c>
      <c r="Q22" s="242"/>
      <c r="R22" s="241" t="str">
        <f t="shared" si="5"/>
        <v xml:space="preserve"> </v>
      </c>
      <c r="S22" s="242"/>
      <c r="T22" s="241" t="str">
        <f t="shared" si="6"/>
        <v xml:space="preserve"> </v>
      </c>
      <c r="U22" s="242"/>
      <c r="V22" s="241" t="str">
        <f t="shared" si="7"/>
        <v xml:space="preserve"> </v>
      </c>
      <c r="W22" s="242"/>
      <c r="X22" s="241" t="str">
        <f t="shared" si="8"/>
        <v xml:space="preserve"> </v>
      </c>
      <c r="Y22" s="242"/>
      <c r="Z22" s="241" t="str">
        <f t="shared" si="9"/>
        <v xml:space="preserve"> </v>
      </c>
      <c r="AA22" s="242"/>
      <c r="AB22" s="241" t="str">
        <f t="shared" si="10"/>
        <v xml:space="preserve"> </v>
      </c>
      <c r="AC22" s="242"/>
      <c r="AD22" s="241" t="str">
        <f t="shared" si="11"/>
        <v xml:space="preserve"> </v>
      </c>
      <c r="AE22" s="242"/>
      <c r="AF22" s="241" t="str">
        <f t="shared" si="12"/>
        <v xml:space="preserve"> </v>
      </c>
      <c r="AG22" s="242"/>
      <c r="AH22" s="241" t="str">
        <f t="shared" si="13"/>
        <v xml:space="preserve"> </v>
      </c>
      <c r="AI22" s="242"/>
      <c r="AJ22" s="241" t="str">
        <f t="shared" si="14"/>
        <v xml:space="preserve"> </v>
      </c>
      <c r="AK22" s="242"/>
      <c r="AL22" s="241" t="str">
        <f t="shared" si="15"/>
        <v xml:space="preserve"> </v>
      </c>
      <c r="AM22" s="242"/>
      <c r="AN22" s="241" t="str">
        <f t="shared" si="16"/>
        <v xml:space="preserve"> </v>
      </c>
      <c r="AO22" s="242"/>
      <c r="AP22" s="241" t="str">
        <f t="shared" si="17"/>
        <v xml:space="preserve"> </v>
      </c>
      <c r="AQ22" s="242"/>
      <c r="AR22" s="241" t="str">
        <f t="shared" si="18"/>
        <v xml:space="preserve"> </v>
      </c>
      <c r="AS22" s="242"/>
      <c r="AT22" s="241" t="str">
        <f t="shared" si="19"/>
        <v xml:space="preserve"> </v>
      </c>
      <c r="AU22" s="242"/>
      <c r="AV22" s="241" t="str">
        <f t="shared" si="20"/>
        <v xml:space="preserve"> </v>
      </c>
      <c r="AW22" s="242"/>
      <c r="AX22" s="241" t="str">
        <f t="shared" si="21"/>
        <v xml:space="preserve"> </v>
      </c>
      <c r="AY22" s="242"/>
      <c r="AZ22" s="253" t="str">
        <f t="shared" si="22"/>
        <v xml:space="preserve"> </v>
      </c>
    </row>
    <row r="23" spans="2:52" ht="14.45" thickBot="1">
      <c r="B23" s="229" t="s">
        <v>1751</v>
      </c>
      <c r="C23" s="228"/>
      <c r="D23" s="227"/>
      <c r="E23" s="246"/>
      <c r="F23" s="249" t="str">
        <f t="shared" si="25"/>
        <v xml:space="preserve"> </v>
      </c>
      <c r="G23" s="246"/>
      <c r="H23" s="249" t="str">
        <f t="shared" si="0"/>
        <v xml:space="preserve"> </v>
      </c>
      <c r="I23" s="246"/>
      <c r="J23" s="249" t="str">
        <f t="shared" si="1"/>
        <v xml:space="preserve"> </v>
      </c>
      <c r="K23" s="246"/>
      <c r="L23" s="249" t="str">
        <f t="shared" si="2"/>
        <v xml:space="preserve"> </v>
      </c>
      <c r="M23" s="246"/>
      <c r="N23" s="249" t="str">
        <f t="shared" si="3"/>
        <v xml:space="preserve"> </v>
      </c>
      <c r="O23" s="246"/>
      <c r="P23" s="249" t="str">
        <f t="shared" si="4"/>
        <v xml:space="preserve"> </v>
      </c>
      <c r="Q23" s="246"/>
      <c r="R23" s="249" t="str">
        <f t="shared" si="5"/>
        <v xml:space="preserve"> </v>
      </c>
      <c r="S23" s="246"/>
      <c r="T23" s="249" t="str">
        <f t="shared" si="6"/>
        <v xml:space="preserve"> </v>
      </c>
      <c r="U23" s="246"/>
      <c r="V23" s="249" t="str">
        <f t="shared" si="7"/>
        <v xml:space="preserve"> </v>
      </c>
      <c r="W23" s="246"/>
      <c r="X23" s="249" t="str">
        <f t="shared" si="8"/>
        <v xml:space="preserve"> </v>
      </c>
      <c r="Y23" s="246"/>
      <c r="Z23" s="249" t="str">
        <f t="shared" si="9"/>
        <v xml:space="preserve"> </v>
      </c>
      <c r="AA23" s="246"/>
      <c r="AB23" s="249" t="str">
        <f t="shared" si="10"/>
        <v xml:space="preserve"> </v>
      </c>
      <c r="AC23" s="246"/>
      <c r="AD23" s="249" t="str">
        <f t="shared" si="11"/>
        <v xml:space="preserve"> </v>
      </c>
      <c r="AE23" s="246"/>
      <c r="AF23" s="249" t="str">
        <f t="shared" si="12"/>
        <v xml:space="preserve"> </v>
      </c>
      <c r="AG23" s="246"/>
      <c r="AH23" s="249" t="str">
        <f t="shared" si="13"/>
        <v xml:space="preserve"> </v>
      </c>
      <c r="AI23" s="246"/>
      <c r="AJ23" s="249" t="str">
        <f t="shared" si="14"/>
        <v xml:space="preserve"> </v>
      </c>
      <c r="AK23" s="246"/>
      <c r="AL23" s="249" t="str">
        <f t="shared" si="15"/>
        <v xml:space="preserve"> </v>
      </c>
      <c r="AM23" s="246"/>
      <c r="AN23" s="249" t="str">
        <f t="shared" si="16"/>
        <v xml:space="preserve"> </v>
      </c>
      <c r="AO23" s="246"/>
      <c r="AP23" s="249" t="str">
        <f t="shared" si="17"/>
        <v xml:space="preserve"> </v>
      </c>
      <c r="AQ23" s="246"/>
      <c r="AR23" s="249" t="str">
        <f t="shared" si="18"/>
        <v xml:space="preserve"> </v>
      </c>
      <c r="AS23" s="246"/>
      <c r="AT23" s="249" t="str">
        <f t="shared" si="19"/>
        <v xml:space="preserve"> </v>
      </c>
      <c r="AU23" s="246"/>
      <c r="AV23" s="249" t="str">
        <f t="shared" si="20"/>
        <v xml:space="preserve"> </v>
      </c>
      <c r="AW23" s="246"/>
      <c r="AX23" s="249" t="str">
        <f t="shared" si="21"/>
        <v xml:space="preserve"> </v>
      </c>
      <c r="AY23" s="246"/>
      <c r="AZ23" s="255" t="str">
        <f t="shared" si="22"/>
        <v xml:space="preserve"> </v>
      </c>
    </row>
    <row r="24" spans="2:52">
      <c r="B24" s="230" t="s">
        <v>1752</v>
      </c>
      <c r="C24" s="233"/>
      <c r="D24" s="234"/>
      <c r="E24" s="243"/>
      <c r="F24" s="247" t="str">
        <f t="shared" si="25"/>
        <v xml:space="preserve"> </v>
      </c>
      <c r="G24" s="243"/>
      <c r="H24" s="247" t="str">
        <f t="shared" si="0"/>
        <v xml:space="preserve"> </v>
      </c>
      <c r="I24" s="243"/>
      <c r="J24" s="247" t="str">
        <f t="shared" si="1"/>
        <v xml:space="preserve"> </v>
      </c>
      <c r="K24" s="243"/>
      <c r="L24" s="247" t="str">
        <f t="shared" si="2"/>
        <v xml:space="preserve"> </v>
      </c>
      <c r="M24" s="243"/>
      <c r="N24" s="247" t="str">
        <f t="shared" si="3"/>
        <v xml:space="preserve"> </v>
      </c>
      <c r="O24" s="243"/>
      <c r="P24" s="247" t="str">
        <f t="shared" si="4"/>
        <v xml:space="preserve"> </v>
      </c>
      <c r="Q24" s="243"/>
      <c r="R24" s="247" t="str">
        <f t="shared" si="5"/>
        <v xml:space="preserve"> </v>
      </c>
      <c r="S24" s="243"/>
      <c r="T24" s="247" t="str">
        <f t="shared" si="6"/>
        <v xml:space="preserve"> </v>
      </c>
      <c r="U24" s="243"/>
      <c r="V24" s="247" t="str">
        <f t="shared" si="7"/>
        <v xml:space="preserve"> </v>
      </c>
      <c r="W24" s="243"/>
      <c r="X24" s="247" t="str">
        <f t="shared" si="8"/>
        <v xml:space="preserve"> </v>
      </c>
      <c r="Y24" s="243"/>
      <c r="Z24" s="247" t="str">
        <f t="shared" si="9"/>
        <v xml:space="preserve"> </v>
      </c>
      <c r="AA24" s="243"/>
      <c r="AB24" s="247" t="str">
        <f t="shared" si="10"/>
        <v xml:space="preserve"> </v>
      </c>
      <c r="AC24" s="243"/>
      <c r="AD24" s="247" t="str">
        <f t="shared" si="11"/>
        <v xml:space="preserve"> </v>
      </c>
      <c r="AE24" s="243"/>
      <c r="AF24" s="247" t="str">
        <f t="shared" si="12"/>
        <v xml:space="preserve"> </v>
      </c>
      <c r="AG24" s="243"/>
      <c r="AH24" s="247" t="str">
        <f t="shared" si="13"/>
        <v xml:space="preserve"> </v>
      </c>
      <c r="AI24" s="243"/>
      <c r="AJ24" s="247" t="str">
        <f t="shared" si="14"/>
        <v xml:space="preserve"> </v>
      </c>
      <c r="AK24" s="243"/>
      <c r="AL24" s="247" t="str">
        <f t="shared" si="15"/>
        <v xml:space="preserve"> </v>
      </c>
      <c r="AM24" s="243"/>
      <c r="AN24" s="247" t="str">
        <f t="shared" si="16"/>
        <v xml:space="preserve"> </v>
      </c>
      <c r="AO24" s="243"/>
      <c r="AP24" s="247" t="str">
        <f t="shared" si="17"/>
        <v xml:space="preserve"> </v>
      </c>
      <c r="AQ24" s="243"/>
      <c r="AR24" s="247" t="str">
        <f t="shared" si="18"/>
        <v xml:space="preserve"> </v>
      </c>
      <c r="AS24" s="243"/>
      <c r="AT24" s="247" t="str">
        <f t="shared" si="19"/>
        <v xml:space="preserve"> </v>
      </c>
      <c r="AU24" s="243"/>
      <c r="AV24" s="247" t="str">
        <f t="shared" si="20"/>
        <v xml:space="preserve"> </v>
      </c>
      <c r="AW24" s="243"/>
      <c r="AX24" s="247" t="str">
        <f t="shared" si="21"/>
        <v xml:space="preserve"> </v>
      </c>
      <c r="AY24" s="243"/>
      <c r="AZ24" s="252" t="str">
        <f t="shared" si="22"/>
        <v xml:space="preserve"> </v>
      </c>
    </row>
    <row r="25" spans="2:52">
      <c r="B25" s="220" t="s">
        <v>1753</v>
      </c>
      <c r="C25" s="263">
        <f t="shared" ref="C25:C34" si="26">IFERROR(AVERAGE(E25,G25,I25,K25,M25,O25,Q25,S25,U25,W25,Y25,AA25,AC25,AE25,AG25,AI25,AK25,AM25,AO25,AQ25,AS25,AU25,AW25,AY25),0)</f>
        <v>23101.789230769231</v>
      </c>
      <c r="D25" s="261">
        <f t="shared" ref="D25:D34" si="27">IFERROR(AVERAGE(F25,H25,J25,L25,N25,P25,R25,T25,V25,X25,Z25,AB25,AD25,AF25,AH25,AJ25,AL25,AN25,AP25,AR25,AT25,AV25,AX25,AZ25),0)</f>
        <v>129.86950454937613</v>
      </c>
      <c r="E25" s="242">
        <v>28029</v>
      </c>
      <c r="F25" s="241">
        <f t="shared" si="25"/>
        <v>197.38732394366198</v>
      </c>
      <c r="G25" s="242">
        <v>41987</v>
      </c>
      <c r="H25" s="241">
        <f t="shared" si="0"/>
        <v>262.41874999999999</v>
      </c>
      <c r="I25" s="242">
        <v>19629.25</v>
      </c>
      <c r="J25" s="241">
        <f t="shared" si="1"/>
        <v>128.29575163398692</v>
      </c>
      <c r="K25" s="242">
        <v>35070</v>
      </c>
      <c r="L25" s="241">
        <f t="shared" si="2"/>
        <v>182.65625</v>
      </c>
      <c r="M25" s="242">
        <v>14120</v>
      </c>
      <c r="N25" s="241">
        <f t="shared" si="3"/>
        <v>76.739130434782609</v>
      </c>
      <c r="O25" s="242">
        <v>23769</v>
      </c>
      <c r="P25" s="241">
        <f t="shared" si="4"/>
        <v>148.55625000000001</v>
      </c>
      <c r="Q25" s="242"/>
      <c r="R25" s="241" t="str">
        <f t="shared" si="5"/>
        <v xml:space="preserve"> </v>
      </c>
      <c r="S25" s="242"/>
      <c r="T25" s="241" t="str">
        <f t="shared" si="6"/>
        <v xml:space="preserve"> </v>
      </c>
      <c r="U25" s="242">
        <v>16982</v>
      </c>
      <c r="V25" s="241">
        <f t="shared" si="7"/>
        <v>84.91</v>
      </c>
      <c r="W25" s="242">
        <v>19491.66</v>
      </c>
      <c r="X25" s="241">
        <f t="shared" si="8"/>
        <v>64.972200000000001</v>
      </c>
      <c r="Y25" s="242">
        <v>35170.550000000003</v>
      </c>
      <c r="Z25" s="241">
        <f t="shared" si="9"/>
        <v>125.60910714285716</v>
      </c>
      <c r="AA25" s="242">
        <v>10342.709999999999</v>
      </c>
      <c r="AB25" s="241">
        <f t="shared" si="10"/>
        <v>59.440862068965515</v>
      </c>
      <c r="AC25" s="242">
        <v>17350</v>
      </c>
      <c r="AD25" s="241">
        <f t="shared" si="11"/>
        <v>98.579545454545453</v>
      </c>
      <c r="AE25" s="242">
        <v>24920.09</v>
      </c>
      <c r="AF25" s="241">
        <f t="shared" si="12"/>
        <v>185.97082089552239</v>
      </c>
      <c r="AG25" s="242"/>
      <c r="AH25" s="241" t="str">
        <f t="shared" si="13"/>
        <v xml:space="preserve"> </v>
      </c>
      <c r="AI25" s="242">
        <v>13462</v>
      </c>
      <c r="AJ25" s="241">
        <f t="shared" si="14"/>
        <v>72.767567567567568</v>
      </c>
      <c r="AK25" s="242"/>
      <c r="AL25" s="241" t="str">
        <f t="shared" si="15"/>
        <v xml:space="preserve"> </v>
      </c>
      <c r="AM25" s="242"/>
      <c r="AN25" s="241" t="str">
        <f t="shared" si="16"/>
        <v xml:space="preserve"> </v>
      </c>
      <c r="AO25" s="242"/>
      <c r="AP25" s="241" t="str">
        <f t="shared" si="17"/>
        <v xml:space="preserve"> </v>
      </c>
      <c r="AQ25" s="242"/>
      <c r="AR25" s="241" t="str">
        <f t="shared" si="18"/>
        <v xml:space="preserve"> </v>
      </c>
      <c r="AS25" s="242"/>
      <c r="AT25" s="241" t="str">
        <f t="shared" si="19"/>
        <v xml:space="preserve"> </v>
      </c>
      <c r="AU25" s="242"/>
      <c r="AV25" s="241" t="str">
        <f t="shared" si="20"/>
        <v xml:space="preserve"> </v>
      </c>
      <c r="AW25" s="242"/>
      <c r="AX25" s="241" t="str">
        <f t="shared" si="21"/>
        <v xml:space="preserve"> </v>
      </c>
      <c r="AY25" s="242"/>
      <c r="AZ25" s="253" t="str">
        <f t="shared" si="22"/>
        <v xml:space="preserve"> </v>
      </c>
    </row>
    <row r="26" spans="2:52">
      <c r="B26" s="220" t="s">
        <v>1754</v>
      </c>
      <c r="C26" s="263">
        <f t="shared" si="26"/>
        <v>33113.599333333332</v>
      </c>
      <c r="D26" s="261">
        <f t="shared" si="27"/>
        <v>149.73818872299756</v>
      </c>
      <c r="E26" s="242">
        <v>2725</v>
      </c>
      <c r="F26" s="241">
        <f t="shared" si="25"/>
        <v>19.190140845070424</v>
      </c>
      <c r="G26" s="242"/>
      <c r="H26" s="241" t="str">
        <f t="shared" si="0"/>
        <v xml:space="preserve"> </v>
      </c>
      <c r="I26" s="242">
        <v>9231.26</v>
      </c>
      <c r="J26" s="241">
        <f t="shared" si="1"/>
        <v>60.335032679738561</v>
      </c>
      <c r="K26" s="242">
        <v>25899</v>
      </c>
      <c r="L26" s="241">
        <f t="shared" si="2"/>
        <v>134.890625</v>
      </c>
      <c r="M26" s="242">
        <v>31148</v>
      </c>
      <c r="N26" s="241">
        <f t="shared" si="3"/>
        <v>169.28260869565219</v>
      </c>
      <c r="O26" s="242">
        <v>4478</v>
      </c>
      <c r="P26" s="241">
        <f t="shared" si="4"/>
        <v>27.987500000000001</v>
      </c>
      <c r="Q26" s="242">
        <v>83609.09</v>
      </c>
      <c r="R26" s="241">
        <f t="shared" si="5"/>
        <v>387.07912037037033</v>
      </c>
      <c r="S26" s="242">
        <v>41071</v>
      </c>
      <c r="T26" s="241">
        <f t="shared" si="6"/>
        <v>136.90333333333334</v>
      </c>
      <c r="U26" s="242">
        <v>15826</v>
      </c>
      <c r="V26" s="241">
        <f t="shared" si="7"/>
        <v>79.13</v>
      </c>
      <c r="W26" s="242">
        <v>86839.85</v>
      </c>
      <c r="X26" s="241">
        <f t="shared" si="8"/>
        <v>289.46616666666671</v>
      </c>
      <c r="Y26" s="242">
        <v>54179.48</v>
      </c>
      <c r="Z26" s="241">
        <f t="shared" si="9"/>
        <v>193.49814285714288</v>
      </c>
      <c r="AA26" s="242">
        <v>1064.26</v>
      </c>
      <c r="AB26" s="241">
        <f t="shared" si="10"/>
        <v>6.1164367816091954</v>
      </c>
      <c r="AC26" s="242">
        <v>40236</v>
      </c>
      <c r="AD26" s="241">
        <f t="shared" si="11"/>
        <v>228.61363636363637</v>
      </c>
      <c r="AE26" s="242">
        <v>588.04999999999995</v>
      </c>
      <c r="AF26" s="241">
        <f t="shared" si="12"/>
        <v>4.3884328358208951</v>
      </c>
      <c r="AG26" s="242">
        <v>24823</v>
      </c>
      <c r="AH26" s="241">
        <f t="shared" si="13"/>
        <v>103.86192468619247</v>
      </c>
      <c r="AI26" s="242">
        <v>74986</v>
      </c>
      <c r="AJ26" s="241">
        <f t="shared" si="14"/>
        <v>405.32972972972971</v>
      </c>
      <c r="AK26" s="242"/>
      <c r="AL26" s="241" t="str">
        <f t="shared" si="15"/>
        <v xml:space="preserve"> </v>
      </c>
      <c r="AM26" s="242"/>
      <c r="AN26" s="241" t="str">
        <f t="shared" si="16"/>
        <v xml:space="preserve"> </v>
      </c>
      <c r="AO26" s="242"/>
      <c r="AP26" s="241" t="str">
        <f t="shared" si="17"/>
        <v xml:space="preserve"> </v>
      </c>
      <c r="AQ26" s="242"/>
      <c r="AR26" s="241" t="str">
        <f t="shared" si="18"/>
        <v xml:space="preserve"> </v>
      </c>
      <c r="AS26" s="242"/>
      <c r="AT26" s="241" t="str">
        <f t="shared" si="19"/>
        <v xml:space="preserve"> </v>
      </c>
      <c r="AU26" s="242"/>
      <c r="AV26" s="241" t="str">
        <f t="shared" si="20"/>
        <v xml:space="preserve"> </v>
      </c>
      <c r="AW26" s="242"/>
      <c r="AX26" s="241" t="str">
        <f t="shared" si="21"/>
        <v xml:space="preserve"> </v>
      </c>
      <c r="AY26" s="242"/>
      <c r="AZ26" s="253" t="str">
        <f t="shared" si="22"/>
        <v xml:space="preserve"> </v>
      </c>
    </row>
    <row r="27" spans="2:52">
      <c r="B27" s="220" t="s">
        <v>1755</v>
      </c>
      <c r="C27" s="263">
        <f t="shared" si="26"/>
        <v>18128.504000000004</v>
      </c>
      <c r="D27" s="261">
        <f t="shared" si="27"/>
        <v>95.110178899996498</v>
      </c>
      <c r="E27" s="242">
        <v>462</v>
      </c>
      <c r="F27" s="241">
        <f t="shared" si="25"/>
        <v>3.2535211267605635</v>
      </c>
      <c r="G27" s="242">
        <v>12438</v>
      </c>
      <c r="H27" s="241">
        <f t="shared" si="0"/>
        <v>77.737499999999997</v>
      </c>
      <c r="I27" s="242">
        <v>196.25</v>
      </c>
      <c r="J27" s="241">
        <f t="shared" si="1"/>
        <v>1.2826797385620916</v>
      </c>
      <c r="K27" s="242">
        <v>34367</v>
      </c>
      <c r="L27" s="241">
        <f t="shared" si="2"/>
        <v>178.99479166666666</v>
      </c>
      <c r="M27" s="242">
        <v>59603</v>
      </c>
      <c r="N27" s="241">
        <f t="shared" si="3"/>
        <v>323.92934782608694</v>
      </c>
      <c r="O27" s="242">
        <v>43343</v>
      </c>
      <c r="P27" s="241">
        <f t="shared" si="4"/>
        <v>270.89375000000001</v>
      </c>
      <c r="Q27" s="242">
        <v>3366.42</v>
      </c>
      <c r="R27" s="241">
        <f t="shared" si="5"/>
        <v>15.585277777777778</v>
      </c>
      <c r="S27" s="242">
        <v>797</v>
      </c>
      <c r="T27" s="241">
        <f t="shared" si="6"/>
        <v>2.6566666666666667</v>
      </c>
      <c r="U27" s="242">
        <v>29173</v>
      </c>
      <c r="V27" s="241">
        <f t="shared" si="7"/>
        <v>145.86500000000001</v>
      </c>
      <c r="W27" s="242">
        <v>2955.19</v>
      </c>
      <c r="X27" s="241">
        <f t="shared" si="8"/>
        <v>9.8506333333333327</v>
      </c>
      <c r="Y27" s="242">
        <v>47241.73</v>
      </c>
      <c r="Z27" s="241">
        <f t="shared" si="9"/>
        <v>168.72046428571429</v>
      </c>
      <c r="AA27" s="242">
        <v>8784.7900000000009</v>
      </c>
      <c r="AB27" s="241">
        <f t="shared" si="10"/>
        <v>50.487298850574717</v>
      </c>
      <c r="AC27" s="242">
        <v>417</v>
      </c>
      <c r="AD27" s="241">
        <f t="shared" si="11"/>
        <v>2.3693181818181817</v>
      </c>
      <c r="AE27" s="242">
        <v>9450.18</v>
      </c>
      <c r="AF27" s="241">
        <f t="shared" si="12"/>
        <v>70.523731343283586</v>
      </c>
      <c r="AG27" s="242"/>
      <c r="AH27" s="241" t="str">
        <f t="shared" si="13"/>
        <v xml:space="preserve"> </v>
      </c>
      <c r="AI27" s="242">
        <v>19333</v>
      </c>
      <c r="AJ27" s="241">
        <f t="shared" si="14"/>
        <v>104.50270270270271</v>
      </c>
      <c r="AK27" s="242"/>
      <c r="AL27" s="241" t="str">
        <f t="shared" si="15"/>
        <v xml:space="preserve"> </v>
      </c>
      <c r="AM27" s="242"/>
      <c r="AN27" s="241" t="str">
        <f t="shared" si="16"/>
        <v xml:space="preserve"> </v>
      </c>
      <c r="AO27" s="242"/>
      <c r="AP27" s="241" t="str">
        <f t="shared" si="17"/>
        <v xml:space="preserve"> </v>
      </c>
      <c r="AQ27" s="242"/>
      <c r="AR27" s="241" t="str">
        <f t="shared" si="18"/>
        <v xml:space="preserve"> </v>
      </c>
      <c r="AS27" s="242"/>
      <c r="AT27" s="241" t="str">
        <f t="shared" si="19"/>
        <v xml:space="preserve"> </v>
      </c>
      <c r="AU27" s="242"/>
      <c r="AV27" s="241" t="str">
        <f t="shared" si="20"/>
        <v xml:space="preserve"> </v>
      </c>
      <c r="AW27" s="242"/>
      <c r="AX27" s="241" t="str">
        <f t="shared" si="21"/>
        <v xml:space="preserve"> </v>
      </c>
      <c r="AY27" s="242"/>
      <c r="AZ27" s="253" t="str">
        <f t="shared" si="22"/>
        <v xml:space="preserve"> </v>
      </c>
    </row>
    <row r="28" spans="2:52">
      <c r="B28" s="220" t="s">
        <v>1756</v>
      </c>
      <c r="C28" s="263">
        <f t="shared" si="26"/>
        <v>4138.6772727272728</v>
      </c>
      <c r="D28" s="261">
        <f t="shared" si="27"/>
        <v>20.878409533498242</v>
      </c>
      <c r="E28" s="242"/>
      <c r="F28" s="241" t="str">
        <f t="shared" si="25"/>
        <v xml:space="preserve"> </v>
      </c>
      <c r="G28" s="242">
        <v>1579</v>
      </c>
      <c r="H28" s="241">
        <f t="shared" si="0"/>
        <v>9.8687500000000004</v>
      </c>
      <c r="I28" s="242"/>
      <c r="J28" s="241" t="str">
        <f t="shared" si="1"/>
        <v xml:space="preserve"> </v>
      </c>
      <c r="K28" s="242">
        <v>5146</v>
      </c>
      <c r="L28" s="241">
        <f t="shared" si="2"/>
        <v>26.802083333333332</v>
      </c>
      <c r="M28" s="242">
        <v>14404</v>
      </c>
      <c r="N28" s="241">
        <f t="shared" si="3"/>
        <v>78.282608695652172</v>
      </c>
      <c r="O28" s="242">
        <v>3803</v>
      </c>
      <c r="P28" s="241">
        <f t="shared" si="4"/>
        <v>23.768750000000001</v>
      </c>
      <c r="Q28" s="242">
        <v>6197.76</v>
      </c>
      <c r="R28" s="241">
        <f t="shared" si="5"/>
        <v>28.693333333333335</v>
      </c>
      <c r="S28" s="242">
        <v>1834</v>
      </c>
      <c r="T28" s="241">
        <f t="shared" si="6"/>
        <v>6.1133333333333333</v>
      </c>
      <c r="U28" s="242">
        <v>1945</v>
      </c>
      <c r="V28" s="241">
        <f t="shared" si="7"/>
        <v>9.7249999999999996</v>
      </c>
      <c r="W28" s="242"/>
      <c r="X28" s="241" t="str">
        <f t="shared" si="8"/>
        <v xml:space="preserve"> </v>
      </c>
      <c r="Y28" s="242">
        <v>3329.27</v>
      </c>
      <c r="Z28" s="241">
        <f t="shared" si="9"/>
        <v>11.89025</v>
      </c>
      <c r="AA28" s="242">
        <v>1018.42</v>
      </c>
      <c r="AB28" s="241">
        <f t="shared" si="10"/>
        <v>5.8529885057471258</v>
      </c>
      <c r="AC28" s="242"/>
      <c r="AD28" s="241" t="str">
        <f t="shared" si="11"/>
        <v xml:space="preserve"> </v>
      </c>
      <c r="AE28" s="242"/>
      <c r="AF28" s="241" t="str">
        <f t="shared" si="12"/>
        <v xml:space="preserve"> </v>
      </c>
      <c r="AG28" s="242">
        <v>4275</v>
      </c>
      <c r="AH28" s="241">
        <f t="shared" si="13"/>
        <v>17.88702928870293</v>
      </c>
      <c r="AI28" s="242">
        <v>1994</v>
      </c>
      <c r="AJ28" s="241">
        <f t="shared" si="14"/>
        <v>10.778378378378378</v>
      </c>
      <c r="AK28" s="242"/>
      <c r="AL28" s="241" t="str">
        <f t="shared" si="15"/>
        <v xml:space="preserve"> </v>
      </c>
      <c r="AM28" s="242"/>
      <c r="AN28" s="241" t="str">
        <f t="shared" si="16"/>
        <v xml:space="preserve"> </v>
      </c>
      <c r="AO28" s="242"/>
      <c r="AP28" s="241" t="str">
        <f t="shared" si="17"/>
        <v xml:space="preserve"> </v>
      </c>
      <c r="AQ28" s="242"/>
      <c r="AR28" s="241" t="str">
        <f t="shared" si="18"/>
        <v xml:space="preserve"> </v>
      </c>
      <c r="AS28" s="242"/>
      <c r="AT28" s="241" t="str">
        <f t="shared" si="19"/>
        <v xml:space="preserve"> </v>
      </c>
      <c r="AU28" s="242"/>
      <c r="AV28" s="241" t="str">
        <f t="shared" si="20"/>
        <v xml:space="preserve"> </v>
      </c>
      <c r="AW28" s="242"/>
      <c r="AX28" s="241" t="str">
        <f t="shared" si="21"/>
        <v xml:space="preserve"> </v>
      </c>
      <c r="AY28" s="242"/>
      <c r="AZ28" s="253" t="str">
        <f t="shared" si="22"/>
        <v xml:space="preserve"> </v>
      </c>
    </row>
    <row r="29" spans="2:52">
      <c r="B29" s="220" t="s">
        <v>1757</v>
      </c>
      <c r="C29" s="263">
        <f t="shared" si="26"/>
        <v>5986.2653333333337</v>
      </c>
      <c r="D29" s="261">
        <f t="shared" si="27"/>
        <v>30.99576656804118</v>
      </c>
      <c r="E29" s="242">
        <v>8648</v>
      </c>
      <c r="F29" s="241">
        <f t="shared" si="25"/>
        <v>60.901408450704224</v>
      </c>
      <c r="G29" s="242"/>
      <c r="H29" s="241" t="str">
        <f t="shared" si="0"/>
        <v xml:space="preserve"> </v>
      </c>
      <c r="I29" s="242">
        <v>3299.08</v>
      </c>
      <c r="J29" s="241">
        <f t="shared" si="1"/>
        <v>21.562614379084966</v>
      </c>
      <c r="K29" s="242">
        <v>4816</v>
      </c>
      <c r="L29" s="241">
        <f t="shared" si="2"/>
        <v>25.083333333333332</v>
      </c>
      <c r="M29" s="242">
        <v>1837</v>
      </c>
      <c r="N29" s="241">
        <f t="shared" si="3"/>
        <v>9.9836956521739122</v>
      </c>
      <c r="O29" s="242">
        <v>4895</v>
      </c>
      <c r="P29" s="241">
        <f t="shared" si="4"/>
        <v>30.59375</v>
      </c>
      <c r="Q29" s="242">
        <v>25549.58</v>
      </c>
      <c r="R29" s="241">
        <f t="shared" si="5"/>
        <v>118.2850925925926</v>
      </c>
      <c r="S29" s="242">
        <v>6377</v>
      </c>
      <c r="T29" s="241">
        <f t="shared" si="6"/>
        <v>21.256666666666668</v>
      </c>
      <c r="U29" s="242">
        <v>1702</v>
      </c>
      <c r="V29" s="241">
        <f t="shared" si="7"/>
        <v>8.51</v>
      </c>
      <c r="W29" s="242">
        <v>5404.14</v>
      </c>
      <c r="X29" s="241">
        <f t="shared" si="8"/>
        <v>18.0138</v>
      </c>
      <c r="Y29" s="242">
        <v>4583.6000000000004</v>
      </c>
      <c r="Z29" s="241">
        <f t="shared" si="9"/>
        <v>16.37</v>
      </c>
      <c r="AA29" s="242">
        <v>2490.27</v>
      </c>
      <c r="AB29" s="241">
        <f t="shared" si="10"/>
        <v>14.311896551724137</v>
      </c>
      <c r="AC29" s="242">
        <v>13619</v>
      </c>
      <c r="AD29" s="241">
        <f t="shared" si="11"/>
        <v>77.380681818181813</v>
      </c>
      <c r="AE29" s="242">
        <v>4093.31</v>
      </c>
      <c r="AF29" s="241">
        <f t="shared" si="12"/>
        <v>30.547089552238806</v>
      </c>
      <c r="AG29" s="242">
        <v>1039</v>
      </c>
      <c r="AH29" s="241">
        <f t="shared" si="13"/>
        <v>4.3472803347280333</v>
      </c>
      <c r="AI29" s="242">
        <v>1441</v>
      </c>
      <c r="AJ29" s="241">
        <f t="shared" si="14"/>
        <v>7.7891891891891891</v>
      </c>
      <c r="AK29" s="242"/>
      <c r="AL29" s="241" t="str">
        <f t="shared" si="15"/>
        <v xml:space="preserve"> </v>
      </c>
      <c r="AM29" s="242"/>
      <c r="AN29" s="241" t="str">
        <f t="shared" si="16"/>
        <v xml:space="preserve"> </v>
      </c>
      <c r="AO29" s="242"/>
      <c r="AP29" s="241" t="str">
        <f t="shared" si="17"/>
        <v xml:space="preserve"> </v>
      </c>
      <c r="AQ29" s="242"/>
      <c r="AR29" s="241" t="str">
        <f t="shared" si="18"/>
        <v xml:space="preserve"> </v>
      </c>
      <c r="AS29" s="242"/>
      <c r="AT29" s="241" t="str">
        <f t="shared" si="19"/>
        <v xml:space="preserve"> </v>
      </c>
      <c r="AU29" s="242"/>
      <c r="AV29" s="241" t="str">
        <f t="shared" si="20"/>
        <v xml:space="preserve"> </v>
      </c>
      <c r="AW29" s="242"/>
      <c r="AX29" s="241" t="str">
        <f t="shared" si="21"/>
        <v xml:space="preserve"> </v>
      </c>
      <c r="AY29" s="242"/>
      <c r="AZ29" s="253" t="str">
        <f t="shared" si="22"/>
        <v xml:space="preserve"> </v>
      </c>
    </row>
    <row r="30" spans="2:52">
      <c r="B30" s="220" t="s">
        <v>1758</v>
      </c>
      <c r="C30" s="263">
        <f t="shared" si="26"/>
        <v>7993.4050000000007</v>
      </c>
      <c r="D30" s="261">
        <f t="shared" si="27"/>
        <v>43.836118816063809</v>
      </c>
      <c r="E30" s="242">
        <v>4943</v>
      </c>
      <c r="F30" s="241">
        <f t="shared" si="25"/>
        <v>34.809859154929576</v>
      </c>
      <c r="G30" s="242">
        <v>1267</v>
      </c>
      <c r="H30" s="241">
        <f t="shared" si="0"/>
        <v>7.9187500000000002</v>
      </c>
      <c r="I30" s="242">
        <v>6899.69</v>
      </c>
      <c r="J30" s="241">
        <f t="shared" si="1"/>
        <v>45.09601307189542</v>
      </c>
      <c r="K30" s="242">
        <v>8848</v>
      </c>
      <c r="L30" s="241">
        <f t="shared" si="2"/>
        <v>46.083333333333336</v>
      </c>
      <c r="M30" s="242">
        <v>7681</v>
      </c>
      <c r="N30" s="241">
        <f t="shared" si="3"/>
        <v>41.744565217391305</v>
      </c>
      <c r="O30" s="242">
        <v>14465</v>
      </c>
      <c r="P30" s="241">
        <f t="shared" si="4"/>
        <v>90.40625</v>
      </c>
      <c r="Q30" s="242">
        <v>2308.7399999999998</v>
      </c>
      <c r="R30" s="241">
        <f t="shared" si="5"/>
        <v>10.68861111111111</v>
      </c>
      <c r="S30" s="242">
        <v>1140</v>
      </c>
      <c r="T30" s="241">
        <f t="shared" si="6"/>
        <v>3.8</v>
      </c>
      <c r="U30" s="242">
        <v>8867</v>
      </c>
      <c r="V30" s="241">
        <f t="shared" si="7"/>
        <v>44.335000000000001</v>
      </c>
      <c r="W30" s="242">
        <v>4384.1400000000003</v>
      </c>
      <c r="X30" s="241">
        <f t="shared" si="8"/>
        <v>14.613800000000001</v>
      </c>
      <c r="Y30" s="242">
        <v>11237.29</v>
      </c>
      <c r="Z30" s="241">
        <f t="shared" si="9"/>
        <v>40.133178571428573</v>
      </c>
      <c r="AA30" s="242">
        <v>10838.13</v>
      </c>
      <c r="AB30" s="241">
        <f t="shared" si="10"/>
        <v>62.288103448275855</v>
      </c>
      <c r="AC30" s="242">
        <v>23896</v>
      </c>
      <c r="AD30" s="241">
        <f t="shared" si="11"/>
        <v>135.77272727272728</v>
      </c>
      <c r="AE30" s="242">
        <v>7493.49</v>
      </c>
      <c r="AF30" s="241">
        <f t="shared" si="12"/>
        <v>55.921567164179102</v>
      </c>
      <c r="AG30" s="242">
        <v>4821</v>
      </c>
      <c r="AH30" s="241">
        <f t="shared" si="13"/>
        <v>20.171548117154813</v>
      </c>
      <c r="AI30" s="242">
        <v>8805</v>
      </c>
      <c r="AJ30" s="241">
        <f t="shared" si="14"/>
        <v>47.594594594594597</v>
      </c>
      <c r="AK30" s="242"/>
      <c r="AL30" s="241" t="str">
        <f t="shared" si="15"/>
        <v xml:space="preserve"> </v>
      </c>
      <c r="AM30" s="242"/>
      <c r="AN30" s="241" t="str">
        <f t="shared" si="16"/>
        <v xml:space="preserve"> </v>
      </c>
      <c r="AO30" s="242"/>
      <c r="AP30" s="241" t="str">
        <f t="shared" si="17"/>
        <v xml:space="preserve"> </v>
      </c>
      <c r="AQ30" s="242"/>
      <c r="AR30" s="241" t="str">
        <f t="shared" si="18"/>
        <v xml:space="preserve"> </v>
      </c>
      <c r="AS30" s="242"/>
      <c r="AT30" s="241" t="str">
        <f t="shared" si="19"/>
        <v xml:space="preserve"> </v>
      </c>
      <c r="AU30" s="242"/>
      <c r="AV30" s="241" t="str">
        <f t="shared" si="20"/>
        <v xml:space="preserve"> </v>
      </c>
      <c r="AW30" s="242"/>
      <c r="AX30" s="241" t="str">
        <f t="shared" si="21"/>
        <v xml:space="preserve"> </v>
      </c>
      <c r="AY30" s="242"/>
      <c r="AZ30" s="253" t="str">
        <f t="shared" si="22"/>
        <v xml:space="preserve"> </v>
      </c>
    </row>
    <row r="31" spans="2:52">
      <c r="B31" s="220" t="s">
        <v>1759</v>
      </c>
      <c r="C31" s="263">
        <f t="shared" si="26"/>
        <v>7106.6046666666662</v>
      </c>
      <c r="D31" s="261">
        <f t="shared" si="27"/>
        <v>38.527618192896256</v>
      </c>
      <c r="E31" s="242"/>
      <c r="F31" s="241" t="str">
        <f t="shared" si="25"/>
        <v xml:space="preserve"> </v>
      </c>
      <c r="G31" s="242">
        <v>12509</v>
      </c>
      <c r="H31" s="241">
        <f t="shared" si="0"/>
        <v>78.181250000000006</v>
      </c>
      <c r="I31" s="242">
        <v>775.07</v>
      </c>
      <c r="J31" s="241">
        <f t="shared" si="1"/>
        <v>5.0658169934640522</v>
      </c>
      <c r="K31" s="242">
        <v>18399</v>
      </c>
      <c r="L31" s="241">
        <f t="shared" si="2"/>
        <v>95.828125</v>
      </c>
      <c r="M31" s="242">
        <v>11615</v>
      </c>
      <c r="N31" s="241">
        <f t="shared" si="3"/>
        <v>63.125</v>
      </c>
      <c r="O31" s="242">
        <v>11575</v>
      </c>
      <c r="P31" s="241">
        <f t="shared" si="4"/>
        <v>72.34375</v>
      </c>
      <c r="Q31" s="242">
        <v>2709.88</v>
      </c>
      <c r="R31" s="241">
        <f t="shared" si="5"/>
        <v>12.545740740740742</v>
      </c>
      <c r="S31" s="242">
        <v>3995</v>
      </c>
      <c r="T31" s="241">
        <f t="shared" si="6"/>
        <v>13.316666666666666</v>
      </c>
      <c r="U31" s="242">
        <v>7700</v>
      </c>
      <c r="V31" s="241">
        <f t="shared" si="7"/>
        <v>38.5</v>
      </c>
      <c r="W31" s="242">
        <v>3884.06</v>
      </c>
      <c r="X31" s="241">
        <f t="shared" si="8"/>
        <v>12.946866666666667</v>
      </c>
      <c r="Y31" s="242">
        <v>2226.7199999999998</v>
      </c>
      <c r="Z31" s="241">
        <f t="shared" si="9"/>
        <v>7.952571428571428</v>
      </c>
      <c r="AA31" s="242">
        <v>3112.93</v>
      </c>
      <c r="AB31" s="241">
        <f t="shared" si="10"/>
        <v>17.890402298850574</v>
      </c>
      <c r="AC31" s="242">
        <v>16196</v>
      </c>
      <c r="AD31" s="241">
        <f t="shared" si="11"/>
        <v>92.022727272727266</v>
      </c>
      <c r="AE31" s="242">
        <v>3608.41</v>
      </c>
      <c r="AF31" s="241">
        <f t="shared" si="12"/>
        <v>26.928432835820896</v>
      </c>
      <c r="AG31" s="242">
        <v>2915</v>
      </c>
      <c r="AH31" s="241">
        <f t="shared" si="13"/>
        <v>12.196652719665272</v>
      </c>
      <c r="AI31" s="242">
        <v>5378</v>
      </c>
      <c r="AJ31" s="241">
        <f t="shared" si="14"/>
        <v>29.070270270270271</v>
      </c>
      <c r="AK31" s="242"/>
      <c r="AL31" s="241" t="str">
        <f t="shared" si="15"/>
        <v xml:space="preserve"> </v>
      </c>
      <c r="AM31" s="242"/>
      <c r="AN31" s="241" t="str">
        <f t="shared" si="16"/>
        <v xml:space="preserve"> </v>
      </c>
      <c r="AO31" s="242"/>
      <c r="AP31" s="241" t="str">
        <f t="shared" si="17"/>
        <v xml:space="preserve"> </v>
      </c>
      <c r="AQ31" s="242"/>
      <c r="AR31" s="241" t="str">
        <f t="shared" si="18"/>
        <v xml:space="preserve"> </v>
      </c>
      <c r="AS31" s="242"/>
      <c r="AT31" s="241" t="str">
        <f t="shared" si="19"/>
        <v xml:space="preserve"> </v>
      </c>
      <c r="AU31" s="242"/>
      <c r="AV31" s="241" t="str">
        <f t="shared" si="20"/>
        <v xml:space="preserve"> </v>
      </c>
      <c r="AW31" s="242"/>
      <c r="AX31" s="241" t="str">
        <f t="shared" si="21"/>
        <v xml:space="preserve"> </v>
      </c>
      <c r="AY31" s="242"/>
      <c r="AZ31" s="253" t="str">
        <f t="shared" si="22"/>
        <v xml:space="preserve"> </v>
      </c>
    </row>
    <row r="32" spans="2:52">
      <c r="B32" s="220" t="s">
        <v>1760</v>
      </c>
      <c r="C32" s="263">
        <f t="shared" si="26"/>
        <v>32998.938666666661</v>
      </c>
      <c r="D32" s="261">
        <f t="shared" si="27"/>
        <v>156.5393346197142</v>
      </c>
      <c r="E32" s="242">
        <v>25826</v>
      </c>
      <c r="F32" s="241">
        <f t="shared" si="25"/>
        <v>181.87323943661971</v>
      </c>
      <c r="G32" s="242">
        <v>18289</v>
      </c>
      <c r="H32" s="241">
        <f t="shared" si="0"/>
        <v>114.30625000000001</v>
      </c>
      <c r="I32" s="242">
        <v>6560.66</v>
      </c>
      <c r="J32" s="241">
        <f t="shared" si="1"/>
        <v>42.880130718954248</v>
      </c>
      <c r="K32" s="242"/>
      <c r="L32" s="241" t="str">
        <f t="shared" si="2"/>
        <v xml:space="preserve"> </v>
      </c>
      <c r="M32" s="242">
        <v>3815</v>
      </c>
      <c r="N32" s="241">
        <f t="shared" si="3"/>
        <v>20.733695652173914</v>
      </c>
      <c r="O32" s="242">
        <v>16470</v>
      </c>
      <c r="P32" s="241">
        <f t="shared" si="4"/>
        <v>102.9375</v>
      </c>
      <c r="Q32" s="242">
        <v>34142.49</v>
      </c>
      <c r="R32" s="241">
        <f t="shared" si="5"/>
        <v>158.06708333333333</v>
      </c>
      <c r="S32" s="242">
        <v>50037</v>
      </c>
      <c r="T32" s="241">
        <f t="shared" si="6"/>
        <v>166.79</v>
      </c>
      <c r="U32" s="242">
        <v>2460</v>
      </c>
      <c r="V32" s="241">
        <f t="shared" si="7"/>
        <v>12.3</v>
      </c>
      <c r="W32" s="242">
        <v>121803.83</v>
      </c>
      <c r="X32" s="241">
        <f t="shared" si="8"/>
        <v>406.01276666666666</v>
      </c>
      <c r="Y32" s="242">
        <v>4998.12</v>
      </c>
      <c r="Z32" s="241">
        <f t="shared" si="9"/>
        <v>17.850428571428569</v>
      </c>
      <c r="AA32" s="242">
        <v>17376.68</v>
      </c>
      <c r="AB32" s="241">
        <f t="shared" si="10"/>
        <v>99.865977011494252</v>
      </c>
      <c r="AC32" s="242">
        <v>114902</v>
      </c>
      <c r="AD32" s="241">
        <f t="shared" si="11"/>
        <v>652.85227272727275</v>
      </c>
      <c r="AE32" s="242">
        <v>10930.3</v>
      </c>
      <c r="AF32" s="241">
        <f t="shared" si="12"/>
        <v>81.569402985074618</v>
      </c>
      <c r="AG32" s="242">
        <v>60695</v>
      </c>
      <c r="AH32" s="241">
        <f t="shared" si="13"/>
        <v>253.95397489539749</v>
      </c>
      <c r="AI32" s="242">
        <v>6678</v>
      </c>
      <c r="AJ32" s="241">
        <f t="shared" si="14"/>
        <v>36.097297297297295</v>
      </c>
      <c r="AK32" s="242"/>
      <c r="AL32" s="241" t="str">
        <f t="shared" si="15"/>
        <v xml:space="preserve"> </v>
      </c>
      <c r="AM32" s="242"/>
      <c r="AN32" s="241" t="str">
        <f t="shared" si="16"/>
        <v xml:space="preserve"> </v>
      </c>
      <c r="AO32" s="242"/>
      <c r="AP32" s="241" t="str">
        <f t="shared" si="17"/>
        <v xml:space="preserve"> </v>
      </c>
      <c r="AQ32" s="242"/>
      <c r="AR32" s="241" t="str">
        <f t="shared" si="18"/>
        <v xml:space="preserve"> </v>
      </c>
      <c r="AS32" s="242"/>
      <c r="AT32" s="241" t="str">
        <f t="shared" si="19"/>
        <v xml:space="preserve"> </v>
      </c>
      <c r="AU32" s="242"/>
      <c r="AV32" s="241" t="str">
        <f t="shared" si="20"/>
        <v xml:space="preserve"> </v>
      </c>
      <c r="AW32" s="242"/>
      <c r="AX32" s="241" t="str">
        <f t="shared" si="21"/>
        <v xml:space="preserve"> </v>
      </c>
      <c r="AY32" s="242"/>
      <c r="AZ32" s="253" t="str">
        <f t="shared" si="22"/>
        <v xml:space="preserve"> </v>
      </c>
    </row>
    <row r="33" spans="2:52" ht="14.45" thickBot="1">
      <c r="B33" s="231" t="s">
        <v>1761</v>
      </c>
      <c r="C33" s="264">
        <f t="shared" si="26"/>
        <v>32713.056666666667</v>
      </c>
      <c r="D33" s="262">
        <f t="shared" si="27"/>
        <v>157.43857329909642</v>
      </c>
      <c r="E33" s="244">
        <v>2649</v>
      </c>
      <c r="F33" s="248">
        <f t="shared" si="25"/>
        <v>18.654929577464788</v>
      </c>
      <c r="G33" s="244"/>
      <c r="H33" s="248" t="str">
        <f t="shared" si="0"/>
        <v xml:space="preserve"> </v>
      </c>
      <c r="I33" s="244"/>
      <c r="J33" s="248" t="str">
        <f t="shared" si="1"/>
        <v xml:space="preserve"> </v>
      </c>
      <c r="K33" s="244">
        <v>100590</v>
      </c>
      <c r="L33" s="248">
        <f t="shared" si="2"/>
        <v>523.90625</v>
      </c>
      <c r="M33" s="244"/>
      <c r="N33" s="248" t="str">
        <f t="shared" si="3"/>
        <v xml:space="preserve"> </v>
      </c>
      <c r="O33" s="244">
        <v>6579</v>
      </c>
      <c r="P33" s="248">
        <f t="shared" si="4"/>
        <v>41.118749999999999</v>
      </c>
      <c r="Q33" s="244">
        <v>46012.1</v>
      </c>
      <c r="R33" s="248">
        <f t="shared" si="5"/>
        <v>213.01898148148146</v>
      </c>
      <c r="S33" s="244">
        <v>35019</v>
      </c>
      <c r="T33" s="248">
        <f t="shared" si="6"/>
        <v>116.73</v>
      </c>
      <c r="U33" s="244"/>
      <c r="V33" s="248" t="str">
        <f t="shared" si="7"/>
        <v xml:space="preserve"> </v>
      </c>
      <c r="W33" s="244"/>
      <c r="X33" s="248" t="str">
        <f t="shared" si="8"/>
        <v xml:space="preserve"> </v>
      </c>
      <c r="Y33" s="244"/>
      <c r="Z33" s="248" t="str">
        <f t="shared" si="9"/>
        <v xml:space="preserve"> </v>
      </c>
      <c r="AA33" s="244">
        <v>5429.24</v>
      </c>
      <c r="AB33" s="248">
        <f t="shared" si="10"/>
        <v>31.202528735632182</v>
      </c>
      <c r="AC33" s="244"/>
      <c r="AD33" s="248" t="str">
        <f t="shared" si="11"/>
        <v xml:space="preserve"> </v>
      </c>
      <c r="AE33" s="244"/>
      <c r="AF33" s="248" t="str">
        <f t="shared" si="12"/>
        <v xml:space="preserve"> </v>
      </c>
      <c r="AG33" s="244"/>
      <c r="AH33" s="248" t="str">
        <f t="shared" si="13"/>
        <v xml:space="preserve"> </v>
      </c>
      <c r="AI33" s="244"/>
      <c r="AJ33" s="248" t="str">
        <f t="shared" si="14"/>
        <v xml:space="preserve"> </v>
      </c>
      <c r="AK33" s="244"/>
      <c r="AL33" s="248" t="str">
        <f t="shared" si="15"/>
        <v xml:space="preserve"> </v>
      </c>
      <c r="AM33" s="244"/>
      <c r="AN33" s="248" t="str">
        <f t="shared" si="16"/>
        <v xml:space="preserve"> </v>
      </c>
      <c r="AO33" s="244"/>
      <c r="AP33" s="248" t="str">
        <f t="shared" si="17"/>
        <v xml:space="preserve"> </v>
      </c>
      <c r="AQ33" s="244"/>
      <c r="AR33" s="248" t="str">
        <f t="shared" si="18"/>
        <v xml:space="preserve"> </v>
      </c>
      <c r="AS33" s="244"/>
      <c r="AT33" s="248" t="str">
        <f t="shared" si="19"/>
        <v xml:space="preserve"> </v>
      </c>
      <c r="AU33" s="244"/>
      <c r="AV33" s="248" t="str">
        <f t="shared" si="20"/>
        <v xml:space="preserve"> </v>
      </c>
      <c r="AW33" s="244"/>
      <c r="AX33" s="248" t="str">
        <f t="shared" si="21"/>
        <v xml:space="preserve"> </v>
      </c>
      <c r="AY33" s="244"/>
      <c r="AZ33" s="254" t="str">
        <f t="shared" si="22"/>
        <v xml:space="preserve"> </v>
      </c>
    </row>
    <row r="34" spans="2:52" ht="14.45" thickTop="1">
      <c r="B34" s="230" t="s">
        <v>1762</v>
      </c>
      <c r="C34" s="263">
        <f t="shared" si="26"/>
        <v>133126.888125</v>
      </c>
      <c r="D34" s="261">
        <f t="shared" si="27"/>
        <v>664.22760686979075</v>
      </c>
      <c r="E34" s="242">
        <f>IFERROR(IF(SUM(E25:E33)&gt;0,SUM(E25:E33)," ")," ")</f>
        <v>73282</v>
      </c>
      <c r="F34" s="241">
        <f t="shared" si="25"/>
        <v>516.07042253521126</v>
      </c>
      <c r="G34" s="242">
        <f>IFERROR(IF(SUM(G25:G33)&gt;0,SUM(G25:G33)," ")," ")</f>
        <v>88069</v>
      </c>
      <c r="H34" s="241">
        <f t="shared" si="0"/>
        <v>550.43124999999998</v>
      </c>
      <c r="I34" s="242">
        <f>IFERROR(IF(SUM(I25:I33)&gt;0,SUM(I25:I33)," ")," ")</f>
        <v>46591.260000000009</v>
      </c>
      <c r="J34" s="241">
        <f t="shared" si="1"/>
        <v>304.51803921568631</v>
      </c>
      <c r="K34" s="242">
        <f>IFERROR(IF(SUM(K25:K33)&gt;0,SUM(K25:K33)," ")," ")</f>
        <v>233135</v>
      </c>
      <c r="L34" s="241">
        <f t="shared" si="2"/>
        <v>1214.2447916666667</v>
      </c>
      <c r="M34" s="242">
        <f>IFERROR(IF(SUM(M25:M33)&gt;0,SUM(M25:M33)," ")," ")</f>
        <v>144223</v>
      </c>
      <c r="N34" s="241">
        <f t="shared" si="3"/>
        <v>783.820652173913</v>
      </c>
      <c r="O34" s="242">
        <f>IFERROR(IF(SUM(O25:O33)&gt;0,SUM(O25:O33)," ")," ")</f>
        <v>129377</v>
      </c>
      <c r="P34" s="241">
        <f t="shared" si="4"/>
        <v>808.60625000000005</v>
      </c>
      <c r="Q34" s="242">
        <f>IFERROR(IF(SUM(Q25:Q33)&gt;0,SUM(Q25:Q33)," ")," ")</f>
        <v>203896.06</v>
      </c>
      <c r="R34" s="241">
        <f t="shared" si="5"/>
        <v>943.96324074074073</v>
      </c>
      <c r="S34" s="242">
        <f>IFERROR(IF(SUM(S25:S33)&gt;0,SUM(S25:S33)," ")," ")</f>
        <v>140270</v>
      </c>
      <c r="T34" s="241">
        <f t="shared" si="6"/>
        <v>467.56666666666666</v>
      </c>
      <c r="U34" s="242">
        <f>IFERROR(IF(SUM(U25:U33)&gt;0,SUM(U25:U33)," ")," ")</f>
        <v>84655</v>
      </c>
      <c r="V34" s="241">
        <f t="shared" si="7"/>
        <v>423.27499999999998</v>
      </c>
      <c r="W34" s="242">
        <f>IFERROR(IF(SUM(W25:W33)&gt;0,SUM(W25:W33)," ")," ")</f>
        <v>244762.87</v>
      </c>
      <c r="X34" s="241">
        <f t="shared" si="8"/>
        <v>815.87623333333329</v>
      </c>
      <c r="Y34" s="242">
        <f>IFERROR(IF(SUM(Y25:Y33)&gt;0,SUM(Y25:Y33)," ")," ")</f>
        <v>162966.76</v>
      </c>
      <c r="Z34" s="241">
        <f t="shared" si="9"/>
        <v>582.02414285714292</v>
      </c>
      <c r="AA34" s="242">
        <f>IFERROR(IF(SUM(AA25:AA33)&gt;0,SUM(AA25:AA33)," ")," ")</f>
        <v>60457.43</v>
      </c>
      <c r="AB34" s="241">
        <f t="shared" si="10"/>
        <v>347.45649425287354</v>
      </c>
      <c r="AC34" s="242">
        <f>IFERROR(IF(SUM(AC25:AC33)&gt;0,SUM(AC25:AC33)," ")," ")</f>
        <v>226616</v>
      </c>
      <c r="AD34" s="241">
        <f t="shared" si="11"/>
        <v>1287.590909090909</v>
      </c>
      <c r="AE34" s="242">
        <f>IFERROR(IF(SUM(AE25:AE33)&gt;0,SUM(AE25:AE33)," ")," ")</f>
        <v>61083.83</v>
      </c>
      <c r="AF34" s="241">
        <f t="shared" si="12"/>
        <v>455.8494776119403</v>
      </c>
      <c r="AG34" s="242">
        <f>IFERROR(IF(SUM(AG25:AG33)&gt;0,SUM(AG25:AG33)," ")," ")</f>
        <v>98568</v>
      </c>
      <c r="AH34" s="241">
        <f t="shared" si="13"/>
        <v>412.41841004184101</v>
      </c>
      <c r="AI34" s="242">
        <f>IFERROR(IF(SUM(AI25:AI33)&gt;0,SUM(AI25:AI33)," ")," ")</f>
        <v>132077</v>
      </c>
      <c r="AJ34" s="241">
        <f t="shared" si="14"/>
        <v>713.92972972972973</v>
      </c>
      <c r="AK34" s="242" t="str">
        <f>IFERROR(IF(SUM(AK25:AK33)&gt;0,SUM(AK25:AK33)," ")," ")</f>
        <v xml:space="preserve"> </v>
      </c>
      <c r="AL34" s="241" t="str">
        <f t="shared" si="15"/>
        <v xml:space="preserve"> </v>
      </c>
      <c r="AM34" s="242" t="str">
        <f>IFERROR(IF(SUM(AM25:AM33)&gt;0,SUM(AM25:AM33)," ")," ")</f>
        <v xml:space="preserve"> </v>
      </c>
      <c r="AN34" s="241" t="str">
        <f t="shared" si="16"/>
        <v xml:space="preserve"> </v>
      </c>
      <c r="AO34" s="242" t="str">
        <f>IFERROR(IF(SUM(AO25:AO33)&gt;0,SUM(AO25:AO33)," ")," ")</f>
        <v xml:space="preserve"> </v>
      </c>
      <c r="AP34" s="241" t="str">
        <f t="shared" si="17"/>
        <v xml:space="preserve"> </v>
      </c>
      <c r="AQ34" s="242" t="str">
        <f>IFERROR(IF(SUM(AQ25:AQ33)&gt;0,SUM(AQ25:AQ33)," ")," ")</f>
        <v xml:space="preserve"> </v>
      </c>
      <c r="AR34" s="241" t="str">
        <f t="shared" si="18"/>
        <v xml:space="preserve"> </v>
      </c>
      <c r="AS34" s="242" t="str">
        <f>IFERROR(IF(SUM(AS25:AS33)&gt;0,SUM(AS25:AS33)," ")," ")</f>
        <v xml:space="preserve"> </v>
      </c>
      <c r="AT34" s="241" t="str">
        <f t="shared" si="19"/>
        <v xml:space="preserve"> </v>
      </c>
      <c r="AU34" s="242" t="str">
        <f>IFERROR(IF(SUM(AU25:AU33)&gt;0,SUM(AU25:AU33)," ")," ")</f>
        <v xml:space="preserve"> </v>
      </c>
      <c r="AV34" s="241" t="str">
        <f t="shared" si="20"/>
        <v xml:space="preserve"> </v>
      </c>
      <c r="AW34" s="242" t="str">
        <f>IFERROR(IF(SUM(AW25:AW33)&gt;0,SUM(AW25:AW33)," ")," ")</f>
        <v xml:space="preserve"> </v>
      </c>
      <c r="AX34" s="241" t="str">
        <f t="shared" si="21"/>
        <v xml:space="preserve"> </v>
      </c>
      <c r="AY34" s="242" t="str">
        <f>IFERROR(IF(SUM(AY25:AY33)&gt;0,SUM(AY25:AY33)," ")," ")</f>
        <v xml:space="preserve"> </v>
      </c>
      <c r="AZ34" s="253" t="str">
        <f t="shared" si="22"/>
        <v xml:space="preserve"> </v>
      </c>
    </row>
    <row r="35" spans="2:52" ht="5.0999999999999996" customHeight="1">
      <c r="B35" s="220"/>
      <c r="C35" s="235"/>
      <c r="D35" s="236"/>
      <c r="E35" s="242"/>
      <c r="F35" s="241" t="str">
        <f t="shared" si="25"/>
        <v xml:space="preserve"> </v>
      </c>
      <c r="G35" s="242"/>
      <c r="H35" s="241" t="str">
        <f t="shared" si="0"/>
        <v xml:space="preserve"> </v>
      </c>
      <c r="I35" s="242"/>
      <c r="J35" s="241" t="str">
        <f t="shared" si="1"/>
        <v xml:space="preserve"> </v>
      </c>
      <c r="K35" s="242"/>
      <c r="L35" s="241" t="str">
        <f t="shared" si="2"/>
        <v xml:space="preserve"> </v>
      </c>
      <c r="M35" s="242"/>
      <c r="N35" s="241" t="str">
        <f t="shared" si="3"/>
        <v xml:space="preserve"> </v>
      </c>
      <c r="O35" s="242"/>
      <c r="P35" s="241" t="str">
        <f t="shared" si="4"/>
        <v xml:space="preserve"> </v>
      </c>
      <c r="Q35" s="242"/>
      <c r="R35" s="241" t="str">
        <f t="shared" si="5"/>
        <v xml:space="preserve"> </v>
      </c>
      <c r="S35" s="242"/>
      <c r="T35" s="241" t="str">
        <f t="shared" si="6"/>
        <v xml:space="preserve"> </v>
      </c>
      <c r="U35" s="242"/>
      <c r="V35" s="241" t="str">
        <f t="shared" si="7"/>
        <v xml:space="preserve"> </v>
      </c>
      <c r="W35" s="242"/>
      <c r="X35" s="241" t="str">
        <f t="shared" si="8"/>
        <v xml:space="preserve"> </v>
      </c>
      <c r="Y35" s="242"/>
      <c r="Z35" s="241" t="str">
        <f t="shared" si="9"/>
        <v xml:space="preserve"> </v>
      </c>
      <c r="AA35" s="242"/>
      <c r="AB35" s="241" t="str">
        <f t="shared" si="10"/>
        <v xml:space="preserve"> </v>
      </c>
      <c r="AC35" s="242"/>
      <c r="AD35" s="241" t="str">
        <f t="shared" si="11"/>
        <v xml:space="preserve"> </v>
      </c>
      <c r="AE35" s="242"/>
      <c r="AF35" s="241" t="str">
        <f t="shared" si="12"/>
        <v xml:space="preserve"> </v>
      </c>
      <c r="AG35" s="242"/>
      <c r="AH35" s="241" t="str">
        <f t="shared" si="13"/>
        <v xml:space="preserve"> </v>
      </c>
      <c r="AI35" s="242"/>
      <c r="AJ35" s="241" t="str">
        <f t="shared" si="14"/>
        <v xml:space="preserve"> </v>
      </c>
      <c r="AK35" s="242"/>
      <c r="AL35" s="241" t="str">
        <f t="shared" si="15"/>
        <v xml:space="preserve"> </v>
      </c>
      <c r="AM35" s="242"/>
      <c r="AN35" s="241" t="str">
        <f t="shared" si="16"/>
        <v xml:space="preserve"> </v>
      </c>
      <c r="AO35" s="242"/>
      <c r="AP35" s="241" t="str">
        <f t="shared" si="17"/>
        <v xml:space="preserve"> </v>
      </c>
      <c r="AQ35" s="242"/>
      <c r="AR35" s="241" t="str">
        <f t="shared" si="18"/>
        <v xml:space="preserve"> </v>
      </c>
      <c r="AS35" s="242"/>
      <c r="AT35" s="241" t="str">
        <f t="shared" si="19"/>
        <v xml:space="preserve"> </v>
      </c>
      <c r="AU35" s="242"/>
      <c r="AV35" s="241" t="str">
        <f t="shared" si="20"/>
        <v xml:space="preserve"> </v>
      </c>
      <c r="AW35" s="242"/>
      <c r="AX35" s="241" t="str">
        <f t="shared" si="21"/>
        <v xml:space="preserve"> </v>
      </c>
      <c r="AY35" s="242"/>
      <c r="AZ35" s="253" t="str">
        <f t="shared" si="22"/>
        <v xml:space="preserve"> </v>
      </c>
    </row>
    <row r="36" spans="2:52">
      <c r="B36" s="230" t="s">
        <v>1763</v>
      </c>
      <c r="C36" s="235"/>
      <c r="D36" s="236"/>
      <c r="E36" s="242"/>
      <c r="F36" s="241" t="str">
        <f t="shared" si="25"/>
        <v xml:space="preserve"> </v>
      </c>
      <c r="G36" s="242"/>
      <c r="H36" s="241" t="str">
        <f t="shared" si="0"/>
        <v xml:space="preserve"> </v>
      </c>
      <c r="I36" s="242"/>
      <c r="J36" s="241" t="str">
        <f t="shared" si="1"/>
        <v xml:space="preserve"> </v>
      </c>
      <c r="K36" s="242"/>
      <c r="L36" s="241" t="str">
        <f t="shared" si="2"/>
        <v xml:space="preserve"> </v>
      </c>
      <c r="M36" s="242"/>
      <c r="N36" s="241" t="str">
        <f t="shared" si="3"/>
        <v xml:space="preserve"> </v>
      </c>
      <c r="O36" s="242"/>
      <c r="P36" s="241" t="str">
        <f t="shared" si="4"/>
        <v xml:space="preserve"> </v>
      </c>
      <c r="Q36" s="242"/>
      <c r="R36" s="241" t="str">
        <f t="shared" si="5"/>
        <v xml:space="preserve"> </v>
      </c>
      <c r="S36" s="242"/>
      <c r="T36" s="241" t="str">
        <f t="shared" si="6"/>
        <v xml:space="preserve"> </v>
      </c>
      <c r="U36" s="242"/>
      <c r="V36" s="241" t="str">
        <f t="shared" si="7"/>
        <v xml:space="preserve"> </v>
      </c>
      <c r="W36" s="242"/>
      <c r="X36" s="241" t="str">
        <f t="shared" si="8"/>
        <v xml:space="preserve"> </v>
      </c>
      <c r="Y36" s="242"/>
      <c r="Z36" s="241" t="str">
        <f t="shared" si="9"/>
        <v xml:space="preserve"> </v>
      </c>
      <c r="AA36" s="242"/>
      <c r="AB36" s="241" t="str">
        <f t="shared" si="10"/>
        <v xml:space="preserve"> </v>
      </c>
      <c r="AC36" s="242"/>
      <c r="AD36" s="241" t="str">
        <f t="shared" si="11"/>
        <v xml:space="preserve"> </v>
      </c>
      <c r="AE36" s="242"/>
      <c r="AF36" s="241" t="str">
        <f t="shared" si="12"/>
        <v xml:space="preserve"> </v>
      </c>
      <c r="AG36" s="242"/>
      <c r="AH36" s="241" t="str">
        <f t="shared" si="13"/>
        <v xml:space="preserve"> </v>
      </c>
      <c r="AI36" s="242"/>
      <c r="AJ36" s="241" t="str">
        <f t="shared" si="14"/>
        <v xml:space="preserve"> </v>
      </c>
      <c r="AK36" s="242"/>
      <c r="AL36" s="241" t="str">
        <f t="shared" si="15"/>
        <v xml:space="preserve"> </v>
      </c>
      <c r="AM36" s="242"/>
      <c r="AN36" s="241" t="str">
        <f t="shared" si="16"/>
        <v xml:space="preserve"> </v>
      </c>
      <c r="AO36" s="242"/>
      <c r="AP36" s="241" t="str">
        <f t="shared" si="17"/>
        <v xml:space="preserve"> </v>
      </c>
      <c r="AQ36" s="242"/>
      <c r="AR36" s="241" t="str">
        <f t="shared" si="18"/>
        <v xml:space="preserve"> </v>
      </c>
      <c r="AS36" s="242"/>
      <c r="AT36" s="241" t="str">
        <f t="shared" si="19"/>
        <v xml:space="preserve"> </v>
      </c>
      <c r="AU36" s="242"/>
      <c r="AV36" s="241" t="str">
        <f t="shared" si="20"/>
        <v xml:space="preserve"> </v>
      </c>
      <c r="AW36" s="242"/>
      <c r="AX36" s="241" t="str">
        <f t="shared" si="21"/>
        <v xml:space="preserve"> </v>
      </c>
      <c r="AY36" s="242"/>
      <c r="AZ36" s="253" t="str">
        <f t="shared" si="22"/>
        <v xml:space="preserve"> </v>
      </c>
    </row>
    <row r="37" spans="2:52" ht="14.45" thickBot="1">
      <c r="B37" s="231" t="s">
        <v>1763</v>
      </c>
      <c r="C37" s="264">
        <f>IFERROR(AVERAGE(E37,G37,I37,K37,M37,O37,Q37,S37,U37,W37,Y37,AA37,AC37,AE37,AG37,AI37,AK37,AM37,AO37,AQ37,AS37,AU37,AW37,AY37),0)</f>
        <v>97881.126250000001</v>
      </c>
      <c r="D37" s="262">
        <f>IFERROR(AVERAGE(F37,H37,J37,L37,N37,P37,R37,T37,V37,X37,Z37,AB37,AD37,AF37,AH37,AJ37,AL37,AN37,AP37,AR37,AT37,AV37,AX37,AZ37),0)</f>
        <v>516.24567530188972</v>
      </c>
      <c r="E37" s="244">
        <v>140112</v>
      </c>
      <c r="F37" s="248">
        <f t="shared" si="25"/>
        <v>986.70422535211264</v>
      </c>
      <c r="G37" s="244">
        <v>70273</v>
      </c>
      <c r="H37" s="248">
        <f t="shared" si="0"/>
        <v>439.20625000000001</v>
      </c>
      <c r="I37" s="244">
        <v>80178.289999999994</v>
      </c>
      <c r="J37" s="248">
        <f t="shared" si="1"/>
        <v>524.04111111111104</v>
      </c>
      <c r="K37" s="244">
        <v>115027</v>
      </c>
      <c r="L37" s="248">
        <f t="shared" si="2"/>
        <v>599.09895833333337</v>
      </c>
      <c r="M37" s="244">
        <v>90627</v>
      </c>
      <c r="N37" s="248">
        <f t="shared" si="3"/>
        <v>492.53804347826087</v>
      </c>
      <c r="O37" s="244">
        <v>111998</v>
      </c>
      <c r="P37" s="248">
        <f t="shared" si="4"/>
        <v>699.98749999999995</v>
      </c>
      <c r="Q37" s="244">
        <v>81223.41</v>
      </c>
      <c r="R37" s="248">
        <f t="shared" si="5"/>
        <v>376.03430555555559</v>
      </c>
      <c r="S37" s="244">
        <v>33000</v>
      </c>
      <c r="T37" s="248">
        <f t="shared" si="6"/>
        <v>110</v>
      </c>
      <c r="U37" s="244">
        <v>107920</v>
      </c>
      <c r="V37" s="248">
        <f t="shared" si="7"/>
        <v>539.6</v>
      </c>
      <c r="W37" s="244">
        <v>158760.45000000001</v>
      </c>
      <c r="X37" s="248">
        <f t="shared" si="8"/>
        <v>529.20150000000001</v>
      </c>
      <c r="Y37" s="244">
        <v>125610.89</v>
      </c>
      <c r="Z37" s="248">
        <f t="shared" si="9"/>
        <v>448.61032142857141</v>
      </c>
      <c r="AA37" s="244">
        <v>74873.47</v>
      </c>
      <c r="AB37" s="248">
        <f t="shared" si="10"/>
        <v>430.30729885057474</v>
      </c>
      <c r="AC37" s="244">
        <v>129107</v>
      </c>
      <c r="AD37" s="248">
        <f t="shared" si="11"/>
        <v>733.5625</v>
      </c>
      <c r="AE37" s="244">
        <v>67942.509999999995</v>
      </c>
      <c r="AF37" s="248">
        <f t="shared" si="12"/>
        <v>507.03365671641785</v>
      </c>
      <c r="AG37" s="244">
        <v>103142</v>
      </c>
      <c r="AH37" s="248">
        <f t="shared" si="13"/>
        <v>431.55648535564853</v>
      </c>
      <c r="AI37" s="244">
        <v>76303</v>
      </c>
      <c r="AJ37" s="248">
        <f t="shared" si="14"/>
        <v>412.44864864864866</v>
      </c>
      <c r="AK37" s="244"/>
      <c r="AL37" s="248" t="str">
        <f t="shared" si="15"/>
        <v xml:space="preserve"> </v>
      </c>
      <c r="AM37" s="244"/>
      <c r="AN37" s="248" t="str">
        <f t="shared" si="16"/>
        <v xml:space="preserve"> </v>
      </c>
      <c r="AO37" s="244"/>
      <c r="AP37" s="248" t="str">
        <f t="shared" si="17"/>
        <v xml:space="preserve"> </v>
      </c>
      <c r="AQ37" s="244"/>
      <c r="AR37" s="248" t="str">
        <f t="shared" si="18"/>
        <v xml:space="preserve"> </v>
      </c>
      <c r="AS37" s="244"/>
      <c r="AT37" s="248" t="str">
        <f t="shared" si="19"/>
        <v xml:space="preserve"> </v>
      </c>
      <c r="AU37" s="244"/>
      <c r="AV37" s="248" t="str">
        <f t="shared" si="20"/>
        <v xml:space="preserve"> </v>
      </c>
      <c r="AW37" s="244"/>
      <c r="AX37" s="248" t="str">
        <f t="shared" si="21"/>
        <v xml:space="preserve"> </v>
      </c>
      <c r="AY37" s="244"/>
      <c r="AZ37" s="254" t="str">
        <f t="shared" si="22"/>
        <v xml:space="preserve"> </v>
      </c>
    </row>
    <row r="38" spans="2:52" ht="14.45" thickTop="1">
      <c r="B38" s="230" t="s">
        <v>1764</v>
      </c>
      <c r="C38" s="263">
        <f>IFERROR(AVERAGE(E38,G38,I38,K38,M38,O38,Q38,S38,U38,W38,Y38,AA38,AC38,AE38,AG38,AI38,AK38,AM38,AO38,AQ38,AS38,AU38,AW38,AY38),0)</f>
        <v>97881.126250000001</v>
      </c>
      <c r="D38" s="261">
        <f>IFERROR(AVERAGE(F38,H38,J38,L38,N38,P38,R38,T38,V38,X38,Z38,AB38,AD38,AF38,AH38,AJ38,AL38,AN38,AP38,AR38,AT38,AV38,AX38,AZ38),0)</f>
        <v>516.24567530188972</v>
      </c>
      <c r="E38" s="242">
        <f>IFERROR(IF(E37&gt;0,E37," ")," ")</f>
        <v>140112</v>
      </c>
      <c r="F38" s="241">
        <f t="shared" si="25"/>
        <v>986.70422535211264</v>
      </c>
      <c r="G38" s="242">
        <f>IFERROR(IF(G37&gt;0,G37," ")," ")</f>
        <v>70273</v>
      </c>
      <c r="H38" s="241">
        <f t="shared" si="0"/>
        <v>439.20625000000001</v>
      </c>
      <c r="I38" s="242">
        <f>IFERROR(IF(I37&gt;0,I37," ")," ")</f>
        <v>80178.289999999994</v>
      </c>
      <c r="J38" s="241">
        <f t="shared" si="1"/>
        <v>524.04111111111104</v>
      </c>
      <c r="K38" s="242">
        <f>IFERROR(IF(K37&gt;0,K37," ")," ")</f>
        <v>115027</v>
      </c>
      <c r="L38" s="241">
        <f t="shared" si="2"/>
        <v>599.09895833333337</v>
      </c>
      <c r="M38" s="242">
        <f>IFERROR(IF(M37&gt;0,M37," ")," ")</f>
        <v>90627</v>
      </c>
      <c r="N38" s="241">
        <f t="shared" si="3"/>
        <v>492.53804347826087</v>
      </c>
      <c r="O38" s="242">
        <f>IFERROR(IF(O37&gt;0,O37," ")," ")</f>
        <v>111998</v>
      </c>
      <c r="P38" s="241">
        <f t="shared" si="4"/>
        <v>699.98749999999995</v>
      </c>
      <c r="Q38" s="242">
        <f>IFERROR(IF(Q37&gt;0,Q37," ")," ")</f>
        <v>81223.41</v>
      </c>
      <c r="R38" s="241">
        <f t="shared" si="5"/>
        <v>376.03430555555559</v>
      </c>
      <c r="S38" s="242">
        <f>IFERROR(IF(S37&gt;0,S37," ")," ")</f>
        <v>33000</v>
      </c>
      <c r="T38" s="241">
        <f t="shared" si="6"/>
        <v>110</v>
      </c>
      <c r="U38" s="242">
        <f>IFERROR(IF(U37&gt;0,U37," ")," ")</f>
        <v>107920</v>
      </c>
      <c r="V38" s="241">
        <f t="shared" si="7"/>
        <v>539.6</v>
      </c>
      <c r="W38" s="242">
        <f>IFERROR(IF(W37&gt;0,W37," ")," ")</f>
        <v>158760.45000000001</v>
      </c>
      <c r="X38" s="241">
        <f t="shared" si="8"/>
        <v>529.20150000000001</v>
      </c>
      <c r="Y38" s="242">
        <f>IFERROR(IF(Y37&gt;0,Y37," ")," ")</f>
        <v>125610.89</v>
      </c>
      <c r="Z38" s="241">
        <f t="shared" si="9"/>
        <v>448.61032142857141</v>
      </c>
      <c r="AA38" s="242">
        <f>IFERROR(IF(AA37&gt;0,AA37," ")," ")</f>
        <v>74873.47</v>
      </c>
      <c r="AB38" s="241">
        <f t="shared" si="10"/>
        <v>430.30729885057474</v>
      </c>
      <c r="AC38" s="242">
        <f>IFERROR(IF(AC37&gt;0,AC37," ")," ")</f>
        <v>129107</v>
      </c>
      <c r="AD38" s="241">
        <f t="shared" si="11"/>
        <v>733.5625</v>
      </c>
      <c r="AE38" s="242">
        <f>IFERROR(IF(AE37&gt;0,AE37," ")," ")</f>
        <v>67942.509999999995</v>
      </c>
      <c r="AF38" s="241">
        <f t="shared" si="12"/>
        <v>507.03365671641785</v>
      </c>
      <c r="AG38" s="242">
        <f>IFERROR(IF(AG37&gt;0,AG37," ")," ")</f>
        <v>103142</v>
      </c>
      <c r="AH38" s="241">
        <f t="shared" si="13"/>
        <v>431.55648535564853</v>
      </c>
      <c r="AI38" s="242">
        <f>IFERROR(IF(AI37&gt;0,AI37," ")," ")</f>
        <v>76303</v>
      </c>
      <c r="AJ38" s="241">
        <f t="shared" si="14"/>
        <v>412.44864864864866</v>
      </c>
      <c r="AK38" s="242" t="str">
        <f>IFERROR(IF(AK37&gt;0,AK37," ")," ")</f>
        <v xml:space="preserve"> </v>
      </c>
      <c r="AL38" s="241" t="str">
        <f t="shared" si="15"/>
        <v xml:space="preserve"> </v>
      </c>
      <c r="AM38" s="242" t="str">
        <f>IFERROR(IF(AM37&gt;0,AM37," ")," ")</f>
        <v xml:space="preserve"> </v>
      </c>
      <c r="AN38" s="241" t="str">
        <f t="shared" si="16"/>
        <v xml:space="preserve"> </v>
      </c>
      <c r="AO38" s="242" t="str">
        <f>IFERROR(IF(AO37&gt;0,AO37," ")," ")</f>
        <v xml:space="preserve"> </v>
      </c>
      <c r="AP38" s="241" t="str">
        <f t="shared" si="17"/>
        <v xml:space="preserve"> </v>
      </c>
      <c r="AQ38" s="242" t="str">
        <f>IFERROR(IF(AQ37&gt;0,AQ37," ")," ")</f>
        <v xml:space="preserve"> </v>
      </c>
      <c r="AR38" s="241" t="str">
        <f t="shared" si="18"/>
        <v xml:space="preserve"> </v>
      </c>
      <c r="AS38" s="242" t="str">
        <f>IFERROR(IF(AS37&gt;0,AS37," ")," ")</f>
        <v xml:space="preserve"> </v>
      </c>
      <c r="AT38" s="241" t="str">
        <f t="shared" si="19"/>
        <v xml:space="preserve"> </v>
      </c>
      <c r="AU38" s="242" t="str">
        <f>IFERROR(IF(AU37&gt;0,AU37," ")," ")</f>
        <v xml:space="preserve"> </v>
      </c>
      <c r="AV38" s="241" t="str">
        <f t="shared" si="20"/>
        <v xml:space="preserve"> </v>
      </c>
      <c r="AW38" s="242" t="str">
        <f>IFERROR(IF(AW37&gt;0,AW37," ")," ")</f>
        <v xml:space="preserve"> </v>
      </c>
      <c r="AX38" s="241" t="str">
        <f t="shared" si="21"/>
        <v xml:space="preserve"> </v>
      </c>
      <c r="AY38" s="242" t="str">
        <f>IFERROR(IF(AY37&gt;0,AY37," ")," ")</f>
        <v xml:space="preserve"> </v>
      </c>
      <c r="AZ38" s="253" t="str">
        <f t="shared" si="22"/>
        <v xml:space="preserve"> </v>
      </c>
    </row>
    <row r="39" spans="2:52" ht="5.0999999999999996" customHeight="1">
      <c r="B39" s="220"/>
      <c r="C39" s="235"/>
      <c r="D39" s="236"/>
      <c r="E39" s="242"/>
      <c r="F39" s="241" t="str">
        <f t="shared" si="25"/>
        <v xml:space="preserve"> </v>
      </c>
      <c r="G39" s="242"/>
      <c r="H39" s="241" t="str">
        <f t="shared" si="0"/>
        <v xml:space="preserve"> </v>
      </c>
      <c r="I39" s="242"/>
      <c r="J39" s="241" t="str">
        <f t="shared" si="1"/>
        <v xml:space="preserve"> </v>
      </c>
      <c r="K39" s="242"/>
      <c r="L39" s="241" t="str">
        <f t="shared" si="2"/>
        <v xml:space="preserve"> </v>
      </c>
      <c r="M39" s="242"/>
      <c r="N39" s="241" t="str">
        <f t="shared" si="3"/>
        <v xml:space="preserve"> </v>
      </c>
      <c r="O39" s="242"/>
      <c r="P39" s="241" t="str">
        <f t="shared" si="4"/>
        <v xml:space="preserve"> </v>
      </c>
      <c r="Q39" s="242"/>
      <c r="R39" s="241" t="str">
        <f t="shared" si="5"/>
        <v xml:space="preserve"> </v>
      </c>
      <c r="S39" s="242"/>
      <c r="T39" s="241" t="str">
        <f t="shared" si="6"/>
        <v xml:space="preserve"> </v>
      </c>
      <c r="U39" s="242"/>
      <c r="V39" s="241" t="str">
        <f t="shared" si="7"/>
        <v xml:space="preserve"> </v>
      </c>
      <c r="W39" s="242"/>
      <c r="X39" s="241" t="str">
        <f t="shared" si="8"/>
        <v xml:space="preserve"> </v>
      </c>
      <c r="Y39" s="242"/>
      <c r="Z39" s="241" t="str">
        <f t="shared" si="9"/>
        <v xml:space="preserve"> </v>
      </c>
      <c r="AA39" s="242"/>
      <c r="AB39" s="241" t="str">
        <f t="shared" si="10"/>
        <v xml:space="preserve"> </v>
      </c>
      <c r="AC39" s="242"/>
      <c r="AD39" s="241" t="str">
        <f t="shared" si="11"/>
        <v xml:space="preserve"> </v>
      </c>
      <c r="AE39" s="242"/>
      <c r="AF39" s="241" t="str">
        <f t="shared" si="12"/>
        <v xml:space="preserve"> </v>
      </c>
      <c r="AG39" s="242"/>
      <c r="AH39" s="241" t="str">
        <f t="shared" si="13"/>
        <v xml:space="preserve"> </v>
      </c>
      <c r="AI39" s="242"/>
      <c r="AJ39" s="241" t="str">
        <f t="shared" si="14"/>
        <v xml:space="preserve"> </v>
      </c>
      <c r="AK39" s="242"/>
      <c r="AL39" s="241" t="str">
        <f t="shared" si="15"/>
        <v xml:space="preserve"> </v>
      </c>
      <c r="AM39" s="242"/>
      <c r="AN39" s="241" t="str">
        <f t="shared" si="16"/>
        <v xml:space="preserve"> </v>
      </c>
      <c r="AO39" s="242"/>
      <c r="AP39" s="241" t="str">
        <f t="shared" si="17"/>
        <v xml:space="preserve"> </v>
      </c>
      <c r="AQ39" s="242"/>
      <c r="AR39" s="241" t="str">
        <f t="shared" si="18"/>
        <v xml:space="preserve"> </v>
      </c>
      <c r="AS39" s="242"/>
      <c r="AT39" s="241" t="str">
        <f t="shared" si="19"/>
        <v xml:space="preserve"> </v>
      </c>
      <c r="AU39" s="242"/>
      <c r="AV39" s="241" t="str">
        <f t="shared" si="20"/>
        <v xml:space="preserve"> </v>
      </c>
      <c r="AW39" s="242"/>
      <c r="AX39" s="241" t="str">
        <f t="shared" si="21"/>
        <v xml:space="preserve"> </v>
      </c>
      <c r="AY39" s="242"/>
      <c r="AZ39" s="253" t="str">
        <f t="shared" si="22"/>
        <v xml:space="preserve"> </v>
      </c>
    </row>
    <row r="40" spans="2:52">
      <c r="B40" s="230" t="s">
        <v>100</v>
      </c>
      <c r="C40" s="235"/>
      <c r="D40" s="236"/>
      <c r="E40" s="242"/>
      <c r="F40" s="241" t="str">
        <f t="shared" si="25"/>
        <v xml:space="preserve"> </v>
      </c>
      <c r="G40" s="242"/>
      <c r="H40" s="241" t="str">
        <f t="shared" si="0"/>
        <v xml:space="preserve"> </v>
      </c>
      <c r="I40" s="242"/>
      <c r="J40" s="241" t="str">
        <f t="shared" si="1"/>
        <v xml:space="preserve"> </v>
      </c>
      <c r="K40" s="242"/>
      <c r="L40" s="241" t="str">
        <f t="shared" si="2"/>
        <v xml:space="preserve"> </v>
      </c>
      <c r="M40" s="242"/>
      <c r="N40" s="241" t="str">
        <f t="shared" si="3"/>
        <v xml:space="preserve"> </v>
      </c>
      <c r="O40" s="242"/>
      <c r="P40" s="241" t="str">
        <f t="shared" si="4"/>
        <v xml:space="preserve"> </v>
      </c>
      <c r="Q40" s="242"/>
      <c r="R40" s="241" t="str">
        <f t="shared" si="5"/>
        <v xml:space="preserve"> </v>
      </c>
      <c r="S40" s="242"/>
      <c r="T40" s="241" t="str">
        <f t="shared" si="6"/>
        <v xml:space="preserve"> </v>
      </c>
      <c r="U40" s="242"/>
      <c r="V40" s="241" t="str">
        <f t="shared" si="7"/>
        <v xml:space="preserve"> </v>
      </c>
      <c r="W40" s="242"/>
      <c r="X40" s="241" t="str">
        <f t="shared" si="8"/>
        <v xml:space="preserve"> </v>
      </c>
      <c r="Y40" s="242"/>
      <c r="Z40" s="241" t="str">
        <f t="shared" si="9"/>
        <v xml:space="preserve"> </v>
      </c>
      <c r="AA40" s="242"/>
      <c r="AB40" s="241" t="str">
        <f t="shared" si="10"/>
        <v xml:space="preserve"> </v>
      </c>
      <c r="AC40" s="242"/>
      <c r="AD40" s="241" t="str">
        <f t="shared" si="11"/>
        <v xml:space="preserve"> </v>
      </c>
      <c r="AE40" s="242"/>
      <c r="AF40" s="241" t="str">
        <f t="shared" si="12"/>
        <v xml:space="preserve"> </v>
      </c>
      <c r="AG40" s="242"/>
      <c r="AH40" s="241" t="str">
        <f t="shared" si="13"/>
        <v xml:space="preserve"> </v>
      </c>
      <c r="AI40" s="242"/>
      <c r="AJ40" s="241" t="str">
        <f t="shared" si="14"/>
        <v xml:space="preserve"> </v>
      </c>
      <c r="AK40" s="242"/>
      <c r="AL40" s="241" t="str">
        <f t="shared" si="15"/>
        <v xml:space="preserve"> </v>
      </c>
      <c r="AM40" s="242"/>
      <c r="AN40" s="241" t="str">
        <f t="shared" si="16"/>
        <v xml:space="preserve"> </v>
      </c>
      <c r="AO40" s="242"/>
      <c r="AP40" s="241" t="str">
        <f t="shared" si="17"/>
        <v xml:space="preserve"> </v>
      </c>
      <c r="AQ40" s="242"/>
      <c r="AR40" s="241" t="str">
        <f t="shared" si="18"/>
        <v xml:space="preserve"> </v>
      </c>
      <c r="AS40" s="242"/>
      <c r="AT40" s="241" t="str">
        <f t="shared" si="19"/>
        <v xml:space="preserve"> </v>
      </c>
      <c r="AU40" s="242"/>
      <c r="AV40" s="241" t="str">
        <f t="shared" si="20"/>
        <v xml:space="preserve"> </v>
      </c>
      <c r="AW40" s="242"/>
      <c r="AX40" s="241" t="str">
        <f t="shared" si="21"/>
        <v xml:space="preserve"> </v>
      </c>
      <c r="AY40" s="242"/>
      <c r="AZ40" s="253" t="str">
        <f t="shared" si="22"/>
        <v xml:space="preserve"> </v>
      </c>
    </row>
    <row r="41" spans="2:52">
      <c r="B41" s="220" t="s">
        <v>1765</v>
      </c>
      <c r="C41" s="263">
        <f t="shared" ref="C41:D44" si="28">IFERROR(AVERAGE(E41,G41,I41,K41,M41,O41,Q41,S41,U41,W41,Y41,AA41,AC41,AE41,AG41,AI41,AK41,AM41,AO41,AQ41,AS41,AU41,AW41,AY41),0)</f>
        <v>151661.64624999999</v>
      </c>
      <c r="D41" s="261">
        <f t="shared" si="28"/>
        <v>795.28574724630505</v>
      </c>
      <c r="E41" s="242">
        <v>97388</v>
      </c>
      <c r="F41" s="241">
        <f t="shared" si="25"/>
        <v>685.83098591549299</v>
      </c>
      <c r="G41" s="242">
        <v>413860</v>
      </c>
      <c r="H41" s="241">
        <f t="shared" si="0"/>
        <v>2586.625</v>
      </c>
      <c r="I41" s="242">
        <v>131237.22</v>
      </c>
      <c r="J41" s="241">
        <f t="shared" si="1"/>
        <v>857.75960784313725</v>
      </c>
      <c r="K41" s="242">
        <v>221275</v>
      </c>
      <c r="L41" s="241">
        <f t="shared" si="2"/>
        <v>1152.4739583333333</v>
      </c>
      <c r="M41" s="242">
        <v>116182</v>
      </c>
      <c r="N41" s="241">
        <f t="shared" si="3"/>
        <v>631.42391304347825</v>
      </c>
      <c r="O41" s="242">
        <v>69877</v>
      </c>
      <c r="P41" s="241">
        <f t="shared" si="4"/>
        <v>436.73124999999999</v>
      </c>
      <c r="Q41" s="242">
        <v>160654.15</v>
      </c>
      <c r="R41" s="241">
        <f t="shared" si="5"/>
        <v>743.76921296296291</v>
      </c>
      <c r="S41" s="242">
        <v>98179</v>
      </c>
      <c r="T41" s="241">
        <f t="shared" si="6"/>
        <v>327.26333333333332</v>
      </c>
      <c r="U41" s="242">
        <v>86567</v>
      </c>
      <c r="V41" s="241">
        <f t="shared" si="7"/>
        <v>432.83499999999998</v>
      </c>
      <c r="W41" s="242">
        <v>267485.78000000003</v>
      </c>
      <c r="X41" s="241">
        <f t="shared" si="8"/>
        <v>891.6192666666667</v>
      </c>
      <c r="Y41" s="242">
        <v>160972.87</v>
      </c>
      <c r="Z41" s="241">
        <f t="shared" si="9"/>
        <v>574.90310714285715</v>
      </c>
      <c r="AA41" s="242">
        <v>137885.16</v>
      </c>
      <c r="AB41" s="241">
        <f t="shared" si="10"/>
        <v>792.44344827586212</v>
      </c>
      <c r="AC41" s="242">
        <v>97889</v>
      </c>
      <c r="AD41" s="241">
        <f t="shared" si="11"/>
        <v>556.1875</v>
      </c>
      <c r="AE41" s="242">
        <v>101104.16</v>
      </c>
      <c r="AF41" s="241">
        <f t="shared" si="12"/>
        <v>754.50865671641793</v>
      </c>
      <c r="AG41" s="242">
        <v>112832</v>
      </c>
      <c r="AH41" s="241">
        <f t="shared" si="13"/>
        <v>472.10041841004187</v>
      </c>
      <c r="AI41" s="242">
        <v>153198</v>
      </c>
      <c r="AJ41" s="241">
        <f t="shared" si="14"/>
        <v>828.09729729729725</v>
      </c>
      <c r="AK41" s="242"/>
      <c r="AL41" s="241" t="str">
        <f t="shared" si="15"/>
        <v xml:space="preserve"> </v>
      </c>
      <c r="AM41" s="242"/>
      <c r="AN41" s="241" t="str">
        <f t="shared" si="16"/>
        <v xml:space="preserve"> </v>
      </c>
      <c r="AO41" s="242"/>
      <c r="AP41" s="241" t="str">
        <f t="shared" si="17"/>
        <v xml:space="preserve"> </v>
      </c>
      <c r="AQ41" s="242"/>
      <c r="AR41" s="241" t="str">
        <f t="shared" si="18"/>
        <v xml:space="preserve"> </v>
      </c>
      <c r="AS41" s="242"/>
      <c r="AT41" s="241" t="str">
        <f t="shared" si="19"/>
        <v xml:space="preserve"> </v>
      </c>
      <c r="AU41" s="242"/>
      <c r="AV41" s="241" t="str">
        <f t="shared" si="20"/>
        <v xml:space="preserve"> </v>
      </c>
      <c r="AW41" s="242"/>
      <c r="AX41" s="241" t="str">
        <f t="shared" si="21"/>
        <v xml:space="preserve"> </v>
      </c>
      <c r="AY41" s="242"/>
      <c r="AZ41" s="253" t="str">
        <f t="shared" si="22"/>
        <v xml:space="preserve"> </v>
      </c>
    </row>
    <row r="42" spans="2:52">
      <c r="B42" s="220" t="s">
        <v>1766</v>
      </c>
      <c r="C42" s="263">
        <f t="shared" si="28"/>
        <v>96675.523125000007</v>
      </c>
      <c r="D42" s="261">
        <f t="shared" si="28"/>
        <v>527.73489605312375</v>
      </c>
      <c r="E42" s="242">
        <v>62838</v>
      </c>
      <c r="F42" s="241">
        <f t="shared" si="25"/>
        <v>442.52112676056339</v>
      </c>
      <c r="G42" s="242">
        <v>99589</v>
      </c>
      <c r="H42" s="241">
        <f t="shared" si="0"/>
        <v>622.43124999999998</v>
      </c>
      <c r="I42" s="242">
        <v>127859.38</v>
      </c>
      <c r="J42" s="241">
        <f t="shared" si="1"/>
        <v>835.68222222222221</v>
      </c>
      <c r="K42" s="242">
        <v>134560</v>
      </c>
      <c r="L42" s="241">
        <f t="shared" si="2"/>
        <v>700.83333333333337</v>
      </c>
      <c r="M42" s="242">
        <v>127767</v>
      </c>
      <c r="N42" s="241">
        <f t="shared" si="3"/>
        <v>694.38586956521738</v>
      </c>
      <c r="O42" s="242">
        <v>131039</v>
      </c>
      <c r="P42" s="241">
        <f t="shared" si="4"/>
        <v>818.99374999999998</v>
      </c>
      <c r="Q42" s="242">
        <v>73062.44</v>
      </c>
      <c r="R42" s="241">
        <f t="shared" si="5"/>
        <v>338.25203703703704</v>
      </c>
      <c r="S42" s="242">
        <v>23663</v>
      </c>
      <c r="T42" s="241">
        <f t="shared" si="6"/>
        <v>78.876666666666665</v>
      </c>
      <c r="U42" s="242">
        <v>125216</v>
      </c>
      <c r="V42" s="241">
        <f t="shared" si="7"/>
        <v>626.08000000000004</v>
      </c>
      <c r="W42" s="242">
        <v>91101.77</v>
      </c>
      <c r="X42" s="241">
        <f t="shared" si="8"/>
        <v>303.67256666666668</v>
      </c>
      <c r="Y42" s="242">
        <v>108147.46</v>
      </c>
      <c r="Z42" s="241">
        <f t="shared" si="9"/>
        <v>386.24092857142858</v>
      </c>
      <c r="AA42" s="242">
        <v>110041.3</v>
      </c>
      <c r="AB42" s="241">
        <f t="shared" si="10"/>
        <v>632.42126436781609</v>
      </c>
      <c r="AC42" s="242">
        <v>60421</v>
      </c>
      <c r="AD42" s="241">
        <f t="shared" si="11"/>
        <v>343.30113636363637</v>
      </c>
      <c r="AE42" s="242">
        <v>122857.02</v>
      </c>
      <c r="AF42" s="241">
        <f t="shared" si="12"/>
        <v>916.84343283582098</v>
      </c>
      <c r="AG42" s="242">
        <v>82100</v>
      </c>
      <c r="AH42" s="241">
        <f t="shared" si="13"/>
        <v>343.51464435146443</v>
      </c>
      <c r="AI42" s="242">
        <v>66546</v>
      </c>
      <c r="AJ42" s="241">
        <f t="shared" si="14"/>
        <v>359.70810810810809</v>
      </c>
      <c r="AK42" s="242"/>
      <c r="AL42" s="241" t="str">
        <f t="shared" si="15"/>
        <v xml:space="preserve"> </v>
      </c>
      <c r="AM42" s="242"/>
      <c r="AN42" s="241" t="str">
        <f t="shared" si="16"/>
        <v xml:space="preserve"> </v>
      </c>
      <c r="AO42" s="242"/>
      <c r="AP42" s="241" t="str">
        <f t="shared" si="17"/>
        <v xml:space="preserve"> </v>
      </c>
      <c r="AQ42" s="242"/>
      <c r="AR42" s="241" t="str">
        <f t="shared" si="18"/>
        <v xml:space="preserve"> </v>
      </c>
      <c r="AS42" s="242"/>
      <c r="AT42" s="241" t="str">
        <f t="shared" si="19"/>
        <v xml:space="preserve"> </v>
      </c>
      <c r="AU42" s="242"/>
      <c r="AV42" s="241" t="str">
        <f t="shared" si="20"/>
        <v xml:space="preserve"> </v>
      </c>
      <c r="AW42" s="242"/>
      <c r="AX42" s="241" t="str">
        <f t="shared" si="21"/>
        <v xml:space="preserve"> </v>
      </c>
      <c r="AY42" s="242"/>
      <c r="AZ42" s="253" t="str">
        <f t="shared" si="22"/>
        <v xml:space="preserve"> </v>
      </c>
    </row>
    <row r="43" spans="2:52" ht="14.45" thickBot="1">
      <c r="B43" s="231" t="s">
        <v>1767</v>
      </c>
      <c r="C43" s="264">
        <f t="shared" si="28"/>
        <v>81884.719375000001</v>
      </c>
      <c r="D43" s="262">
        <f t="shared" si="28"/>
        <v>380.51336324018024</v>
      </c>
      <c r="E43" s="244">
        <v>17090</v>
      </c>
      <c r="F43" s="248">
        <f t="shared" si="25"/>
        <v>120.35211267605634</v>
      </c>
      <c r="G43" s="244">
        <v>10551</v>
      </c>
      <c r="H43" s="248">
        <f t="shared" si="0"/>
        <v>65.943749999999994</v>
      </c>
      <c r="I43" s="244">
        <v>33503.74</v>
      </c>
      <c r="J43" s="248">
        <f t="shared" si="1"/>
        <v>218.97869281045752</v>
      </c>
      <c r="K43" s="244">
        <v>81278</v>
      </c>
      <c r="L43" s="248">
        <f t="shared" si="2"/>
        <v>423.32291666666669</v>
      </c>
      <c r="M43" s="244">
        <v>121185</v>
      </c>
      <c r="N43" s="248">
        <f t="shared" si="3"/>
        <v>658.61413043478262</v>
      </c>
      <c r="O43" s="244">
        <v>42220</v>
      </c>
      <c r="P43" s="248">
        <f t="shared" si="4"/>
        <v>263.875</v>
      </c>
      <c r="Q43" s="244">
        <v>118791.33</v>
      </c>
      <c r="R43" s="248">
        <f t="shared" si="5"/>
        <v>549.95986111111108</v>
      </c>
      <c r="S43" s="244">
        <v>134646</v>
      </c>
      <c r="T43" s="248">
        <f t="shared" si="6"/>
        <v>448.82</v>
      </c>
      <c r="U43" s="244">
        <v>54392</v>
      </c>
      <c r="V43" s="248">
        <f t="shared" si="7"/>
        <v>271.95999999999998</v>
      </c>
      <c r="W43" s="244">
        <v>241806.65</v>
      </c>
      <c r="X43" s="248">
        <f t="shared" si="8"/>
        <v>806.02216666666664</v>
      </c>
      <c r="Y43" s="244">
        <v>126435.87</v>
      </c>
      <c r="Z43" s="248">
        <f t="shared" si="9"/>
        <v>451.55667857142856</v>
      </c>
      <c r="AA43" s="244">
        <v>57286.37</v>
      </c>
      <c r="AB43" s="248">
        <f t="shared" si="10"/>
        <v>329.2320114942529</v>
      </c>
      <c r="AC43" s="244">
        <v>66245</v>
      </c>
      <c r="AD43" s="248">
        <f t="shared" si="11"/>
        <v>376.39204545454544</v>
      </c>
      <c r="AE43" s="244">
        <v>44279.55</v>
      </c>
      <c r="AF43" s="248">
        <f t="shared" si="12"/>
        <v>330.44440298507465</v>
      </c>
      <c r="AG43" s="244">
        <v>77401</v>
      </c>
      <c r="AH43" s="248">
        <f t="shared" si="13"/>
        <v>323.85355648535563</v>
      </c>
      <c r="AI43" s="244">
        <v>83044</v>
      </c>
      <c r="AJ43" s="248">
        <f t="shared" si="14"/>
        <v>448.88648648648649</v>
      </c>
      <c r="AK43" s="244"/>
      <c r="AL43" s="248" t="str">
        <f t="shared" si="15"/>
        <v xml:space="preserve"> </v>
      </c>
      <c r="AM43" s="244"/>
      <c r="AN43" s="248" t="str">
        <f t="shared" si="16"/>
        <v xml:space="preserve"> </v>
      </c>
      <c r="AO43" s="244"/>
      <c r="AP43" s="248" t="str">
        <f t="shared" si="17"/>
        <v xml:space="preserve"> </v>
      </c>
      <c r="AQ43" s="244"/>
      <c r="AR43" s="248" t="str">
        <f t="shared" si="18"/>
        <v xml:space="preserve"> </v>
      </c>
      <c r="AS43" s="244"/>
      <c r="AT43" s="248" t="str">
        <f t="shared" si="19"/>
        <v xml:space="preserve"> </v>
      </c>
      <c r="AU43" s="244"/>
      <c r="AV43" s="248" t="str">
        <f t="shared" si="20"/>
        <v xml:space="preserve"> </v>
      </c>
      <c r="AW43" s="244"/>
      <c r="AX43" s="248" t="str">
        <f t="shared" si="21"/>
        <v xml:space="preserve"> </v>
      </c>
      <c r="AY43" s="244"/>
      <c r="AZ43" s="254" t="str">
        <f t="shared" si="22"/>
        <v xml:space="preserve"> </v>
      </c>
    </row>
    <row r="44" spans="2:52" ht="14.45" thickTop="1">
      <c r="B44" s="230" t="s">
        <v>1768</v>
      </c>
      <c r="C44" s="263">
        <f t="shared" si="28"/>
        <v>330221.88875000004</v>
      </c>
      <c r="D44" s="261">
        <f t="shared" si="28"/>
        <v>1703.534006539609</v>
      </c>
      <c r="E44" s="242">
        <f>IFERROR(IF(SUM(E41:E43)&gt;0,SUM(E41:E43)," ")," ")</f>
        <v>177316</v>
      </c>
      <c r="F44" s="241">
        <f t="shared" si="25"/>
        <v>1248.7042253521126</v>
      </c>
      <c r="G44" s="242">
        <f>IFERROR(IF(SUM(G41:G43)&gt;0,SUM(G41:G43)," ")," ")</f>
        <v>524000</v>
      </c>
      <c r="H44" s="241">
        <f t="shared" si="0"/>
        <v>3275</v>
      </c>
      <c r="I44" s="242">
        <f>IFERROR(IF(SUM(I41:I43)&gt;0,SUM(I41:I43)," ")," ")</f>
        <v>292600.34000000003</v>
      </c>
      <c r="J44" s="241">
        <f t="shared" si="1"/>
        <v>1912.4205228758171</v>
      </c>
      <c r="K44" s="242">
        <f>IFERROR(IF(SUM(K41:K43)&gt;0,SUM(K41:K43)," ")," ")</f>
        <v>437113</v>
      </c>
      <c r="L44" s="241">
        <f t="shared" si="2"/>
        <v>2276.6302083333335</v>
      </c>
      <c r="M44" s="242">
        <f>IFERROR(IF(SUM(M41:M43)&gt;0,SUM(M41:M43)," ")," ")</f>
        <v>365134</v>
      </c>
      <c r="N44" s="241">
        <f t="shared" si="3"/>
        <v>1984.4239130434783</v>
      </c>
      <c r="O44" s="242">
        <f>IFERROR(IF(SUM(O41:O43)&gt;0,SUM(O41:O43)," ")," ")</f>
        <v>243136</v>
      </c>
      <c r="P44" s="241">
        <f t="shared" si="4"/>
        <v>1519.6</v>
      </c>
      <c r="Q44" s="242">
        <f>IFERROR(IF(SUM(Q41:Q43)&gt;0,SUM(Q41:Q43)," ")," ")</f>
        <v>352507.92</v>
      </c>
      <c r="R44" s="241">
        <f t="shared" si="5"/>
        <v>1631.981111111111</v>
      </c>
      <c r="S44" s="242">
        <f>IFERROR(IF(SUM(S41:S43)&gt;0,SUM(S41:S43)," ")," ")</f>
        <v>256488</v>
      </c>
      <c r="T44" s="241">
        <f t="shared" si="6"/>
        <v>854.96</v>
      </c>
      <c r="U44" s="242">
        <f>IFERROR(IF(SUM(U41:U43)&gt;0,SUM(U41:U43)," ")," ")</f>
        <v>266175</v>
      </c>
      <c r="V44" s="241">
        <f t="shared" si="7"/>
        <v>1330.875</v>
      </c>
      <c r="W44" s="242">
        <f>IFERROR(IF(SUM(W41:W43)&gt;0,SUM(W41:W43)," ")," ")</f>
        <v>600394.20000000007</v>
      </c>
      <c r="X44" s="241">
        <f t="shared" si="8"/>
        <v>2001.3140000000003</v>
      </c>
      <c r="Y44" s="242">
        <f>IFERROR(IF(SUM(Y41:Y43)&gt;0,SUM(Y41:Y43)," ")," ")</f>
        <v>395556.2</v>
      </c>
      <c r="Z44" s="241">
        <f t="shared" si="9"/>
        <v>1412.7007142857144</v>
      </c>
      <c r="AA44" s="242">
        <f>IFERROR(IF(SUM(AA41:AA43)&gt;0,SUM(AA41:AA43)," ")," ")</f>
        <v>305212.83</v>
      </c>
      <c r="AB44" s="241">
        <f t="shared" si="10"/>
        <v>1754.0967241379312</v>
      </c>
      <c r="AC44" s="242">
        <f>IFERROR(IF(SUM(AC41:AC43)&gt;0,SUM(AC41:AC43)," ")," ")</f>
        <v>224555</v>
      </c>
      <c r="AD44" s="241">
        <f t="shared" si="11"/>
        <v>1275.8806818181818</v>
      </c>
      <c r="AE44" s="242">
        <f>IFERROR(IF(SUM(AE41:AE43)&gt;0,SUM(AE41:AE43)," ")," ")</f>
        <v>268240.73</v>
      </c>
      <c r="AF44" s="241">
        <f t="shared" si="12"/>
        <v>2001.7964925373133</v>
      </c>
      <c r="AG44" s="242">
        <f>IFERROR(IF(SUM(AG41:AG43)&gt;0,SUM(AG41:AG43)," ")," ")</f>
        <v>272333</v>
      </c>
      <c r="AH44" s="241">
        <f t="shared" si="13"/>
        <v>1139.4686192468619</v>
      </c>
      <c r="AI44" s="242">
        <f>IFERROR(IF(SUM(AI41:AI43)&gt;0,SUM(AI41:AI43)," ")," ")</f>
        <v>302788</v>
      </c>
      <c r="AJ44" s="241">
        <f t="shared" si="14"/>
        <v>1636.6918918918918</v>
      </c>
      <c r="AK44" s="242" t="str">
        <f>IFERROR(IF(SUM(AK41:AK43)&gt;0,SUM(AK41:AK43)," ")," ")</f>
        <v xml:space="preserve"> </v>
      </c>
      <c r="AL44" s="241" t="str">
        <f t="shared" si="15"/>
        <v xml:space="preserve"> </v>
      </c>
      <c r="AM44" s="242" t="str">
        <f>IFERROR(IF(SUM(AM41:AM43)&gt;0,SUM(AM41:AM43)," ")," ")</f>
        <v xml:space="preserve"> </v>
      </c>
      <c r="AN44" s="241" t="str">
        <f t="shared" si="16"/>
        <v xml:space="preserve"> </v>
      </c>
      <c r="AO44" s="242" t="str">
        <f>IFERROR(IF(SUM(AO41:AO43)&gt;0,SUM(AO41:AO43)," ")," ")</f>
        <v xml:space="preserve"> </v>
      </c>
      <c r="AP44" s="241" t="str">
        <f t="shared" si="17"/>
        <v xml:space="preserve"> </v>
      </c>
      <c r="AQ44" s="242" t="str">
        <f>IFERROR(IF(SUM(AQ41:AQ43)&gt;0,SUM(AQ41:AQ43)," ")," ")</f>
        <v xml:space="preserve"> </v>
      </c>
      <c r="AR44" s="241" t="str">
        <f t="shared" si="18"/>
        <v xml:space="preserve"> </v>
      </c>
      <c r="AS44" s="242" t="str">
        <f>IFERROR(IF(SUM(AS41:AS43)&gt;0,SUM(AS41:AS43)," ")," ")</f>
        <v xml:space="preserve"> </v>
      </c>
      <c r="AT44" s="241" t="str">
        <f t="shared" si="19"/>
        <v xml:space="preserve"> </v>
      </c>
      <c r="AU44" s="242" t="str">
        <f>IFERROR(IF(SUM(AU41:AU43)&gt;0,SUM(AU41:AU43)," ")," ")</f>
        <v xml:space="preserve"> </v>
      </c>
      <c r="AV44" s="241" t="str">
        <f t="shared" si="20"/>
        <v xml:space="preserve"> </v>
      </c>
      <c r="AW44" s="242" t="str">
        <f>IFERROR(IF(SUM(AW41:AW43)&gt;0,SUM(AW41:AW43)," ")," ")</f>
        <v xml:space="preserve"> </v>
      </c>
      <c r="AX44" s="241" t="str">
        <f t="shared" si="21"/>
        <v xml:space="preserve"> </v>
      </c>
      <c r="AY44" s="242" t="str">
        <f>IFERROR(IF(SUM(AY41:AY43)&gt;0,SUM(AY41:AY43)," ")," ")</f>
        <v xml:space="preserve"> </v>
      </c>
      <c r="AZ44" s="253" t="str">
        <f t="shared" si="22"/>
        <v xml:space="preserve"> </v>
      </c>
    </row>
    <row r="45" spans="2:52" ht="5.0999999999999996" customHeight="1">
      <c r="B45" s="220"/>
      <c r="C45" s="235"/>
      <c r="D45" s="236"/>
      <c r="E45" s="242"/>
      <c r="F45" s="241" t="str">
        <f t="shared" si="25"/>
        <v xml:space="preserve"> </v>
      </c>
      <c r="G45" s="242"/>
      <c r="H45" s="241" t="str">
        <f t="shared" si="0"/>
        <v xml:space="preserve"> </v>
      </c>
      <c r="I45" s="242"/>
      <c r="J45" s="241" t="str">
        <f t="shared" si="1"/>
        <v xml:space="preserve"> </v>
      </c>
      <c r="K45" s="242"/>
      <c r="L45" s="241" t="str">
        <f t="shared" si="2"/>
        <v xml:space="preserve"> </v>
      </c>
      <c r="M45" s="242"/>
      <c r="N45" s="241" t="str">
        <f t="shared" si="3"/>
        <v xml:space="preserve"> </v>
      </c>
      <c r="O45" s="242"/>
      <c r="P45" s="241" t="str">
        <f t="shared" si="4"/>
        <v xml:space="preserve"> </v>
      </c>
      <c r="Q45" s="242"/>
      <c r="R45" s="241" t="str">
        <f t="shared" si="5"/>
        <v xml:space="preserve"> </v>
      </c>
      <c r="S45" s="242"/>
      <c r="T45" s="241" t="str">
        <f t="shared" si="6"/>
        <v xml:space="preserve"> </v>
      </c>
      <c r="U45" s="242"/>
      <c r="V45" s="241" t="str">
        <f t="shared" si="7"/>
        <v xml:space="preserve"> </v>
      </c>
      <c r="W45" s="242"/>
      <c r="X45" s="241" t="str">
        <f t="shared" si="8"/>
        <v xml:space="preserve"> </v>
      </c>
      <c r="Y45" s="242"/>
      <c r="Z45" s="241" t="str">
        <f t="shared" si="9"/>
        <v xml:space="preserve"> </v>
      </c>
      <c r="AA45" s="242"/>
      <c r="AB45" s="241" t="str">
        <f t="shared" si="10"/>
        <v xml:space="preserve"> </v>
      </c>
      <c r="AC45" s="242"/>
      <c r="AD45" s="241" t="str">
        <f t="shared" si="11"/>
        <v xml:space="preserve"> </v>
      </c>
      <c r="AE45" s="242"/>
      <c r="AF45" s="241" t="str">
        <f t="shared" si="12"/>
        <v xml:space="preserve"> </v>
      </c>
      <c r="AG45" s="242"/>
      <c r="AH45" s="241" t="str">
        <f t="shared" si="13"/>
        <v xml:space="preserve"> </v>
      </c>
      <c r="AI45" s="242"/>
      <c r="AJ45" s="241" t="str">
        <f t="shared" si="14"/>
        <v xml:space="preserve"> </v>
      </c>
      <c r="AK45" s="242"/>
      <c r="AL45" s="241" t="str">
        <f t="shared" si="15"/>
        <v xml:space="preserve"> </v>
      </c>
      <c r="AM45" s="242"/>
      <c r="AN45" s="241" t="str">
        <f t="shared" si="16"/>
        <v xml:space="preserve"> </v>
      </c>
      <c r="AO45" s="242"/>
      <c r="AP45" s="241" t="str">
        <f t="shared" si="17"/>
        <v xml:space="preserve"> </v>
      </c>
      <c r="AQ45" s="242"/>
      <c r="AR45" s="241" t="str">
        <f t="shared" si="18"/>
        <v xml:space="preserve"> </v>
      </c>
      <c r="AS45" s="242"/>
      <c r="AT45" s="241" t="str">
        <f t="shared" si="19"/>
        <v xml:space="preserve"> </v>
      </c>
      <c r="AU45" s="242"/>
      <c r="AV45" s="241" t="str">
        <f t="shared" si="20"/>
        <v xml:space="preserve"> </v>
      </c>
      <c r="AW45" s="242"/>
      <c r="AX45" s="241" t="str">
        <f t="shared" si="21"/>
        <v xml:space="preserve"> </v>
      </c>
      <c r="AY45" s="242"/>
      <c r="AZ45" s="253" t="str">
        <f t="shared" si="22"/>
        <v xml:space="preserve"> </v>
      </c>
    </row>
    <row r="46" spans="2:52">
      <c r="B46" s="230" t="s">
        <v>1769</v>
      </c>
      <c r="C46" s="235"/>
      <c r="D46" s="236"/>
      <c r="E46" s="242"/>
      <c r="F46" s="241" t="str">
        <f t="shared" si="25"/>
        <v xml:space="preserve"> </v>
      </c>
      <c r="G46" s="242"/>
      <c r="H46" s="241" t="str">
        <f t="shared" ref="H46:H77" si="29">IFERROR(IF(G46&gt;0,G46/G$6," ")," ")</f>
        <v xml:space="preserve"> </v>
      </c>
      <c r="I46" s="242"/>
      <c r="J46" s="241" t="str">
        <f t="shared" ref="J46:J77" si="30">IFERROR(IF(I46&gt;0,I46/I$6," ")," ")</f>
        <v xml:space="preserve"> </v>
      </c>
      <c r="K46" s="242"/>
      <c r="L46" s="241" t="str">
        <f t="shared" ref="L46:L77" si="31">IFERROR(IF(K46&gt;0,K46/K$6," ")," ")</f>
        <v xml:space="preserve"> </v>
      </c>
      <c r="M46" s="242"/>
      <c r="N46" s="241" t="str">
        <f t="shared" ref="N46:N77" si="32">IFERROR(IF(M46&gt;0,M46/M$6," ")," ")</f>
        <v xml:space="preserve"> </v>
      </c>
      <c r="O46" s="242"/>
      <c r="P46" s="241" t="str">
        <f t="shared" ref="P46:P77" si="33">IFERROR(IF(O46&gt;0,O46/O$6," ")," ")</f>
        <v xml:space="preserve"> </v>
      </c>
      <c r="Q46" s="242"/>
      <c r="R46" s="241" t="str">
        <f t="shared" ref="R46:R77" si="34">IFERROR(IF(Q46&gt;0,Q46/Q$6," ")," ")</f>
        <v xml:space="preserve"> </v>
      </c>
      <c r="S46" s="242"/>
      <c r="T46" s="241" t="str">
        <f t="shared" ref="T46:T77" si="35">IFERROR(IF(S46&gt;0,S46/S$6," ")," ")</f>
        <v xml:space="preserve"> </v>
      </c>
      <c r="U46" s="242"/>
      <c r="V46" s="241" t="str">
        <f t="shared" ref="V46:V77" si="36">IFERROR(IF(U46&gt;0,U46/U$6," ")," ")</f>
        <v xml:space="preserve"> </v>
      </c>
      <c r="W46" s="242"/>
      <c r="X46" s="241" t="str">
        <f t="shared" ref="X46:X77" si="37">IFERROR(IF(W46&gt;0,W46/W$6," ")," ")</f>
        <v xml:space="preserve"> </v>
      </c>
      <c r="Y46" s="242"/>
      <c r="Z46" s="241" t="str">
        <f t="shared" ref="Z46:Z77" si="38">IFERROR(IF(Y46&gt;0,Y46/Y$6," ")," ")</f>
        <v xml:space="preserve"> </v>
      </c>
      <c r="AA46" s="242"/>
      <c r="AB46" s="241" t="str">
        <f t="shared" ref="AB46:AB77" si="39">IFERROR(IF(AA46&gt;0,AA46/AA$6," ")," ")</f>
        <v xml:space="preserve"> </v>
      </c>
      <c r="AC46" s="242"/>
      <c r="AD46" s="241" t="str">
        <f t="shared" ref="AD46:AD77" si="40">IFERROR(IF(AC46&gt;0,AC46/AC$6," ")," ")</f>
        <v xml:space="preserve"> </v>
      </c>
      <c r="AE46" s="242"/>
      <c r="AF46" s="241" t="str">
        <f t="shared" ref="AF46:AF77" si="41">IFERROR(IF(AE46&gt;0,AE46/AE$6," ")," ")</f>
        <v xml:space="preserve"> </v>
      </c>
      <c r="AG46" s="242"/>
      <c r="AH46" s="241" t="str">
        <f t="shared" ref="AH46:AH77" si="42">IFERROR(IF(AG46&gt;0,AG46/AG$6," ")," ")</f>
        <v xml:space="preserve"> </v>
      </c>
      <c r="AI46" s="242"/>
      <c r="AJ46" s="241" t="str">
        <f t="shared" ref="AJ46:AJ77" si="43">IFERROR(IF(AI46&gt;0,AI46/AI$6," ")," ")</f>
        <v xml:space="preserve"> </v>
      </c>
      <c r="AK46" s="242"/>
      <c r="AL46" s="241" t="str">
        <f t="shared" ref="AL46:AL77" si="44">IFERROR(IF(AK46&gt;0,AK46/AK$6," ")," ")</f>
        <v xml:space="preserve"> </v>
      </c>
      <c r="AM46" s="242"/>
      <c r="AN46" s="241" t="str">
        <f t="shared" ref="AN46:AN77" si="45">IFERROR(IF(AM46&gt;0,AM46/AM$6," ")," ")</f>
        <v xml:space="preserve"> </v>
      </c>
      <c r="AO46" s="242"/>
      <c r="AP46" s="241" t="str">
        <f t="shared" ref="AP46:AP77" si="46">IFERROR(IF(AO46&gt;0,AO46/AO$6," ")," ")</f>
        <v xml:space="preserve"> </v>
      </c>
      <c r="AQ46" s="242"/>
      <c r="AR46" s="241" t="str">
        <f t="shared" ref="AR46:AR77" si="47">IFERROR(IF(AQ46&gt;0,AQ46/AQ$6," ")," ")</f>
        <v xml:space="preserve"> </v>
      </c>
      <c r="AS46" s="242"/>
      <c r="AT46" s="241" t="str">
        <f t="shared" ref="AT46:AT77" si="48">IFERROR(IF(AS46&gt;0,AS46/AS$6," ")," ")</f>
        <v xml:space="preserve"> </v>
      </c>
      <c r="AU46" s="242"/>
      <c r="AV46" s="241" t="str">
        <f t="shared" ref="AV46:AV77" si="49">IFERROR(IF(AU46&gt;0,AU46/AU$6," ")," ")</f>
        <v xml:space="preserve"> </v>
      </c>
      <c r="AW46" s="242"/>
      <c r="AX46" s="241" t="str">
        <f t="shared" ref="AX46:AX77" si="50">IFERROR(IF(AW46&gt;0,AW46/AW$6," ")," ")</f>
        <v xml:space="preserve"> </v>
      </c>
      <c r="AY46" s="242"/>
      <c r="AZ46" s="253" t="str">
        <f t="shared" ref="AZ46:AZ77" si="51">IFERROR(IF(AY46&gt;0,AY46/AY$6," ")," ")</f>
        <v xml:space="preserve"> </v>
      </c>
    </row>
    <row r="47" spans="2:52">
      <c r="B47" s="220" t="s">
        <v>1770</v>
      </c>
      <c r="C47" s="263">
        <f t="shared" ref="C47:C54" si="52">IFERROR(AVERAGE(E47,G47,I47,K47,M47,O47,Q47,S47,U47,W47,Y47,AA47,AC47,AE47,AG47,AI47,AK47,AM47,AO47,AQ47,AS47,AU47,AW47,AY47),0)</f>
        <v>13122.449999999999</v>
      </c>
      <c r="D47" s="261">
        <f t="shared" ref="D47:D54" si="53">IFERROR(AVERAGE(F47,H47,J47,L47,N47,P47,R47,T47,V47,X47,Z47,AB47,AD47,AF47,AH47,AJ47,AL47,AN47,AP47,AR47,AT47,AV47,AX47,AZ47),0)</f>
        <v>72.389647519263249</v>
      </c>
      <c r="E47" s="242"/>
      <c r="F47" s="241" t="str">
        <f t="shared" si="25"/>
        <v xml:space="preserve"> </v>
      </c>
      <c r="G47" s="242"/>
      <c r="H47" s="241" t="str">
        <f t="shared" si="29"/>
        <v xml:space="preserve"> </v>
      </c>
      <c r="I47" s="242">
        <v>7067.88</v>
      </c>
      <c r="J47" s="241">
        <f t="shared" si="30"/>
        <v>46.195294117647059</v>
      </c>
      <c r="K47" s="242">
        <v>15839</v>
      </c>
      <c r="L47" s="241">
        <f t="shared" si="31"/>
        <v>82.494791666666671</v>
      </c>
      <c r="M47" s="242"/>
      <c r="N47" s="241" t="str">
        <f t="shared" si="32"/>
        <v xml:space="preserve"> </v>
      </c>
      <c r="O47" s="242"/>
      <c r="P47" s="241" t="str">
        <f t="shared" si="33"/>
        <v xml:space="preserve"> </v>
      </c>
      <c r="Q47" s="242"/>
      <c r="R47" s="241" t="str">
        <f t="shared" si="34"/>
        <v xml:space="preserve"> </v>
      </c>
      <c r="S47" s="242"/>
      <c r="T47" s="241" t="str">
        <f t="shared" si="35"/>
        <v xml:space="preserve"> </v>
      </c>
      <c r="U47" s="242">
        <v>7172</v>
      </c>
      <c r="V47" s="241">
        <f t="shared" si="36"/>
        <v>35.86</v>
      </c>
      <c r="W47" s="242"/>
      <c r="X47" s="241" t="str">
        <f t="shared" si="37"/>
        <v xml:space="preserve"> </v>
      </c>
      <c r="Y47" s="242">
        <v>6484.01</v>
      </c>
      <c r="Z47" s="241">
        <f t="shared" si="38"/>
        <v>23.157178571428574</v>
      </c>
      <c r="AA47" s="242"/>
      <c r="AB47" s="241" t="str">
        <f t="shared" si="39"/>
        <v xml:space="preserve"> </v>
      </c>
      <c r="AC47" s="242">
        <v>38231</v>
      </c>
      <c r="AD47" s="241">
        <f t="shared" si="40"/>
        <v>217.22159090909091</v>
      </c>
      <c r="AE47" s="242">
        <v>3940.81</v>
      </c>
      <c r="AF47" s="241">
        <f t="shared" si="41"/>
        <v>29.409029850746268</v>
      </c>
      <c r="AG47" s="242"/>
      <c r="AH47" s="241" t="str">
        <f t="shared" si="42"/>
        <v xml:space="preserve"> </v>
      </c>
      <c r="AI47" s="242"/>
      <c r="AJ47" s="241" t="str">
        <f t="shared" si="43"/>
        <v xml:space="preserve"> </v>
      </c>
      <c r="AK47" s="242"/>
      <c r="AL47" s="241" t="str">
        <f t="shared" si="44"/>
        <v xml:space="preserve"> </v>
      </c>
      <c r="AM47" s="242"/>
      <c r="AN47" s="241" t="str">
        <f t="shared" si="45"/>
        <v xml:space="preserve"> </v>
      </c>
      <c r="AO47" s="242"/>
      <c r="AP47" s="241" t="str">
        <f t="shared" si="46"/>
        <v xml:space="preserve"> </v>
      </c>
      <c r="AQ47" s="242"/>
      <c r="AR47" s="241" t="str">
        <f t="shared" si="47"/>
        <v xml:space="preserve"> </v>
      </c>
      <c r="AS47" s="242"/>
      <c r="AT47" s="241" t="str">
        <f t="shared" si="48"/>
        <v xml:space="preserve"> </v>
      </c>
      <c r="AU47" s="242"/>
      <c r="AV47" s="241" t="str">
        <f t="shared" si="49"/>
        <v xml:space="preserve"> </v>
      </c>
      <c r="AW47" s="242"/>
      <c r="AX47" s="241" t="str">
        <f t="shared" si="50"/>
        <v xml:space="preserve"> </v>
      </c>
      <c r="AY47" s="242"/>
      <c r="AZ47" s="253" t="str">
        <f t="shared" si="51"/>
        <v xml:space="preserve"> </v>
      </c>
    </row>
    <row r="48" spans="2:52">
      <c r="B48" s="220" t="s">
        <v>1771</v>
      </c>
      <c r="C48" s="263">
        <f t="shared" si="52"/>
        <v>5816.3862500000005</v>
      </c>
      <c r="D48" s="261">
        <f t="shared" si="53"/>
        <v>32.944223960056981</v>
      </c>
      <c r="E48" s="242">
        <v>3421</v>
      </c>
      <c r="F48" s="241">
        <f t="shared" si="25"/>
        <v>24.091549295774648</v>
      </c>
      <c r="G48" s="242">
        <v>6265</v>
      </c>
      <c r="H48" s="241">
        <f t="shared" si="29"/>
        <v>39.15625</v>
      </c>
      <c r="I48" s="242">
        <v>2774.83</v>
      </c>
      <c r="J48" s="241">
        <f t="shared" si="30"/>
        <v>18.136143790849673</v>
      </c>
      <c r="K48" s="242">
        <v>12500</v>
      </c>
      <c r="L48" s="241">
        <f t="shared" si="31"/>
        <v>65.104166666666671</v>
      </c>
      <c r="M48" s="242">
        <v>11511</v>
      </c>
      <c r="N48" s="241">
        <f t="shared" si="32"/>
        <v>62.559782608695649</v>
      </c>
      <c r="O48" s="242">
        <v>4874</v>
      </c>
      <c r="P48" s="241">
        <f t="shared" si="33"/>
        <v>30.462499999999999</v>
      </c>
      <c r="Q48" s="242">
        <v>4080.11</v>
      </c>
      <c r="R48" s="241">
        <f t="shared" si="34"/>
        <v>18.88939814814815</v>
      </c>
      <c r="S48" s="242">
        <v>2309</v>
      </c>
      <c r="T48" s="241">
        <f t="shared" si="35"/>
        <v>7.6966666666666663</v>
      </c>
      <c r="U48" s="242">
        <v>6917</v>
      </c>
      <c r="V48" s="241">
        <f t="shared" si="36"/>
        <v>34.585000000000001</v>
      </c>
      <c r="W48" s="242">
        <v>3634.61</v>
      </c>
      <c r="X48" s="241">
        <f t="shared" si="37"/>
        <v>12.115366666666667</v>
      </c>
      <c r="Y48" s="242">
        <v>3633.16</v>
      </c>
      <c r="Z48" s="241">
        <f t="shared" si="38"/>
        <v>12.975571428571428</v>
      </c>
      <c r="AA48" s="242">
        <v>3117.99</v>
      </c>
      <c r="AB48" s="241">
        <f t="shared" si="39"/>
        <v>17.919482758620688</v>
      </c>
      <c r="AC48" s="242">
        <v>10971</v>
      </c>
      <c r="AD48" s="241">
        <f t="shared" si="40"/>
        <v>62.335227272727273</v>
      </c>
      <c r="AE48" s="242">
        <v>14098.48</v>
      </c>
      <c r="AF48" s="241">
        <f t="shared" si="41"/>
        <v>105.21253731343283</v>
      </c>
      <c r="AG48" s="242">
        <v>86</v>
      </c>
      <c r="AH48" s="241">
        <f t="shared" si="42"/>
        <v>0.35983263598326359</v>
      </c>
      <c r="AI48" s="242">
        <v>2869</v>
      </c>
      <c r="AJ48" s="241">
        <f t="shared" si="43"/>
        <v>15.508108108108107</v>
      </c>
      <c r="AK48" s="242"/>
      <c r="AL48" s="241" t="str">
        <f t="shared" si="44"/>
        <v xml:space="preserve"> </v>
      </c>
      <c r="AM48" s="242"/>
      <c r="AN48" s="241" t="str">
        <f t="shared" si="45"/>
        <v xml:space="preserve"> </v>
      </c>
      <c r="AO48" s="242"/>
      <c r="AP48" s="241" t="str">
        <f t="shared" si="46"/>
        <v xml:space="preserve"> </v>
      </c>
      <c r="AQ48" s="242"/>
      <c r="AR48" s="241" t="str">
        <f t="shared" si="47"/>
        <v xml:space="preserve"> </v>
      </c>
      <c r="AS48" s="242"/>
      <c r="AT48" s="241" t="str">
        <f t="shared" si="48"/>
        <v xml:space="preserve"> </v>
      </c>
      <c r="AU48" s="242"/>
      <c r="AV48" s="241" t="str">
        <f t="shared" si="49"/>
        <v xml:space="preserve"> </v>
      </c>
      <c r="AW48" s="242"/>
      <c r="AX48" s="241" t="str">
        <f t="shared" si="50"/>
        <v xml:space="preserve"> </v>
      </c>
      <c r="AY48" s="242"/>
      <c r="AZ48" s="253" t="str">
        <f t="shared" si="51"/>
        <v xml:space="preserve"> </v>
      </c>
    </row>
    <row r="49" spans="2:52">
      <c r="B49" s="220" t="s">
        <v>1772</v>
      </c>
      <c r="C49" s="263">
        <f t="shared" si="52"/>
        <v>29428.560000000001</v>
      </c>
      <c r="D49" s="261">
        <f t="shared" si="53"/>
        <v>164.52844068304552</v>
      </c>
      <c r="E49" s="242">
        <v>29756</v>
      </c>
      <c r="F49" s="241">
        <f t="shared" si="25"/>
        <v>209.54929577464787</v>
      </c>
      <c r="G49" s="242">
        <v>67822</v>
      </c>
      <c r="H49" s="241">
        <f t="shared" si="29"/>
        <v>423.88749999999999</v>
      </c>
      <c r="I49" s="242">
        <v>28489</v>
      </c>
      <c r="J49" s="241">
        <f t="shared" si="30"/>
        <v>186.20261437908496</v>
      </c>
      <c r="K49" s="242">
        <v>6840</v>
      </c>
      <c r="L49" s="241">
        <f t="shared" si="31"/>
        <v>35.625</v>
      </c>
      <c r="M49" s="242">
        <v>44969</v>
      </c>
      <c r="N49" s="241">
        <f t="shared" si="32"/>
        <v>244.39673913043478</v>
      </c>
      <c r="O49" s="242">
        <v>26496</v>
      </c>
      <c r="P49" s="241">
        <f t="shared" si="33"/>
        <v>165.6</v>
      </c>
      <c r="Q49" s="242">
        <v>36258.49</v>
      </c>
      <c r="R49" s="241">
        <f t="shared" si="34"/>
        <v>167.86337962962963</v>
      </c>
      <c r="S49" s="242">
        <v>20917</v>
      </c>
      <c r="T49" s="241">
        <f t="shared" si="35"/>
        <v>69.723333333333329</v>
      </c>
      <c r="U49" s="242">
        <v>35461</v>
      </c>
      <c r="V49" s="241">
        <f t="shared" si="36"/>
        <v>177.30500000000001</v>
      </c>
      <c r="W49" s="242">
        <v>14183.73</v>
      </c>
      <c r="X49" s="241">
        <f t="shared" si="37"/>
        <v>47.2791</v>
      </c>
      <c r="Y49" s="242">
        <v>29014.76</v>
      </c>
      <c r="Z49" s="241">
        <f t="shared" si="38"/>
        <v>103.62414285714286</v>
      </c>
      <c r="AA49" s="242">
        <v>16669.59</v>
      </c>
      <c r="AB49" s="241">
        <f t="shared" si="39"/>
        <v>95.802241379310345</v>
      </c>
      <c r="AC49" s="242">
        <v>30710</v>
      </c>
      <c r="AD49" s="241">
        <f t="shared" si="40"/>
        <v>174.48863636363637</v>
      </c>
      <c r="AE49" s="242">
        <v>47609.39</v>
      </c>
      <c r="AF49" s="241">
        <f t="shared" si="41"/>
        <v>355.29395522388057</v>
      </c>
      <c r="AG49" s="242">
        <v>13877</v>
      </c>
      <c r="AH49" s="241">
        <f t="shared" si="42"/>
        <v>58.062761506276154</v>
      </c>
      <c r="AI49" s="242">
        <v>21784</v>
      </c>
      <c r="AJ49" s="241">
        <f t="shared" si="43"/>
        <v>117.75135135135135</v>
      </c>
      <c r="AK49" s="242"/>
      <c r="AL49" s="241" t="str">
        <f t="shared" si="44"/>
        <v xml:space="preserve"> </v>
      </c>
      <c r="AM49" s="242"/>
      <c r="AN49" s="241" t="str">
        <f t="shared" si="45"/>
        <v xml:space="preserve"> </v>
      </c>
      <c r="AO49" s="242"/>
      <c r="AP49" s="241" t="str">
        <f t="shared" si="46"/>
        <v xml:space="preserve"> </v>
      </c>
      <c r="AQ49" s="242"/>
      <c r="AR49" s="241" t="str">
        <f t="shared" si="47"/>
        <v xml:space="preserve"> </v>
      </c>
      <c r="AS49" s="242"/>
      <c r="AT49" s="241" t="str">
        <f t="shared" si="48"/>
        <v xml:space="preserve"> </v>
      </c>
      <c r="AU49" s="242"/>
      <c r="AV49" s="241" t="str">
        <f t="shared" si="49"/>
        <v xml:space="preserve"> </v>
      </c>
      <c r="AW49" s="242"/>
      <c r="AX49" s="241" t="str">
        <f t="shared" si="50"/>
        <v xml:space="preserve"> </v>
      </c>
      <c r="AY49" s="242"/>
      <c r="AZ49" s="253" t="str">
        <f t="shared" si="51"/>
        <v xml:space="preserve"> </v>
      </c>
    </row>
    <row r="50" spans="2:52">
      <c r="B50" s="220" t="s">
        <v>1773</v>
      </c>
      <c r="C50" s="263">
        <f t="shared" si="52"/>
        <v>30760.476000000006</v>
      </c>
      <c r="D50" s="261">
        <f t="shared" si="53"/>
        <v>162.8118405497676</v>
      </c>
      <c r="E50" s="242">
        <v>18680</v>
      </c>
      <c r="F50" s="241">
        <f t="shared" si="25"/>
        <v>131.54929577464787</v>
      </c>
      <c r="G50" s="242">
        <v>48952</v>
      </c>
      <c r="H50" s="241">
        <f t="shared" si="29"/>
        <v>305.95</v>
      </c>
      <c r="I50" s="242">
        <v>6500.56</v>
      </c>
      <c r="J50" s="241">
        <f t="shared" si="30"/>
        <v>42.487320261437908</v>
      </c>
      <c r="K50" s="242">
        <v>87705</v>
      </c>
      <c r="L50" s="241">
        <f t="shared" si="31"/>
        <v>456.796875</v>
      </c>
      <c r="M50" s="242">
        <v>146163</v>
      </c>
      <c r="N50" s="241">
        <f t="shared" si="32"/>
        <v>794.36413043478262</v>
      </c>
      <c r="O50" s="242">
        <v>16916</v>
      </c>
      <c r="P50" s="241">
        <f t="shared" si="33"/>
        <v>105.72499999999999</v>
      </c>
      <c r="Q50" s="242">
        <v>13656.15</v>
      </c>
      <c r="R50" s="241">
        <f t="shared" si="34"/>
        <v>63.222916666666663</v>
      </c>
      <c r="S50" s="242">
        <v>4203</v>
      </c>
      <c r="T50" s="241">
        <f t="shared" si="35"/>
        <v>14.01</v>
      </c>
      <c r="U50" s="242">
        <v>7627</v>
      </c>
      <c r="V50" s="241">
        <f t="shared" si="36"/>
        <v>38.134999999999998</v>
      </c>
      <c r="W50" s="242">
        <v>13702.34</v>
      </c>
      <c r="X50" s="241">
        <f t="shared" si="37"/>
        <v>45.674466666666667</v>
      </c>
      <c r="Y50" s="242">
        <v>49990.13</v>
      </c>
      <c r="Z50" s="241">
        <f t="shared" si="38"/>
        <v>178.53617857142856</v>
      </c>
      <c r="AA50" s="242">
        <v>25101.96</v>
      </c>
      <c r="AB50" s="241">
        <f t="shared" si="39"/>
        <v>144.26413793103447</v>
      </c>
      <c r="AC50" s="242">
        <v>11413</v>
      </c>
      <c r="AD50" s="241">
        <f t="shared" si="40"/>
        <v>64.846590909090907</v>
      </c>
      <c r="AE50" s="242"/>
      <c r="AF50" s="241" t="str">
        <f t="shared" si="41"/>
        <v xml:space="preserve"> </v>
      </c>
      <c r="AG50" s="242">
        <v>1430</v>
      </c>
      <c r="AH50" s="241">
        <f t="shared" si="42"/>
        <v>5.98326359832636</v>
      </c>
      <c r="AI50" s="242">
        <v>9367</v>
      </c>
      <c r="AJ50" s="241">
        <f t="shared" si="43"/>
        <v>50.632432432432431</v>
      </c>
      <c r="AK50" s="242"/>
      <c r="AL50" s="241" t="str">
        <f t="shared" si="44"/>
        <v xml:space="preserve"> </v>
      </c>
      <c r="AM50" s="242"/>
      <c r="AN50" s="241" t="str">
        <f t="shared" si="45"/>
        <v xml:space="preserve"> </v>
      </c>
      <c r="AO50" s="242"/>
      <c r="AP50" s="241" t="str">
        <f t="shared" si="46"/>
        <v xml:space="preserve"> </v>
      </c>
      <c r="AQ50" s="242"/>
      <c r="AR50" s="241" t="str">
        <f t="shared" si="47"/>
        <v xml:space="preserve"> </v>
      </c>
      <c r="AS50" s="242"/>
      <c r="AT50" s="241" t="str">
        <f t="shared" si="48"/>
        <v xml:space="preserve"> </v>
      </c>
      <c r="AU50" s="242"/>
      <c r="AV50" s="241" t="str">
        <f t="shared" si="49"/>
        <v xml:space="preserve"> </v>
      </c>
      <c r="AW50" s="242"/>
      <c r="AX50" s="241" t="str">
        <f t="shared" si="50"/>
        <v xml:space="preserve"> </v>
      </c>
      <c r="AY50" s="242"/>
      <c r="AZ50" s="253" t="str">
        <f t="shared" si="51"/>
        <v xml:space="preserve"> </v>
      </c>
    </row>
    <row r="51" spans="2:52">
      <c r="B51" s="220" t="s">
        <v>1774</v>
      </c>
      <c r="C51" s="263">
        <f t="shared" si="52"/>
        <v>57002.388749999998</v>
      </c>
      <c r="D51" s="261">
        <f t="shared" si="53"/>
        <v>343.28583275458521</v>
      </c>
      <c r="E51" s="242">
        <v>17059</v>
      </c>
      <c r="F51" s="241">
        <f t="shared" si="25"/>
        <v>120.13380281690141</v>
      </c>
      <c r="G51" s="242">
        <v>83120</v>
      </c>
      <c r="H51" s="241">
        <f t="shared" si="29"/>
        <v>519.5</v>
      </c>
      <c r="I51" s="242">
        <v>68400.850000000006</v>
      </c>
      <c r="J51" s="241">
        <f t="shared" si="30"/>
        <v>447.06437908496736</v>
      </c>
      <c r="K51" s="242">
        <v>103457</v>
      </c>
      <c r="L51" s="241">
        <f t="shared" si="31"/>
        <v>538.83854166666663</v>
      </c>
      <c r="M51" s="242">
        <v>119362</v>
      </c>
      <c r="N51" s="241">
        <f t="shared" si="32"/>
        <v>648.70652173913038</v>
      </c>
      <c r="O51" s="242">
        <v>163462</v>
      </c>
      <c r="P51" s="241">
        <f t="shared" si="33"/>
        <v>1021.6375</v>
      </c>
      <c r="Q51" s="242">
        <v>458.85</v>
      </c>
      <c r="R51" s="241">
        <f t="shared" si="34"/>
        <v>2.1243055555555554</v>
      </c>
      <c r="S51" s="242">
        <v>762</v>
      </c>
      <c r="T51" s="241">
        <f t="shared" si="35"/>
        <v>2.54</v>
      </c>
      <c r="U51" s="242">
        <v>15280</v>
      </c>
      <c r="V51" s="241">
        <f t="shared" si="36"/>
        <v>76.400000000000006</v>
      </c>
      <c r="W51" s="242">
        <v>12877.43</v>
      </c>
      <c r="X51" s="241">
        <f t="shared" si="37"/>
        <v>42.92476666666667</v>
      </c>
      <c r="Y51" s="242">
        <v>30125.34</v>
      </c>
      <c r="Z51" s="241">
        <f t="shared" si="38"/>
        <v>107.59050000000001</v>
      </c>
      <c r="AA51" s="242">
        <v>56483.72</v>
      </c>
      <c r="AB51" s="241">
        <f t="shared" si="39"/>
        <v>324.61908045977015</v>
      </c>
      <c r="AC51" s="242">
        <v>40810</v>
      </c>
      <c r="AD51" s="241">
        <f t="shared" si="40"/>
        <v>231.875</v>
      </c>
      <c r="AE51" s="242">
        <v>169405.03</v>
      </c>
      <c r="AF51" s="241">
        <f t="shared" si="41"/>
        <v>1264.2166417910448</v>
      </c>
      <c r="AG51" s="242">
        <v>18857</v>
      </c>
      <c r="AH51" s="241">
        <f t="shared" si="42"/>
        <v>78.89958158995816</v>
      </c>
      <c r="AI51" s="242">
        <v>12118</v>
      </c>
      <c r="AJ51" s="241">
        <f t="shared" si="43"/>
        <v>65.502702702702706</v>
      </c>
      <c r="AK51" s="242"/>
      <c r="AL51" s="241" t="str">
        <f t="shared" si="44"/>
        <v xml:space="preserve"> </v>
      </c>
      <c r="AM51" s="242"/>
      <c r="AN51" s="241" t="str">
        <f t="shared" si="45"/>
        <v xml:space="preserve"> </v>
      </c>
      <c r="AO51" s="242"/>
      <c r="AP51" s="241" t="str">
        <f t="shared" si="46"/>
        <v xml:space="preserve"> </v>
      </c>
      <c r="AQ51" s="242"/>
      <c r="AR51" s="241" t="str">
        <f t="shared" si="47"/>
        <v xml:space="preserve"> </v>
      </c>
      <c r="AS51" s="242"/>
      <c r="AT51" s="241" t="str">
        <f t="shared" si="48"/>
        <v xml:space="preserve"> </v>
      </c>
      <c r="AU51" s="242"/>
      <c r="AV51" s="241" t="str">
        <f t="shared" si="49"/>
        <v xml:space="preserve"> </v>
      </c>
      <c r="AW51" s="242"/>
      <c r="AX51" s="241" t="str">
        <f t="shared" si="50"/>
        <v xml:space="preserve"> </v>
      </c>
      <c r="AY51" s="242"/>
      <c r="AZ51" s="253" t="str">
        <f t="shared" si="51"/>
        <v xml:space="preserve"> </v>
      </c>
    </row>
    <row r="52" spans="2:52">
      <c r="B52" s="220" t="s">
        <v>1775</v>
      </c>
      <c r="C52" s="263">
        <f t="shared" si="52"/>
        <v>5350.0059999999994</v>
      </c>
      <c r="D52" s="261">
        <f t="shared" si="53"/>
        <v>29.445458919856843</v>
      </c>
      <c r="E52" s="242"/>
      <c r="F52" s="241" t="str">
        <f t="shared" si="25"/>
        <v xml:space="preserve"> </v>
      </c>
      <c r="G52" s="242"/>
      <c r="H52" s="241" t="str">
        <f t="shared" si="29"/>
        <v xml:space="preserve"> </v>
      </c>
      <c r="I52" s="242">
        <v>2845.22</v>
      </c>
      <c r="J52" s="241">
        <f t="shared" si="30"/>
        <v>18.596209150326796</v>
      </c>
      <c r="K52" s="242"/>
      <c r="L52" s="241" t="str">
        <f t="shared" si="31"/>
        <v xml:space="preserve"> </v>
      </c>
      <c r="M52" s="242">
        <v>11785</v>
      </c>
      <c r="N52" s="241">
        <f t="shared" si="32"/>
        <v>64.048913043478265</v>
      </c>
      <c r="O52" s="242"/>
      <c r="P52" s="241" t="str">
        <f t="shared" si="33"/>
        <v xml:space="preserve"> </v>
      </c>
      <c r="Q52" s="242">
        <v>3959.32</v>
      </c>
      <c r="R52" s="241">
        <f t="shared" si="34"/>
        <v>18.330185185185186</v>
      </c>
      <c r="S52" s="242"/>
      <c r="T52" s="241" t="str">
        <f t="shared" si="35"/>
        <v xml:space="preserve"> </v>
      </c>
      <c r="U52" s="242">
        <v>1208</v>
      </c>
      <c r="V52" s="241">
        <f t="shared" si="36"/>
        <v>6.04</v>
      </c>
      <c r="W52" s="242">
        <v>5142.3999999999996</v>
      </c>
      <c r="X52" s="241">
        <f t="shared" si="37"/>
        <v>17.141333333333332</v>
      </c>
      <c r="Y52" s="242">
        <v>3103.32</v>
      </c>
      <c r="Z52" s="241">
        <f t="shared" si="38"/>
        <v>11.083285714285715</v>
      </c>
      <c r="AA52" s="242">
        <v>6474.6</v>
      </c>
      <c r="AB52" s="241">
        <f t="shared" si="39"/>
        <v>37.210344827586212</v>
      </c>
      <c r="AC52" s="242"/>
      <c r="AD52" s="241" t="str">
        <f t="shared" si="40"/>
        <v xml:space="preserve"> </v>
      </c>
      <c r="AE52" s="242">
        <v>12464.2</v>
      </c>
      <c r="AF52" s="241">
        <f t="shared" si="41"/>
        <v>93.016417910447771</v>
      </c>
      <c r="AG52" s="242">
        <v>5113</v>
      </c>
      <c r="AH52" s="241">
        <f t="shared" si="42"/>
        <v>21.393305439330543</v>
      </c>
      <c r="AI52" s="242">
        <v>1405</v>
      </c>
      <c r="AJ52" s="241">
        <f t="shared" si="43"/>
        <v>7.5945945945945947</v>
      </c>
      <c r="AK52" s="242"/>
      <c r="AL52" s="241" t="str">
        <f t="shared" si="44"/>
        <v xml:space="preserve"> </v>
      </c>
      <c r="AM52" s="242"/>
      <c r="AN52" s="241" t="str">
        <f t="shared" si="45"/>
        <v xml:space="preserve"> </v>
      </c>
      <c r="AO52" s="242"/>
      <c r="AP52" s="241" t="str">
        <f t="shared" si="46"/>
        <v xml:space="preserve"> </v>
      </c>
      <c r="AQ52" s="242"/>
      <c r="AR52" s="241" t="str">
        <f t="shared" si="47"/>
        <v xml:space="preserve"> </v>
      </c>
      <c r="AS52" s="242"/>
      <c r="AT52" s="241" t="str">
        <f t="shared" si="48"/>
        <v xml:space="preserve"> </v>
      </c>
      <c r="AU52" s="242"/>
      <c r="AV52" s="241" t="str">
        <f t="shared" si="49"/>
        <v xml:space="preserve"> </v>
      </c>
      <c r="AW52" s="242"/>
      <c r="AX52" s="241" t="str">
        <f t="shared" si="50"/>
        <v xml:space="preserve"> </v>
      </c>
      <c r="AY52" s="242"/>
      <c r="AZ52" s="253" t="str">
        <f t="shared" si="51"/>
        <v xml:space="preserve"> </v>
      </c>
    </row>
    <row r="53" spans="2:52" ht="14.45" thickBot="1">
      <c r="B53" s="231" t="s">
        <v>1767</v>
      </c>
      <c r="C53" s="264">
        <f t="shared" si="52"/>
        <v>89576.956666666665</v>
      </c>
      <c r="D53" s="262">
        <f t="shared" si="53"/>
        <v>549.69618894377402</v>
      </c>
      <c r="E53" s="244"/>
      <c r="F53" s="248" t="str">
        <f t="shared" si="25"/>
        <v xml:space="preserve"> </v>
      </c>
      <c r="G53" s="244">
        <v>10551</v>
      </c>
      <c r="H53" s="248">
        <f t="shared" si="29"/>
        <v>65.943749999999994</v>
      </c>
      <c r="I53" s="244">
        <v>22945.97</v>
      </c>
      <c r="J53" s="248">
        <f t="shared" si="30"/>
        <v>149.97366013071897</v>
      </c>
      <c r="K53" s="244"/>
      <c r="L53" s="248" t="str">
        <f t="shared" si="31"/>
        <v xml:space="preserve"> </v>
      </c>
      <c r="M53" s="244"/>
      <c r="N53" s="248" t="str">
        <f t="shared" si="32"/>
        <v xml:space="preserve"> </v>
      </c>
      <c r="O53" s="244">
        <v>664985</v>
      </c>
      <c r="P53" s="248">
        <f t="shared" si="33"/>
        <v>4156.15625</v>
      </c>
      <c r="Q53" s="244">
        <v>12379.36</v>
      </c>
      <c r="R53" s="248">
        <f t="shared" si="34"/>
        <v>57.311851851851856</v>
      </c>
      <c r="S53" s="244">
        <v>9991</v>
      </c>
      <c r="T53" s="248">
        <f t="shared" si="35"/>
        <v>33.303333333333335</v>
      </c>
      <c r="U53" s="244">
        <v>503</v>
      </c>
      <c r="V53" s="248">
        <f t="shared" si="36"/>
        <v>2.5150000000000001</v>
      </c>
      <c r="W53" s="244"/>
      <c r="X53" s="248" t="str">
        <f t="shared" si="37"/>
        <v xml:space="preserve"> </v>
      </c>
      <c r="Y53" s="244"/>
      <c r="Z53" s="248" t="str">
        <f t="shared" si="38"/>
        <v xml:space="preserve"> </v>
      </c>
      <c r="AA53" s="244">
        <v>1990.28</v>
      </c>
      <c r="AB53" s="248">
        <f t="shared" si="39"/>
        <v>11.438390804597701</v>
      </c>
      <c r="AC53" s="244">
        <v>82492</v>
      </c>
      <c r="AD53" s="248">
        <f t="shared" si="40"/>
        <v>468.70454545454544</v>
      </c>
      <c r="AE53" s="244"/>
      <c r="AF53" s="248" t="str">
        <f t="shared" si="41"/>
        <v xml:space="preserve"> </v>
      </c>
      <c r="AG53" s="244"/>
      <c r="AH53" s="248" t="str">
        <f t="shared" si="42"/>
        <v xml:space="preserve"> </v>
      </c>
      <c r="AI53" s="244">
        <v>355</v>
      </c>
      <c r="AJ53" s="248">
        <f t="shared" si="43"/>
        <v>1.9189189189189189</v>
      </c>
      <c r="AK53" s="244"/>
      <c r="AL53" s="248" t="str">
        <f t="shared" si="44"/>
        <v xml:space="preserve"> </v>
      </c>
      <c r="AM53" s="244"/>
      <c r="AN53" s="248" t="str">
        <f t="shared" si="45"/>
        <v xml:space="preserve"> </v>
      </c>
      <c r="AO53" s="244"/>
      <c r="AP53" s="248" t="str">
        <f t="shared" si="46"/>
        <v xml:space="preserve"> </v>
      </c>
      <c r="AQ53" s="244"/>
      <c r="AR53" s="248" t="str">
        <f t="shared" si="47"/>
        <v xml:space="preserve"> </v>
      </c>
      <c r="AS53" s="244"/>
      <c r="AT53" s="248" t="str">
        <f t="shared" si="48"/>
        <v xml:space="preserve"> </v>
      </c>
      <c r="AU53" s="244"/>
      <c r="AV53" s="248" t="str">
        <f t="shared" si="49"/>
        <v xml:space="preserve"> </v>
      </c>
      <c r="AW53" s="244"/>
      <c r="AX53" s="248" t="str">
        <f t="shared" si="50"/>
        <v xml:space="preserve"> </v>
      </c>
      <c r="AY53" s="244"/>
      <c r="AZ53" s="254" t="str">
        <f t="shared" si="51"/>
        <v xml:space="preserve"> </v>
      </c>
    </row>
    <row r="54" spans="2:52" ht="14.45" thickTop="1">
      <c r="B54" s="230" t="s">
        <v>1776</v>
      </c>
      <c r="C54" s="263">
        <f t="shared" si="52"/>
        <v>179736.99187500004</v>
      </c>
      <c r="D54" s="261">
        <f t="shared" si="53"/>
        <v>1048.1482338386022</v>
      </c>
      <c r="E54" s="242">
        <f>IFERROR(IF(SUM(E47:E53)&gt;0,SUM(E47:E53)," ")," ")</f>
        <v>68916</v>
      </c>
      <c r="F54" s="241">
        <f t="shared" si="25"/>
        <v>485.32394366197184</v>
      </c>
      <c r="G54" s="242">
        <f>IFERROR(IF(SUM(G47:G53)&gt;0,SUM(G47:G53)," ")," ")</f>
        <v>216710</v>
      </c>
      <c r="H54" s="241">
        <f t="shared" si="29"/>
        <v>1354.4375</v>
      </c>
      <c r="I54" s="242">
        <f>IFERROR(IF(SUM(I47:I53)&gt;0,SUM(I47:I53)," ")," ")</f>
        <v>139024.31</v>
      </c>
      <c r="J54" s="241">
        <f t="shared" si="30"/>
        <v>908.65562091503261</v>
      </c>
      <c r="K54" s="242">
        <f>IFERROR(IF(SUM(K47:K53)&gt;0,SUM(K47:K53)," ")," ")</f>
        <v>226341</v>
      </c>
      <c r="L54" s="241">
        <f t="shared" si="31"/>
        <v>1178.859375</v>
      </c>
      <c r="M54" s="242">
        <f>IFERROR(IF(SUM(M47:M53)&gt;0,SUM(M47:M53)," ")," ")</f>
        <v>333790</v>
      </c>
      <c r="N54" s="241">
        <f t="shared" si="32"/>
        <v>1814.0760869565217</v>
      </c>
      <c r="O54" s="242">
        <f>IFERROR(IF(SUM(O47:O53)&gt;0,SUM(O47:O53)," ")," ")</f>
        <v>876733</v>
      </c>
      <c r="P54" s="241">
        <f t="shared" si="33"/>
        <v>5479.5812500000002</v>
      </c>
      <c r="Q54" s="242">
        <f>IFERROR(IF(SUM(Q47:Q53)&gt;0,SUM(Q47:Q53)," ")," ")</f>
        <v>70792.28</v>
      </c>
      <c r="R54" s="241">
        <f t="shared" si="34"/>
        <v>327.74203703703705</v>
      </c>
      <c r="S54" s="242">
        <f>IFERROR(IF(SUM(S47:S53)&gt;0,SUM(S47:S53)," ")," ")</f>
        <v>38182</v>
      </c>
      <c r="T54" s="241">
        <f t="shared" si="35"/>
        <v>127.27333333333333</v>
      </c>
      <c r="U54" s="242">
        <f>IFERROR(IF(SUM(U47:U53)&gt;0,SUM(U47:U53)," ")," ")</f>
        <v>74168</v>
      </c>
      <c r="V54" s="241">
        <f t="shared" si="36"/>
        <v>370.84</v>
      </c>
      <c r="W54" s="242">
        <f>IFERROR(IF(SUM(W47:W53)&gt;0,SUM(W47:W53)," ")," ")</f>
        <v>49540.51</v>
      </c>
      <c r="X54" s="241">
        <f t="shared" si="37"/>
        <v>165.13503333333335</v>
      </c>
      <c r="Y54" s="242">
        <f>IFERROR(IF(SUM(Y47:Y53)&gt;0,SUM(Y47:Y53)," ")," ")</f>
        <v>122350.72</v>
      </c>
      <c r="Z54" s="241">
        <f t="shared" si="38"/>
        <v>436.96685714285712</v>
      </c>
      <c r="AA54" s="242">
        <f>IFERROR(IF(SUM(AA47:AA53)&gt;0,SUM(AA47:AA53)," ")," ")</f>
        <v>109838.14000000001</v>
      </c>
      <c r="AB54" s="241">
        <f t="shared" si="39"/>
        <v>631.25367816091966</v>
      </c>
      <c r="AC54" s="242">
        <f>IFERROR(IF(SUM(AC47:AC53)&gt;0,SUM(AC47:AC53)," ")," ")</f>
        <v>214627</v>
      </c>
      <c r="AD54" s="241">
        <f t="shared" si="40"/>
        <v>1219.471590909091</v>
      </c>
      <c r="AE54" s="242">
        <f>IFERROR(IF(SUM(AE47:AE53)&gt;0,SUM(AE47:AE53)," ")," ")</f>
        <v>247517.91</v>
      </c>
      <c r="AF54" s="241">
        <f t="shared" si="41"/>
        <v>1847.1485820895523</v>
      </c>
      <c r="AG54" s="242">
        <f>IFERROR(IF(SUM(AG47:AG53)&gt;0,SUM(AG47:AG53)," ")," ")</f>
        <v>39363</v>
      </c>
      <c r="AH54" s="241">
        <f t="shared" si="42"/>
        <v>164.69874476987448</v>
      </c>
      <c r="AI54" s="242">
        <f>IFERROR(IF(SUM(AI47:AI53)&gt;0,SUM(AI47:AI53)," ")," ")</f>
        <v>47898</v>
      </c>
      <c r="AJ54" s="241">
        <f t="shared" si="43"/>
        <v>258.90810810810808</v>
      </c>
      <c r="AK54" s="242" t="str">
        <f>IFERROR(IF(SUM(AK47:AK53)&gt;0,SUM(AK47:AK53)," ")," ")</f>
        <v xml:space="preserve"> </v>
      </c>
      <c r="AL54" s="241" t="str">
        <f t="shared" si="44"/>
        <v xml:space="preserve"> </v>
      </c>
      <c r="AM54" s="242" t="str">
        <f>IFERROR(IF(SUM(AM47:AM53)&gt;0,SUM(AM47:AM53)," ")," ")</f>
        <v xml:space="preserve"> </v>
      </c>
      <c r="AN54" s="241" t="str">
        <f t="shared" si="45"/>
        <v xml:space="preserve"> </v>
      </c>
      <c r="AO54" s="242" t="str">
        <f>IFERROR(IF(SUM(AO47:AO53)&gt;0,SUM(AO47:AO53)," ")," ")</f>
        <v xml:space="preserve"> </v>
      </c>
      <c r="AP54" s="241" t="str">
        <f t="shared" si="46"/>
        <v xml:space="preserve"> </v>
      </c>
      <c r="AQ54" s="242" t="str">
        <f>IFERROR(IF(SUM(AQ47:AQ53)&gt;0,SUM(AQ47:AQ53)," ")," ")</f>
        <v xml:space="preserve"> </v>
      </c>
      <c r="AR54" s="241" t="str">
        <f t="shared" si="47"/>
        <v xml:space="preserve"> </v>
      </c>
      <c r="AS54" s="242" t="str">
        <f>IFERROR(IF(SUM(AS47:AS53)&gt;0,SUM(AS47:AS53)," ")," ")</f>
        <v xml:space="preserve"> </v>
      </c>
      <c r="AT54" s="241" t="str">
        <f t="shared" si="48"/>
        <v xml:space="preserve"> </v>
      </c>
      <c r="AU54" s="242" t="str">
        <f>IFERROR(IF(SUM(AU47:AU53)&gt;0,SUM(AU47:AU53)," ")," ")</f>
        <v xml:space="preserve"> </v>
      </c>
      <c r="AV54" s="241" t="str">
        <f t="shared" si="49"/>
        <v xml:space="preserve"> </v>
      </c>
      <c r="AW54" s="242" t="str">
        <f>IFERROR(IF(SUM(AW47:AW53)&gt;0,SUM(AW47:AW53)," ")," ")</f>
        <v xml:space="preserve"> </v>
      </c>
      <c r="AX54" s="241" t="str">
        <f t="shared" si="50"/>
        <v xml:space="preserve"> </v>
      </c>
      <c r="AY54" s="242" t="str">
        <f>IFERROR(IF(SUM(AY47:AY53)&gt;0,SUM(AY47:AY53)," ")," ")</f>
        <v xml:space="preserve"> </v>
      </c>
      <c r="AZ54" s="253" t="str">
        <f t="shared" si="51"/>
        <v xml:space="preserve"> </v>
      </c>
    </row>
    <row r="55" spans="2:52" ht="5.0999999999999996" customHeight="1">
      <c r="B55" s="220"/>
      <c r="C55" s="235"/>
      <c r="D55" s="236"/>
      <c r="E55" s="242"/>
      <c r="F55" s="241" t="str">
        <f t="shared" si="25"/>
        <v xml:space="preserve"> </v>
      </c>
      <c r="G55" s="242"/>
      <c r="H55" s="241" t="str">
        <f t="shared" si="29"/>
        <v xml:space="preserve"> </v>
      </c>
      <c r="I55" s="242"/>
      <c r="J55" s="241" t="str">
        <f t="shared" si="30"/>
        <v xml:space="preserve"> </v>
      </c>
      <c r="K55" s="242"/>
      <c r="L55" s="241" t="str">
        <f t="shared" si="31"/>
        <v xml:space="preserve"> </v>
      </c>
      <c r="M55" s="242"/>
      <c r="N55" s="241" t="str">
        <f t="shared" si="32"/>
        <v xml:space="preserve"> </v>
      </c>
      <c r="O55" s="242"/>
      <c r="P55" s="241" t="str">
        <f t="shared" si="33"/>
        <v xml:space="preserve"> </v>
      </c>
      <c r="Q55" s="242"/>
      <c r="R55" s="241" t="str">
        <f t="shared" si="34"/>
        <v xml:space="preserve"> </v>
      </c>
      <c r="S55" s="242"/>
      <c r="T55" s="241" t="str">
        <f t="shared" si="35"/>
        <v xml:space="preserve"> </v>
      </c>
      <c r="U55" s="242"/>
      <c r="V55" s="241" t="str">
        <f t="shared" si="36"/>
        <v xml:space="preserve"> </v>
      </c>
      <c r="W55" s="242"/>
      <c r="X55" s="241" t="str">
        <f t="shared" si="37"/>
        <v xml:space="preserve"> </v>
      </c>
      <c r="Y55" s="242"/>
      <c r="Z55" s="241" t="str">
        <f t="shared" si="38"/>
        <v xml:space="preserve"> </v>
      </c>
      <c r="AA55" s="242"/>
      <c r="AB55" s="241" t="str">
        <f t="shared" si="39"/>
        <v xml:space="preserve"> </v>
      </c>
      <c r="AC55" s="242"/>
      <c r="AD55" s="241" t="str">
        <f t="shared" si="40"/>
        <v xml:space="preserve"> </v>
      </c>
      <c r="AE55" s="242"/>
      <c r="AF55" s="241" t="str">
        <f t="shared" si="41"/>
        <v xml:space="preserve"> </v>
      </c>
      <c r="AG55" s="242"/>
      <c r="AH55" s="241" t="str">
        <f t="shared" si="42"/>
        <v xml:space="preserve"> </v>
      </c>
      <c r="AI55" s="242"/>
      <c r="AJ55" s="241" t="str">
        <f t="shared" si="43"/>
        <v xml:space="preserve"> </v>
      </c>
      <c r="AK55" s="242"/>
      <c r="AL55" s="241" t="str">
        <f t="shared" si="44"/>
        <v xml:space="preserve"> </v>
      </c>
      <c r="AM55" s="242"/>
      <c r="AN55" s="241" t="str">
        <f t="shared" si="45"/>
        <v xml:space="preserve"> </v>
      </c>
      <c r="AO55" s="242"/>
      <c r="AP55" s="241" t="str">
        <f t="shared" si="46"/>
        <v xml:space="preserve"> </v>
      </c>
      <c r="AQ55" s="242"/>
      <c r="AR55" s="241" t="str">
        <f t="shared" si="47"/>
        <v xml:space="preserve"> </v>
      </c>
      <c r="AS55" s="242"/>
      <c r="AT55" s="241" t="str">
        <f t="shared" si="48"/>
        <v xml:space="preserve"> </v>
      </c>
      <c r="AU55" s="242"/>
      <c r="AV55" s="241" t="str">
        <f t="shared" si="49"/>
        <v xml:space="preserve"> </v>
      </c>
      <c r="AW55" s="242"/>
      <c r="AX55" s="241" t="str">
        <f t="shared" si="50"/>
        <v xml:space="preserve"> </v>
      </c>
      <c r="AY55" s="242"/>
      <c r="AZ55" s="253" t="str">
        <f t="shared" si="51"/>
        <v xml:space="preserve"> </v>
      </c>
    </row>
    <row r="56" spans="2:52">
      <c r="B56" s="230" t="s">
        <v>102</v>
      </c>
      <c r="C56" s="235"/>
      <c r="D56" s="236"/>
      <c r="E56" s="242"/>
      <c r="F56" s="241" t="str">
        <f t="shared" si="25"/>
        <v xml:space="preserve"> </v>
      </c>
      <c r="G56" s="242"/>
      <c r="H56" s="241" t="str">
        <f t="shared" si="29"/>
        <v xml:space="preserve"> </v>
      </c>
      <c r="I56" s="242"/>
      <c r="J56" s="241" t="str">
        <f t="shared" si="30"/>
        <v xml:space="preserve"> </v>
      </c>
      <c r="K56" s="242"/>
      <c r="L56" s="241" t="str">
        <f t="shared" si="31"/>
        <v xml:space="preserve"> </v>
      </c>
      <c r="M56" s="242"/>
      <c r="N56" s="241" t="str">
        <f t="shared" si="32"/>
        <v xml:space="preserve"> </v>
      </c>
      <c r="O56" s="242"/>
      <c r="P56" s="241" t="str">
        <f t="shared" si="33"/>
        <v xml:space="preserve"> </v>
      </c>
      <c r="Q56" s="242"/>
      <c r="R56" s="241" t="str">
        <f t="shared" si="34"/>
        <v xml:space="preserve"> </v>
      </c>
      <c r="S56" s="242"/>
      <c r="T56" s="241" t="str">
        <f t="shared" si="35"/>
        <v xml:space="preserve"> </v>
      </c>
      <c r="U56" s="242"/>
      <c r="V56" s="241" t="str">
        <f t="shared" si="36"/>
        <v xml:space="preserve"> </v>
      </c>
      <c r="W56" s="242"/>
      <c r="X56" s="241" t="str">
        <f t="shared" si="37"/>
        <v xml:space="preserve"> </v>
      </c>
      <c r="Y56" s="242"/>
      <c r="Z56" s="241" t="str">
        <f t="shared" si="38"/>
        <v xml:space="preserve"> </v>
      </c>
      <c r="AA56" s="242"/>
      <c r="AB56" s="241" t="str">
        <f t="shared" si="39"/>
        <v xml:space="preserve"> </v>
      </c>
      <c r="AC56" s="242"/>
      <c r="AD56" s="241" t="str">
        <f t="shared" si="40"/>
        <v xml:space="preserve"> </v>
      </c>
      <c r="AE56" s="242"/>
      <c r="AF56" s="241" t="str">
        <f t="shared" si="41"/>
        <v xml:space="preserve"> </v>
      </c>
      <c r="AG56" s="242"/>
      <c r="AH56" s="241" t="str">
        <f t="shared" si="42"/>
        <v xml:space="preserve"> </v>
      </c>
      <c r="AI56" s="242"/>
      <c r="AJ56" s="241" t="str">
        <f t="shared" si="43"/>
        <v xml:space="preserve"> </v>
      </c>
      <c r="AK56" s="242"/>
      <c r="AL56" s="241" t="str">
        <f t="shared" si="44"/>
        <v xml:space="preserve"> </v>
      </c>
      <c r="AM56" s="242"/>
      <c r="AN56" s="241" t="str">
        <f t="shared" si="45"/>
        <v xml:space="preserve"> </v>
      </c>
      <c r="AO56" s="242"/>
      <c r="AP56" s="241" t="str">
        <f t="shared" si="46"/>
        <v xml:space="preserve"> </v>
      </c>
      <c r="AQ56" s="242"/>
      <c r="AR56" s="241" t="str">
        <f t="shared" si="47"/>
        <v xml:space="preserve"> </v>
      </c>
      <c r="AS56" s="242"/>
      <c r="AT56" s="241" t="str">
        <f t="shared" si="48"/>
        <v xml:space="preserve"> </v>
      </c>
      <c r="AU56" s="242"/>
      <c r="AV56" s="241" t="str">
        <f t="shared" si="49"/>
        <v xml:space="preserve"> </v>
      </c>
      <c r="AW56" s="242"/>
      <c r="AX56" s="241" t="str">
        <f t="shared" si="50"/>
        <v xml:space="preserve"> </v>
      </c>
      <c r="AY56" s="242"/>
      <c r="AZ56" s="253" t="str">
        <f t="shared" si="51"/>
        <v xml:space="preserve"> </v>
      </c>
    </row>
    <row r="57" spans="2:52">
      <c r="B57" s="220" t="s">
        <v>1777</v>
      </c>
      <c r="C57" s="263">
        <f t="shared" ref="C57:C63" si="54">IFERROR(AVERAGE(E57,G57,I57,K57,M57,O57,Q57,S57,U57,W57,Y57,AA57,AC57,AE57,AG57,AI57,AK57,AM57,AO57,AQ57,AS57,AU57,AW57,AY57),0)</f>
        <v>56288.021250000005</v>
      </c>
      <c r="D57" s="261">
        <f t="shared" ref="D57:D63" si="55">IFERROR(AVERAGE(F57,H57,J57,L57,N57,P57,R57,T57,V57,X57,Z57,AB57,AD57,AF57,AH57,AJ57,AL57,AN57,AP57,AR57,AT57,AV57,AX57,AZ57),0)</f>
        <v>293.83396993706373</v>
      </c>
      <c r="E57" s="242">
        <v>27270</v>
      </c>
      <c r="F57" s="241">
        <f t="shared" si="25"/>
        <v>192.04225352112675</v>
      </c>
      <c r="G57" s="242">
        <v>53491</v>
      </c>
      <c r="H57" s="241">
        <f t="shared" si="29"/>
        <v>334.31875000000002</v>
      </c>
      <c r="I57" s="242">
        <v>32570.73</v>
      </c>
      <c r="J57" s="241">
        <f t="shared" si="30"/>
        <v>212.88058823529411</v>
      </c>
      <c r="K57" s="242">
        <v>131742</v>
      </c>
      <c r="L57" s="241">
        <f t="shared" si="31"/>
        <v>686.15625</v>
      </c>
      <c r="M57" s="242">
        <v>26784</v>
      </c>
      <c r="N57" s="241">
        <f t="shared" si="32"/>
        <v>145.56521739130434</v>
      </c>
      <c r="O57" s="242">
        <v>24252</v>
      </c>
      <c r="P57" s="241">
        <f t="shared" si="33"/>
        <v>151.57499999999999</v>
      </c>
      <c r="Q57" s="242">
        <v>77752.289999999994</v>
      </c>
      <c r="R57" s="241">
        <f t="shared" si="34"/>
        <v>359.96430555555554</v>
      </c>
      <c r="S57" s="242">
        <v>16232</v>
      </c>
      <c r="T57" s="241">
        <f t="shared" si="35"/>
        <v>54.106666666666669</v>
      </c>
      <c r="U57" s="242">
        <v>29061</v>
      </c>
      <c r="V57" s="241">
        <f t="shared" si="36"/>
        <v>145.30500000000001</v>
      </c>
      <c r="W57" s="242">
        <v>58045.88</v>
      </c>
      <c r="X57" s="241">
        <f t="shared" si="37"/>
        <v>193.48626666666667</v>
      </c>
      <c r="Y57" s="242">
        <v>81112.990000000005</v>
      </c>
      <c r="Z57" s="241">
        <f t="shared" si="38"/>
        <v>289.68925000000002</v>
      </c>
      <c r="AA57" s="242">
        <v>103063.8</v>
      </c>
      <c r="AB57" s="241">
        <f t="shared" si="39"/>
        <v>592.32068965517249</v>
      </c>
      <c r="AC57" s="242">
        <v>88464</v>
      </c>
      <c r="AD57" s="241">
        <f t="shared" si="40"/>
        <v>502.63636363636363</v>
      </c>
      <c r="AE57" s="242">
        <v>36723.65</v>
      </c>
      <c r="AF57" s="241">
        <f t="shared" si="41"/>
        <v>274.05708955223884</v>
      </c>
      <c r="AG57" s="242">
        <v>40292</v>
      </c>
      <c r="AH57" s="241">
        <f t="shared" si="42"/>
        <v>168.58577405857741</v>
      </c>
      <c r="AI57" s="242">
        <v>73751</v>
      </c>
      <c r="AJ57" s="241">
        <f t="shared" si="43"/>
        <v>398.65405405405403</v>
      </c>
      <c r="AK57" s="242"/>
      <c r="AL57" s="241" t="str">
        <f t="shared" si="44"/>
        <v xml:space="preserve"> </v>
      </c>
      <c r="AM57" s="242"/>
      <c r="AN57" s="241" t="str">
        <f t="shared" si="45"/>
        <v xml:space="preserve"> </v>
      </c>
      <c r="AO57" s="242"/>
      <c r="AP57" s="241" t="str">
        <f t="shared" si="46"/>
        <v xml:space="preserve"> </v>
      </c>
      <c r="AQ57" s="242"/>
      <c r="AR57" s="241" t="str">
        <f t="shared" si="47"/>
        <v xml:space="preserve"> </v>
      </c>
      <c r="AS57" s="242"/>
      <c r="AT57" s="241" t="str">
        <f t="shared" si="48"/>
        <v xml:space="preserve"> </v>
      </c>
      <c r="AU57" s="242"/>
      <c r="AV57" s="241" t="str">
        <f t="shared" si="49"/>
        <v xml:space="preserve"> </v>
      </c>
      <c r="AW57" s="242"/>
      <c r="AX57" s="241" t="str">
        <f t="shared" si="50"/>
        <v xml:space="preserve"> </v>
      </c>
      <c r="AY57" s="242"/>
      <c r="AZ57" s="253" t="str">
        <f t="shared" si="51"/>
        <v xml:space="preserve"> </v>
      </c>
    </row>
    <row r="58" spans="2:52">
      <c r="B58" s="220" t="s">
        <v>1778</v>
      </c>
      <c r="C58" s="263">
        <f t="shared" si="54"/>
        <v>18335.63</v>
      </c>
      <c r="D58" s="261">
        <f t="shared" si="55"/>
        <v>111.07653710279618</v>
      </c>
      <c r="E58" s="242">
        <v>6433</v>
      </c>
      <c r="F58" s="241">
        <f t="shared" si="25"/>
        <v>45.302816901408448</v>
      </c>
      <c r="G58" s="242">
        <v>6910</v>
      </c>
      <c r="H58" s="241">
        <f t="shared" si="29"/>
        <v>43.1875</v>
      </c>
      <c r="I58" s="242">
        <v>915.76</v>
      </c>
      <c r="J58" s="241">
        <f t="shared" si="30"/>
        <v>5.9853594771241827</v>
      </c>
      <c r="K58" s="242"/>
      <c r="L58" s="241" t="str">
        <f t="shared" si="31"/>
        <v xml:space="preserve"> </v>
      </c>
      <c r="M58" s="242"/>
      <c r="N58" s="241" t="str">
        <f t="shared" si="32"/>
        <v xml:space="preserve"> </v>
      </c>
      <c r="O58" s="242">
        <v>46179</v>
      </c>
      <c r="P58" s="241">
        <f t="shared" si="33"/>
        <v>288.61874999999998</v>
      </c>
      <c r="Q58" s="242"/>
      <c r="R58" s="241" t="str">
        <f t="shared" si="34"/>
        <v xml:space="preserve"> </v>
      </c>
      <c r="S58" s="242"/>
      <c r="T58" s="241" t="str">
        <f t="shared" si="35"/>
        <v xml:space="preserve"> </v>
      </c>
      <c r="U58" s="242"/>
      <c r="V58" s="241" t="str">
        <f t="shared" si="36"/>
        <v xml:space="preserve"> </v>
      </c>
      <c r="W58" s="242"/>
      <c r="X58" s="241" t="str">
        <f t="shared" si="37"/>
        <v xml:space="preserve"> </v>
      </c>
      <c r="Y58" s="242"/>
      <c r="Z58" s="241" t="str">
        <f t="shared" si="38"/>
        <v xml:space="preserve"> </v>
      </c>
      <c r="AA58" s="242">
        <v>25768.02</v>
      </c>
      <c r="AB58" s="241">
        <f t="shared" si="39"/>
        <v>148.09206896551726</v>
      </c>
      <c r="AC58" s="242">
        <v>23808</v>
      </c>
      <c r="AD58" s="241">
        <f t="shared" si="40"/>
        <v>135.27272727272728</v>
      </c>
      <c r="AE58" s="242"/>
      <c r="AF58" s="241" t="str">
        <f t="shared" si="41"/>
        <v xml:space="preserve"> </v>
      </c>
      <c r="AG58" s="242"/>
      <c r="AH58" s="241" t="str">
        <f t="shared" si="42"/>
        <v xml:space="preserve"> </v>
      </c>
      <c r="AI58" s="242"/>
      <c r="AJ58" s="241" t="str">
        <f t="shared" si="43"/>
        <v xml:space="preserve"> </v>
      </c>
      <c r="AK58" s="242"/>
      <c r="AL58" s="241" t="str">
        <f t="shared" si="44"/>
        <v xml:space="preserve"> </v>
      </c>
      <c r="AM58" s="242"/>
      <c r="AN58" s="241" t="str">
        <f t="shared" si="45"/>
        <v xml:space="preserve"> </v>
      </c>
      <c r="AO58" s="242"/>
      <c r="AP58" s="241" t="str">
        <f t="shared" si="46"/>
        <v xml:space="preserve"> </v>
      </c>
      <c r="AQ58" s="242"/>
      <c r="AR58" s="241" t="str">
        <f t="shared" si="47"/>
        <v xml:space="preserve"> </v>
      </c>
      <c r="AS58" s="242"/>
      <c r="AT58" s="241" t="str">
        <f t="shared" si="48"/>
        <v xml:space="preserve"> </v>
      </c>
      <c r="AU58" s="242"/>
      <c r="AV58" s="241" t="str">
        <f t="shared" si="49"/>
        <v xml:space="preserve"> </v>
      </c>
      <c r="AW58" s="242"/>
      <c r="AX58" s="241" t="str">
        <f t="shared" si="50"/>
        <v xml:space="preserve"> </v>
      </c>
      <c r="AY58" s="242"/>
      <c r="AZ58" s="253" t="str">
        <f t="shared" si="51"/>
        <v xml:space="preserve"> </v>
      </c>
    </row>
    <row r="59" spans="2:52">
      <c r="B59" s="220" t="s">
        <v>1779</v>
      </c>
      <c r="C59" s="263">
        <f t="shared" si="54"/>
        <v>0</v>
      </c>
      <c r="D59" s="261">
        <f t="shared" si="55"/>
        <v>0</v>
      </c>
      <c r="E59" s="242"/>
      <c r="F59" s="241" t="str">
        <f t="shared" si="25"/>
        <v xml:space="preserve"> </v>
      </c>
      <c r="G59" s="242"/>
      <c r="H59" s="241" t="str">
        <f t="shared" si="29"/>
        <v xml:space="preserve"> </v>
      </c>
      <c r="I59" s="242"/>
      <c r="J59" s="241" t="str">
        <f t="shared" si="30"/>
        <v xml:space="preserve"> </v>
      </c>
      <c r="K59" s="242"/>
      <c r="L59" s="241" t="str">
        <f t="shared" si="31"/>
        <v xml:space="preserve"> </v>
      </c>
      <c r="M59" s="242"/>
      <c r="N59" s="241" t="str">
        <f t="shared" si="32"/>
        <v xml:space="preserve"> </v>
      </c>
      <c r="O59" s="242"/>
      <c r="P59" s="241" t="str">
        <f t="shared" si="33"/>
        <v xml:space="preserve"> </v>
      </c>
      <c r="Q59" s="242"/>
      <c r="R59" s="241" t="str">
        <f t="shared" si="34"/>
        <v xml:space="preserve"> </v>
      </c>
      <c r="S59" s="242"/>
      <c r="T59" s="241" t="str">
        <f t="shared" si="35"/>
        <v xml:space="preserve"> </v>
      </c>
      <c r="U59" s="242"/>
      <c r="V59" s="241" t="str">
        <f t="shared" si="36"/>
        <v xml:space="preserve"> </v>
      </c>
      <c r="W59" s="242"/>
      <c r="X59" s="241" t="str">
        <f t="shared" si="37"/>
        <v xml:space="preserve"> </v>
      </c>
      <c r="Y59" s="242"/>
      <c r="Z59" s="241" t="str">
        <f t="shared" si="38"/>
        <v xml:space="preserve"> </v>
      </c>
      <c r="AA59" s="242"/>
      <c r="AB59" s="241" t="str">
        <f t="shared" si="39"/>
        <v xml:space="preserve"> </v>
      </c>
      <c r="AC59" s="242"/>
      <c r="AD59" s="241" t="str">
        <f t="shared" si="40"/>
        <v xml:space="preserve"> </v>
      </c>
      <c r="AE59" s="242"/>
      <c r="AF59" s="241" t="str">
        <f t="shared" si="41"/>
        <v xml:space="preserve"> </v>
      </c>
      <c r="AG59" s="242"/>
      <c r="AH59" s="241" t="str">
        <f t="shared" si="42"/>
        <v xml:space="preserve"> </v>
      </c>
      <c r="AI59" s="242"/>
      <c r="AJ59" s="241" t="str">
        <f t="shared" si="43"/>
        <v xml:space="preserve"> </v>
      </c>
      <c r="AK59" s="242"/>
      <c r="AL59" s="241" t="str">
        <f t="shared" si="44"/>
        <v xml:space="preserve"> </v>
      </c>
      <c r="AM59" s="242"/>
      <c r="AN59" s="241" t="str">
        <f t="shared" si="45"/>
        <v xml:space="preserve"> </v>
      </c>
      <c r="AO59" s="242"/>
      <c r="AP59" s="241" t="str">
        <f t="shared" si="46"/>
        <v xml:space="preserve"> </v>
      </c>
      <c r="AQ59" s="242"/>
      <c r="AR59" s="241" t="str">
        <f t="shared" si="47"/>
        <v xml:space="preserve"> </v>
      </c>
      <c r="AS59" s="242"/>
      <c r="AT59" s="241" t="str">
        <f t="shared" si="48"/>
        <v xml:space="preserve"> </v>
      </c>
      <c r="AU59" s="242"/>
      <c r="AV59" s="241" t="str">
        <f t="shared" si="49"/>
        <v xml:space="preserve"> </v>
      </c>
      <c r="AW59" s="242"/>
      <c r="AX59" s="241" t="str">
        <f t="shared" si="50"/>
        <v xml:space="preserve"> </v>
      </c>
      <c r="AY59" s="242"/>
      <c r="AZ59" s="253" t="str">
        <f t="shared" si="51"/>
        <v xml:space="preserve"> </v>
      </c>
    </row>
    <row r="60" spans="2:52">
      <c r="B60" s="220" t="s">
        <v>1780</v>
      </c>
      <c r="C60" s="263">
        <f t="shared" si="54"/>
        <v>27024.288124999999</v>
      </c>
      <c r="D60" s="261">
        <f t="shared" si="55"/>
        <v>152.58481783361898</v>
      </c>
      <c r="E60" s="242">
        <v>58908</v>
      </c>
      <c r="F60" s="241">
        <f t="shared" si="25"/>
        <v>414.84507042253523</v>
      </c>
      <c r="G60" s="242">
        <v>12805</v>
      </c>
      <c r="H60" s="241">
        <f t="shared" si="29"/>
        <v>80.03125</v>
      </c>
      <c r="I60" s="242">
        <v>16285.24</v>
      </c>
      <c r="J60" s="241">
        <f t="shared" si="30"/>
        <v>106.439477124183</v>
      </c>
      <c r="K60" s="242">
        <v>37574</v>
      </c>
      <c r="L60" s="241">
        <f t="shared" si="31"/>
        <v>195.69791666666666</v>
      </c>
      <c r="M60" s="242">
        <v>32514</v>
      </c>
      <c r="N60" s="241">
        <f t="shared" si="32"/>
        <v>176.70652173913044</v>
      </c>
      <c r="O60" s="242">
        <v>28455</v>
      </c>
      <c r="P60" s="241">
        <f t="shared" si="33"/>
        <v>177.84375</v>
      </c>
      <c r="Q60" s="242">
        <v>19472.05</v>
      </c>
      <c r="R60" s="241">
        <f t="shared" si="34"/>
        <v>90.14837962962963</v>
      </c>
      <c r="S60" s="242">
        <v>3966</v>
      </c>
      <c r="T60" s="241">
        <f t="shared" si="35"/>
        <v>13.22</v>
      </c>
      <c r="U60" s="242">
        <v>7543</v>
      </c>
      <c r="V60" s="241">
        <f t="shared" si="36"/>
        <v>37.715000000000003</v>
      </c>
      <c r="W60" s="242">
        <v>27003.06</v>
      </c>
      <c r="X60" s="241">
        <f t="shared" si="37"/>
        <v>90.010199999999998</v>
      </c>
      <c r="Y60" s="242">
        <v>23382.44</v>
      </c>
      <c r="Z60" s="241">
        <f t="shared" si="38"/>
        <v>83.508714285714277</v>
      </c>
      <c r="AA60" s="242">
        <v>32751.33</v>
      </c>
      <c r="AB60" s="241">
        <f t="shared" si="39"/>
        <v>188.22603448275862</v>
      </c>
      <c r="AC60" s="242">
        <v>62811</v>
      </c>
      <c r="AD60" s="241">
        <f t="shared" si="40"/>
        <v>356.88068181818181</v>
      </c>
      <c r="AE60" s="242">
        <v>37431.49</v>
      </c>
      <c r="AF60" s="241">
        <f t="shared" si="41"/>
        <v>279.33947761194031</v>
      </c>
      <c r="AG60" s="242">
        <v>15930</v>
      </c>
      <c r="AH60" s="241">
        <f t="shared" si="42"/>
        <v>66.65271966527196</v>
      </c>
      <c r="AI60" s="242">
        <v>15557</v>
      </c>
      <c r="AJ60" s="241">
        <f t="shared" si="43"/>
        <v>84.091891891891891</v>
      </c>
      <c r="AK60" s="242"/>
      <c r="AL60" s="241" t="str">
        <f t="shared" si="44"/>
        <v xml:space="preserve"> </v>
      </c>
      <c r="AM60" s="242"/>
      <c r="AN60" s="241" t="str">
        <f t="shared" si="45"/>
        <v xml:space="preserve"> </v>
      </c>
      <c r="AO60" s="242"/>
      <c r="AP60" s="241" t="str">
        <f t="shared" si="46"/>
        <v xml:space="preserve"> </v>
      </c>
      <c r="AQ60" s="242"/>
      <c r="AR60" s="241" t="str">
        <f t="shared" si="47"/>
        <v xml:space="preserve"> </v>
      </c>
      <c r="AS60" s="242"/>
      <c r="AT60" s="241" t="str">
        <f t="shared" si="48"/>
        <v xml:space="preserve"> </v>
      </c>
      <c r="AU60" s="242"/>
      <c r="AV60" s="241" t="str">
        <f t="shared" si="49"/>
        <v xml:space="preserve"> </v>
      </c>
      <c r="AW60" s="242"/>
      <c r="AX60" s="241" t="str">
        <f t="shared" si="50"/>
        <v xml:space="preserve"> </v>
      </c>
      <c r="AY60" s="242"/>
      <c r="AZ60" s="253" t="str">
        <f t="shared" si="51"/>
        <v xml:space="preserve"> </v>
      </c>
    </row>
    <row r="61" spans="2:52">
      <c r="B61" s="220" t="s">
        <v>1781</v>
      </c>
      <c r="C61" s="263">
        <f t="shared" si="54"/>
        <v>127286.54687499999</v>
      </c>
      <c r="D61" s="261">
        <f t="shared" si="55"/>
        <v>700.21746421285161</v>
      </c>
      <c r="E61" s="242">
        <v>43634</v>
      </c>
      <c r="F61" s="241">
        <f t="shared" si="25"/>
        <v>307.28169014084506</v>
      </c>
      <c r="G61" s="242">
        <v>106709</v>
      </c>
      <c r="H61" s="241">
        <f t="shared" si="29"/>
        <v>666.93124999999998</v>
      </c>
      <c r="I61" s="242">
        <v>89701.87</v>
      </c>
      <c r="J61" s="241">
        <f t="shared" si="30"/>
        <v>586.2867320261438</v>
      </c>
      <c r="K61" s="242">
        <v>129618</v>
      </c>
      <c r="L61" s="241">
        <f t="shared" si="31"/>
        <v>675.09375</v>
      </c>
      <c r="M61" s="242">
        <v>264168</v>
      </c>
      <c r="N61" s="241">
        <f t="shared" si="32"/>
        <v>1435.695652173913</v>
      </c>
      <c r="O61" s="242">
        <v>306191</v>
      </c>
      <c r="P61" s="241">
        <f t="shared" si="33"/>
        <v>1913.6937499999999</v>
      </c>
      <c r="Q61" s="242">
        <v>146715.03</v>
      </c>
      <c r="R61" s="241">
        <f t="shared" si="34"/>
        <v>679.23625000000004</v>
      </c>
      <c r="S61" s="242">
        <v>13503</v>
      </c>
      <c r="T61" s="241">
        <f t="shared" si="35"/>
        <v>45.01</v>
      </c>
      <c r="U61" s="242">
        <v>119882</v>
      </c>
      <c r="V61" s="241">
        <f t="shared" si="36"/>
        <v>599.41</v>
      </c>
      <c r="W61" s="242">
        <v>38175.67</v>
      </c>
      <c r="X61" s="241">
        <f t="shared" si="37"/>
        <v>127.25223333333332</v>
      </c>
      <c r="Y61" s="242">
        <v>167184.68</v>
      </c>
      <c r="Z61" s="241">
        <f t="shared" si="38"/>
        <v>597.08814285714288</v>
      </c>
      <c r="AA61" s="242">
        <v>124055.31</v>
      </c>
      <c r="AB61" s="241">
        <f t="shared" si="39"/>
        <v>712.96155172413796</v>
      </c>
      <c r="AC61" s="242">
        <v>93916</v>
      </c>
      <c r="AD61" s="241">
        <f t="shared" si="40"/>
        <v>533.61363636363637</v>
      </c>
      <c r="AE61" s="242">
        <v>160697.19</v>
      </c>
      <c r="AF61" s="241">
        <f t="shared" si="41"/>
        <v>1199.2327611940298</v>
      </c>
      <c r="AG61" s="242">
        <v>107842</v>
      </c>
      <c r="AH61" s="241">
        <f t="shared" si="42"/>
        <v>451.22175732217573</v>
      </c>
      <c r="AI61" s="242">
        <v>124592</v>
      </c>
      <c r="AJ61" s="241">
        <f t="shared" si="43"/>
        <v>673.47027027027025</v>
      </c>
      <c r="AK61" s="242"/>
      <c r="AL61" s="241" t="str">
        <f t="shared" si="44"/>
        <v xml:space="preserve"> </v>
      </c>
      <c r="AM61" s="242"/>
      <c r="AN61" s="241" t="str">
        <f t="shared" si="45"/>
        <v xml:space="preserve"> </v>
      </c>
      <c r="AO61" s="242"/>
      <c r="AP61" s="241" t="str">
        <f t="shared" si="46"/>
        <v xml:space="preserve"> </v>
      </c>
      <c r="AQ61" s="242"/>
      <c r="AR61" s="241" t="str">
        <f t="shared" si="47"/>
        <v xml:space="preserve"> </v>
      </c>
      <c r="AS61" s="242"/>
      <c r="AT61" s="241" t="str">
        <f t="shared" si="48"/>
        <v xml:space="preserve"> </v>
      </c>
      <c r="AU61" s="242"/>
      <c r="AV61" s="241" t="str">
        <f t="shared" si="49"/>
        <v xml:space="preserve"> </v>
      </c>
      <c r="AW61" s="242"/>
      <c r="AX61" s="241" t="str">
        <f t="shared" si="50"/>
        <v xml:space="preserve"> </v>
      </c>
      <c r="AY61" s="242"/>
      <c r="AZ61" s="253" t="str">
        <f t="shared" si="51"/>
        <v xml:space="preserve"> </v>
      </c>
    </row>
    <row r="62" spans="2:52" ht="14.45" thickBot="1">
      <c r="B62" s="231" t="s">
        <v>1767</v>
      </c>
      <c r="C62" s="264">
        <f t="shared" si="54"/>
        <v>4168.8571428571431</v>
      </c>
      <c r="D62" s="262">
        <f t="shared" si="55"/>
        <v>20.137946287568951</v>
      </c>
      <c r="E62" s="244">
        <v>475</v>
      </c>
      <c r="F62" s="248">
        <f t="shared" si="25"/>
        <v>3.3450704225352115</v>
      </c>
      <c r="G62" s="244"/>
      <c r="H62" s="248" t="str">
        <f t="shared" si="29"/>
        <v xml:space="preserve"> </v>
      </c>
      <c r="I62" s="244">
        <v>4000</v>
      </c>
      <c r="J62" s="248">
        <f t="shared" si="30"/>
        <v>26.143790849673202</v>
      </c>
      <c r="K62" s="244"/>
      <c r="L62" s="248" t="str">
        <f t="shared" si="31"/>
        <v xml:space="preserve"> </v>
      </c>
      <c r="M62" s="244"/>
      <c r="N62" s="248" t="str">
        <f t="shared" si="32"/>
        <v xml:space="preserve"> </v>
      </c>
      <c r="O62" s="244">
        <v>7219</v>
      </c>
      <c r="P62" s="248">
        <f t="shared" si="33"/>
        <v>45.118749999999999</v>
      </c>
      <c r="Q62" s="244"/>
      <c r="R62" s="248" t="str">
        <f t="shared" si="34"/>
        <v xml:space="preserve"> </v>
      </c>
      <c r="S62" s="244"/>
      <c r="T62" s="248" t="str">
        <f t="shared" si="35"/>
        <v xml:space="preserve"> </v>
      </c>
      <c r="U62" s="244">
        <v>3978</v>
      </c>
      <c r="V62" s="248">
        <f t="shared" si="36"/>
        <v>19.89</v>
      </c>
      <c r="W62" s="244">
        <v>12217</v>
      </c>
      <c r="X62" s="248">
        <f t="shared" si="37"/>
        <v>40.723333333333336</v>
      </c>
      <c r="Y62" s="244"/>
      <c r="Z62" s="248" t="str">
        <f t="shared" si="38"/>
        <v xml:space="preserve"> </v>
      </c>
      <c r="AA62" s="244"/>
      <c r="AB62" s="248" t="str">
        <f t="shared" si="39"/>
        <v xml:space="preserve"> </v>
      </c>
      <c r="AC62" s="244"/>
      <c r="AD62" s="248" t="str">
        <f t="shared" si="40"/>
        <v xml:space="preserve"> </v>
      </c>
      <c r="AE62" s="244"/>
      <c r="AF62" s="248" t="str">
        <f t="shared" si="41"/>
        <v xml:space="preserve"> </v>
      </c>
      <c r="AG62" s="244">
        <v>1019</v>
      </c>
      <c r="AH62" s="248">
        <f t="shared" si="42"/>
        <v>4.2635983263598325</v>
      </c>
      <c r="AI62" s="244">
        <v>274</v>
      </c>
      <c r="AJ62" s="248">
        <f t="shared" si="43"/>
        <v>1.4810810810810811</v>
      </c>
      <c r="AK62" s="244"/>
      <c r="AL62" s="248" t="str">
        <f t="shared" si="44"/>
        <v xml:space="preserve"> </v>
      </c>
      <c r="AM62" s="244"/>
      <c r="AN62" s="248" t="str">
        <f t="shared" si="45"/>
        <v xml:space="preserve"> </v>
      </c>
      <c r="AO62" s="244"/>
      <c r="AP62" s="248" t="str">
        <f t="shared" si="46"/>
        <v xml:space="preserve"> </v>
      </c>
      <c r="AQ62" s="244"/>
      <c r="AR62" s="248" t="str">
        <f t="shared" si="47"/>
        <v xml:space="preserve"> </v>
      </c>
      <c r="AS62" s="244"/>
      <c r="AT62" s="248" t="str">
        <f t="shared" si="48"/>
        <v xml:space="preserve"> </v>
      </c>
      <c r="AU62" s="244"/>
      <c r="AV62" s="248" t="str">
        <f t="shared" si="49"/>
        <v xml:space="preserve"> </v>
      </c>
      <c r="AW62" s="244"/>
      <c r="AX62" s="248" t="str">
        <f t="shared" si="50"/>
        <v xml:space="preserve"> </v>
      </c>
      <c r="AY62" s="244"/>
      <c r="AZ62" s="254" t="str">
        <f t="shared" si="51"/>
        <v xml:space="preserve"> </v>
      </c>
    </row>
    <row r="63" spans="2:52" ht="14.45" thickTop="1">
      <c r="B63" s="230" t="s">
        <v>1782</v>
      </c>
      <c r="C63" s="263">
        <f t="shared" si="54"/>
        <v>219298.5925</v>
      </c>
      <c r="D63" s="261">
        <f t="shared" si="55"/>
        <v>1197.1003048978946</v>
      </c>
      <c r="E63" s="242">
        <f>IFERROR(IF(SUM(E57:E62)&gt;0,SUM(E57:E62)," ")," ")</f>
        <v>136720</v>
      </c>
      <c r="F63" s="241">
        <f t="shared" si="25"/>
        <v>962.81690140845069</v>
      </c>
      <c r="G63" s="242">
        <f>IFERROR(IF(SUM(G57:G62)&gt;0,SUM(G57:G62)," ")," ")</f>
        <v>179915</v>
      </c>
      <c r="H63" s="241">
        <f t="shared" si="29"/>
        <v>1124.46875</v>
      </c>
      <c r="I63" s="242">
        <f>IFERROR(IF(SUM(I57:I62)&gt;0,SUM(I57:I62)," ")," ")</f>
        <v>143473.59999999998</v>
      </c>
      <c r="J63" s="241">
        <f t="shared" si="30"/>
        <v>937.73594771241812</v>
      </c>
      <c r="K63" s="242">
        <f>IFERROR(IF(SUM(K57:K62)&gt;0,SUM(K57:K62)," ")," ")</f>
        <v>298934</v>
      </c>
      <c r="L63" s="241">
        <f t="shared" si="31"/>
        <v>1556.9479166666667</v>
      </c>
      <c r="M63" s="242">
        <f>IFERROR(IF(SUM(M57:M62)&gt;0,SUM(M57:M62)," ")," ")</f>
        <v>323466</v>
      </c>
      <c r="N63" s="241">
        <f t="shared" si="32"/>
        <v>1757.9673913043478</v>
      </c>
      <c r="O63" s="242">
        <f>IFERROR(IF(SUM(O57:O62)&gt;0,SUM(O57:O62)," ")," ")</f>
        <v>412296</v>
      </c>
      <c r="P63" s="241">
        <f t="shared" si="33"/>
        <v>2576.85</v>
      </c>
      <c r="Q63" s="242">
        <f>IFERROR(IF(SUM(Q57:Q62)&gt;0,SUM(Q57:Q62)," ")," ")</f>
        <v>243939.37</v>
      </c>
      <c r="R63" s="241">
        <f t="shared" si="34"/>
        <v>1129.3489351851852</v>
      </c>
      <c r="S63" s="242">
        <f>IFERROR(IF(SUM(S57:S62)&gt;0,SUM(S57:S62)," ")," ")</f>
        <v>33701</v>
      </c>
      <c r="T63" s="241">
        <f t="shared" si="35"/>
        <v>112.33666666666667</v>
      </c>
      <c r="U63" s="242">
        <f>IFERROR(IF(SUM(U57:U62)&gt;0,SUM(U57:U62)," ")," ")</f>
        <v>160464</v>
      </c>
      <c r="V63" s="241">
        <f t="shared" si="36"/>
        <v>802.32</v>
      </c>
      <c r="W63" s="242">
        <f>IFERROR(IF(SUM(W57:W62)&gt;0,SUM(W57:W62)," ")," ")</f>
        <v>135441.60999999999</v>
      </c>
      <c r="X63" s="241">
        <f t="shared" si="37"/>
        <v>451.47203333333329</v>
      </c>
      <c r="Y63" s="242">
        <f>IFERROR(IF(SUM(Y57:Y62)&gt;0,SUM(Y57:Y62)," ")," ")</f>
        <v>271680.11</v>
      </c>
      <c r="Z63" s="241">
        <f t="shared" si="38"/>
        <v>970.28610714285708</v>
      </c>
      <c r="AA63" s="242">
        <f>IFERROR(IF(SUM(AA57:AA62)&gt;0,SUM(AA57:AA62)," ")," ")</f>
        <v>285638.46000000002</v>
      </c>
      <c r="AB63" s="241">
        <f t="shared" si="39"/>
        <v>1641.6003448275862</v>
      </c>
      <c r="AC63" s="242">
        <f>IFERROR(IF(SUM(AC57:AC62)&gt;0,SUM(AC57:AC62)," ")," ")</f>
        <v>268999</v>
      </c>
      <c r="AD63" s="241">
        <f t="shared" si="40"/>
        <v>1528.403409090909</v>
      </c>
      <c r="AE63" s="242">
        <f>IFERROR(IF(SUM(AE57:AE62)&gt;0,SUM(AE57:AE62)," ")," ")</f>
        <v>234852.33000000002</v>
      </c>
      <c r="AF63" s="241">
        <f t="shared" si="41"/>
        <v>1752.629328358209</v>
      </c>
      <c r="AG63" s="242">
        <f>IFERROR(IF(SUM(AG57:AG62)&gt;0,SUM(AG57:AG62)," ")," ")</f>
        <v>165083</v>
      </c>
      <c r="AH63" s="241">
        <f t="shared" si="42"/>
        <v>690.72384937238496</v>
      </c>
      <c r="AI63" s="242">
        <f>IFERROR(IF(SUM(AI57:AI62)&gt;0,SUM(AI57:AI62)," ")," ")</f>
        <v>214174</v>
      </c>
      <c r="AJ63" s="241">
        <f t="shared" si="43"/>
        <v>1157.6972972972974</v>
      </c>
      <c r="AK63" s="242" t="str">
        <f>IFERROR(IF(SUM(AK57:AK62)&gt;0,SUM(AK57:AK62)," ")," ")</f>
        <v xml:space="preserve"> </v>
      </c>
      <c r="AL63" s="241" t="str">
        <f t="shared" si="44"/>
        <v xml:space="preserve"> </v>
      </c>
      <c r="AM63" s="242" t="str">
        <f>IFERROR(IF(SUM(AM57:AM62)&gt;0,SUM(AM57:AM62)," ")," ")</f>
        <v xml:space="preserve"> </v>
      </c>
      <c r="AN63" s="241" t="str">
        <f t="shared" si="45"/>
        <v xml:space="preserve"> </v>
      </c>
      <c r="AO63" s="242" t="str">
        <f>IFERROR(IF(SUM(AO57:AO62)&gt;0,SUM(AO57:AO62)," ")," ")</f>
        <v xml:space="preserve"> </v>
      </c>
      <c r="AP63" s="241" t="str">
        <f t="shared" si="46"/>
        <v xml:space="preserve"> </v>
      </c>
      <c r="AQ63" s="242" t="str">
        <f>IFERROR(IF(SUM(AQ57:AQ62)&gt;0,SUM(AQ57:AQ62)," ")," ")</f>
        <v xml:space="preserve"> </v>
      </c>
      <c r="AR63" s="241" t="str">
        <f t="shared" si="47"/>
        <v xml:space="preserve"> </v>
      </c>
      <c r="AS63" s="242" t="str">
        <f>IFERROR(IF(SUM(AS57:AS62)&gt;0,SUM(AS57:AS62)," ")," ")</f>
        <v xml:space="preserve"> </v>
      </c>
      <c r="AT63" s="241" t="str">
        <f t="shared" si="48"/>
        <v xml:space="preserve"> </v>
      </c>
      <c r="AU63" s="242" t="str">
        <f>IFERROR(IF(SUM(AU57:AU62)&gt;0,SUM(AU57:AU62)," ")," ")</f>
        <v xml:space="preserve"> </v>
      </c>
      <c r="AV63" s="241" t="str">
        <f t="shared" si="49"/>
        <v xml:space="preserve"> </v>
      </c>
      <c r="AW63" s="242" t="str">
        <f>IFERROR(IF(SUM(AW57:AW62)&gt;0,SUM(AW57:AW62)," ")," ")</f>
        <v xml:space="preserve"> </v>
      </c>
      <c r="AX63" s="241" t="str">
        <f t="shared" si="50"/>
        <v xml:space="preserve"> </v>
      </c>
      <c r="AY63" s="242" t="str">
        <f>IFERROR(IF(SUM(AY57:AY62)&gt;0,SUM(AY57:AY62)," ")," ")</f>
        <v xml:space="preserve"> </v>
      </c>
      <c r="AZ63" s="253" t="str">
        <f t="shared" si="51"/>
        <v xml:space="preserve"> </v>
      </c>
    </row>
    <row r="64" spans="2:52" ht="5.0999999999999996" customHeight="1">
      <c r="B64" s="220"/>
      <c r="C64" s="235"/>
      <c r="D64" s="236"/>
      <c r="E64" s="242"/>
      <c r="F64" s="241" t="str">
        <f t="shared" si="25"/>
        <v xml:space="preserve"> </v>
      </c>
      <c r="G64" s="242"/>
      <c r="H64" s="241" t="str">
        <f t="shared" si="29"/>
        <v xml:space="preserve"> </v>
      </c>
      <c r="I64" s="242"/>
      <c r="J64" s="241" t="str">
        <f t="shared" si="30"/>
        <v xml:space="preserve"> </v>
      </c>
      <c r="K64" s="242"/>
      <c r="L64" s="241" t="str">
        <f t="shared" si="31"/>
        <v xml:space="preserve"> </v>
      </c>
      <c r="M64" s="242"/>
      <c r="N64" s="241" t="str">
        <f t="shared" si="32"/>
        <v xml:space="preserve"> </v>
      </c>
      <c r="O64" s="242"/>
      <c r="P64" s="241" t="str">
        <f t="shared" si="33"/>
        <v xml:space="preserve"> </v>
      </c>
      <c r="Q64" s="242"/>
      <c r="R64" s="241" t="str">
        <f t="shared" si="34"/>
        <v xml:space="preserve"> </v>
      </c>
      <c r="S64" s="242"/>
      <c r="T64" s="241" t="str">
        <f t="shared" si="35"/>
        <v xml:space="preserve"> </v>
      </c>
      <c r="U64" s="242"/>
      <c r="V64" s="241" t="str">
        <f t="shared" si="36"/>
        <v xml:space="preserve"> </v>
      </c>
      <c r="W64" s="242"/>
      <c r="X64" s="241" t="str">
        <f t="shared" si="37"/>
        <v xml:space="preserve"> </v>
      </c>
      <c r="Y64" s="242"/>
      <c r="Z64" s="241" t="str">
        <f t="shared" si="38"/>
        <v xml:space="preserve"> </v>
      </c>
      <c r="AA64" s="242"/>
      <c r="AB64" s="241" t="str">
        <f t="shared" si="39"/>
        <v xml:space="preserve"> </v>
      </c>
      <c r="AC64" s="242"/>
      <c r="AD64" s="241" t="str">
        <f t="shared" si="40"/>
        <v xml:space="preserve"> </v>
      </c>
      <c r="AE64" s="242"/>
      <c r="AF64" s="241" t="str">
        <f t="shared" si="41"/>
        <v xml:space="preserve"> </v>
      </c>
      <c r="AG64" s="242"/>
      <c r="AH64" s="241" t="str">
        <f t="shared" si="42"/>
        <v xml:space="preserve"> </v>
      </c>
      <c r="AI64" s="242"/>
      <c r="AJ64" s="241" t="str">
        <f t="shared" si="43"/>
        <v xml:space="preserve"> </v>
      </c>
      <c r="AK64" s="242"/>
      <c r="AL64" s="241" t="str">
        <f t="shared" si="44"/>
        <v xml:space="preserve"> </v>
      </c>
      <c r="AM64" s="242"/>
      <c r="AN64" s="241" t="str">
        <f t="shared" si="45"/>
        <v xml:space="preserve"> </v>
      </c>
      <c r="AO64" s="242"/>
      <c r="AP64" s="241" t="str">
        <f t="shared" si="46"/>
        <v xml:space="preserve"> </v>
      </c>
      <c r="AQ64" s="242"/>
      <c r="AR64" s="241" t="str">
        <f t="shared" si="47"/>
        <v xml:space="preserve"> </v>
      </c>
      <c r="AS64" s="242"/>
      <c r="AT64" s="241" t="str">
        <f t="shared" si="48"/>
        <v xml:space="preserve"> </v>
      </c>
      <c r="AU64" s="242"/>
      <c r="AV64" s="241" t="str">
        <f t="shared" si="49"/>
        <v xml:space="preserve"> </v>
      </c>
      <c r="AW64" s="242"/>
      <c r="AX64" s="241" t="str">
        <f t="shared" si="50"/>
        <v xml:space="preserve"> </v>
      </c>
      <c r="AY64" s="242"/>
      <c r="AZ64" s="253" t="str">
        <f t="shared" si="51"/>
        <v xml:space="preserve"> </v>
      </c>
    </row>
    <row r="65" spans="2:52">
      <c r="B65" s="230" t="s">
        <v>1783</v>
      </c>
      <c r="C65" s="235"/>
      <c r="D65" s="236"/>
      <c r="E65" s="242"/>
      <c r="F65" s="241" t="str">
        <f t="shared" si="25"/>
        <v xml:space="preserve"> </v>
      </c>
      <c r="G65" s="242"/>
      <c r="H65" s="241" t="str">
        <f t="shared" si="29"/>
        <v xml:space="preserve"> </v>
      </c>
      <c r="I65" s="242"/>
      <c r="J65" s="241" t="str">
        <f t="shared" si="30"/>
        <v xml:space="preserve"> </v>
      </c>
      <c r="K65" s="242"/>
      <c r="L65" s="241" t="str">
        <f t="shared" si="31"/>
        <v xml:space="preserve"> </v>
      </c>
      <c r="M65" s="242"/>
      <c r="N65" s="241" t="str">
        <f t="shared" si="32"/>
        <v xml:space="preserve"> </v>
      </c>
      <c r="O65" s="242"/>
      <c r="P65" s="241" t="str">
        <f t="shared" si="33"/>
        <v xml:space="preserve"> </v>
      </c>
      <c r="Q65" s="242"/>
      <c r="R65" s="241" t="str">
        <f t="shared" si="34"/>
        <v xml:space="preserve"> </v>
      </c>
      <c r="S65" s="242"/>
      <c r="T65" s="241" t="str">
        <f t="shared" si="35"/>
        <v xml:space="preserve"> </v>
      </c>
      <c r="U65" s="242"/>
      <c r="V65" s="241" t="str">
        <f t="shared" si="36"/>
        <v xml:space="preserve"> </v>
      </c>
      <c r="W65" s="242"/>
      <c r="X65" s="241" t="str">
        <f t="shared" si="37"/>
        <v xml:space="preserve"> </v>
      </c>
      <c r="Y65" s="242"/>
      <c r="Z65" s="241" t="str">
        <f t="shared" si="38"/>
        <v xml:space="preserve"> </v>
      </c>
      <c r="AA65" s="242"/>
      <c r="AB65" s="241" t="str">
        <f t="shared" si="39"/>
        <v xml:space="preserve"> </v>
      </c>
      <c r="AC65" s="242"/>
      <c r="AD65" s="241" t="str">
        <f t="shared" si="40"/>
        <v xml:space="preserve"> </v>
      </c>
      <c r="AE65" s="242"/>
      <c r="AF65" s="241" t="str">
        <f t="shared" si="41"/>
        <v xml:space="preserve"> </v>
      </c>
      <c r="AG65" s="242"/>
      <c r="AH65" s="241" t="str">
        <f t="shared" si="42"/>
        <v xml:space="preserve"> </v>
      </c>
      <c r="AI65" s="242"/>
      <c r="AJ65" s="241" t="str">
        <f t="shared" si="43"/>
        <v xml:space="preserve"> </v>
      </c>
      <c r="AK65" s="242"/>
      <c r="AL65" s="241" t="str">
        <f t="shared" si="44"/>
        <v xml:space="preserve"> </v>
      </c>
      <c r="AM65" s="242"/>
      <c r="AN65" s="241" t="str">
        <f t="shared" si="45"/>
        <v xml:space="preserve"> </v>
      </c>
      <c r="AO65" s="242"/>
      <c r="AP65" s="241" t="str">
        <f t="shared" si="46"/>
        <v xml:space="preserve"> </v>
      </c>
      <c r="AQ65" s="242"/>
      <c r="AR65" s="241" t="str">
        <f t="shared" si="47"/>
        <v xml:space="preserve"> </v>
      </c>
      <c r="AS65" s="242"/>
      <c r="AT65" s="241" t="str">
        <f t="shared" si="48"/>
        <v xml:space="preserve"> </v>
      </c>
      <c r="AU65" s="242"/>
      <c r="AV65" s="241" t="str">
        <f t="shared" si="49"/>
        <v xml:space="preserve"> </v>
      </c>
      <c r="AW65" s="242"/>
      <c r="AX65" s="241" t="str">
        <f t="shared" si="50"/>
        <v xml:space="preserve"> </v>
      </c>
      <c r="AY65" s="242"/>
      <c r="AZ65" s="253" t="str">
        <f t="shared" si="51"/>
        <v xml:space="preserve"> </v>
      </c>
    </row>
    <row r="66" spans="2:52">
      <c r="B66" s="220" t="s">
        <v>1784</v>
      </c>
      <c r="C66" s="263">
        <f t="shared" ref="C66:D68" si="56">IFERROR(AVERAGE(E66,G66,I66,K66,M66,O66,Q66,S66,U66,W66,Y66,AA66,AC66,AE66,AG66,AI66,AK66,AM66,AO66,AQ66,AS66,AU66,AW66,AY66),0)</f>
        <v>181158.67066666667</v>
      </c>
      <c r="D66" s="261">
        <f t="shared" si="56"/>
        <v>994.16145311928233</v>
      </c>
      <c r="E66" s="242">
        <v>115489</v>
      </c>
      <c r="F66" s="241">
        <f t="shared" si="25"/>
        <v>813.30281690140851</v>
      </c>
      <c r="G66" s="242">
        <v>191588</v>
      </c>
      <c r="H66" s="241">
        <f t="shared" si="29"/>
        <v>1197.425</v>
      </c>
      <c r="I66" s="242">
        <v>313572.31</v>
      </c>
      <c r="J66" s="241">
        <f t="shared" si="30"/>
        <v>2049.4922222222222</v>
      </c>
      <c r="K66" s="242">
        <v>152125</v>
      </c>
      <c r="L66" s="241">
        <f t="shared" si="31"/>
        <v>792.31770833333337</v>
      </c>
      <c r="M66" s="242">
        <v>201348</v>
      </c>
      <c r="N66" s="241">
        <f t="shared" si="32"/>
        <v>1094.2826086956522</v>
      </c>
      <c r="O66" s="242">
        <v>182221</v>
      </c>
      <c r="P66" s="241">
        <f t="shared" si="33"/>
        <v>1138.8812499999999</v>
      </c>
      <c r="Q66" s="242"/>
      <c r="R66" s="241" t="str">
        <f t="shared" si="34"/>
        <v xml:space="preserve"> </v>
      </c>
      <c r="S66" s="242">
        <v>58694</v>
      </c>
      <c r="T66" s="241">
        <f t="shared" si="35"/>
        <v>195.64666666666668</v>
      </c>
      <c r="U66" s="242">
        <v>226507</v>
      </c>
      <c r="V66" s="241">
        <f t="shared" si="36"/>
        <v>1132.5350000000001</v>
      </c>
      <c r="W66" s="242">
        <v>128936.72</v>
      </c>
      <c r="X66" s="241">
        <f t="shared" si="37"/>
        <v>429.78906666666666</v>
      </c>
      <c r="Y66" s="242">
        <v>279459.40999999997</v>
      </c>
      <c r="Z66" s="241">
        <f t="shared" si="38"/>
        <v>998.06932142857136</v>
      </c>
      <c r="AA66" s="242">
        <v>213257.65</v>
      </c>
      <c r="AB66" s="241">
        <f t="shared" si="39"/>
        <v>1225.6186781609194</v>
      </c>
      <c r="AC66" s="242">
        <v>205872</v>
      </c>
      <c r="AD66" s="241">
        <f t="shared" si="40"/>
        <v>1169.7272727272727</v>
      </c>
      <c r="AE66" s="242">
        <v>190550.97</v>
      </c>
      <c r="AF66" s="241">
        <f t="shared" si="41"/>
        <v>1422.0221641791045</v>
      </c>
      <c r="AG66" s="242">
        <v>114615</v>
      </c>
      <c r="AH66" s="241">
        <f t="shared" si="42"/>
        <v>479.56066945606693</v>
      </c>
      <c r="AI66" s="242">
        <v>143144</v>
      </c>
      <c r="AJ66" s="241">
        <f t="shared" si="43"/>
        <v>773.75135135135133</v>
      </c>
      <c r="AK66" s="242"/>
      <c r="AL66" s="241" t="str">
        <f t="shared" si="44"/>
        <v xml:space="preserve"> </v>
      </c>
      <c r="AM66" s="242"/>
      <c r="AN66" s="241" t="str">
        <f t="shared" si="45"/>
        <v xml:space="preserve"> </v>
      </c>
      <c r="AO66" s="242"/>
      <c r="AP66" s="241" t="str">
        <f t="shared" si="46"/>
        <v xml:space="preserve"> </v>
      </c>
      <c r="AQ66" s="242"/>
      <c r="AR66" s="241" t="str">
        <f t="shared" si="47"/>
        <v xml:space="preserve"> </v>
      </c>
      <c r="AS66" s="242"/>
      <c r="AT66" s="241" t="str">
        <f t="shared" si="48"/>
        <v xml:space="preserve"> </v>
      </c>
      <c r="AU66" s="242"/>
      <c r="AV66" s="241" t="str">
        <f t="shared" si="49"/>
        <v xml:space="preserve"> </v>
      </c>
      <c r="AW66" s="242"/>
      <c r="AX66" s="241" t="str">
        <f t="shared" si="50"/>
        <v xml:space="preserve"> </v>
      </c>
      <c r="AY66" s="242"/>
      <c r="AZ66" s="253" t="str">
        <f t="shared" si="51"/>
        <v xml:space="preserve"> </v>
      </c>
    </row>
    <row r="67" spans="2:52" ht="14.45" thickBot="1">
      <c r="B67" s="231" t="s">
        <v>1785</v>
      </c>
      <c r="C67" s="264">
        <f t="shared" si="56"/>
        <v>105408.78272727272</v>
      </c>
      <c r="D67" s="262">
        <f t="shared" si="56"/>
        <v>640.97428698545002</v>
      </c>
      <c r="E67" s="244">
        <v>61485</v>
      </c>
      <c r="F67" s="248">
        <f t="shared" si="25"/>
        <v>432.99295774647885</v>
      </c>
      <c r="G67" s="244"/>
      <c r="H67" s="248" t="str">
        <f t="shared" si="29"/>
        <v xml:space="preserve"> </v>
      </c>
      <c r="I67" s="244">
        <v>196865.39</v>
      </c>
      <c r="J67" s="248">
        <f t="shared" si="30"/>
        <v>1286.7018954248367</v>
      </c>
      <c r="K67" s="244">
        <v>119910</v>
      </c>
      <c r="L67" s="248">
        <f t="shared" si="31"/>
        <v>624.53125</v>
      </c>
      <c r="M67" s="244">
        <v>271701</v>
      </c>
      <c r="N67" s="248">
        <f t="shared" si="32"/>
        <v>1476.6358695652175</v>
      </c>
      <c r="O67" s="244">
        <v>185244</v>
      </c>
      <c r="P67" s="248">
        <f t="shared" si="33"/>
        <v>1157.7750000000001</v>
      </c>
      <c r="Q67" s="244"/>
      <c r="R67" s="248" t="str">
        <f t="shared" si="34"/>
        <v xml:space="preserve"> </v>
      </c>
      <c r="S67" s="244"/>
      <c r="T67" s="248" t="str">
        <f t="shared" si="35"/>
        <v xml:space="preserve"> </v>
      </c>
      <c r="U67" s="244">
        <v>18879</v>
      </c>
      <c r="V67" s="248">
        <f t="shared" si="36"/>
        <v>94.394999999999996</v>
      </c>
      <c r="W67" s="244">
        <v>462</v>
      </c>
      <c r="X67" s="248">
        <f t="shared" si="37"/>
        <v>1.54</v>
      </c>
      <c r="Y67" s="244"/>
      <c r="Z67" s="248" t="str">
        <f t="shared" si="38"/>
        <v xml:space="preserve"> </v>
      </c>
      <c r="AA67" s="244">
        <v>159428.35999999999</v>
      </c>
      <c r="AB67" s="248">
        <f t="shared" si="39"/>
        <v>916.25494252873557</v>
      </c>
      <c r="AC67" s="244">
        <v>1469</v>
      </c>
      <c r="AD67" s="248">
        <f t="shared" si="40"/>
        <v>8.3465909090909083</v>
      </c>
      <c r="AE67" s="244">
        <v>132640.85999999999</v>
      </c>
      <c r="AF67" s="248">
        <f t="shared" si="41"/>
        <v>989.85716417910442</v>
      </c>
      <c r="AG67" s="244"/>
      <c r="AH67" s="248" t="str">
        <f t="shared" si="42"/>
        <v xml:space="preserve"> </v>
      </c>
      <c r="AI67" s="244">
        <v>11412</v>
      </c>
      <c r="AJ67" s="248">
        <f t="shared" si="43"/>
        <v>61.686486486486487</v>
      </c>
      <c r="AK67" s="244"/>
      <c r="AL67" s="248" t="str">
        <f t="shared" si="44"/>
        <v xml:space="preserve"> </v>
      </c>
      <c r="AM67" s="244"/>
      <c r="AN67" s="248" t="str">
        <f t="shared" si="45"/>
        <v xml:space="preserve"> </v>
      </c>
      <c r="AO67" s="244"/>
      <c r="AP67" s="248" t="str">
        <f t="shared" si="46"/>
        <v xml:space="preserve"> </v>
      </c>
      <c r="AQ67" s="244"/>
      <c r="AR67" s="248" t="str">
        <f t="shared" si="47"/>
        <v xml:space="preserve"> </v>
      </c>
      <c r="AS67" s="244"/>
      <c r="AT67" s="248" t="str">
        <f t="shared" si="48"/>
        <v xml:space="preserve"> </v>
      </c>
      <c r="AU67" s="244"/>
      <c r="AV67" s="248" t="str">
        <f t="shared" si="49"/>
        <v xml:space="preserve"> </v>
      </c>
      <c r="AW67" s="244"/>
      <c r="AX67" s="248" t="str">
        <f t="shared" si="50"/>
        <v xml:space="preserve"> </v>
      </c>
      <c r="AY67" s="244"/>
      <c r="AZ67" s="254" t="str">
        <f t="shared" si="51"/>
        <v xml:space="preserve"> </v>
      </c>
    </row>
    <row r="68" spans="2:52" ht="14.45" thickTop="1">
      <c r="B68" s="230" t="s">
        <v>1786</v>
      </c>
      <c r="C68" s="263">
        <f t="shared" si="56"/>
        <v>258458.44466666674</v>
      </c>
      <c r="D68" s="261">
        <f t="shared" si="56"/>
        <v>1464.209263575279</v>
      </c>
      <c r="E68" s="242">
        <f>IFERROR(IF(SUM(E66:E67)&gt;0,SUM(E66:E67)," ")," ")</f>
        <v>176974</v>
      </c>
      <c r="F68" s="241">
        <f t="shared" si="25"/>
        <v>1246.2957746478874</v>
      </c>
      <c r="G68" s="242">
        <f>IFERROR(IF(SUM(G66:G67)&gt;0,SUM(G66:G67)," ")," ")</f>
        <v>191588</v>
      </c>
      <c r="H68" s="241">
        <f t="shared" si="29"/>
        <v>1197.425</v>
      </c>
      <c r="I68" s="242">
        <f>IFERROR(IF(SUM(I66:I67)&gt;0,SUM(I66:I67)," ")," ")</f>
        <v>510437.7</v>
      </c>
      <c r="J68" s="241">
        <f t="shared" si="30"/>
        <v>3336.1941176470591</v>
      </c>
      <c r="K68" s="242">
        <f>IFERROR(IF(SUM(K66:K67)&gt;0,SUM(K66:K67)," ")," ")</f>
        <v>272035</v>
      </c>
      <c r="L68" s="241">
        <f t="shared" si="31"/>
        <v>1416.8489583333333</v>
      </c>
      <c r="M68" s="242">
        <f>IFERROR(IF(SUM(M66:M67)&gt;0,SUM(M66:M67)," ")," ")</f>
        <v>473049</v>
      </c>
      <c r="N68" s="241">
        <f t="shared" si="32"/>
        <v>2570.9184782608695</v>
      </c>
      <c r="O68" s="242">
        <f>IFERROR(IF(SUM(O66:O67)&gt;0,SUM(O66:O67)," ")," ")</f>
        <v>367465</v>
      </c>
      <c r="P68" s="241">
        <f t="shared" si="33"/>
        <v>2296.65625</v>
      </c>
      <c r="Q68" s="242" t="str">
        <f>IFERROR(IF(SUM(Q66:Q67)&gt;0,SUM(Q66:Q67)," ")," ")</f>
        <v xml:space="preserve"> </v>
      </c>
      <c r="R68" s="241" t="str">
        <f t="shared" si="34"/>
        <v xml:space="preserve"> </v>
      </c>
      <c r="S68" s="242">
        <f>IFERROR(IF(SUM(S66:S67)&gt;0,SUM(S66:S67)," ")," ")</f>
        <v>58694</v>
      </c>
      <c r="T68" s="241">
        <f t="shared" si="35"/>
        <v>195.64666666666668</v>
      </c>
      <c r="U68" s="242">
        <f>IFERROR(IF(SUM(U66:U67)&gt;0,SUM(U66:U67)," ")," ")</f>
        <v>245386</v>
      </c>
      <c r="V68" s="241">
        <f t="shared" si="36"/>
        <v>1226.93</v>
      </c>
      <c r="W68" s="242">
        <f>IFERROR(IF(SUM(W66:W67)&gt;0,SUM(W66:W67)," ")," ")</f>
        <v>129398.72</v>
      </c>
      <c r="X68" s="241">
        <f t="shared" si="37"/>
        <v>431.32906666666668</v>
      </c>
      <c r="Y68" s="242">
        <f>IFERROR(IF(SUM(Y66:Y67)&gt;0,SUM(Y66:Y67)," ")," ")</f>
        <v>279459.40999999997</v>
      </c>
      <c r="Z68" s="241">
        <f t="shared" si="38"/>
        <v>998.06932142857136</v>
      </c>
      <c r="AA68" s="242">
        <f>IFERROR(IF(SUM(AA66:AA67)&gt;0,SUM(AA66:AA67)," ")," ")</f>
        <v>372686.01</v>
      </c>
      <c r="AB68" s="241">
        <f t="shared" si="39"/>
        <v>2141.8736206896551</v>
      </c>
      <c r="AC68" s="242">
        <f>IFERROR(IF(SUM(AC66:AC67)&gt;0,SUM(AC66:AC67)," ")," ")</f>
        <v>207341</v>
      </c>
      <c r="AD68" s="241">
        <f t="shared" si="40"/>
        <v>1178.0738636363637</v>
      </c>
      <c r="AE68" s="242">
        <f>IFERROR(IF(SUM(AE66:AE67)&gt;0,SUM(AE66:AE67)," ")," ")</f>
        <v>323191.82999999996</v>
      </c>
      <c r="AF68" s="241">
        <f t="shared" si="41"/>
        <v>2411.8793283582086</v>
      </c>
      <c r="AG68" s="242">
        <f>IFERROR(IF(SUM(AG66:AG67)&gt;0,SUM(AG66:AG67)," ")," ")</f>
        <v>114615</v>
      </c>
      <c r="AH68" s="241">
        <f t="shared" si="42"/>
        <v>479.56066945606693</v>
      </c>
      <c r="AI68" s="242">
        <f>IFERROR(IF(SUM(AI66:AI67)&gt;0,SUM(AI66:AI67)," ")," ")</f>
        <v>154556</v>
      </c>
      <c r="AJ68" s="241">
        <f t="shared" si="43"/>
        <v>835.43783783783783</v>
      </c>
      <c r="AK68" s="242" t="str">
        <f>IFERROR(IF(SUM(AK66:AK67)&gt;0,SUM(AK66:AK67)," ")," ")</f>
        <v xml:space="preserve"> </v>
      </c>
      <c r="AL68" s="241" t="str">
        <f t="shared" si="44"/>
        <v xml:space="preserve"> </v>
      </c>
      <c r="AM68" s="242" t="str">
        <f>IFERROR(IF(SUM(AM66:AM67)&gt;0,SUM(AM66:AM67)," ")," ")</f>
        <v xml:space="preserve"> </v>
      </c>
      <c r="AN68" s="241" t="str">
        <f t="shared" si="45"/>
        <v xml:space="preserve"> </v>
      </c>
      <c r="AO68" s="242" t="str">
        <f>IFERROR(IF(SUM(AO66:AO67)&gt;0,SUM(AO66:AO67)," ")," ")</f>
        <v xml:space="preserve"> </v>
      </c>
      <c r="AP68" s="241" t="str">
        <f t="shared" si="46"/>
        <v xml:space="preserve"> </v>
      </c>
      <c r="AQ68" s="242" t="str">
        <f>IFERROR(IF(SUM(AQ66:AQ67)&gt;0,SUM(AQ66:AQ67)," ")," ")</f>
        <v xml:space="preserve"> </v>
      </c>
      <c r="AR68" s="241" t="str">
        <f t="shared" si="47"/>
        <v xml:space="preserve"> </v>
      </c>
      <c r="AS68" s="242" t="str">
        <f>IFERROR(IF(SUM(AS66:AS67)&gt;0,SUM(AS66:AS67)," ")," ")</f>
        <v xml:space="preserve"> </v>
      </c>
      <c r="AT68" s="241" t="str">
        <f t="shared" si="48"/>
        <v xml:space="preserve"> </v>
      </c>
      <c r="AU68" s="242" t="str">
        <f>IFERROR(IF(SUM(AU66:AU67)&gt;0,SUM(AU66:AU67)," ")," ")</f>
        <v xml:space="preserve"> </v>
      </c>
      <c r="AV68" s="241" t="str">
        <f t="shared" si="49"/>
        <v xml:space="preserve"> </v>
      </c>
      <c r="AW68" s="242" t="str">
        <f>IFERROR(IF(SUM(AW66:AW67)&gt;0,SUM(AW66:AW67)," ")," ")</f>
        <v xml:space="preserve"> </v>
      </c>
      <c r="AX68" s="241" t="str">
        <f t="shared" si="50"/>
        <v xml:space="preserve"> </v>
      </c>
      <c r="AY68" s="242" t="str">
        <f>IFERROR(IF(SUM(AY66:AY67)&gt;0,SUM(AY66:AY67)," ")," ")</f>
        <v xml:space="preserve"> </v>
      </c>
      <c r="AZ68" s="253" t="str">
        <f t="shared" si="51"/>
        <v xml:space="preserve"> </v>
      </c>
    </row>
    <row r="69" spans="2:52" ht="5.0999999999999996" customHeight="1">
      <c r="B69" s="220"/>
      <c r="C69" s="235"/>
      <c r="D69" s="236"/>
      <c r="E69" s="242"/>
      <c r="F69" s="241" t="str">
        <f t="shared" si="25"/>
        <v xml:space="preserve"> </v>
      </c>
      <c r="G69" s="242"/>
      <c r="H69" s="241" t="str">
        <f t="shared" si="29"/>
        <v xml:space="preserve"> </v>
      </c>
      <c r="I69" s="242"/>
      <c r="J69" s="241" t="str">
        <f t="shared" si="30"/>
        <v xml:space="preserve"> </v>
      </c>
      <c r="K69" s="242"/>
      <c r="L69" s="241" t="str">
        <f t="shared" si="31"/>
        <v xml:space="preserve"> </v>
      </c>
      <c r="M69" s="242"/>
      <c r="N69" s="241" t="str">
        <f t="shared" si="32"/>
        <v xml:space="preserve"> </v>
      </c>
      <c r="O69" s="242"/>
      <c r="P69" s="241" t="str">
        <f t="shared" si="33"/>
        <v xml:space="preserve"> </v>
      </c>
      <c r="Q69" s="242"/>
      <c r="R69" s="241" t="str">
        <f t="shared" si="34"/>
        <v xml:space="preserve"> </v>
      </c>
      <c r="S69" s="242"/>
      <c r="T69" s="241" t="str">
        <f t="shared" si="35"/>
        <v xml:space="preserve"> </v>
      </c>
      <c r="U69" s="242"/>
      <c r="V69" s="241" t="str">
        <f t="shared" si="36"/>
        <v xml:space="preserve"> </v>
      </c>
      <c r="W69" s="242"/>
      <c r="X69" s="241" t="str">
        <f t="shared" si="37"/>
        <v xml:space="preserve"> </v>
      </c>
      <c r="Y69" s="242"/>
      <c r="Z69" s="241" t="str">
        <f t="shared" si="38"/>
        <v xml:space="preserve"> </v>
      </c>
      <c r="AA69" s="242"/>
      <c r="AB69" s="241" t="str">
        <f t="shared" si="39"/>
        <v xml:space="preserve"> </v>
      </c>
      <c r="AC69" s="242"/>
      <c r="AD69" s="241" t="str">
        <f t="shared" si="40"/>
        <v xml:space="preserve"> </v>
      </c>
      <c r="AE69" s="242"/>
      <c r="AF69" s="241" t="str">
        <f t="shared" si="41"/>
        <v xml:space="preserve"> </v>
      </c>
      <c r="AG69" s="242"/>
      <c r="AH69" s="241" t="str">
        <f t="shared" si="42"/>
        <v xml:space="preserve"> </v>
      </c>
      <c r="AI69" s="242"/>
      <c r="AJ69" s="241" t="str">
        <f t="shared" si="43"/>
        <v xml:space="preserve"> </v>
      </c>
      <c r="AK69" s="242"/>
      <c r="AL69" s="241" t="str">
        <f t="shared" si="44"/>
        <v xml:space="preserve"> </v>
      </c>
      <c r="AM69" s="242"/>
      <c r="AN69" s="241" t="str">
        <f t="shared" si="45"/>
        <v xml:space="preserve"> </v>
      </c>
      <c r="AO69" s="242"/>
      <c r="AP69" s="241" t="str">
        <f t="shared" si="46"/>
        <v xml:space="preserve"> </v>
      </c>
      <c r="AQ69" s="242"/>
      <c r="AR69" s="241" t="str">
        <f t="shared" si="47"/>
        <v xml:space="preserve"> </v>
      </c>
      <c r="AS69" s="242"/>
      <c r="AT69" s="241" t="str">
        <f t="shared" si="48"/>
        <v xml:space="preserve"> </v>
      </c>
      <c r="AU69" s="242"/>
      <c r="AV69" s="241" t="str">
        <f t="shared" si="49"/>
        <v xml:space="preserve"> </v>
      </c>
      <c r="AW69" s="242"/>
      <c r="AX69" s="241" t="str">
        <f t="shared" si="50"/>
        <v xml:space="preserve"> </v>
      </c>
      <c r="AY69" s="242"/>
      <c r="AZ69" s="253" t="str">
        <f t="shared" si="51"/>
        <v xml:space="preserve"> </v>
      </c>
    </row>
    <row r="70" spans="2:52">
      <c r="B70" s="230" t="s">
        <v>1787</v>
      </c>
      <c r="C70" s="235"/>
      <c r="D70" s="236"/>
      <c r="E70" s="242"/>
      <c r="F70" s="241" t="str">
        <f t="shared" si="25"/>
        <v xml:space="preserve"> </v>
      </c>
      <c r="G70" s="242"/>
      <c r="H70" s="241" t="str">
        <f t="shared" si="29"/>
        <v xml:space="preserve"> </v>
      </c>
      <c r="I70" s="242"/>
      <c r="J70" s="241" t="str">
        <f t="shared" si="30"/>
        <v xml:space="preserve"> </v>
      </c>
      <c r="K70" s="242"/>
      <c r="L70" s="241" t="str">
        <f t="shared" si="31"/>
        <v xml:space="preserve"> </v>
      </c>
      <c r="M70" s="242"/>
      <c r="N70" s="241" t="str">
        <f t="shared" si="32"/>
        <v xml:space="preserve"> </v>
      </c>
      <c r="O70" s="242"/>
      <c r="P70" s="241" t="str">
        <f t="shared" si="33"/>
        <v xml:space="preserve"> </v>
      </c>
      <c r="Q70" s="242"/>
      <c r="R70" s="241" t="str">
        <f t="shared" si="34"/>
        <v xml:space="preserve"> </v>
      </c>
      <c r="S70" s="242"/>
      <c r="T70" s="241" t="str">
        <f t="shared" si="35"/>
        <v xml:space="preserve"> </v>
      </c>
      <c r="U70" s="242"/>
      <c r="V70" s="241" t="str">
        <f t="shared" si="36"/>
        <v xml:space="preserve"> </v>
      </c>
      <c r="W70" s="242"/>
      <c r="X70" s="241" t="str">
        <f t="shared" si="37"/>
        <v xml:space="preserve"> </v>
      </c>
      <c r="Y70" s="242"/>
      <c r="Z70" s="241" t="str">
        <f t="shared" si="38"/>
        <v xml:space="preserve"> </v>
      </c>
      <c r="AA70" s="242"/>
      <c r="AB70" s="241" t="str">
        <f t="shared" si="39"/>
        <v xml:space="preserve"> </v>
      </c>
      <c r="AC70" s="242"/>
      <c r="AD70" s="241" t="str">
        <f t="shared" si="40"/>
        <v xml:space="preserve"> </v>
      </c>
      <c r="AE70" s="242"/>
      <c r="AF70" s="241" t="str">
        <f t="shared" si="41"/>
        <v xml:space="preserve"> </v>
      </c>
      <c r="AG70" s="242"/>
      <c r="AH70" s="241" t="str">
        <f t="shared" si="42"/>
        <v xml:space="preserve"> </v>
      </c>
      <c r="AI70" s="242"/>
      <c r="AJ70" s="241" t="str">
        <f t="shared" si="43"/>
        <v xml:space="preserve"> </v>
      </c>
      <c r="AK70" s="242"/>
      <c r="AL70" s="241" t="str">
        <f t="shared" si="44"/>
        <v xml:space="preserve"> </v>
      </c>
      <c r="AM70" s="242"/>
      <c r="AN70" s="241" t="str">
        <f t="shared" si="45"/>
        <v xml:space="preserve"> </v>
      </c>
      <c r="AO70" s="242"/>
      <c r="AP70" s="241" t="str">
        <f t="shared" si="46"/>
        <v xml:space="preserve"> </v>
      </c>
      <c r="AQ70" s="242"/>
      <c r="AR70" s="241" t="str">
        <f t="shared" si="47"/>
        <v xml:space="preserve"> </v>
      </c>
      <c r="AS70" s="242"/>
      <c r="AT70" s="241" t="str">
        <f t="shared" si="48"/>
        <v xml:space="preserve"> </v>
      </c>
      <c r="AU70" s="242"/>
      <c r="AV70" s="241" t="str">
        <f t="shared" si="49"/>
        <v xml:space="preserve"> </v>
      </c>
      <c r="AW70" s="242"/>
      <c r="AX70" s="241" t="str">
        <f t="shared" si="50"/>
        <v xml:space="preserve"> </v>
      </c>
      <c r="AY70" s="242"/>
      <c r="AZ70" s="253" t="str">
        <f t="shared" si="51"/>
        <v xml:space="preserve"> </v>
      </c>
    </row>
    <row r="71" spans="2:52" ht="14.45" thickBot="1">
      <c r="B71" s="231" t="s">
        <v>1787</v>
      </c>
      <c r="C71" s="264">
        <f>IFERROR(AVERAGE(E71,G71,I71,K71,M71,O71,Q71,S71,U71,W71,Y71,AA71,AC71,AE71,AG71,AI71,AK71,AM71,AO71,AQ71,AS71,AU71,AW71,AY71),0)</f>
        <v>50103.691999999995</v>
      </c>
      <c r="D71" s="262">
        <f>IFERROR(AVERAGE(F71,H71,J71,L71,N71,P71,R71,T71,V71,X71,Z71,AB71,AD71,AF71,AH71,AJ71,AL71,AN71,AP71,AR71,AT71,AV71,AX71,AZ71),0)</f>
        <v>317.96985894059117</v>
      </c>
      <c r="E71" s="244"/>
      <c r="F71" s="248" t="str">
        <f t="shared" si="25"/>
        <v xml:space="preserve"> </v>
      </c>
      <c r="G71" s="244">
        <v>52000</v>
      </c>
      <c r="H71" s="248">
        <f t="shared" si="29"/>
        <v>325</v>
      </c>
      <c r="I71" s="244">
        <v>50157.06</v>
      </c>
      <c r="J71" s="248">
        <f t="shared" si="30"/>
        <v>327.82392156862744</v>
      </c>
      <c r="K71" s="244"/>
      <c r="L71" s="248" t="str">
        <f t="shared" si="31"/>
        <v xml:space="preserve"> </v>
      </c>
      <c r="M71" s="244">
        <v>55200</v>
      </c>
      <c r="N71" s="248">
        <f t="shared" si="32"/>
        <v>300</v>
      </c>
      <c r="O71" s="244">
        <v>48000</v>
      </c>
      <c r="P71" s="248">
        <f t="shared" si="33"/>
        <v>300</v>
      </c>
      <c r="Q71" s="244"/>
      <c r="R71" s="248" t="str">
        <f t="shared" si="34"/>
        <v xml:space="preserve"> </v>
      </c>
      <c r="S71" s="244"/>
      <c r="T71" s="248" t="str">
        <f t="shared" si="35"/>
        <v xml:space="preserve"> </v>
      </c>
      <c r="U71" s="244"/>
      <c r="V71" s="248" t="str">
        <f t="shared" si="36"/>
        <v xml:space="preserve"> </v>
      </c>
      <c r="W71" s="244"/>
      <c r="X71" s="248" t="str">
        <f t="shared" si="37"/>
        <v xml:space="preserve"> </v>
      </c>
      <c r="Y71" s="244"/>
      <c r="Z71" s="248" t="str">
        <f t="shared" si="38"/>
        <v xml:space="preserve"> </v>
      </c>
      <c r="AA71" s="244"/>
      <c r="AB71" s="248" t="str">
        <f t="shared" si="39"/>
        <v xml:space="preserve"> </v>
      </c>
      <c r="AC71" s="244"/>
      <c r="AD71" s="248" t="str">
        <f t="shared" si="40"/>
        <v xml:space="preserve"> </v>
      </c>
      <c r="AE71" s="244">
        <v>45161.4</v>
      </c>
      <c r="AF71" s="248">
        <f t="shared" si="41"/>
        <v>337.02537313432839</v>
      </c>
      <c r="AG71" s="244"/>
      <c r="AH71" s="248" t="str">
        <f t="shared" si="42"/>
        <v xml:space="preserve"> </v>
      </c>
      <c r="AI71" s="244"/>
      <c r="AJ71" s="248" t="str">
        <f t="shared" si="43"/>
        <v xml:space="preserve"> </v>
      </c>
      <c r="AK71" s="244"/>
      <c r="AL71" s="248" t="str">
        <f t="shared" si="44"/>
        <v xml:space="preserve"> </v>
      </c>
      <c r="AM71" s="244"/>
      <c r="AN71" s="248" t="str">
        <f t="shared" si="45"/>
        <v xml:space="preserve"> </v>
      </c>
      <c r="AO71" s="244"/>
      <c r="AP71" s="248" t="str">
        <f t="shared" si="46"/>
        <v xml:space="preserve"> </v>
      </c>
      <c r="AQ71" s="244"/>
      <c r="AR71" s="248" t="str">
        <f t="shared" si="47"/>
        <v xml:space="preserve"> </v>
      </c>
      <c r="AS71" s="244"/>
      <c r="AT71" s="248" t="str">
        <f t="shared" si="48"/>
        <v xml:space="preserve"> </v>
      </c>
      <c r="AU71" s="244"/>
      <c r="AV71" s="248" t="str">
        <f t="shared" si="49"/>
        <v xml:space="preserve"> </v>
      </c>
      <c r="AW71" s="244"/>
      <c r="AX71" s="248" t="str">
        <f t="shared" si="50"/>
        <v xml:space="preserve"> </v>
      </c>
      <c r="AY71" s="244"/>
      <c r="AZ71" s="254" t="str">
        <f t="shared" si="51"/>
        <v xml:space="preserve"> </v>
      </c>
    </row>
    <row r="72" spans="2:52" ht="14.45" thickTop="1">
      <c r="B72" s="230" t="s">
        <v>1788</v>
      </c>
      <c r="C72" s="263">
        <f>IFERROR(AVERAGE(E72,G72,I72,K72,M72,O72,Q72,S72,U72,W72,Y72,AA72,AC72,AE72,AG72,AI72,AK72,AM72,AO72,AQ72,AS72,AU72,AW72,AY72),0)</f>
        <v>50103.691999999995</v>
      </c>
      <c r="D72" s="261">
        <f>IFERROR(AVERAGE(F72,H72,J72,L72,N72,P72,R72,T72,V72,X72,Z72,AB72,AD72,AF72,AH72,AJ72,AL72,AN72,AP72,AR72,AT72,AV72,AX72,AZ72),0)</f>
        <v>317.96985894059117</v>
      </c>
      <c r="E72" s="242" t="str">
        <f>IFERROR(IF(E71&gt;0,E71," ")," ")</f>
        <v xml:space="preserve"> </v>
      </c>
      <c r="F72" s="241" t="str">
        <f t="shared" si="25"/>
        <v xml:space="preserve"> </v>
      </c>
      <c r="G72" s="242">
        <f>IFERROR(IF(G71&gt;0,G71," ")," ")</f>
        <v>52000</v>
      </c>
      <c r="H72" s="241">
        <f t="shared" si="29"/>
        <v>325</v>
      </c>
      <c r="I72" s="242">
        <f>IFERROR(IF(I71&gt;0,I71," ")," ")</f>
        <v>50157.06</v>
      </c>
      <c r="J72" s="241">
        <f t="shared" si="30"/>
        <v>327.82392156862744</v>
      </c>
      <c r="K72" s="242" t="str">
        <f>IFERROR(IF(K71&gt;0,K71," ")," ")</f>
        <v xml:space="preserve"> </v>
      </c>
      <c r="L72" s="241" t="str">
        <f t="shared" si="31"/>
        <v xml:space="preserve"> </v>
      </c>
      <c r="M72" s="242">
        <f>IFERROR(IF(M71&gt;0,M71," ")," ")</f>
        <v>55200</v>
      </c>
      <c r="N72" s="241">
        <f t="shared" si="32"/>
        <v>300</v>
      </c>
      <c r="O72" s="242">
        <f>IFERROR(IF(O71&gt;0,O71," ")," ")</f>
        <v>48000</v>
      </c>
      <c r="P72" s="241">
        <f t="shared" si="33"/>
        <v>300</v>
      </c>
      <c r="Q72" s="242" t="str">
        <f>IFERROR(IF(Q71&gt;0,Q71," ")," ")</f>
        <v xml:space="preserve"> </v>
      </c>
      <c r="R72" s="241" t="str">
        <f t="shared" si="34"/>
        <v xml:space="preserve"> </v>
      </c>
      <c r="S72" s="242" t="str">
        <f>IFERROR(IF(S71&gt;0,S71," ")," ")</f>
        <v xml:space="preserve"> </v>
      </c>
      <c r="T72" s="241" t="str">
        <f t="shared" si="35"/>
        <v xml:space="preserve"> </v>
      </c>
      <c r="U72" s="242" t="str">
        <f>IFERROR(IF(U71&gt;0,U71," ")," ")</f>
        <v xml:space="preserve"> </v>
      </c>
      <c r="V72" s="241" t="str">
        <f t="shared" si="36"/>
        <v xml:space="preserve"> </v>
      </c>
      <c r="W72" s="242" t="str">
        <f>IFERROR(IF(W71&gt;0,W71," ")," ")</f>
        <v xml:space="preserve"> </v>
      </c>
      <c r="X72" s="241" t="str">
        <f t="shared" si="37"/>
        <v xml:space="preserve"> </v>
      </c>
      <c r="Y72" s="242" t="str">
        <f>IFERROR(IF(Y71&gt;0,Y71," ")," ")</f>
        <v xml:space="preserve"> </v>
      </c>
      <c r="Z72" s="241" t="str">
        <f t="shared" si="38"/>
        <v xml:space="preserve"> </v>
      </c>
      <c r="AA72" s="242" t="str">
        <f>IFERROR(IF(AA71&gt;0,AA71," ")," ")</f>
        <v xml:space="preserve"> </v>
      </c>
      <c r="AB72" s="241" t="str">
        <f t="shared" si="39"/>
        <v xml:space="preserve"> </v>
      </c>
      <c r="AC72" s="242" t="str">
        <f>IFERROR(IF(AC71&gt;0,AC71," ")," ")</f>
        <v xml:space="preserve"> </v>
      </c>
      <c r="AD72" s="241" t="str">
        <f t="shared" si="40"/>
        <v xml:space="preserve"> </v>
      </c>
      <c r="AE72" s="242">
        <f>IFERROR(IF(AE71&gt;0,AE71," ")," ")</f>
        <v>45161.4</v>
      </c>
      <c r="AF72" s="241">
        <f t="shared" si="41"/>
        <v>337.02537313432839</v>
      </c>
      <c r="AG72" s="242" t="str">
        <f>IFERROR(IF(AG71&gt;0,AG71," ")," ")</f>
        <v xml:space="preserve"> </v>
      </c>
      <c r="AH72" s="241" t="str">
        <f t="shared" si="42"/>
        <v xml:space="preserve"> </v>
      </c>
      <c r="AI72" s="242" t="str">
        <f>IFERROR(IF(AI71&gt;0,AI71," ")," ")</f>
        <v xml:space="preserve"> </v>
      </c>
      <c r="AJ72" s="241" t="str">
        <f t="shared" si="43"/>
        <v xml:space="preserve"> </v>
      </c>
      <c r="AK72" s="242" t="str">
        <f>IFERROR(IF(AK71&gt;0,AK71," ")," ")</f>
        <v xml:space="preserve"> </v>
      </c>
      <c r="AL72" s="241" t="str">
        <f t="shared" si="44"/>
        <v xml:space="preserve"> </v>
      </c>
      <c r="AM72" s="242" t="str">
        <f>IFERROR(IF(AM71&gt;0,AM71," ")," ")</f>
        <v xml:space="preserve"> </v>
      </c>
      <c r="AN72" s="241" t="str">
        <f t="shared" si="45"/>
        <v xml:space="preserve"> </v>
      </c>
      <c r="AO72" s="242" t="str">
        <f>IFERROR(IF(AO71&gt;0,AO71," ")," ")</f>
        <v xml:space="preserve"> </v>
      </c>
      <c r="AP72" s="241" t="str">
        <f t="shared" si="46"/>
        <v xml:space="preserve"> </v>
      </c>
      <c r="AQ72" s="242" t="str">
        <f>IFERROR(IF(AQ71&gt;0,AQ71," ")," ")</f>
        <v xml:space="preserve"> </v>
      </c>
      <c r="AR72" s="241" t="str">
        <f t="shared" si="47"/>
        <v xml:space="preserve"> </v>
      </c>
      <c r="AS72" s="242" t="str">
        <f>IFERROR(IF(AS71&gt;0,AS71," ")," ")</f>
        <v xml:space="preserve"> </v>
      </c>
      <c r="AT72" s="241" t="str">
        <f t="shared" si="48"/>
        <v xml:space="preserve"> </v>
      </c>
      <c r="AU72" s="242" t="str">
        <f>IFERROR(IF(AU71&gt;0,AU71," ")," ")</f>
        <v xml:space="preserve"> </v>
      </c>
      <c r="AV72" s="241" t="str">
        <f t="shared" si="49"/>
        <v xml:space="preserve"> </v>
      </c>
      <c r="AW72" s="242" t="str">
        <f>IFERROR(IF(AW71&gt;0,AW71," ")," ")</f>
        <v xml:space="preserve"> </v>
      </c>
      <c r="AX72" s="241" t="str">
        <f t="shared" si="50"/>
        <v xml:space="preserve"> </v>
      </c>
      <c r="AY72" s="242" t="str">
        <f>IFERROR(IF(AY71&gt;0,AY71," ")," ")</f>
        <v xml:space="preserve"> </v>
      </c>
      <c r="AZ72" s="253" t="str">
        <f t="shared" si="51"/>
        <v xml:space="preserve"> </v>
      </c>
    </row>
    <row r="73" spans="2:52" ht="5.0999999999999996" customHeight="1">
      <c r="B73" s="220"/>
      <c r="C73" s="235"/>
      <c r="D73" s="236"/>
      <c r="E73" s="242"/>
      <c r="F73" s="241" t="str">
        <f t="shared" si="25"/>
        <v xml:space="preserve"> </v>
      </c>
      <c r="G73" s="242"/>
      <c r="H73" s="241" t="str">
        <f t="shared" si="29"/>
        <v xml:space="preserve"> </v>
      </c>
      <c r="I73" s="242"/>
      <c r="J73" s="241" t="str">
        <f t="shared" si="30"/>
        <v xml:space="preserve"> </v>
      </c>
      <c r="K73" s="242"/>
      <c r="L73" s="241" t="str">
        <f t="shared" si="31"/>
        <v xml:space="preserve"> </v>
      </c>
      <c r="M73" s="242"/>
      <c r="N73" s="241" t="str">
        <f t="shared" si="32"/>
        <v xml:space="preserve"> </v>
      </c>
      <c r="O73" s="242"/>
      <c r="P73" s="241" t="str">
        <f t="shared" si="33"/>
        <v xml:space="preserve"> </v>
      </c>
      <c r="Q73" s="242"/>
      <c r="R73" s="241" t="str">
        <f t="shared" si="34"/>
        <v xml:space="preserve"> </v>
      </c>
      <c r="S73" s="242"/>
      <c r="T73" s="241" t="str">
        <f t="shared" si="35"/>
        <v xml:space="preserve"> </v>
      </c>
      <c r="U73" s="242"/>
      <c r="V73" s="241" t="str">
        <f t="shared" si="36"/>
        <v xml:space="preserve"> </v>
      </c>
      <c r="W73" s="242"/>
      <c r="X73" s="241" t="str">
        <f t="shared" si="37"/>
        <v xml:space="preserve"> </v>
      </c>
      <c r="Y73" s="242"/>
      <c r="Z73" s="241" t="str">
        <f t="shared" si="38"/>
        <v xml:space="preserve"> </v>
      </c>
      <c r="AA73" s="242"/>
      <c r="AB73" s="241" t="str">
        <f t="shared" si="39"/>
        <v xml:space="preserve"> </v>
      </c>
      <c r="AC73" s="242"/>
      <c r="AD73" s="241" t="str">
        <f t="shared" si="40"/>
        <v xml:space="preserve"> </v>
      </c>
      <c r="AE73" s="242"/>
      <c r="AF73" s="241" t="str">
        <f t="shared" si="41"/>
        <v xml:space="preserve"> </v>
      </c>
      <c r="AG73" s="242"/>
      <c r="AH73" s="241" t="str">
        <f t="shared" si="42"/>
        <v xml:space="preserve"> </v>
      </c>
      <c r="AI73" s="242"/>
      <c r="AJ73" s="241" t="str">
        <f t="shared" si="43"/>
        <v xml:space="preserve"> </v>
      </c>
      <c r="AK73" s="242"/>
      <c r="AL73" s="241" t="str">
        <f t="shared" si="44"/>
        <v xml:space="preserve"> </v>
      </c>
      <c r="AM73" s="242"/>
      <c r="AN73" s="241" t="str">
        <f t="shared" si="45"/>
        <v xml:space="preserve"> </v>
      </c>
      <c r="AO73" s="242"/>
      <c r="AP73" s="241" t="str">
        <f t="shared" si="46"/>
        <v xml:space="preserve"> </v>
      </c>
      <c r="AQ73" s="242"/>
      <c r="AR73" s="241" t="str">
        <f t="shared" si="47"/>
        <v xml:space="preserve"> </v>
      </c>
      <c r="AS73" s="242"/>
      <c r="AT73" s="241" t="str">
        <f t="shared" si="48"/>
        <v xml:space="preserve"> </v>
      </c>
      <c r="AU73" s="242"/>
      <c r="AV73" s="241" t="str">
        <f t="shared" si="49"/>
        <v xml:space="preserve"> </v>
      </c>
      <c r="AW73" s="242"/>
      <c r="AX73" s="241" t="str">
        <f t="shared" si="50"/>
        <v xml:space="preserve"> </v>
      </c>
      <c r="AY73" s="242"/>
      <c r="AZ73" s="253" t="str">
        <f t="shared" si="51"/>
        <v xml:space="preserve"> </v>
      </c>
    </row>
    <row r="74" spans="2:52">
      <c r="B74" s="230" t="s">
        <v>1789</v>
      </c>
      <c r="C74" s="235"/>
      <c r="D74" s="236"/>
      <c r="E74" s="242"/>
      <c r="F74" s="241" t="str">
        <f t="shared" si="25"/>
        <v xml:space="preserve"> </v>
      </c>
      <c r="G74" s="242"/>
      <c r="H74" s="241" t="str">
        <f t="shared" si="29"/>
        <v xml:space="preserve"> </v>
      </c>
      <c r="I74" s="242"/>
      <c r="J74" s="241" t="str">
        <f t="shared" si="30"/>
        <v xml:space="preserve"> </v>
      </c>
      <c r="K74" s="242"/>
      <c r="L74" s="241" t="str">
        <f t="shared" si="31"/>
        <v xml:space="preserve"> </v>
      </c>
      <c r="M74" s="242"/>
      <c r="N74" s="241" t="str">
        <f t="shared" si="32"/>
        <v xml:space="preserve"> </v>
      </c>
      <c r="O74" s="242"/>
      <c r="P74" s="241" t="str">
        <f t="shared" si="33"/>
        <v xml:space="preserve"> </v>
      </c>
      <c r="Q74" s="242"/>
      <c r="R74" s="241" t="str">
        <f t="shared" si="34"/>
        <v xml:space="preserve"> </v>
      </c>
      <c r="S74" s="242"/>
      <c r="T74" s="241" t="str">
        <f t="shared" si="35"/>
        <v xml:space="preserve"> </v>
      </c>
      <c r="U74" s="242"/>
      <c r="V74" s="241" t="str">
        <f t="shared" si="36"/>
        <v xml:space="preserve"> </v>
      </c>
      <c r="W74" s="242"/>
      <c r="X74" s="241" t="str">
        <f t="shared" si="37"/>
        <v xml:space="preserve"> </v>
      </c>
      <c r="Y74" s="242"/>
      <c r="Z74" s="241" t="str">
        <f t="shared" si="38"/>
        <v xml:space="preserve"> </v>
      </c>
      <c r="AA74" s="242"/>
      <c r="AB74" s="241" t="str">
        <f t="shared" si="39"/>
        <v xml:space="preserve"> </v>
      </c>
      <c r="AC74" s="242"/>
      <c r="AD74" s="241" t="str">
        <f t="shared" si="40"/>
        <v xml:space="preserve"> </v>
      </c>
      <c r="AE74" s="242"/>
      <c r="AF74" s="241" t="str">
        <f t="shared" si="41"/>
        <v xml:space="preserve"> </v>
      </c>
      <c r="AG74" s="242"/>
      <c r="AH74" s="241" t="str">
        <f t="shared" si="42"/>
        <v xml:space="preserve"> </v>
      </c>
      <c r="AI74" s="242"/>
      <c r="AJ74" s="241" t="str">
        <f t="shared" si="43"/>
        <v xml:space="preserve"> </v>
      </c>
      <c r="AK74" s="242"/>
      <c r="AL74" s="241" t="str">
        <f t="shared" si="44"/>
        <v xml:space="preserve"> </v>
      </c>
      <c r="AM74" s="242"/>
      <c r="AN74" s="241" t="str">
        <f t="shared" si="45"/>
        <v xml:space="preserve"> </v>
      </c>
      <c r="AO74" s="242"/>
      <c r="AP74" s="241" t="str">
        <f t="shared" si="46"/>
        <v xml:space="preserve"> </v>
      </c>
      <c r="AQ74" s="242"/>
      <c r="AR74" s="241" t="str">
        <f t="shared" si="47"/>
        <v xml:space="preserve"> </v>
      </c>
      <c r="AS74" s="242"/>
      <c r="AT74" s="241" t="str">
        <f t="shared" si="48"/>
        <v xml:space="preserve"> </v>
      </c>
      <c r="AU74" s="242"/>
      <c r="AV74" s="241" t="str">
        <f t="shared" si="49"/>
        <v xml:space="preserve"> </v>
      </c>
      <c r="AW74" s="242"/>
      <c r="AX74" s="241" t="str">
        <f t="shared" si="50"/>
        <v xml:space="preserve"> </v>
      </c>
      <c r="AY74" s="242"/>
      <c r="AZ74" s="253" t="str">
        <f t="shared" si="51"/>
        <v xml:space="preserve"> </v>
      </c>
    </row>
    <row r="75" spans="2:52">
      <c r="B75" s="220" t="s">
        <v>1790</v>
      </c>
      <c r="C75" s="263">
        <f t="shared" ref="C75:C81" si="57">IFERROR(AVERAGE(E75,G75,I75,K75,M75,O75,Q75,S75,U75,W75,Y75,AA75,AC75,AE75,AG75,AI75,AK75,AM75,AO75,AQ75,AS75,AU75,AW75,AY75),0)</f>
        <v>5922.1271428571426</v>
      </c>
      <c r="D75" s="261">
        <f t="shared" ref="D75:D81" si="58">IFERROR(AVERAGE(F75,H75,J75,L75,N75,P75,R75,T75,V75,X75,Z75,AB75,AD75,AF75,AH75,AJ75,AL75,AN75,AP75,AR75,AT75,AV75,AX75,AZ75),0)</f>
        <v>35.810111251486781</v>
      </c>
      <c r="E75" s="242"/>
      <c r="F75" s="241" t="str">
        <f t="shared" si="25"/>
        <v xml:space="preserve"> </v>
      </c>
      <c r="G75" s="242">
        <v>28903</v>
      </c>
      <c r="H75" s="241">
        <f t="shared" si="29"/>
        <v>180.64375000000001</v>
      </c>
      <c r="I75" s="242">
        <v>2484.89</v>
      </c>
      <c r="J75" s="241">
        <f t="shared" si="30"/>
        <v>16.24111111111111</v>
      </c>
      <c r="K75" s="242">
        <v>4770</v>
      </c>
      <c r="L75" s="241">
        <f t="shared" si="31"/>
        <v>24.84375</v>
      </c>
      <c r="M75" s="242"/>
      <c r="N75" s="241" t="str">
        <f t="shared" si="32"/>
        <v xml:space="preserve"> </v>
      </c>
      <c r="O75" s="242">
        <v>3103</v>
      </c>
      <c r="P75" s="241">
        <f t="shared" si="33"/>
        <v>19.393750000000001</v>
      </c>
      <c r="Q75" s="242"/>
      <c r="R75" s="241" t="str">
        <f t="shared" si="34"/>
        <v xml:space="preserve"> </v>
      </c>
      <c r="S75" s="242"/>
      <c r="T75" s="241" t="str">
        <f t="shared" si="35"/>
        <v xml:space="preserve"> </v>
      </c>
      <c r="U75" s="242">
        <v>202</v>
      </c>
      <c r="V75" s="241">
        <f t="shared" si="36"/>
        <v>1.01</v>
      </c>
      <c r="W75" s="242"/>
      <c r="X75" s="241" t="str">
        <f t="shared" si="37"/>
        <v xml:space="preserve"> </v>
      </c>
      <c r="Y75" s="242"/>
      <c r="Z75" s="241" t="str">
        <f t="shared" si="38"/>
        <v xml:space="preserve"> </v>
      </c>
      <c r="AA75" s="242"/>
      <c r="AB75" s="241" t="str">
        <f t="shared" si="39"/>
        <v xml:space="preserve"> </v>
      </c>
      <c r="AC75" s="242">
        <v>136</v>
      </c>
      <c r="AD75" s="241">
        <f t="shared" si="40"/>
        <v>0.77272727272727271</v>
      </c>
      <c r="AE75" s="242"/>
      <c r="AF75" s="241" t="str">
        <f t="shared" si="41"/>
        <v xml:space="preserve"> </v>
      </c>
      <c r="AG75" s="242">
        <v>1856</v>
      </c>
      <c r="AH75" s="241">
        <f t="shared" si="42"/>
        <v>7.7656903765690375</v>
      </c>
      <c r="AI75" s="242"/>
      <c r="AJ75" s="241" t="str">
        <f t="shared" si="43"/>
        <v xml:space="preserve"> </v>
      </c>
      <c r="AK75" s="242"/>
      <c r="AL75" s="241" t="str">
        <f t="shared" si="44"/>
        <v xml:space="preserve"> </v>
      </c>
      <c r="AM75" s="242"/>
      <c r="AN75" s="241" t="str">
        <f t="shared" si="45"/>
        <v xml:space="preserve"> </v>
      </c>
      <c r="AO75" s="242"/>
      <c r="AP75" s="241" t="str">
        <f t="shared" si="46"/>
        <v xml:space="preserve"> </v>
      </c>
      <c r="AQ75" s="242"/>
      <c r="AR75" s="241" t="str">
        <f t="shared" si="47"/>
        <v xml:space="preserve"> </v>
      </c>
      <c r="AS75" s="242"/>
      <c r="AT75" s="241" t="str">
        <f t="shared" si="48"/>
        <v xml:space="preserve"> </v>
      </c>
      <c r="AU75" s="242"/>
      <c r="AV75" s="241" t="str">
        <f t="shared" si="49"/>
        <v xml:space="preserve"> </v>
      </c>
      <c r="AW75" s="242"/>
      <c r="AX75" s="241" t="str">
        <f t="shared" si="50"/>
        <v xml:space="preserve"> </v>
      </c>
      <c r="AY75" s="242"/>
      <c r="AZ75" s="253" t="str">
        <f t="shared" si="51"/>
        <v xml:space="preserve"> </v>
      </c>
    </row>
    <row r="76" spans="2:52">
      <c r="B76" s="220" t="s">
        <v>1791</v>
      </c>
      <c r="C76" s="263">
        <f t="shared" si="57"/>
        <v>18257.32375</v>
      </c>
      <c r="D76" s="261">
        <f t="shared" si="58"/>
        <v>99.133453984617049</v>
      </c>
      <c r="E76" s="242"/>
      <c r="F76" s="241" t="str">
        <f t="shared" si="25"/>
        <v xml:space="preserve"> </v>
      </c>
      <c r="G76" s="242"/>
      <c r="H76" s="241" t="str">
        <f t="shared" si="29"/>
        <v xml:space="preserve"> </v>
      </c>
      <c r="I76" s="242">
        <v>46116.24</v>
      </c>
      <c r="J76" s="241">
        <f t="shared" si="30"/>
        <v>301.4133333333333</v>
      </c>
      <c r="K76" s="242"/>
      <c r="L76" s="241" t="str">
        <f t="shared" si="31"/>
        <v xml:space="preserve"> </v>
      </c>
      <c r="M76" s="242">
        <v>26676</v>
      </c>
      <c r="N76" s="241">
        <f t="shared" si="32"/>
        <v>144.97826086956522</v>
      </c>
      <c r="O76" s="242">
        <v>24276</v>
      </c>
      <c r="P76" s="241">
        <f t="shared" si="33"/>
        <v>151.72499999999999</v>
      </c>
      <c r="Q76" s="242"/>
      <c r="R76" s="241" t="str">
        <f t="shared" si="34"/>
        <v xml:space="preserve"> </v>
      </c>
      <c r="S76" s="242">
        <v>2280</v>
      </c>
      <c r="T76" s="241">
        <f t="shared" si="35"/>
        <v>7.6</v>
      </c>
      <c r="U76" s="242">
        <v>10219</v>
      </c>
      <c r="V76" s="241">
        <f t="shared" si="36"/>
        <v>51.094999999999999</v>
      </c>
      <c r="W76" s="242">
        <v>29583.35</v>
      </c>
      <c r="X76" s="241">
        <f t="shared" si="37"/>
        <v>98.611166666666662</v>
      </c>
      <c r="Y76" s="242"/>
      <c r="Z76" s="241" t="str">
        <f t="shared" si="38"/>
        <v xml:space="preserve"> </v>
      </c>
      <c r="AA76" s="242"/>
      <c r="AB76" s="241" t="str">
        <f t="shared" si="39"/>
        <v xml:space="preserve"> </v>
      </c>
      <c r="AC76" s="242">
        <v>1101</v>
      </c>
      <c r="AD76" s="241">
        <f t="shared" si="40"/>
        <v>6.2556818181818183</v>
      </c>
      <c r="AE76" s="242"/>
      <c r="AF76" s="241" t="str">
        <f t="shared" si="41"/>
        <v xml:space="preserve"> </v>
      </c>
      <c r="AG76" s="242"/>
      <c r="AH76" s="241" t="str">
        <f t="shared" si="42"/>
        <v xml:space="preserve"> </v>
      </c>
      <c r="AI76" s="242">
        <v>5807</v>
      </c>
      <c r="AJ76" s="241">
        <f t="shared" si="43"/>
        <v>31.389189189189189</v>
      </c>
      <c r="AK76" s="242"/>
      <c r="AL76" s="241" t="str">
        <f t="shared" si="44"/>
        <v xml:space="preserve"> </v>
      </c>
      <c r="AM76" s="242"/>
      <c r="AN76" s="241" t="str">
        <f t="shared" si="45"/>
        <v xml:space="preserve"> </v>
      </c>
      <c r="AO76" s="242"/>
      <c r="AP76" s="241" t="str">
        <f t="shared" si="46"/>
        <v xml:space="preserve"> </v>
      </c>
      <c r="AQ76" s="242"/>
      <c r="AR76" s="241" t="str">
        <f t="shared" si="47"/>
        <v xml:space="preserve"> </v>
      </c>
      <c r="AS76" s="242"/>
      <c r="AT76" s="241" t="str">
        <f t="shared" si="48"/>
        <v xml:space="preserve"> </v>
      </c>
      <c r="AU76" s="242"/>
      <c r="AV76" s="241" t="str">
        <f t="shared" si="49"/>
        <v xml:space="preserve"> </v>
      </c>
      <c r="AW76" s="242"/>
      <c r="AX76" s="241" t="str">
        <f t="shared" si="50"/>
        <v xml:space="preserve"> </v>
      </c>
      <c r="AY76" s="242"/>
      <c r="AZ76" s="253" t="str">
        <f t="shared" si="51"/>
        <v xml:space="preserve"> </v>
      </c>
    </row>
    <row r="77" spans="2:52">
      <c r="B77" s="220" t="s">
        <v>1792</v>
      </c>
      <c r="C77" s="263">
        <f t="shared" si="57"/>
        <v>30141.174444444445</v>
      </c>
      <c r="D77" s="261">
        <f t="shared" si="58"/>
        <v>127.90387027978545</v>
      </c>
      <c r="E77" s="242">
        <v>17040</v>
      </c>
      <c r="F77" s="241">
        <f t="shared" si="25"/>
        <v>120</v>
      </c>
      <c r="G77" s="242"/>
      <c r="H77" s="241" t="str">
        <f t="shared" si="29"/>
        <v xml:space="preserve"> </v>
      </c>
      <c r="I77" s="242">
        <v>6120</v>
      </c>
      <c r="J77" s="241">
        <f t="shared" si="30"/>
        <v>40</v>
      </c>
      <c r="K77" s="242"/>
      <c r="L77" s="241" t="str">
        <f t="shared" si="31"/>
        <v xml:space="preserve"> </v>
      </c>
      <c r="M77" s="242">
        <v>7200</v>
      </c>
      <c r="N77" s="241">
        <f t="shared" si="32"/>
        <v>39.130434782608695</v>
      </c>
      <c r="O77" s="242">
        <v>7400</v>
      </c>
      <c r="P77" s="241">
        <f t="shared" si="33"/>
        <v>46.25</v>
      </c>
      <c r="Q77" s="242"/>
      <c r="R77" s="241" t="str">
        <f t="shared" si="34"/>
        <v xml:space="preserve"> </v>
      </c>
      <c r="S77" s="242">
        <v>147409</v>
      </c>
      <c r="T77" s="241">
        <f t="shared" si="35"/>
        <v>491.36333333333334</v>
      </c>
      <c r="U77" s="242">
        <v>56699</v>
      </c>
      <c r="V77" s="241">
        <f t="shared" si="36"/>
        <v>283.495</v>
      </c>
      <c r="W77" s="242">
        <v>16783.080000000002</v>
      </c>
      <c r="X77" s="241">
        <f t="shared" si="37"/>
        <v>55.943600000000004</v>
      </c>
      <c r="Y77" s="242"/>
      <c r="Z77" s="241" t="str">
        <f t="shared" si="38"/>
        <v xml:space="preserve"> </v>
      </c>
      <c r="AA77" s="242">
        <v>11204.99</v>
      </c>
      <c r="AB77" s="241">
        <f t="shared" si="39"/>
        <v>64.396494252873566</v>
      </c>
      <c r="AC77" s="242"/>
      <c r="AD77" s="241" t="str">
        <f t="shared" si="40"/>
        <v xml:space="preserve"> </v>
      </c>
      <c r="AE77" s="242">
        <v>1414.5</v>
      </c>
      <c r="AF77" s="241">
        <f t="shared" si="41"/>
        <v>10.555970149253731</v>
      </c>
      <c r="AG77" s="242"/>
      <c r="AH77" s="241" t="str">
        <f t="shared" si="42"/>
        <v xml:space="preserve"> </v>
      </c>
      <c r="AI77" s="242"/>
      <c r="AJ77" s="241" t="str">
        <f t="shared" si="43"/>
        <v xml:space="preserve"> </v>
      </c>
      <c r="AK77" s="242"/>
      <c r="AL77" s="241" t="str">
        <f t="shared" si="44"/>
        <v xml:space="preserve"> </v>
      </c>
      <c r="AM77" s="242"/>
      <c r="AN77" s="241" t="str">
        <f t="shared" si="45"/>
        <v xml:space="preserve"> </v>
      </c>
      <c r="AO77" s="242"/>
      <c r="AP77" s="241" t="str">
        <f t="shared" si="46"/>
        <v xml:space="preserve"> </v>
      </c>
      <c r="AQ77" s="242"/>
      <c r="AR77" s="241" t="str">
        <f t="shared" si="47"/>
        <v xml:space="preserve"> </v>
      </c>
      <c r="AS77" s="242"/>
      <c r="AT77" s="241" t="str">
        <f t="shared" si="48"/>
        <v xml:space="preserve"> </v>
      </c>
      <c r="AU77" s="242"/>
      <c r="AV77" s="241" t="str">
        <f t="shared" si="49"/>
        <v xml:space="preserve"> </v>
      </c>
      <c r="AW77" s="242"/>
      <c r="AX77" s="241" t="str">
        <f t="shared" si="50"/>
        <v xml:space="preserve"> </v>
      </c>
      <c r="AY77" s="242"/>
      <c r="AZ77" s="253" t="str">
        <f t="shared" si="51"/>
        <v xml:space="preserve"> </v>
      </c>
    </row>
    <row r="78" spans="2:52">
      <c r="B78" s="220" t="s">
        <v>1793</v>
      </c>
      <c r="C78" s="263">
        <f t="shared" si="57"/>
        <v>9480.9866666666658</v>
      </c>
      <c r="D78" s="261">
        <f t="shared" si="58"/>
        <v>46.533508141762447</v>
      </c>
      <c r="E78" s="242"/>
      <c r="F78" s="241" t="str">
        <f t="shared" si="25"/>
        <v xml:space="preserve"> </v>
      </c>
      <c r="G78" s="242"/>
      <c r="H78" s="241" t="str">
        <f t="shared" ref="H78:H109" si="59">IFERROR(IF(G78&gt;0,G78/G$6," ")," ")</f>
        <v xml:space="preserve"> </v>
      </c>
      <c r="I78" s="242"/>
      <c r="J78" s="241" t="str">
        <f t="shared" ref="J78:J109" si="60">IFERROR(IF(I78&gt;0,I78/I$6," ")," ")</f>
        <v xml:space="preserve"> </v>
      </c>
      <c r="K78" s="242">
        <v>10693</v>
      </c>
      <c r="L78" s="241">
        <f t="shared" ref="L78:L109" si="61">IFERROR(IF(K78&gt;0,K78/K$6," ")," ")</f>
        <v>55.692708333333336</v>
      </c>
      <c r="M78" s="242"/>
      <c r="N78" s="241" t="str">
        <f t="shared" ref="N78:N109" si="62">IFERROR(IF(M78&gt;0,M78/M$6," ")," ")</f>
        <v xml:space="preserve"> </v>
      </c>
      <c r="O78" s="242"/>
      <c r="P78" s="241" t="str">
        <f t="shared" ref="P78:P109" si="63">IFERROR(IF(O78&gt;0,O78/O$6," ")," ")</f>
        <v xml:space="preserve"> </v>
      </c>
      <c r="Q78" s="242"/>
      <c r="R78" s="241" t="str">
        <f t="shared" ref="R78:R109" si="64">IFERROR(IF(Q78&gt;0,Q78/Q$6," ")," ")</f>
        <v xml:space="preserve"> </v>
      </c>
      <c r="S78" s="242">
        <v>7500</v>
      </c>
      <c r="T78" s="241">
        <f t="shared" ref="T78:T109" si="65">IFERROR(IF(S78&gt;0,S78/S$6," ")," ")</f>
        <v>25</v>
      </c>
      <c r="U78" s="242"/>
      <c r="V78" s="241" t="str">
        <f t="shared" ref="V78:V109" si="66">IFERROR(IF(U78&gt;0,U78/U$6," ")," ")</f>
        <v xml:space="preserve"> </v>
      </c>
      <c r="W78" s="242"/>
      <c r="X78" s="241" t="str">
        <f t="shared" ref="X78:X109" si="67">IFERROR(IF(W78&gt;0,W78/W$6," ")," ")</f>
        <v xml:space="preserve"> </v>
      </c>
      <c r="Y78" s="242"/>
      <c r="Z78" s="241" t="str">
        <f t="shared" ref="Z78:Z109" si="68">IFERROR(IF(Y78&gt;0,Y78/Y$6," ")," ")</f>
        <v xml:space="preserve"> </v>
      </c>
      <c r="AA78" s="242">
        <v>10249.959999999999</v>
      </c>
      <c r="AB78" s="241">
        <f t="shared" ref="AB78:AB109" si="69">IFERROR(IF(AA78&gt;0,AA78/AA$6," ")," ")</f>
        <v>58.907816091954018</v>
      </c>
      <c r="AC78" s="242"/>
      <c r="AD78" s="241" t="str">
        <f t="shared" ref="AD78:AD109" si="70">IFERROR(IF(AC78&gt;0,AC78/AC$6," ")," ")</f>
        <v xml:space="preserve"> </v>
      </c>
      <c r="AE78" s="242"/>
      <c r="AF78" s="241" t="str">
        <f t="shared" ref="AF78:AF109" si="71">IFERROR(IF(AE78&gt;0,AE78/AE$6," ")," ")</f>
        <v xml:space="preserve"> </v>
      </c>
      <c r="AG78" s="242"/>
      <c r="AH78" s="241" t="str">
        <f t="shared" ref="AH78:AH109" si="72">IFERROR(IF(AG78&gt;0,AG78/AG$6," ")," ")</f>
        <v xml:space="preserve"> </v>
      </c>
      <c r="AI78" s="242"/>
      <c r="AJ78" s="241" t="str">
        <f t="shared" ref="AJ78:AJ109" si="73">IFERROR(IF(AI78&gt;0,AI78/AI$6," ")," ")</f>
        <v xml:space="preserve"> </v>
      </c>
      <c r="AK78" s="242"/>
      <c r="AL78" s="241" t="str">
        <f t="shared" ref="AL78:AL109" si="74">IFERROR(IF(AK78&gt;0,AK78/AK$6," ")," ")</f>
        <v xml:space="preserve"> </v>
      </c>
      <c r="AM78" s="242"/>
      <c r="AN78" s="241" t="str">
        <f t="shared" ref="AN78:AN109" si="75">IFERROR(IF(AM78&gt;0,AM78/AM$6," ")," ")</f>
        <v xml:space="preserve"> </v>
      </c>
      <c r="AO78" s="242"/>
      <c r="AP78" s="241" t="str">
        <f t="shared" ref="AP78:AP109" si="76">IFERROR(IF(AO78&gt;0,AO78/AO$6," ")," ")</f>
        <v xml:space="preserve"> </v>
      </c>
      <c r="AQ78" s="242"/>
      <c r="AR78" s="241" t="str">
        <f t="shared" ref="AR78:AR109" si="77">IFERROR(IF(AQ78&gt;0,AQ78/AQ$6," ")," ")</f>
        <v xml:space="preserve"> </v>
      </c>
      <c r="AS78" s="242"/>
      <c r="AT78" s="241" t="str">
        <f t="shared" ref="AT78:AT109" si="78">IFERROR(IF(AS78&gt;0,AS78/AS$6," ")," ")</f>
        <v xml:space="preserve"> </v>
      </c>
      <c r="AU78" s="242"/>
      <c r="AV78" s="241" t="str">
        <f t="shared" ref="AV78:AV109" si="79">IFERROR(IF(AU78&gt;0,AU78/AU$6," ")," ")</f>
        <v xml:space="preserve"> </v>
      </c>
      <c r="AW78" s="242"/>
      <c r="AX78" s="241" t="str">
        <f t="shared" ref="AX78:AX109" si="80">IFERROR(IF(AW78&gt;0,AW78/AW$6," ")," ")</f>
        <v xml:space="preserve"> </v>
      </c>
      <c r="AY78" s="242"/>
      <c r="AZ78" s="253" t="str">
        <f t="shared" ref="AZ78:AZ109" si="81">IFERROR(IF(AY78&gt;0,AY78/AY$6," ")," ")</f>
        <v xml:space="preserve"> </v>
      </c>
    </row>
    <row r="79" spans="2:52">
      <c r="B79" s="220" t="s">
        <v>1794</v>
      </c>
      <c r="C79" s="263">
        <f t="shared" si="57"/>
        <v>33609.398333333338</v>
      </c>
      <c r="D79" s="261">
        <f t="shared" si="58"/>
        <v>184.38103978599432</v>
      </c>
      <c r="E79" s="242">
        <v>433</v>
      </c>
      <c r="F79" s="241">
        <f t="shared" ref="F79:F111" si="82">IFERROR(IF(E79&gt;0,E79/E$6," ")," ")</f>
        <v>3.0492957746478875</v>
      </c>
      <c r="G79" s="242"/>
      <c r="H79" s="241" t="str">
        <f t="shared" si="59"/>
        <v xml:space="preserve"> </v>
      </c>
      <c r="I79" s="242"/>
      <c r="J79" s="241" t="str">
        <f t="shared" si="60"/>
        <v xml:space="preserve"> </v>
      </c>
      <c r="K79" s="242">
        <v>85177</v>
      </c>
      <c r="L79" s="241">
        <f t="shared" si="61"/>
        <v>443.63020833333331</v>
      </c>
      <c r="M79" s="242"/>
      <c r="N79" s="241" t="str">
        <f t="shared" si="62"/>
        <v xml:space="preserve"> </v>
      </c>
      <c r="O79" s="242">
        <v>88672</v>
      </c>
      <c r="P79" s="241">
        <f t="shared" si="63"/>
        <v>554.20000000000005</v>
      </c>
      <c r="Q79" s="242">
        <v>326.44</v>
      </c>
      <c r="R79" s="241">
        <f t="shared" si="64"/>
        <v>1.5112962962962964</v>
      </c>
      <c r="S79" s="242"/>
      <c r="T79" s="241" t="str">
        <f t="shared" si="65"/>
        <v xml:space="preserve"> </v>
      </c>
      <c r="U79" s="242"/>
      <c r="V79" s="241" t="str">
        <f t="shared" si="66"/>
        <v xml:space="preserve"> </v>
      </c>
      <c r="W79" s="242"/>
      <c r="X79" s="241" t="str">
        <f t="shared" si="67"/>
        <v xml:space="preserve"> </v>
      </c>
      <c r="Y79" s="242">
        <v>23590.95</v>
      </c>
      <c r="Z79" s="241">
        <f t="shared" si="68"/>
        <v>84.253392857142856</v>
      </c>
      <c r="AA79" s="242"/>
      <c r="AB79" s="241" t="str">
        <f t="shared" si="69"/>
        <v xml:space="preserve"> </v>
      </c>
      <c r="AC79" s="242">
        <v>3457</v>
      </c>
      <c r="AD79" s="241">
        <f t="shared" si="70"/>
        <v>19.642045454545453</v>
      </c>
      <c r="AE79" s="242"/>
      <c r="AF79" s="241" t="str">
        <f t="shared" si="71"/>
        <v xml:space="preserve"> </v>
      </c>
      <c r="AG79" s="242"/>
      <c r="AH79" s="241" t="str">
        <f t="shared" si="72"/>
        <v xml:space="preserve"> </v>
      </c>
      <c r="AI79" s="242"/>
      <c r="AJ79" s="241" t="str">
        <f t="shared" si="73"/>
        <v xml:space="preserve"> </v>
      </c>
      <c r="AK79" s="242"/>
      <c r="AL79" s="241" t="str">
        <f t="shared" si="74"/>
        <v xml:space="preserve"> </v>
      </c>
      <c r="AM79" s="242"/>
      <c r="AN79" s="241" t="str">
        <f t="shared" si="75"/>
        <v xml:space="preserve"> </v>
      </c>
      <c r="AO79" s="242"/>
      <c r="AP79" s="241" t="str">
        <f t="shared" si="76"/>
        <v xml:space="preserve"> </v>
      </c>
      <c r="AQ79" s="242"/>
      <c r="AR79" s="241" t="str">
        <f t="shared" si="77"/>
        <v xml:space="preserve"> </v>
      </c>
      <c r="AS79" s="242"/>
      <c r="AT79" s="241" t="str">
        <f t="shared" si="78"/>
        <v xml:space="preserve"> </v>
      </c>
      <c r="AU79" s="242"/>
      <c r="AV79" s="241" t="str">
        <f t="shared" si="79"/>
        <v xml:space="preserve"> </v>
      </c>
      <c r="AW79" s="242"/>
      <c r="AX79" s="241" t="str">
        <f t="shared" si="80"/>
        <v xml:space="preserve"> </v>
      </c>
      <c r="AY79" s="242"/>
      <c r="AZ79" s="253" t="str">
        <f t="shared" si="81"/>
        <v xml:space="preserve"> </v>
      </c>
    </row>
    <row r="80" spans="2:52" ht="14.45" thickBot="1">
      <c r="B80" s="231" t="s">
        <v>1789</v>
      </c>
      <c r="C80" s="264">
        <f t="shared" si="57"/>
        <v>30181.954999999998</v>
      </c>
      <c r="D80" s="262">
        <f t="shared" si="58"/>
        <v>179.03989525328583</v>
      </c>
      <c r="E80" s="244">
        <v>48872</v>
      </c>
      <c r="F80" s="248">
        <f t="shared" si="82"/>
        <v>344.16901408450707</v>
      </c>
      <c r="G80" s="244">
        <v>6387</v>
      </c>
      <c r="H80" s="248">
        <f t="shared" si="59"/>
        <v>39.918750000000003</v>
      </c>
      <c r="I80" s="244">
        <v>10381.799999999999</v>
      </c>
      <c r="J80" s="248">
        <f t="shared" si="60"/>
        <v>67.854901960784304</v>
      </c>
      <c r="K80" s="244">
        <v>52596</v>
      </c>
      <c r="L80" s="248">
        <f t="shared" si="61"/>
        <v>273.9375</v>
      </c>
      <c r="M80" s="244"/>
      <c r="N80" s="248" t="str">
        <f t="shared" si="62"/>
        <v xml:space="preserve"> </v>
      </c>
      <c r="O80" s="244">
        <v>39112</v>
      </c>
      <c r="P80" s="248">
        <f t="shared" si="63"/>
        <v>244.45</v>
      </c>
      <c r="Q80" s="244"/>
      <c r="R80" s="248" t="str">
        <f t="shared" si="64"/>
        <v xml:space="preserve"> </v>
      </c>
      <c r="S80" s="244"/>
      <c r="T80" s="248" t="str">
        <f t="shared" si="65"/>
        <v xml:space="preserve"> </v>
      </c>
      <c r="U80" s="244"/>
      <c r="V80" s="248" t="str">
        <f t="shared" si="66"/>
        <v xml:space="preserve"> </v>
      </c>
      <c r="W80" s="244"/>
      <c r="X80" s="248" t="str">
        <f t="shared" si="67"/>
        <v xml:space="preserve"> </v>
      </c>
      <c r="Y80" s="244"/>
      <c r="Z80" s="248" t="str">
        <f t="shared" si="68"/>
        <v xml:space="preserve"> </v>
      </c>
      <c r="AA80" s="244">
        <v>68747.839999999997</v>
      </c>
      <c r="AB80" s="248">
        <f t="shared" si="69"/>
        <v>395.10252873563218</v>
      </c>
      <c r="AC80" s="244"/>
      <c r="AD80" s="248" t="str">
        <f t="shared" si="70"/>
        <v xml:space="preserve"> </v>
      </c>
      <c r="AE80" s="244">
        <v>800</v>
      </c>
      <c r="AF80" s="248">
        <f t="shared" si="71"/>
        <v>5.9701492537313436</v>
      </c>
      <c r="AG80" s="244">
        <v>14559</v>
      </c>
      <c r="AH80" s="248">
        <f t="shared" si="72"/>
        <v>60.9163179916318</v>
      </c>
      <c r="AI80" s="244"/>
      <c r="AJ80" s="248" t="str">
        <f t="shared" si="73"/>
        <v xml:space="preserve"> </v>
      </c>
      <c r="AK80" s="244"/>
      <c r="AL80" s="248" t="str">
        <f t="shared" si="74"/>
        <v xml:space="preserve"> </v>
      </c>
      <c r="AM80" s="244"/>
      <c r="AN80" s="248" t="str">
        <f t="shared" si="75"/>
        <v xml:space="preserve"> </v>
      </c>
      <c r="AO80" s="244"/>
      <c r="AP80" s="248" t="str">
        <f t="shared" si="76"/>
        <v xml:space="preserve"> </v>
      </c>
      <c r="AQ80" s="244"/>
      <c r="AR80" s="248" t="str">
        <f t="shared" si="77"/>
        <v xml:space="preserve"> </v>
      </c>
      <c r="AS80" s="244"/>
      <c r="AT80" s="248" t="str">
        <f t="shared" si="78"/>
        <v xml:space="preserve"> </v>
      </c>
      <c r="AU80" s="244"/>
      <c r="AV80" s="248" t="str">
        <f t="shared" si="79"/>
        <v xml:space="preserve"> </v>
      </c>
      <c r="AW80" s="244"/>
      <c r="AX80" s="248" t="str">
        <f t="shared" si="80"/>
        <v xml:space="preserve"> </v>
      </c>
      <c r="AY80" s="244"/>
      <c r="AZ80" s="254" t="str">
        <f t="shared" si="81"/>
        <v xml:space="preserve"> </v>
      </c>
    </row>
    <row r="81" spans="2:52" ht="14.45" thickTop="1">
      <c r="B81" s="230" t="s">
        <v>1795</v>
      </c>
      <c r="C81" s="263">
        <f t="shared" si="57"/>
        <v>58146.19</v>
      </c>
      <c r="D81" s="261">
        <f t="shared" si="58"/>
        <v>304.56744802018454</v>
      </c>
      <c r="E81" s="242">
        <f>IFERROR(IF(SUM(E75:E80)&gt;0,SUM(E75:E80)," ")," ")</f>
        <v>66345</v>
      </c>
      <c r="F81" s="241">
        <f t="shared" si="82"/>
        <v>467.21830985915494</v>
      </c>
      <c r="G81" s="242">
        <f>IFERROR(IF(SUM(G75:G80)&gt;0,SUM(G75:G80)," ")," ")</f>
        <v>35290</v>
      </c>
      <c r="H81" s="241">
        <f t="shared" si="59"/>
        <v>220.5625</v>
      </c>
      <c r="I81" s="242">
        <f>IFERROR(IF(SUM(I75:I80)&gt;0,SUM(I75:I80)," ")," ")</f>
        <v>65102.929999999993</v>
      </c>
      <c r="J81" s="241">
        <f t="shared" si="60"/>
        <v>425.50934640522871</v>
      </c>
      <c r="K81" s="242">
        <f>IFERROR(IF(SUM(K75:K80)&gt;0,SUM(K75:K80)," ")," ")</f>
        <v>153236</v>
      </c>
      <c r="L81" s="241">
        <f t="shared" si="61"/>
        <v>798.10416666666663</v>
      </c>
      <c r="M81" s="242">
        <f>IFERROR(IF(SUM(M75:M80)&gt;0,SUM(M75:M80)," ")," ")</f>
        <v>33876</v>
      </c>
      <c r="N81" s="241">
        <f t="shared" si="62"/>
        <v>184.10869565217391</v>
      </c>
      <c r="O81" s="242">
        <f>IFERROR(IF(SUM(O75:O80)&gt;0,SUM(O75:O80)," ")," ")</f>
        <v>162563</v>
      </c>
      <c r="P81" s="241">
        <f t="shared" si="63"/>
        <v>1016.01875</v>
      </c>
      <c r="Q81" s="242">
        <f>IFERROR(IF(SUM(Q75:Q80)&gt;0,SUM(Q75:Q80)," ")," ")</f>
        <v>326.44</v>
      </c>
      <c r="R81" s="241">
        <f t="shared" si="64"/>
        <v>1.5112962962962964</v>
      </c>
      <c r="S81" s="242">
        <f>IFERROR(IF(SUM(S75:S80)&gt;0,SUM(S75:S80)," ")," ")</f>
        <v>157189</v>
      </c>
      <c r="T81" s="241">
        <f t="shared" si="65"/>
        <v>523.96333333333337</v>
      </c>
      <c r="U81" s="242">
        <f>IFERROR(IF(SUM(U75:U80)&gt;0,SUM(U75:U80)," ")," ")</f>
        <v>67120</v>
      </c>
      <c r="V81" s="241">
        <f t="shared" si="66"/>
        <v>335.6</v>
      </c>
      <c r="W81" s="242">
        <f>IFERROR(IF(SUM(W75:W80)&gt;0,SUM(W75:W80)," ")," ")</f>
        <v>46366.43</v>
      </c>
      <c r="X81" s="241">
        <f t="shared" si="67"/>
        <v>154.55476666666667</v>
      </c>
      <c r="Y81" s="242">
        <f>IFERROR(IF(SUM(Y75:Y80)&gt;0,SUM(Y75:Y80)," ")," ")</f>
        <v>23590.95</v>
      </c>
      <c r="Z81" s="241">
        <f t="shared" si="68"/>
        <v>84.253392857142856</v>
      </c>
      <c r="AA81" s="242">
        <f>IFERROR(IF(SUM(AA75:AA80)&gt;0,SUM(AA75:AA80)," ")," ")</f>
        <v>90202.79</v>
      </c>
      <c r="AB81" s="241">
        <f t="shared" si="69"/>
        <v>518.40683908045969</v>
      </c>
      <c r="AC81" s="242">
        <f>IFERROR(IF(SUM(AC75:AC80)&gt;0,SUM(AC75:AC80)," ")," ")</f>
        <v>4694</v>
      </c>
      <c r="AD81" s="241">
        <f t="shared" si="70"/>
        <v>26.670454545454547</v>
      </c>
      <c r="AE81" s="242">
        <f>IFERROR(IF(SUM(AE75:AE80)&gt;0,SUM(AE75:AE80)," ")," ")</f>
        <v>2214.5</v>
      </c>
      <c r="AF81" s="241">
        <f t="shared" si="71"/>
        <v>16.526119402985074</v>
      </c>
      <c r="AG81" s="242">
        <f>IFERROR(IF(SUM(AG75:AG80)&gt;0,SUM(AG75:AG80)," ")," ")</f>
        <v>16415</v>
      </c>
      <c r="AH81" s="241">
        <f t="shared" si="72"/>
        <v>68.68200836820084</v>
      </c>
      <c r="AI81" s="242">
        <f>IFERROR(IF(SUM(AI75:AI80)&gt;0,SUM(AI75:AI80)," ")," ")</f>
        <v>5807</v>
      </c>
      <c r="AJ81" s="241">
        <f t="shared" si="73"/>
        <v>31.389189189189189</v>
      </c>
      <c r="AK81" s="242" t="str">
        <f>IFERROR(IF(SUM(AK75:AK80)&gt;0,SUM(AK75:AK80)," ")," ")</f>
        <v xml:space="preserve"> </v>
      </c>
      <c r="AL81" s="241" t="str">
        <f t="shared" si="74"/>
        <v xml:space="preserve"> </v>
      </c>
      <c r="AM81" s="242" t="str">
        <f>IFERROR(IF(SUM(AM75:AM80)&gt;0,SUM(AM75:AM80)," ")," ")</f>
        <v xml:space="preserve"> </v>
      </c>
      <c r="AN81" s="241" t="str">
        <f t="shared" si="75"/>
        <v xml:space="preserve"> </v>
      </c>
      <c r="AO81" s="242" t="str">
        <f>IFERROR(IF(SUM(AO75:AO80)&gt;0,SUM(AO75:AO80)," ")," ")</f>
        <v xml:space="preserve"> </v>
      </c>
      <c r="AP81" s="241" t="str">
        <f t="shared" si="76"/>
        <v xml:space="preserve"> </v>
      </c>
      <c r="AQ81" s="242" t="str">
        <f>IFERROR(IF(SUM(AQ75:AQ80)&gt;0,SUM(AQ75:AQ80)," ")," ")</f>
        <v xml:space="preserve"> </v>
      </c>
      <c r="AR81" s="241" t="str">
        <f t="shared" si="77"/>
        <v xml:space="preserve"> </v>
      </c>
      <c r="AS81" s="242" t="str">
        <f>IFERROR(IF(SUM(AS75:AS80)&gt;0,SUM(AS75:AS80)," ")," ")</f>
        <v xml:space="preserve"> </v>
      </c>
      <c r="AT81" s="241" t="str">
        <f t="shared" si="78"/>
        <v xml:space="preserve"> </v>
      </c>
      <c r="AU81" s="242" t="str">
        <f>IFERROR(IF(SUM(AU75:AU80)&gt;0,SUM(AU75:AU80)," ")," ")</f>
        <v xml:space="preserve"> </v>
      </c>
      <c r="AV81" s="241" t="str">
        <f t="shared" si="79"/>
        <v xml:space="preserve"> </v>
      </c>
      <c r="AW81" s="242" t="str">
        <f>IFERROR(IF(SUM(AW75:AW80)&gt;0,SUM(AW75:AW80)," ")," ")</f>
        <v xml:space="preserve"> </v>
      </c>
      <c r="AX81" s="241" t="str">
        <f t="shared" si="80"/>
        <v xml:space="preserve"> </v>
      </c>
      <c r="AY81" s="242" t="str">
        <f>IFERROR(IF(SUM(AY75:AY80)&gt;0,SUM(AY75:AY80)," ")," ")</f>
        <v xml:space="preserve"> </v>
      </c>
      <c r="AZ81" s="253" t="str">
        <f t="shared" si="81"/>
        <v xml:space="preserve"> </v>
      </c>
    </row>
    <row r="82" spans="2:52" ht="5.0999999999999996" customHeight="1">
      <c r="B82" s="220"/>
      <c r="C82" s="235"/>
      <c r="D82" s="236"/>
      <c r="E82" s="242"/>
      <c r="F82" s="241" t="str">
        <f t="shared" si="82"/>
        <v xml:space="preserve"> </v>
      </c>
      <c r="G82" s="242"/>
      <c r="H82" s="241" t="str">
        <f t="shared" si="59"/>
        <v xml:space="preserve"> </v>
      </c>
      <c r="I82" s="242"/>
      <c r="J82" s="241" t="str">
        <f t="shared" si="60"/>
        <v xml:space="preserve"> </v>
      </c>
      <c r="K82" s="242"/>
      <c r="L82" s="241" t="str">
        <f t="shared" si="61"/>
        <v xml:space="preserve"> </v>
      </c>
      <c r="M82" s="242"/>
      <c r="N82" s="241" t="str">
        <f t="shared" si="62"/>
        <v xml:space="preserve"> </v>
      </c>
      <c r="O82" s="242"/>
      <c r="P82" s="241" t="str">
        <f t="shared" si="63"/>
        <v xml:space="preserve"> </v>
      </c>
      <c r="Q82" s="242"/>
      <c r="R82" s="241" t="str">
        <f t="shared" si="64"/>
        <v xml:space="preserve"> </v>
      </c>
      <c r="S82" s="242"/>
      <c r="T82" s="241" t="str">
        <f t="shared" si="65"/>
        <v xml:space="preserve"> </v>
      </c>
      <c r="U82" s="242"/>
      <c r="V82" s="241" t="str">
        <f t="shared" si="66"/>
        <v xml:space="preserve"> </v>
      </c>
      <c r="W82" s="242"/>
      <c r="X82" s="241" t="str">
        <f t="shared" si="67"/>
        <v xml:space="preserve"> </v>
      </c>
      <c r="Y82" s="242"/>
      <c r="Z82" s="241" t="str">
        <f t="shared" si="68"/>
        <v xml:space="preserve"> </v>
      </c>
      <c r="AA82" s="242"/>
      <c r="AB82" s="241" t="str">
        <f t="shared" si="69"/>
        <v xml:space="preserve"> </v>
      </c>
      <c r="AC82" s="242"/>
      <c r="AD82" s="241" t="str">
        <f t="shared" si="70"/>
        <v xml:space="preserve"> </v>
      </c>
      <c r="AE82" s="242"/>
      <c r="AF82" s="241" t="str">
        <f t="shared" si="71"/>
        <v xml:space="preserve"> </v>
      </c>
      <c r="AG82" s="242"/>
      <c r="AH82" s="241" t="str">
        <f t="shared" si="72"/>
        <v xml:space="preserve"> </v>
      </c>
      <c r="AI82" s="242"/>
      <c r="AJ82" s="241" t="str">
        <f t="shared" si="73"/>
        <v xml:space="preserve"> </v>
      </c>
      <c r="AK82" s="242"/>
      <c r="AL82" s="241" t="str">
        <f t="shared" si="74"/>
        <v xml:space="preserve"> </v>
      </c>
      <c r="AM82" s="242"/>
      <c r="AN82" s="241" t="str">
        <f t="shared" si="75"/>
        <v xml:space="preserve"> </v>
      </c>
      <c r="AO82" s="242"/>
      <c r="AP82" s="241" t="str">
        <f t="shared" si="76"/>
        <v xml:space="preserve"> </v>
      </c>
      <c r="AQ82" s="242"/>
      <c r="AR82" s="241" t="str">
        <f t="shared" si="77"/>
        <v xml:space="preserve"> </v>
      </c>
      <c r="AS82" s="242"/>
      <c r="AT82" s="241" t="str">
        <f t="shared" si="78"/>
        <v xml:space="preserve"> </v>
      </c>
      <c r="AU82" s="242"/>
      <c r="AV82" s="241" t="str">
        <f t="shared" si="79"/>
        <v xml:space="preserve"> </v>
      </c>
      <c r="AW82" s="242"/>
      <c r="AX82" s="241" t="str">
        <f t="shared" si="80"/>
        <v xml:space="preserve"> </v>
      </c>
      <c r="AY82" s="242"/>
      <c r="AZ82" s="253" t="str">
        <f t="shared" si="81"/>
        <v xml:space="preserve"> </v>
      </c>
    </row>
    <row r="83" spans="2:52">
      <c r="B83" s="230" t="s">
        <v>1796</v>
      </c>
      <c r="C83" s="265">
        <f>IFERROR(AVERAGE(E83,G83,I83,K83,M83,O83,Q83,S83,U83,W83,Y83,AA83,AC83,AE83,AG83,AI83,AK83,AM83,AO83,AQ83,AS83,AU83,AW83,AY83),0)</f>
        <v>1276373.8731249999</v>
      </c>
      <c r="D83" s="266">
        <f>IFERROR(AVERAGE(F83,H83,J83,L83,N83,P83,R83,T83,V83,X83,Z83,AB83,AD83,AF83,AH83,AJ83,AL83,AN83,AP83,AR83,AT83,AV83,AX83,AZ83),0)</f>
        <v>6905.8850409887273</v>
      </c>
      <c r="E83" s="267">
        <f>IFERROR(IF(SUM(E34,E38,E44,E54,E63,E68,E72,E81)&gt;0,SUM(E34,E38,E44,E54,E63,E68,E72,E81)," ")," ")</f>
        <v>839665</v>
      </c>
      <c r="F83" s="268">
        <f t="shared" si="82"/>
        <v>5913.1338028169012</v>
      </c>
      <c r="G83" s="267">
        <f>IFERROR(IF(SUM(G34,G38,G44,G54,G63,G68,G72,G81)&gt;0,SUM(G34,G38,G44,G54,G63,G68,G72,G81)," ")," ")</f>
        <v>1357845</v>
      </c>
      <c r="H83" s="268">
        <f t="shared" si="59"/>
        <v>8486.53125</v>
      </c>
      <c r="I83" s="267">
        <f>IFERROR(IF(SUM(I34,I38,I44,I54,I63,I68,I72,I81)&gt;0,SUM(I34,I38,I44,I54,I63,I68,I72,I81)," ")," ")</f>
        <v>1327565.49</v>
      </c>
      <c r="J83" s="268">
        <f t="shared" si="60"/>
        <v>8676.8986274509807</v>
      </c>
      <c r="K83" s="267">
        <f>IFERROR(IF(SUM(K34,K38,K44,K54,K63,K68,K72,K81)&gt;0,SUM(K34,K38,K44,K54,K63,K68,K72,K81)," ")," ")</f>
        <v>1735821</v>
      </c>
      <c r="L83" s="268">
        <f t="shared" si="61"/>
        <v>9040.734375</v>
      </c>
      <c r="M83" s="267">
        <f>IFERROR(IF(SUM(M34,M38,M44,M54,M63,M68,M72,M81)&gt;0,SUM(M34,M38,M44,M54,M63,M68,M72,M81)," ")," ")</f>
        <v>1819365</v>
      </c>
      <c r="N83" s="268">
        <f t="shared" si="62"/>
        <v>9887.8532608695659</v>
      </c>
      <c r="O83" s="267">
        <f>IFERROR(IF(SUM(O34,O38,O44,O54,O63,O68,O72,O81)&gt;0,SUM(O34,O38,O44,O54,O63,O68,O72,O81)," ")," ")</f>
        <v>2351568</v>
      </c>
      <c r="P83" s="268">
        <f t="shared" si="63"/>
        <v>14697.3</v>
      </c>
      <c r="Q83" s="267">
        <f>IFERROR(IF(SUM(Q34,Q38,Q44,Q54,Q63,Q68,Q72,Q81)&gt;0,SUM(Q34,Q38,Q44,Q54,Q63,Q68,Q72,Q81)," ")," ")</f>
        <v>952685.47999999986</v>
      </c>
      <c r="R83" s="268">
        <f t="shared" si="64"/>
        <v>4410.5809259259249</v>
      </c>
      <c r="S83" s="267">
        <f>IFERROR(IF(SUM(S34,S38,S44,S54,S63,S68,S72,S81)&gt;0,SUM(S34,S38,S44,S54,S63,S68,S72,S81)," ")," ")</f>
        <v>717524</v>
      </c>
      <c r="T83" s="268">
        <f t="shared" si="65"/>
        <v>2391.7466666666664</v>
      </c>
      <c r="U83" s="267">
        <f>IFERROR(IF(SUM(U34,U38,U44,U54,U63,U68,U72,U81)&gt;0,SUM(U34,U38,U44,U54,U63,U68,U72,U81)," ")," ")</f>
        <v>1005888</v>
      </c>
      <c r="V83" s="268">
        <f t="shared" si="66"/>
        <v>5029.4399999999996</v>
      </c>
      <c r="W83" s="267">
        <f>IFERROR(IF(SUM(W34,W38,W44,W54,W63,W68,W72,W81)&gt;0,SUM(W34,W38,W44,W54,W63,W68,W72,W81)," ")," ")</f>
        <v>1364664.79</v>
      </c>
      <c r="X83" s="268">
        <f t="shared" si="67"/>
        <v>4548.8826333333336</v>
      </c>
      <c r="Y83" s="267">
        <f>IFERROR(IF(SUM(Y34,Y38,Y44,Y54,Y63,Y68,Y72,Y81)&gt;0,SUM(Y34,Y38,Y44,Y54,Y63,Y68,Y72,Y81)," ")," ")</f>
        <v>1381215.04</v>
      </c>
      <c r="Z83" s="268">
        <f t="shared" si="68"/>
        <v>4932.9108571428569</v>
      </c>
      <c r="AA83" s="267">
        <f>IFERROR(IF(SUM(AA34,AA38,AA44,AA54,AA63,AA68,AA72,AA81)&gt;0,SUM(AA34,AA38,AA44,AA54,AA63,AA68,AA72,AA81)," ")," ")</f>
        <v>1298909.1300000001</v>
      </c>
      <c r="AB83" s="268">
        <f t="shared" si="69"/>
        <v>7464.9950000000008</v>
      </c>
      <c r="AC83" s="267">
        <f>IFERROR(IF(SUM(AC34,AC38,AC44,AC54,AC63,AC68,AC72,AC81)&gt;0,SUM(AC34,AC38,AC44,AC54,AC63,AC68,AC72,AC81)," ")," ")</f>
        <v>1275939</v>
      </c>
      <c r="AD83" s="268">
        <f t="shared" si="70"/>
        <v>7249.653409090909</v>
      </c>
      <c r="AE83" s="267">
        <f>IFERROR(IF(SUM(AE34,AE38,AE44,AE54,AE63,AE68,AE72,AE81)&gt;0,SUM(AE34,AE38,AE44,AE54,AE63,AE68,AE72,AE81)," ")," ")</f>
        <v>1250205.04</v>
      </c>
      <c r="AF83" s="268">
        <f t="shared" si="71"/>
        <v>9329.8883582089547</v>
      </c>
      <c r="AG83" s="267">
        <f>IFERROR(IF(SUM(AG34,AG38,AG44,AG54,AG63,AG68,AG72,AG81)&gt;0,SUM(AG34,AG38,AG44,AG54,AG63,AG68,AG72,AG81)," ")," ")</f>
        <v>809519</v>
      </c>
      <c r="AH83" s="268">
        <f t="shared" si="72"/>
        <v>3387.1087866108787</v>
      </c>
      <c r="AI83" s="267">
        <f>IFERROR(IF(SUM(AI34,AI38,AI44,AI54,AI63,AI68,AI72,AI81)&gt;0,SUM(AI34,AI38,AI44,AI54,AI63,AI68,AI72,AI81)," ")," ")</f>
        <v>933603</v>
      </c>
      <c r="AJ83" s="268">
        <f t="shared" si="73"/>
        <v>5046.5027027027027</v>
      </c>
      <c r="AK83" s="267" t="str">
        <f>IFERROR(IF(SUM(AK34,AK38,AK44,AK54,AK63,AK68,AK72,AK81)&gt;0,SUM(AK34,AK38,AK44,AK54,AK63,AK68,AK72,AK81)," ")," ")</f>
        <v xml:space="preserve"> </v>
      </c>
      <c r="AL83" s="268" t="str">
        <f t="shared" si="74"/>
        <v xml:space="preserve"> </v>
      </c>
      <c r="AM83" s="267" t="str">
        <f>IFERROR(IF(SUM(AM34,AM38,AM44,AM54,AM63,AM68,AM72,AM81)&gt;0,SUM(AM34,AM38,AM44,AM54,AM63,AM68,AM72,AM81)," ")," ")</f>
        <v xml:space="preserve"> </v>
      </c>
      <c r="AN83" s="268" t="str">
        <f t="shared" si="75"/>
        <v xml:space="preserve"> </v>
      </c>
      <c r="AO83" s="267" t="str">
        <f>IFERROR(IF(SUM(AO34,AO38,AO44,AO54,AO63,AO68,AO72,AO81)&gt;0,SUM(AO34,AO38,AO44,AO54,AO63,AO68,AO72,AO81)," ")," ")</f>
        <v xml:space="preserve"> </v>
      </c>
      <c r="AP83" s="268" t="str">
        <f t="shared" si="76"/>
        <v xml:space="preserve"> </v>
      </c>
      <c r="AQ83" s="267" t="str">
        <f>IFERROR(IF(SUM(AQ34,AQ38,AQ44,AQ54,AQ63,AQ68,AQ72,AQ81)&gt;0,SUM(AQ34,AQ38,AQ44,AQ54,AQ63,AQ68,AQ72,AQ81)," ")," ")</f>
        <v xml:space="preserve"> </v>
      </c>
      <c r="AR83" s="268" t="str">
        <f t="shared" si="77"/>
        <v xml:space="preserve"> </v>
      </c>
      <c r="AS83" s="267" t="str">
        <f>IFERROR(IF(SUM(AS34,AS38,AS44,AS54,AS63,AS68,AS72,AS81)&gt;0,SUM(AS34,AS38,AS44,AS54,AS63,AS68,AS72,AS81)," ")," ")</f>
        <v xml:space="preserve"> </v>
      </c>
      <c r="AT83" s="268" t="str">
        <f t="shared" si="78"/>
        <v xml:space="preserve"> </v>
      </c>
      <c r="AU83" s="267" t="str">
        <f>IFERROR(IF(SUM(AU34,AU38,AU44,AU54,AU63,AU68,AU72,AU81)&gt;0,SUM(AU34,AU38,AU44,AU54,AU63,AU68,AU72,AU81)," ")," ")</f>
        <v xml:space="preserve"> </v>
      </c>
      <c r="AV83" s="268" t="str">
        <f t="shared" si="79"/>
        <v xml:space="preserve"> </v>
      </c>
      <c r="AW83" s="267" t="str">
        <f>IFERROR(IF(SUM(AW34,AW38,AW44,AW54,AW63,AW68,AW72,AW81)&gt;0,SUM(AW34,AW38,AW44,AW54,AW63,AW68,AW72,AW81)," ")," ")</f>
        <v xml:space="preserve"> </v>
      </c>
      <c r="AX83" s="268" t="str">
        <f t="shared" si="80"/>
        <v xml:space="preserve"> </v>
      </c>
      <c r="AY83" s="267" t="str">
        <f>IFERROR(IF(SUM(AY34,AY38,AY44,AY54,AY63,AY68,AY72,AY81)&gt;0,SUM(AY34,AY38,AY44,AY54,AY63,AY68,AY72,AY81)," ")," ")</f>
        <v xml:space="preserve"> </v>
      </c>
      <c r="AZ83" s="269" t="str">
        <f t="shared" si="81"/>
        <v xml:space="preserve"> </v>
      </c>
    </row>
    <row r="84" spans="2:52" ht="5.0999999999999996" customHeight="1">
      <c r="B84" s="220"/>
      <c r="C84" s="235"/>
      <c r="D84" s="236"/>
      <c r="E84" s="242"/>
      <c r="F84" s="241" t="str">
        <f t="shared" si="82"/>
        <v xml:space="preserve"> </v>
      </c>
      <c r="G84" s="242"/>
      <c r="H84" s="241" t="str">
        <f t="shared" si="59"/>
        <v xml:space="preserve"> </v>
      </c>
      <c r="I84" s="242"/>
      <c r="J84" s="241" t="str">
        <f t="shared" si="60"/>
        <v xml:space="preserve"> </v>
      </c>
      <c r="K84" s="242"/>
      <c r="L84" s="241" t="str">
        <f t="shared" si="61"/>
        <v xml:space="preserve"> </v>
      </c>
      <c r="M84" s="242"/>
      <c r="N84" s="241" t="str">
        <f t="shared" si="62"/>
        <v xml:space="preserve"> </v>
      </c>
      <c r="O84" s="242"/>
      <c r="P84" s="241" t="str">
        <f t="shared" si="63"/>
        <v xml:space="preserve"> </v>
      </c>
      <c r="Q84" s="242"/>
      <c r="R84" s="241" t="str">
        <f t="shared" si="64"/>
        <v xml:space="preserve"> </v>
      </c>
      <c r="S84" s="242"/>
      <c r="T84" s="241" t="str">
        <f t="shared" si="65"/>
        <v xml:space="preserve"> </v>
      </c>
      <c r="U84" s="242"/>
      <c r="V84" s="241" t="str">
        <f t="shared" si="66"/>
        <v xml:space="preserve"> </v>
      </c>
      <c r="W84" s="242"/>
      <c r="X84" s="241" t="str">
        <f t="shared" si="67"/>
        <v xml:space="preserve"> </v>
      </c>
      <c r="Y84" s="242"/>
      <c r="Z84" s="241" t="str">
        <f t="shared" si="68"/>
        <v xml:space="preserve"> </v>
      </c>
      <c r="AA84" s="242"/>
      <c r="AB84" s="241" t="str">
        <f t="shared" si="69"/>
        <v xml:space="preserve"> </v>
      </c>
      <c r="AC84" s="242"/>
      <c r="AD84" s="241" t="str">
        <f t="shared" si="70"/>
        <v xml:space="preserve"> </v>
      </c>
      <c r="AE84" s="242"/>
      <c r="AF84" s="241" t="str">
        <f t="shared" si="71"/>
        <v xml:space="preserve"> </v>
      </c>
      <c r="AG84" s="242"/>
      <c r="AH84" s="241" t="str">
        <f t="shared" si="72"/>
        <v xml:space="preserve"> </v>
      </c>
      <c r="AI84" s="242"/>
      <c r="AJ84" s="241" t="str">
        <f t="shared" si="73"/>
        <v xml:space="preserve"> </v>
      </c>
      <c r="AK84" s="242"/>
      <c r="AL84" s="241" t="str">
        <f t="shared" si="74"/>
        <v xml:space="preserve"> </v>
      </c>
      <c r="AM84" s="242"/>
      <c r="AN84" s="241" t="str">
        <f t="shared" si="75"/>
        <v xml:space="preserve"> </v>
      </c>
      <c r="AO84" s="242"/>
      <c r="AP84" s="241" t="str">
        <f t="shared" si="76"/>
        <v xml:space="preserve"> </v>
      </c>
      <c r="AQ84" s="242"/>
      <c r="AR84" s="241" t="str">
        <f t="shared" si="77"/>
        <v xml:space="preserve"> </v>
      </c>
      <c r="AS84" s="242"/>
      <c r="AT84" s="241" t="str">
        <f t="shared" si="78"/>
        <v xml:space="preserve"> </v>
      </c>
      <c r="AU84" s="242"/>
      <c r="AV84" s="241" t="str">
        <f t="shared" si="79"/>
        <v xml:space="preserve"> </v>
      </c>
      <c r="AW84" s="242"/>
      <c r="AX84" s="241" t="str">
        <f t="shared" si="80"/>
        <v xml:space="preserve"> </v>
      </c>
      <c r="AY84" s="242"/>
      <c r="AZ84" s="253" t="str">
        <f t="shared" si="81"/>
        <v xml:space="preserve"> </v>
      </c>
    </row>
    <row r="85" spans="2:52">
      <c r="B85" s="230" t="s">
        <v>108</v>
      </c>
      <c r="C85" s="265">
        <f>IFERROR(AVERAGE(E85,G85,I85,K85,M85,O85,Q85,S85,U85,W85,Y85,AA85,AC85,AE85,AG85,AI85,AK85,AM85,AO85,AQ85,AS85,AU85,AW85,AY85),0)</f>
        <v>860172.35750000004</v>
      </c>
      <c r="D85" s="266">
        <f>IFERROR(AVERAGE(F85,H85,J85,L85,N85,P85,R85,T85,V85,X85,Z85,AB85,AD85,AF85,AH85,AJ85,AL85,AN85,AP85,AR85,AT85,AV85,AX85,AZ85),0)</f>
        <v>4009.1377527553796</v>
      </c>
      <c r="E85" s="267">
        <f>IFERROR(E21-E83," ")</f>
        <v>195565</v>
      </c>
      <c r="F85" s="268">
        <f t="shared" si="82"/>
        <v>1377.2183098591549</v>
      </c>
      <c r="G85" s="267">
        <f>IFERROR(G21-G83," ")</f>
        <v>47613</v>
      </c>
      <c r="H85" s="268">
        <f t="shared" si="59"/>
        <v>297.58125000000001</v>
      </c>
      <c r="I85" s="267">
        <f>IFERROR(I21-I83," ")</f>
        <v>247756.26</v>
      </c>
      <c r="J85" s="268">
        <f t="shared" si="60"/>
        <v>1619.3219607843139</v>
      </c>
      <c r="K85" s="267">
        <f>IFERROR(K21-K83," ")</f>
        <v>48008</v>
      </c>
      <c r="L85" s="268">
        <f t="shared" si="61"/>
        <v>250.04166666666666</v>
      </c>
      <c r="M85" s="267">
        <f>IFERROR(M21-M83," ")</f>
        <v>774190</v>
      </c>
      <c r="N85" s="268">
        <f t="shared" si="62"/>
        <v>4207.554347826087</v>
      </c>
      <c r="O85" s="267">
        <f>IFERROR(O21-O83," ")</f>
        <v>-5392</v>
      </c>
      <c r="P85" s="268" t="str">
        <f t="shared" si="63"/>
        <v xml:space="preserve"> </v>
      </c>
      <c r="Q85" s="267">
        <f>IFERROR(Q21-Q83," ")</f>
        <v>809509.20000000054</v>
      </c>
      <c r="R85" s="268">
        <f t="shared" si="64"/>
        <v>3747.7277777777804</v>
      </c>
      <c r="S85" s="267">
        <f>IFERROR(S21-S83," ")</f>
        <v>4673235</v>
      </c>
      <c r="T85" s="268">
        <f t="shared" si="65"/>
        <v>15577.45</v>
      </c>
      <c r="U85" s="267">
        <f>IFERROR(U21-U83," ")</f>
        <v>1707610</v>
      </c>
      <c r="V85" s="268">
        <f t="shared" si="66"/>
        <v>8538.0499999999993</v>
      </c>
      <c r="W85" s="267">
        <f>IFERROR(W21-W83," ")</f>
        <v>351040.70000000065</v>
      </c>
      <c r="X85" s="268">
        <f t="shared" si="67"/>
        <v>1170.1356666666688</v>
      </c>
      <c r="Y85" s="267">
        <f>IFERROR(Y21-Y83," ")</f>
        <v>1759438.9300000002</v>
      </c>
      <c r="Z85" s="268">
        <f t="shared" si="68"/>
        <v>6283.7104642857148</v>
      </c>
      <c r="AA85" s="267">
        <f>IFERROR(AA21-AA83," ")</f>
        <v>518624.61999999988</v>
      </c>
      <c r="AB85" s="268">
        <f t="shared" si="69"/>
        <v>2980.6012643678155</v>
      </c>
      <c r="AC85" s="267">
        <f>IFERROR(AC21-AC83," ")</f>
        <v>263675</v>
      </c>
      <c r="AD85" s="268">
        <f t="shared" si="70"/>
        <v>1498.153409090909</v>
      </c>
      <c r="AE85" s="267">
        <f>IFERROR(AE21-AE83," ")</f>
        <v>567056.01</v>
      </c>
      <c r="AF85" s="268">
        <f t="shared" si="71"/>
        <v>4231.7612686567163</v>
      </c>
      <c r="AG85" s="267">
        <f>IFERROR(AG21-AG83," ")</f>
        <v>1144733</v>
      </c>
      <c r="AH85" s="268">
        <f t="shared" si="72"/>
        <v>4789.6778242677829</v>
      </c>
      <c r="AI85" s="267">
        <f>IFERROR(AI21-AI83," ")</f>
        <v>660095</v>
      </c>
      <c r="AJ85" s="268">
        <f t="shared" si="73"/>
        <v>3568.0810810810813</v>
      </c>
      <c r="AK85" s="267" t="str">
        <f>IFERROR(AK21-AK83," ")</f>
        <v xml:space="preserve"> </v>
      </c>
      <c r="AL85" s="268" t="str">
        <f t="shared" si="74"/>
        <v xml:space="preserve"> </v>
      </c>
      <c r="AM85" s="267" t="str">
        <f>IFERROR(AM21-AM83," ")</f>
        <v xml:space="preserve"> </v>
      </c>
      <c r="AN85" s="268" t="str">
        <f t="shared" si="75"/>
        <v xml:space="preserve"> </v>
      </c>
      <c r="AO85" s="267" t="str">
        <f>IFERROR(AO21-AO83," ")</f>
        <v xml:space="preserve"> </v>
      </c>
      <c r="AP85" s="268" t="str">
        <f t="shared" si="76"/>
        <v xml:space="preserve"> </v>
      </c>
      <c r="AQ85" s="267" t="str">
        <f>IFERROR(AQ21-AQ83," ")</f>
        <v xml:space="preserve"> </v>
      </c>
      <c r="AR85" s="268" t="str">
        <f t="shared" si="77"/>
        <v xml:space="preserve"> </v>
      </c>
      <c r="AS85" s="267" t="str">
        <f>IFERROR(AS21-AS83," ")</f>
        <v xml:space="preserve"> </v>
      </c>
      <c r="AT85" s="268" t="str">
        <f t="shared" si="78"/>
        <v xml:space="preserve"> </v>
      </c>
      <c r="AU85" s="267" t="str">
        <f>IFERROR(AU21-AU83," ")</f>
        <v xml:space="preserve"> </v>
      </c>
      <c r="AV85" s="268" t="str">
        <f t="shared" si="79"/>
        <v xml:space="preserve"> </v>
      </c>
      <c r="AW85" s="267" t="str">
        <f>IFERROR(AW21-AW83," ")</f>
        <v xml:space="preserve"> </v>
      </c>
      <c r="AX85" s="268" t="str">
        <f t="shared" si="80"/>
        <v xml:space="preserve"> </v>
      </c>
      <c r="AY85" s="267" t="str">
        <f>IFERROR(AY21-AY83," ")</f>
        <v xml:space="preserve"> </v>
      </c>
      <c r="AZ85" s="269" t="str">
        <f t="shared" si="81"/>
        <v xml:space="preserve"> </v>
      </c>
    </row>
    <row r="86" spans="2:52" ht="5.0999999999999996" customHeight="1">
      <c r="B86" s="220"/>
      <c r="C86" s="235"/>
      <c r="D86" s="236"/>
      <c r="E86" s="242"/>
      <c r="F86" s="241" t="str">
        <f t="shared" si="82"/>
        <v xml:space="preserve"> </v>
      </c>
      <c r="G86" s="242"/>
      <c r="H86" s="241" t="str">
        <f t="shared" si="59"/>
        <v xml:space="preserve"> </v>
      </c>
      <c r="I86" s="242"/>
      <c r="J86" s="241" t="str">
        <f t="shared" si="60"/>
        <v xml:space="preserve"> </v>
      </c>
      <c r="K86" s="242"/>
      <c r="L86" s="241" t="str">
        <f t="shared" si="61"/>
        <v xml:space="preserve"> </v>
      </c>
      <c r="M86" s="242"/>
      <c r="N86" s="241" t="str">
        <f t="shared" si="62"/>
        <v xml:space="preserve"> </v>
      </c>
      <c r="O86" s="242"/>
      <c r="P86" s="241" t="str">
        <f t="shared" si="63"/>
        <v xml:space="preserve"> </v>
      </c>
      <c r="Q86" s="242"/>
      <c r="R86" s="241" t="str">
        <f t="shared" si="64"/>
        <v xml:space="preserve"> </v>
      </c>
      <c r="S86" s="242"/>
      <c r="T86" s="241" t="str">
        <f t="shared" si="65"/>
        <v xml:space="preserve"> </v>
      </c>
      <c r="U86" s="242"/>
      <c r="V86" s="241" t="str">
        <f t="shared" si="66"/>
        <v xml:space="preserve"> </v>
      </c>
      <c r="W86" s="242"/>
      <c r="X86" s="241" t="str">
        <f t="shared" si="67"/>
        <v xml:space="preserve"> </v>
      </c>
      <c r="Y86" s="242"/>
      <c r="Z86" s="241" t="str">
        <f t="shared" si="68"/>
        <v xml:space="preserve"> </v>
      </c>
      <c r="AA86" s="242"/>
      <c r="AB86" s="241" t="str">
        <f t="shared" si="69"/>
        <v xml:space="preserve"> </v>
      </c>
      <c r="AC86" s="242"/>
      <c r="AD86" s="241" t="str">
        <f t="shared" si="70"/>
        <v xml:space="preserve"> </v>
      </c>
      <c r="AE86" s="242"/>
      <c r="AF86" s="241" t="str">
        <f t="shared" si="71"/>
        <v xml:space="preserve"> </v>
      </c>
      <c r="AG86" s="242"/>
      <c r="AH86" s="241" t="str">
        <f t="shared" si="72"/>
        <v xml:space="preserve"> </v>
      </c>
      <c r="AI86" s="242"/>
      <c r="AJ86" s="241" t="str">
        <f t="shared" si="73"/>
        <v xml:space="preserve"> </v>
      </c>
      <c r="AK86" s="242"/>
      <c r="AL86" s="241" t="str">
        <f t="shared" si="74"/>
        <v xml:space="preserve"> </v>
      </c>
      <c r="AM86" s="242"/>
      <c r="AN86" s="241" t="str">
        <f t="shared" si="75"/>
        <v xml:space="preserve"> </v>
      </c>
      <c r="AO86" s="242"/>
      <c r="AP86" s="241" t="str">
        <f t="shared" si="76"/>
        <v xml:space="preserve"> </v>
      </c>
      <c r="AQ86" s="242"/>
      <c r="AR86" s="241" t="str">
        <f t="shared" si="77"/>
        <v xml:space="preserve"> </v>
      </c>
      <c r="AS86" s="242"/>
      <c r="AT86" s="241" t="str">
        <f t="shared" si="78"/>
        <v xml:space="preserve"> </v>
      </c>
      <c r="AU86" s="242"/>
      <c r="AV86" s="241" t="str">
        <f t="shared" si="79"/>
        <v xml:space="preserve"> </v>
      </c>
      <c r="AW86" s="242"/>
      <c r="AX86" s="241" t="str">
        <f t="shared" si="80"/>
        <v xml:space="preserve"> </v>
      </c>
      <c r="AY86" s="242"/>
      <c r="AZ86" s="253" t="str">
        <f t="shared" si="81"/>
        <v xml:space="preserve"> </v>
      </c>
    </row>
    <row r="87" spans="2:52">
      <c r="B87" s="230" t="s">
        <v>1797</v>
      </c>
      <c r="C87" s="235"/>
      <c r="D87" s="236"/>
      <c r="E87" s="242"/>
      <c r="F87" s="241" t="str">
        <f t="shared" si="82"/>
        <v xml:space="preserve"> </v>
      </c>
      <c r="G87" s="242"/>
      <c r="H87" s="241" t="str">
        <f t="shared" si="59"/>
        <v xml:space="preserve"> </v>
      </c>
      <c r="I87" s="242"/>
      <c r="J87" s="241" t="str">
        <f t="shared" si="60"/>
        <v xml:space="preserve"> </v>
      </c>
      <c r="K87" s="242"/>
      <c r="L87" s="241" t="str">
        <f t="shared" si="61"/>
        <v xml:space="preserve"> </v>
      </c>
      <c r="M87" s="242"/>
      <c r="N87" s="241" t="str">
        <f t="shared" si="62"/>
        <v xml:space="preserve"> </v>
      </c>
      <c r="O87" s="242"/>
      <c r="P87" s="241" t="str">
        <f t="shared" si="63"/>
        <v xml:space="preserve"> </v>
      </c>
      <c r="Q87" s="242"/>
      <c r="R87" s="241" t="str">
        <f t="shared" si="64"/>
        <v xml:space="preserve"> </v>
      </c>
      <c r="S87" s="242"/>
      <c r="T87" s="241" t="str">
        <f t="shared" si="65"/>
        <v xml:space="preserve"> </v>
      </c>
      <c r="U87" s="242"/>
      <c r="V87" s="241" t="str">
        <f t="shared" si="66"/>
        <v xml:space="preserve"> </v>
      </c>
      <c r="W87" s="242"/>
      <c r="X87" s="241" t="str">
        <f t="shared" si="67"/>
        <v xml:space="preserve"> </v>
      </c>
      <c r="Y87" s="242"/>
      <c r="Z87" s="241" t="str">
        <f t="shared" si="68"/>
        <v xml:space="preserve"> </v>
      </c>
      <c r="AA87" s="242"/>
      <c r="AB87" s="241" t="str">
        <f t="shared" si="69"/>
        <v xml:space="preserve"> </v>
      </c>
      <c r="AC87" s="242"/>
      <c r="AD87" s="241" t="str">
        <f t="shared" si="70"/>
        <v xml:space="preserve"> </v>
      </c>
      <c r="AE87" s="242"/>
      <c r="AF87" s="241" t="str">
        <f t="shared" si="71"/>
        <v xml:space="preserve"> </v>
      </c>
      <c r="AG87" s="242"/>
      <c r="AH87" s="241" t="str">
        <f t="shared" si="72"/>
        <v xml:space="preserve"> </v>
      </c>
      <c r="AI87" s="242"/>
      <c r="AJ87" s="241" t="str">
        <f t="shared" si="73"/>
        <v xml:space="preserve"> </v>
      </c>
      <c r="AK87" s="242"/>
      <c r="AL87" s="241" t="str">
        <f t="shared" si="74"/>
        <v xml:space="preserve"> </v>
      </c>
      <c r="AM87" s="242"/>
      <c r="AN87" s="241" t="str">
        <f t="shared" si="75"/>
        <v xml:space="preserve"> </v>
      </c>
      <c r="AO87" s="242"/>
      <c r="AP87" s="241" t="str">
        <f t="shared" si="76"/>
        <v xml:space="preserve"> </v>
      </c>
      <c r="AQ87" s="242"/>
      <c r="AR87" s="241" t="str">
        <f t="shared" si="77"/>
        <v xml:space="preserve"> </v>
      </c>
      <c r="AS87" s="242"/>
      <c r="AT87" s="241" t="str">
        <f t="shared" si="78"/>
        <v xml:space="preserve"> </v>
      </c>
      <c r="AU87" s="242"/>
      <c r="AV87" s="241" t="str">
        <f t="shared" si="79"/>
        <v xml:space="preserve"> </v>
      </c>
      <c r="AW87" s="242"/>
      <c r="AX87" s="241" t="str">
        <f t="shared" si="80"/>
        <v xml:space="preserve"> </v>
      </c>
      <c r="AY87" s="242"/>
      <c r="AZ87" s="253" t="str">
        <f t="shared" si="81"/>
        <v xml:space="preserve"> </v>
      </c>
    </row>
    <row r="88" spans="2:52">
      <c r="B88" s="220" t="s">
        <v>1798</v>
      </c>
      <c r="C88" s="263">
        <f t="shared" ref="C88:C94" si="83">IFERROR(AVERAGE(E88,G88,I88,K88,M88,O88,Q88,S88,U88,W88,Y88,AA88,AC88,AE88,AG88,AI88,AK88,AM88,AO88,AQ88,AS88,AU88,AW88,AY88),0)</f>
        <v>499950.3455555556</v>
      </c>
      <c r="D88" s="261">
        <f t="shared" ref="D88:D94" si="84">IFERROR(AVERAGE(F88,H88,J88,L88,N88,P88,R88,T88,V88,X88,Z88,AB88,AD88,AF88,AH88,AJ88,AL88,AN88,AP88,AR88,AT88,AV88,AX88,AZ88),0)</f>
        <v>2445.8409818504142</v>
      </c>
      <c r="E88" s="242">
        <v>31509</v>
      </c>
      <c r="F88" s="241">
        <f t="shared" si="82"/>
        <v>221.8943661971831</v>
      </c>
      <c r="G88" s="242"/>
      <c r="H88" s="241" t="str">
        <f t="shared" si="59"/>
        <v xml:space="preserve"> </v>
      </c>
      <c r="I88" s="242">
        <v>262462.08000000002</v>
      </c>
      <c r="J88" s="241">
        <f t="shared" si="60"/>
        <v>1715.4384313725491</v>
      </c>
      <c r="K88" s="242"/>
      <c r="L88" s="241" t="str">
        <f t="shared" si="61"/>
        <v xml:space="preserve"> </v>
      </c>
      <c r="M88" s="242">
        <v>315411</v>
      </c>
      <c r="N88" s="241">
        <f t="shared" si="62"/>
        <v>1714.1902173913043</v>
      </c>
      <c r="O88" s="242">
        <v>284184</v>
      </c>
      <c r="P88" s="241">
        <f t="shared" si="63"/>
        <v>1776.15</v>
      </c>
      <c r="Q88" s="242"/>
      <c r="R88" s="241" t="str">
        <f t="shared" si="64"/>
        <v xml:space="preserve"> </v>
      </c>
      <c r="S88" s="242">
        <v>653515</v>
      </c>
      <c r="T88" s="241">
        <f t="shared" si="65"/>
        <v>2178.3833333333332</v>
      </c>
      <c r="U88" s="242">
        <v>834636</v>
      </c>
      <c r="V88" s="241">
        <f t="shared" si="66"/>
        <v>4173.18</v>
      </c>
      <c r="W88" s="242"/>
      <c r="X88" s="241" t="str">
        <f t="shared" si="67"/>
        <v xml:space="preserve"> </v>
      </c>
      <c r="Y88" s="242">
        <v>899326.58</v>
      </c>
      <c r="Z88" s="241">
        <f t="shared" si="68"/>
        <v>3211.8806428571429</v>
      </c>
      <c r="AA88" s="242"/>
      <c r="AB88" s="241" t="str">
        <f t="shared" si="69"/>
        <v xml:space="preserve"> </v>
      </c>
      <c r="AC88" s="242"/>
      <c r="AD88" s="241" t="str">
        <f t="shared" si="70"/>
        <v xml:space="preserve"> </v>
      </c>
      <c r="AE88" s="242">
        <v>211402.45</v>
      </c>
      <c r="AF88" s="241">
        <f t="shared" si="71"/>
        <v>1577.6302238805972</v>
      </c>
      <c r="AG88" s="242"/>
      <c r="AH88" s="241" t="str">
        <f t="shared" si="72"/>
        <v xml:space="preserve"> </v>
      </c>
      <c r="AI88" s="242">
        <v>1007107</v>
      </c>
      <c r="AJ88" s="241">
        <f t="shared" si="73"/>
        <v>5443.8216216216215</v>
      </c>
      <c r="AK88" s="242"/>
      <c r="AL88" s="241" t="str">
        <f t="shared" si="74"/>
        <v xml:space="preserve"> </v>
      </c>
      <c r="AM88" s="242"/>
      <c r="AN88" s="241" t="str">
        <f t="shared" si="75"/>
        <v xml:space="preserve"> </v>
      </c>
      <c r="AO88" s="242"/>
      <c r="AP88" s="241" t="str">
        <f t="shared" si="76"/>
        <v xml:space="preserve"> </v>
      </c>
      <c r="AQ88" s="242"/>
      <c r="AR88" s="241" t="str">
        <f t="shared" si="77"/>
        <v xml:space="preserve"> </v>
      </c>
      <c r="AS88" s="242"/>
      <c r="AT88" s="241" t="str">
        <f t="shared" si="78"/>
        <v xml:space="preserve"> </v>
      </c>
      <c r="AU88" s="242"/>
      <c r="AV88" s="241" t="str">
        <f t="shared" si="79"/>
        <v xml:space="preserve"> </v>
      </c>
      <c r="AW88" s="242"/>
      <c r="AX88" s="241" t="str">
        <f t="shared" si="80"/>
        <v xml:space="preserve"> </v>
      </c>
      <c r="AY88" s="242"/>
      <c r="AZ88" s="253" t="str">
        <f t="shared" si="81"/>
        <v xml:space="preserve"> </v>
      </c>
    </row>
    <row r="89" spans="2:52">
      <c r="B89" s="220" t="s">
        <v>1799</v>
      </c>
      <c r="C89" s="263">
        <f t="shared" si="83"/>
        <v>102701</v>
      </c>
      <c r="D89" s="261">
        <f t="shared" si="84"/>
        <v>558.15760869565213</v>
      </c>
      <c r="E89" s="242"/>
      <c r="F89" s="241" t="str">
        <f t="shared" si="82"/>
        <v xml:space="preserve"> </v>
      </c>
      <c r="G89" s="242"/>
      <c r="H89" s="241" t="str">
        <f t="shared" si="59"/>
        <v xml:space="preserve"> </v>
      </c>
      <c r="I89" s="242"/>
      <c r="J89" s="241" t="str">
        <f t="shared" si="60"/>
        <v xml:space="preserve"> </v>
      </c>
      <c r="K89" s="242"/>
      <c r="L89" s="241" t="str">
        <f t="shared" si="61"/>
        <v xml:space="preserve"> </v>
      </c>
      <c r="M89" s="242">
        <v>102701</v>
      </c>
      <c r="N89" s="241">
        <f t="shared" si="62"/>
        <v>558.15760869565213</v>
      </c>
      <c r="O89" s="242"/>
      <c r="P89" s="241" t="str">
        <f t="shared" si="63"/>
        <v xml:space="preserve"> </v>
      </c>
      <c r="Q89" s="242"/>
      <c r="R89" s="241" t="str">
        <f t="shared" si="64"/>
        <v xml:space="preserve"> </v>
      </c>
      <c r="S89" s="242"/>
      <c r="T89" s="241" t="str">
        <f t="shared" si="65"/>
        <v xml:space="preserve"> </v>
      </c>
      <c r="U89" s="242"/>
      <c r="V89" s="241" t="str">
        <f t="shared" si="66"/>
        <v xml:space="preserve"> </v>
      </c>
      <c r="W89" s="242"/>
      <c r="X89" s="241" t="str">
        <f t="shared" si="67"/>
        <v xml:space="preserve"> </v>
      </c>
      <c r="Y89" s="242"/>
      <c r="Z89" s="241" t="str">
        <f t="shared" si="68"/>
        <v xml:space="preserve"> </v>
      </c>
      <c r="AA89" s="242"/>
      <c r="AB89" s="241" t="str">
        <f t="shared" si="69"/>
        <v xml:space="preserve"> </v>
      </c>
      <c r="AC89" s="242"/>
      <c r="AD89" s="241" t="str">
        <f t="shared" si="70"/>
        <v xml:space="preserve"> </v>
      </c>
      <c r="AE89" s="242"/>
      <c r="AF89" s="241" t="str">
        <f t="shared" si="71"/>
        <v xml:space="preserve"> </v>
      </c>
      <c r="AG89" s="242"/>
      <c r="AH89" s="241" t="str">
        <f t="shared" si="72"/>
        <v xml:space="preserve"> </v>
      </c>
      <c r="AI89" s="242"/>
      <c r="AJ89" s="241" t="str">
        <f t="shared" si="73"/>
        <v xml:space="preserve"> </v>
      </c>
      <c r="AK89" s="242"/>
      <c r="AL89" s="241" t="str">
        <f t="shared" si="74"/>
        <v xml:space="preserve"> </v>
      </c>
      <c r="AM89" s="242"/>
      <c r="AN89" s="241" t="str">
        <f t="shared" si="75"/>
        <v xml:space="preserve"> </v>
      </c>
      <c r="AO89" s="242"/>
      <c r="AP89" s="241" t="str">
        <f t="shared" si="76"/>
        <v xml:space="preserve"> </v>
      </c>
      <c r="AQ89" s="242"/>
      <c r="AR89" s="241" t="str">
        <f t="shared" si="77"/>
        <v xml:space="preserve"> </v>
      </c>
      <c r="AS89" s="242"/>
      <c r="AT89" s="241" t="str">
        <f t="shared" si="78"/>
        <v xml:space="preserve"> </v>
      </c>
      <c r="AU89" s="242"/>
      <c r="AV89" s="241" t="str">
        <f t="shared" si="79"/>
        <v xml:space="preserve"> </v>
      </c>
      <c r="AW89" s="242"/>
      <c r="AX89" s="241" t="str">
        <f t="shared" si="80"/>
        <v xml:space="preserve"> </v>
      </c>
      <c r="AY89" s="242"/>
      <c r="AZ89" s="253" t="str">
        <f t="shared" si="81"/>
        <v xml:space="preserve"> </v>
      </c>
    </row>
    <row r="90" spans="2:52">
      <c r="B90" s="220" t="s">
        <v>1800</v>
      </c>
      <c r="C90" s="263">
        <f t="shared" si="83"/>
        <v>0</v>
      </c>
      <c r="D90" s="261">
        <f t="shared" si="84"/>
        <v>0</v>
      </c>
      <c r="E90" s="242"/>
      <c r="F90" s="241" t="str">
        <f t="shared" si="82"/>
        <v xml:space="preserve"> </v>
      </c>
      <c r="G90" s="242"/>
      <c r="H90" s="241" t="str">
        <f t="shared" si="59"/>
        <v xml:space="preserve"> </v>
      </c>
      <c r="I90" s="242"/>
      <c r="J90" s="241" t="str">
        <f t="shared" si="60"/>
        <v xml:space="preserve"> </v>
      </c>
      <c r="K90" s="242"/>
      <c r="L90" s="241" t="str">
        <f t="shared" si="61"/>
        <v xml:space="preserve"> </v>
      </c>
      <c r="M90" s="242"/>
      <c r="N90" s="241" t="str">
        <f t="shared" si="62"/>
        <v xml:space="preserve"> </v>
      </c>
      <c r="O90" s="242"/>
      <c r="P90" s="241" t="str">
        <f t="shared" si="63"/>
        <v xml:space="preserve"> </v>
      </c>
      <c r="Q90" s="242"/>
      <c r="R90" s="241" t="str">
        <f t="shared" si="64"/>
        <v xml:space="preserve"> </v>
      </c>
      <c r="S90" s="242"/>
      <c r="T90" s="241" t="str">
        <f t="shared" si="65"/>
        <v xml:space="preserve"> </v>
      </c>
      <c r="U90" s="242"/>
      <c r="V90" s="241" t="str">
        <f t="shared" si="66"/>
        <v xml:space="preserve"> </v>
      </c>
      <c r="W90" s="242"/>
      <c r="X90" s="241" t="str">
        <f t="shared" si="67"/>
        <v xml:space="preserve"> </v>
      </c>
      <c r="Y90" s="242"/>
      <c r="Z90" s="241" t="str">
        <f t="shared" si="68"/>
        <v xml:space="preserve"> </v>
      </c>
      <c r="AA90" s="242"/>
      <c r="AB90" s="241" t="str">
        <f t="shared" si="69"/>
        <v xml:space="preserve"> </v>
      </c>
      <c r="AC90" s="242"/>
      <c r="AD90" s="241" t="str">
        <f t="shared" si="70"/>
        <v xml:space="preserve"> </v>
      </c>
      <c r="AE90" s="242"/>
      <c r="AF90" s="241" t="str">
        <f t="shared" si="71"/>
        <v xml:space="preserve"> </v>
      </c>
      <c r="AG90" s="242"/>
      <c r="AH90" s="241" t="str">
        <f t="shared" si="72"/>
        <v xml:space="preserve"> </v>
      </c>
      <c r="AI90" s="242"/>
      <c r="AJ90" s="241" t="str">
        <f t="shared" si="73"/>
        <v xml:space="preserve"> </v>
      </c>
      <c r="AK90" s="242"/>
      <c r="AL90" s="241" t="str">
        <f t="shared" si="74"/>
        <v xml:space="preserve"> </v>
      </c>
      <c r="AM90" s="242"/>
      <c r="AN90" s="241" t="str">
        <f t="shared" si="75"/>
        <v xml:space="preserve"> </v>
      </c>
      <c r="AO90" s="242"/>
      <c r="AP90" s="241" t="str">
        <f t="shared" si="76"/>
        <v xml:space="preserve"> </v>
      </c>
      <c r="AQ90" s="242"/>
      <c r="AR90" s="241" t="str">
        <f t="shared" si="77"/>
        <v xml:space="preserve"> </v>
      </c>
      <c r="AS90" s="242"/>
      <c r="AT90" s="241" t="str">
        <f t="shared" si="78"/>
        <v xml:space="preserve"> </v>
      </c>
      <c r="AU90" s="242"/>
      <c r="AV90" s="241" t="str">
        <f t="shared" si="79"/>
        <v xml:space="preserve"> </v>
      </c>
      <c r="AW90" s="242"/>
      <c r="AX90" s="241" t="str">
        <f t="shared" si="80"/>
        <v xml:space="preserve"> </v>
      </c>
      <c r="AY90" s="242"/>
      <c r="AZ90" s="253" t="str">
        <f t="shared" si="81"/>
        <v xml:space="preserve"> </v>
      </c>
    </row>
    <row r="91" spans="2:52">
      <c r="B91" s="220" t="s">
        <v>1801</v>
      </c>
      <c r="C91" s="263">
        <f t="shared" si="83"/>
        <v>0</v>
      </c>
      <c r="D91" s="261">
        <f t="shared" si="84"/>
        <v>0</v>
      </c>
      <c r="E91" s="242"/>
      <c r="F91" s="241" t="str">
        <f t="shared" si="82"/>
        <v xml:space="preserve"> </v>
      </c>
      <c r="G91" s="242"/>
      <c r="H91" s="241" t="str">
        <f t="shared" si="59"/>
        <v xml:space="preserve"> </v>
      </c>
      <c r="I91" s="242"/>
      <c r="J91" s="241" t="str">
        <f t="shared" si="60"/>
        <v xml:space="preserve"> </v>
      </c>
      <c r="K91" s="242"/>
      <c r="L91" s="241" t="str">
        <f t="shared" si="61"/>
        <v xml:space="preserve"> </v>
      </c>
      <c r="M91" s="242"/>
      <c r="N91" s="241" t="str">
        <f t="shared" si="62"/>
        <v xml:space="preserve"> </v>
      </c>
      <c r="O91" s="242"/>
      <c r="P91" s="241" t="str">
        <f t="shared" si="63"/>
        <v xml:space="preserve"> </v>
      </c>
      <c r="Q91" s="242"/>
      <c r="R91" s="241" t="str">
        <f t="shared" si="64"/>
        <v xml:space="preserve"> </v>
      </c>
      <c r="S91" s="242"/>
      <c r="T91" s="241" t="str">
        <f t="shared" si="65"/>
        <v xml:space="preserve"> </v>
      </c>
      <c r="U91" s="242"/>
      <c r="V91" s="241" t="str">
        <f t="shared" si="66"/>
        <v xml:space="preserve"> </v>
      </c>
      <c r="W91" s="242"/>
      <c r="X91" s="241" t="str">
        <f t="shared" si="67"/>
        <v xml:space="preserve"> </v>
      </c>
      <c r="Y91" s="242"/>
      <c r="Z91" s="241" t="str">
        <f t="shared" si="68"/>
        <v xml:space="preserve"> </v>
      </c>
      <c r="AA91" s="242"/>
      <c r="AB91" s="241" t="str">
        <f t="shared" si="69"/>
        <v xml:space="preserve"> </v>
      </c>
      <c r="AC91" s="242"/>
      <c r="AD91" s="241" t="str">
        <f t="shared" si="70"/>
        <v xml:space="preserve"> </v>
      </c>
      <c r="AE91" s="242"/>
      <c r="AF91" s="241" t="str">
        <f t="shared" si="71"/>
        <v xml:space="preserve"> </v>
      </c>
      <c r="AG91" s="242"/>
      <c r="AH91" s="241" t="str">
        <f t="shared" si="72"/>
        <v xml:space="preserve"> </v>
      </c>
      <c r="AI91" s="242"/>
      <c r="AJ91" s="241" t="str">
        <f t="shared" si="73"/>
        <v xml:space="preserve"> </v>
      </c>
      <c r="AK91" s="242"/>
      <c r="AL91" s="241" t="str">
        <f t="shared" si="74"/>
        <v xml:space="preserve"> </v>
      </c>
      <c r="AM91" s="242"/>
      <c r="AN91" s="241" t="str">
        <f t="shared" si="75"/>
        <v xml:space="preserve"> </v>
      </c>
      <c r="AO91" s="242"/>
      <c r="AP91" s="241" t="str">
        <f t="shared" si="76"/>
        <v xml:space="preserve"> </v>
      </c>
      <c r="AQ91" s="242"/>
      <c r="AR91" s="241" t="str">
        <f t="shared" si="77"/>
        <v xml:space="preserve"> </v>
      </c>
      <c r="AS91" s="242"/>
      <c r="AT91" s="241" t="str">
        <f t="shared" si="78"/>
        <v xml:space="preserve"> </v>
      </c>
      <c r="AU91" s="242"/>
      <c r="AV91" s="241" t="str">
        <f t="shared" si="79"/>
        <v xml:space="preserve"> </v>
      </c>
      <c r="AW91" s="242"/>
      <c r="AX91" s="241" t="str">
        <f t="shared" si="80"/>
        <v xml:space="preserve"> </v>
      </c>
      <c r="AY91" s="242"/>
      <c r="AZ91" s="253" t="str">
        <f t="shared" si="81"/>
        <v xml:space="preserve"> </v>
      </c>
    </row>
    <row r="92" spans="2:52">
      <c r="B92" s="220" t="s">
        <v>1802</v>
      </c>
      <c r="C92" s="263">
        <f t="shared" si="83"/>
        <v>0</v>
      </c>
      <c r="D92" s="261">
        <f t="shared" si="84"/>
        <v>0</v>
      </c>
      <c r="E92" s="242"/>
      <c r="F92" s="241" t="str">
        <f t="shared" si="82"/>
        <v xml:space="preserve"> </v>
      </c>
      <c r="G92" s="242"/>
      <c r="H92" s="241" t="str">
        <f t="shared" si="59"/>
        <v xml:space="preserve"> </v>
      </c>
      <c r="I92" s="242"/>
      <c r="J92" s="241" t="str">
        <f t="shared" si="60"/>
        <v xml:space="preserve"> </v>
      </c>
      <c r="K92" s="242"/>
      <c r="L92" s="241" t="str">
        <f t="shared" si="61"/>
        <v xml:space="preserve"> </v>
      </c>
      <c r="M92" s="242"/>
      <c r="N92" s="241" t="str">
        <f t="shared" si="62"/>
        <v xml:space="preserve"> </v>
      </c>
      <c r="O92" s="242"/>
      <c r="P92" s="241" t="str">
        <f t="shared" si="63"/>
        <v xml:space="preserve"> </v>
      </c>
      <c r="Q92" s="242"/>
      <c r="R92" s="241" t="str">
        <f t="shared" si="64"/>
        <v xml:space="preserve"> </v>
      </c>
      <c r="S92" s="242"/>
      <c r="T92" s="241" t="str">
        <f t="shared" si="65"/>
        <v xml:space="preserve"> </v>
      </c>
      <c r="U92" s="242"/>
      <c r="V92" s="241" t="str">
        <f t="shared" si="66"/>
        <v xml:space="preserve"> </v>
      </c>
      <c r="W92" s="242"/>
      <c r="X92" s="241" t="str">
        <f t="shared" si="67"/>
        <v xml:space="preserve"> </v>
      </c>
      <c r="Y92" s="242"/>
      <c r="Z92" s="241" t="str">
        <f t="shared" si="68"/>
        <v xml:space="preserve"> </v>
      </c>
      <c r="AA92" s="242"/>
      <c r="AB92" s="241" t="str">
        <f t="shared" si="69"/>
        <v xml:space="preserve"> </v>
      </c>
      <c r="AC92" s="242"/>
      <c r="AD92" s="241" t="str">
        <f t="shared" si="70"/>
        <v xml:space="preserve"> </v>
      </c>
      <c r="AE92" s="242"/>
      <c r="AF92" s="241" t="str">
        <f t="shared" si="71"/>
        <v xml:space="preserve"> </v>
      </c>
      <c r="AG92" s="242"/>
      <c r="AH92" s="241" t="str">
        <f t="shared" si="72"/>
        <v xml:space="preserve"> </v>
      </c>
      <c r="AI92" s="242"/>
      <c r="AJ92" s="241" t="str">
        <f t="shared" si="73"/>
        <v xml:space="preserve"> </v>
      </c>
      <c r="AK92" s="242"/>
      <c r="AL92" s="241" t="str">
        <f t="shared" si="74"/>
        <v xml:space="preserve"> </v>
      </c>
      <c r="AM92" s="242"/>
      <c r="AN92" s="241" t="str">
        <f t="shared" si="75"/>
        <v xml:space="preserve"> </v>
      </c>
      <c r="AO92" s="242"/>
      <c r="AP92" s="241" t="str">
        <f t="shared" si="76"/>
        <v xml:space="preserve"> </v>
      </c>
      <c r="AQ92" s="242"/>
      <c r="AR92" s="241" t="str">
        <f t="shared" si="77"/>
        <v xml:space="preserve"> </v>
      </c>
      <c r="AS92" s="242"/>
      <c r="AT92" s="241" t="str">
        <f t="shared" si="78"/>
        <v xml:space="preserve"> </v>
      </c>
      <c r="AU92" s="242"/>
      <c r="AV92" s="241" t="str">
        <f t="shared" si="79"/>
        <v xml:space="preserve"> </v>
      </c>
      <c r="AW92" s="242"/>
      <c r="AX92" s="241" t="str">
        <f t="shared" si="80"/>
        <v xml:space="preserve"> </v>
      </c>
      <c r="AY92" s="242"/>
      <c r="AZ92" s="253" t="str">
        <f t="shared" si="81"/>
        <v xml:space="preserve"> </v>
      </c>
    </row>
    <row r="93" spans="2:52" ht="14.45" thickBot="1">
      <c r="B93" s="231" t="s">
        <v>1803</v>
      </c>
      <c r="C93" s="264">
        <f t="shared" si="83"/>
        <v>0</v>
      </c>
      <c r="D93" s="262">
        <f t="shared" si="84"/>
        <v>0</v>
      </c>
      <c r="E93" s="244"/>
      <c r="F93" s="248" t="str">
        <f t="shared" si="82"/>
        <v xml:space="preserve"> </v>
      </c>
      <c r="G93" s="244"/>
      <c r="H93" s="248" t="str">
        <f t="shared" si="59"/>
        <v xml:space="preserve"> </v>
      </c>
      <c r="I93" s="244"/>
      <c r="J93" s="248" t="str">
        <f t="shared" si="60"/>
        <v xml:space="preserve"> </v>
      </c>
      <c r="K93" s="244"/>
      <c r="L93" s="248" t="str">
        <f t="shared" si="61"/>
        <v xml:space="preserve"> </v>
      </c>
      <c r="M93" s="244"/>
      <c r="N93" s="248" t="str">
        <f t="shared" si="62"/>
        <v xml:space="preserve"> </v>
      </c>
      <c r="O93" s="244"/>
      <c r="P93" s="248" t="str">
        <f t="shared" si="63"/>
        <v xml:space="preserve"> </v>
      </c>
      <c r="Q93" s="244"/>
      <c r="R93" s="248" t="str">
        <f t="shared" si="64"/>
        <v xml:space="preserve"> </v>
      </c>
      <c r="S93" s="244"/>
      <c r="T93" s="248" t="str">
        <f t="shared" si="65"/>
        <v xml:space="preserve"> </v>
      </c>
      <c r="U93" s="244"/>
      <c r="V93" s="248" t="str">
        <f t="shared" si="66"/>
        <v xml:space="preserve"> </v>
      </c>
      <c r="W93" s="244"/>
      <c r="X93" s="248" t="str">
        <f t="shared" si="67"/>
        <v xml:space="preserve"> </v>
      </c>
      <c r="Y93" s="244"/>
      <c r="Z93" s="248" t="str">
        <f t="shared" si="68"/>
        <v xml:space="preserve"> </v>
      </c>
      <c r="AA93" s="244"/>
      <c r="AB93" s="248" t="str">
        <f t="shared" si="69"/>
        <v xml:space="preserve"> </v>
      </c>
      <c r="AC93" s="244"/>
      <c r="AD93" s="248" t="str">
        <f t="shared" si="70"/>
        <v xml:space="preserve"> </v>
      </c>
      <c r="AE93" s="244"/>
      <c r="AF93" s="248" t="str">
        <f t="shared" si="71"/>
        <v xml:space="preserve"> </v>
      </c>
      <c r="AG93" s="244"/>
      <c r="AH93" s="248" t="str">
        <f t="shared" si="72"/>
        <v xml:space="preserve"> </v>
      </c>
      <c r="AI93" s="244"/>
      <c r="AJ93" s="248" t="str">
        <f t="shared" si="73"/>
        <v xml:space="preserve"> </v>
      </c>
      <c r="AK93" s="244"/>
      <c r="AL93" s="248" t="str">
        <f t="shared" si="74"/>
        <v xml:space="preserve"> </v>
      </c>
      <c r="AM93" s="244"/>
      <c r="AN93" s="248" t="str">
        <f t="shared" si="75"/>
        <v xml:space="preserve"> </v>
      </c>
      <c r="AO93" s="244"/>
      <c r="AP93" s="248" t="str">
        <f t="shared" si="76"/>
        <v xml:space="preserve"> </v>
      </c>
      <c r="AQ93" s="244"/>
      <c r="AR93" s="248" t="str">
        <f t="shared" si="77"/>
        <v xml:space="preserve"> </v>
      </c>
      <c r="AS93" s="244"/>
      <c r="AT93" s="248" t="str">
        <f t="shared" si="78"/>
        <v xml:space="preserve"> </v>
      </c>
      <c r="AU93" s="244"/>
      <c r="AV93" s="248" t="str">
        <f t="shared" si="79"/>
        <v xml:space="preserve"> </v>
      </c>
      <c r="AW93" s="244"/>
      <c r="AX93" s="248" t="str">
        <f t="shared" si="80"/>
        <v xml:space="preserve"> </v>
      </c>
      <c r="AY93" s="244"/>
      <c r="AZ93" s="254" t="str">
        <f t="shared" si="81"/>
        <v xml:space="preserve"> </v>
      </c>
    </row>
    <row r="94" spans="2:52" ht="14.45" thickTop="1">
      <c r="B94" s="230" t="s">
        <v>1804</v>
      </c>
      <c r="C94" s="263">
        <f t="shared" si="83"/>
        <v>191760.58791666667</v>
      </c>
      <c r="D94" s="261">
        <f t="shared" si="84"/>
        <v>2507.8584939277089</v>
      </c>
      <c r="E94" s="242">
        <f>IFERROR(IF(SUM(E88:E93)&gt;0,SUM(E88:E93)," ")," ")</f>
        <v>31509</v>
      </c>
      <c r="F94" s="241">
        <f t="shared" si="82"/>
        <v>221.8943661971831</v>
      </c>
      <c r="G94" s="242">
        <f>IFERROR(IF(SUM(G88:G93)&gt;0,SUM(G88:G93),0),0)</f>
        <v>0</v>
      </c>
      <c r="H94" s="241" t="str">
        <f t="shared" si="59"/>
        <v xml:space="preserve"> </v>
      </c>
      <c r="I94" s="242">
        <f>IFERROR(IF(SUM(I88:I93)&gt;0,SUM(I88:I93),0),0)</f>
        <v>262462.08000000002</v>
      </c>
      <c r="J94" s="241">
        <f t="shared" si="60"/>
        <v>1715.4384313725491</v>
      </c>
      <c r="K94" s="242">
        <f>IFERROR(IF(SUM(K88:K93)&gt;0,SUM(K88:K93),0),0)</f>
        <v>0</v>
      </c>
      <c r="L94" s="241" t="str">
        <f t="shared" si="61"/>
        <v xml:space="preserve"> </v>
      </c>
      <c r="M94" s="242">
        <f>IFERROR(IF(SUM(M88:M93)&gt;0,SUM(M88:M93),0),0)</f>
        <v>418112</v>
      </c>
      <c r="N94" s="241">
        <f t="shared" si="62"/>
        <v>2272.3478260869565</v>
      </c>
      <c r="O94" s="242">
        <f>IFERROR(IF(SUM(O88:O93)&gt;0,SUM(O88:O93),0),0)</f>
        <v>284184</v>
      </c>
      <c r="P94" s="241">
        <f t="shared" si="63"/>
        <v>1776.15</v>
      </c>
      <c r="Q94" s="242">
        <f>IFERROR(IF(SUM(Q88:Q93)&gt;0,SUM(Q88:Q93),0),0)</f>
        <v>0</v>
      </c>
      <c r="R94" s="241" t="str">
        <f t="shared" si="64"/>
        <v xml:space="preserve"> </v>
      </c>
      <c r="S94" s="242">
        <f>IFERROR(IF(SUM(S88:S93)&gt;0,SUM(S88:S93),0),0)</f>
        <v>653515</v>
      </c>
      <c r="T94" s="241">
        <f t="shared" si="65"/>
        <v>2178.3833333333332</v>
      </c>
      <c r="U94" s="242">
        <f>IFERROR(IF(SUM(U88:U93)&gt;0,SUM(U88:U93),0),0)</f>
        <v>834636</v>
      </c>
      <c r="V94" s="241">
        <f t="shared" si="66"/>
        <v>4173.18</v>
      </c>
      <c r="W94" s="242">
        <f>IFERROR(IF(SUM(W88:W93)&gt;0,SUM(W88:W93),0),0)</f>
        <v>0</v>
      </c>
      <c r="X94" s="241" t="str">
        <f t="shared" si="67"/>
        <v xml:space="preserve"> </v>
      </c>
      <c r="Y94" s="242">
        <f>IFERROR(IF(SUM(Y88:Y93)&gt;0,SUM(Y88:Y93),0),0)</f>
        <v>899326.58</v>
      </c>
      <c r="Z94" s="241">
        <f t="shared" si="68"/>
        <v>3211.8806428571429</v>
      </c>
      <c r="AA94" s="242">
        <f>IFERROR(IF(SUM(AA88:AA93)&gt;0,SUM(AA88:AA93),0),0)</f>
        <v>0</v>
      </c>
      <c r="AB94" s="241" t="str">
        <f t="shared" si="69"/>
        <v xml:space="preserve"> </v>
      </c>
      <c r="AC94" s="242">
        <f>IFERROR(IF(SUM(AC88:AC93)&gt;0,SUM(AC88:AC93),0),0)</f>
        <v>0</v>
      </c>
      <c r="AD94" s="241" t="str">
        <f t="shared" si="70"/>
        <v xml:space="preserve"> </v>
      </c>
      <c r="AE94" s="242">
        <f>IFERROR(IF(SUM(AE88:AE93)&gt;0,SUM(AE88:AE93),0),0)</f>
        <v>211402.45</v>
      </c>
      <c r="AF94" s="241">
        <f t="shared" si="71"/>
        <v>1577.6302238805972</v>
      </c>
      <c r="AG94" s="242">
        <f>IFERROR(IF(SUM(AG88:AG93)&gt;0,SUM(AG88:AG93),0),0)</f>
        <v>0</v>
      </c>
      <c r="AH94" s="241" t="str">
        <f t="shared" si="72"/>
        <v xml:space="preserve"> </v>
      </c>
      <c r="AI94" s="242">
        <f>IFERROR(IF(SUM(AI88:AI93)&gt;0,SUM(AI88:AI93),0),0)</f>
        <v>1007107</v>
      </c>
      <c r="AJ94" s="241">
        <f t="shared" si="73"/>
        <v>5443.8216216216215</v>
      </c>
      <c r="AK94" s="242">
        <f>IFERROR(IF(SUM(AK88:AK93)&gt;0,SUM(AK88:AK93),0),0)</f>
        <v>0</v>
      </c>
      <c r="AL94" s="241" t="str">
        <f t="shared" si="74"/>
        <v xml:space="preserve"> </v>
      </c>
      <c r="AM94" s="242">
        <f>IFERROR(IF(SUM(AM88:AM93)&gt;0,SUM(AM88:AM93),0),0)</f>
        <v>0</v>
      </c>
      <c r="AN94" s="241" t="str">
        <f t="shared" si="75"/>
        <v xml:space="preserve"> </v>
      </c>
      <c r="AO94" s="242">
        <f>IFERROR(IF(SUM(AO88:AO93)&gt;0,SUM(AO88:AO93),0),0)</f>
        <v>0</v>
      </c>
      <c r="AP94" s="241" t="str">
        <f t="shared" si="76"/>
        <v xml:space="preserve"> </v>
      </c>
      <c r="AQ94" s="242">
        <f>IFERROR(IF(SUM(AQ88:AQ93)&gt;0,SUM(AQ88:AQ93),0),0)</f>
        <v>0</v>
      </c>
      <c r="AR94" s="241" t="str">
        <f t="shared" si="77"/>
        <v xml:space="preserve"> </v>
      </c>
      <c r="AS94" s="242">
        <f>IFERROR(IF(SUM(AS88:AS93)&gt;0,SUM(AS88:AS93),0),0)</f>
        <v>0</v>
      </c>
      <c r="AT94" s="241" t="str">
        <f t="shared" si="78"/>
        <v xml:space="preserve"> </v>
      </c>
      <c r="AU94" s="242">
        <f>IFERROR(IF(SUM(AU88:AU93)&gt;0,SUM(AU88:AU93),0),0)</f>
        <v>0</v>
      </c>
      <c r="AV94" s="241" t="str">
        <f t="shared" si="79"/>
        <v xml:space="preserve"> </v>
      </c>
      <c r="AW94" s="242">
        <f>IFERROR(IF(SUM(AW88:AW93)&gt;0,SUM(AW88:AW93),0),0)</f>
        <v>0</v>
      </c>
      <c r="AX94" s="241" t="str">
        <f t="shared" si="80"/>
        <v xml:space="preserve"> </v>
      </c>
      <c r="AY94" s="242">
        <f>IFERROR(IF(SUM(AY88:AY93)&gt;0,SUM(AY88:AY93),0),0)</f>
        <v>0</v>
      </c>
      <c r="AZ94" s="253" t="str">
        <f t="shared" si="81"/>
        <v xml:space="preserve"> </v>
      </c>
    </row>
    <row r="95" spans="2:52" ht="5.0999999999999996" customHeight="1">
      <c r="B95" s="220"/>
      <c r="C95" s="235"/>
      <c r="D95" s="236"/>
      <c r="E95" s="242"/>
      <c r="F95" s="241" t="str">
        <f t="shared" si="82"/>
        <v xml:space="preserve"> </v>
      </c>
      <c r="G95" s="242"/>
      <c r="H95" s="241" t="str">
        <f t="shared" si="59"/>
        <v xml:space="preserve"> </v>
      </c>
      <c r="I95" s="242"/>
      <c r="J95" s="241" t="str">
        <f t="shared" si="60"/>
        <v xml:space="preserve"> </v>
      </c>
      <c r="K95" s="242"/>
      <c r="L95" s="241" t="str">
        <f t="shared" si="61"/>
        <v xml:space="preserve"> </v>
      </c>
      <c r="M95" s="242"/>
      <c r="N95" s="241" t="str">
        <f t="shared" si="62"/>
        <v xml:space="preserve"> </v>
      </c>
      <c r="O95" s="242"/>
      <c r="P95" s="241" t="str">
        <f t="shared" si="63"/>
        <v xml:space="preserve"> </v>
      </c>
      <c r="Q95" s="242"/>
      <c r="R95" s="241" t="str">
        <f t="shared" si="64"/>
        <v xml:space="preserve"> </v>
      </c>
      <c r="S95" s="242"/>
      <c r="T95" s="241" t="str">
        <f t="shared" si="65"/>
        <v xml:space="preserve"> </v>
      </c>
      <c r="U95" s="242"/>
      <c r="V95" s="241" t="str">
        <f t="shared" si="66"/>
        <v xml:space="preserve"> </v>
      </c>
      <c r="W95" s="242"/>
      <c r="X95" s="241" t="str">
        <f t="shared" si="67"/>
        <v xml:space="preserve"> </v>
      </c>
      <c r="Y95" s="242"/>
      <c r="Z95" s="241" t="str">
        <f t="shared" si="68"/>
        <v xml:space="preserve"> </v>
      </c>
      <c r="AA95" s="242"/>
      <c r="AB95" s="241" t="str">
        <f t="shared" si="69"/>
        <v xml:space="preserve"> </v>
      </c>
      <c r="AC95" s="242"/>
      <c r="AD95" s="241" t="str">
        <f t="shared" si="70"/>
        <v xml:space="preserve"> </v>
      </c>
      <c r="AE95" s="242"/>
      <c r="AF95" s="241" t="str">
        <f t="shared" si="71"/>
        <v xml:space="preserve"> </v>
      </c>
      <c r="AG95" s="242"/>
      <c r="AH95" s="241" t="str">
        <f t="shared" si="72"/>
        <v xml:space="preserve"> </v>
      </c>
      <c r="AI95" s="242"/>
      <c r="AJ95" s="241" t="str">
        <f t="shared" si="73"/>
        <v xml:space="preserve"> </v>
      </c>
      <c r="AK95" s="242"/>
      <c r="AL95" s="241" t="str">
        <f t="shared" si="74"/>
        <v xml:space="preserve"> </v>
      </c>
      <c r="AM95" s="242"/>
      <c r="AN95" s="241" t="str">
        <f t="shared" si="75"/>
        <v xml:space="preserve"> </v>
      </c>
      <c r="AO95" s="242"/>
      <c r="AP95" s="241" t="str">
        <f t="shared" si="76"/>
        <v xml:space="preserve"> </v>
      </c>
      <c r="AQ95" s="242"/>
      <c r="AR95" s="241" t="str">
        <f t="shared" si="77"/>
        <v xml:space="preserve"> </v>
      </c>
      <c r="AS95" s="242"/>
      <c r="AT95" s="241" t="str">
        <f t="shared" si="78"/>
        <v xml:space="preserve"> </v>
      </c>
      <c r="AU95" s="242"/>
      <c r="AV95" s="241" t="str">
        <f t="shared" si="79"/>
        <v xml:space="preserve"> </v>
      </c>
      <c r="AW95" s="242"/>
      <c r="AX95" s="241" t="str">
        <f t="shared" si="80"/>
        <v xml:space="preserve"> </v>
      </c>
      <c r="AY95" s="242"/>
      <c r="AZ95" s="253" t="str">
        <f t="shared" si="81"/>
        <v xml:space="preserve"> </v>
      </c>
    </row>
    <row r="96" spans="2:52">
      <c r="B96" s="230" t="s">
        <v>1805</v>
      </c>
      <c r="C96" s="265">
        <f>IFERROR(AVERAGE(E96,G96,I96,K96,M96,O96,Q96,S96,U96,W96,Y96,AA96,AC96,AE96,AG96,AI96,AK96,AM96,AO96,AQ96,AS96,AU96,AW96,AY96),0)</f>
        <v>572531.4756250002</v>
      </c>
      <c r="D96" s="266">
        <f>IFERROR(AVERAGE(F96,H96,J96,L96,N96,P96,R96,T96,V96,X96,Z96,AB96,AD96,AF96,AH96,AJ96,AL96,AN96,AP96,AR96,AT96,AV96,AX96,AZ96),0)</f>
        <v>3178.0266813161602</v>
      </c>
      <c r="E96" s="267">
        <f>E85-E94</f>
        <v>164056</v>
      </c>
      <c r="F96" s="268">
        <f t="shared" si="82"/>
        <v>1155.3239436619717</v>
      </c>
      <c r="G96" s="267">
        <f>IFERROR(G85-G94," ")</f>
        <v>47613</v>
      </c>
      <c r="H96" s="268">
        <f t="shared" si="59"/>
        <v>297.58125000000001</v>
      </c>
      <c r="I96" s="267">
        <f>IFERROR(I85-I94," ")</f>
        <v>-14705.820000000007</v>
      </c>
      <c r="J96" s="268" t="str">
        <f t="shared" si="60"/>
        <v xml:space="preserve"> </v>
      </c>
      <c r="K96" s="267">
        <f>IFERROR(K85-K94," ")</f>
        <v>48008</v>
      </c>
      <c r="L96" s="268">
        <f t="shared" si="61"/>
        <v>250.04166666666666</v>
      </c>
      <c r="M96" s="267">
        <f>IFERROR(M85-M94," ")</f>
        <v>356078</v>
      </c>
      <c r="N96" s="268">
        <f t="shared" si="62"/>
        <v>1935.2065217391305</v>
      </c>
      <c r="O96" s="267">
        <f>IFERROR(O85-O94," ")</f>
        <v>-289576</v>
      </c>
      <c r="P96" s="268" t="str">
        <f t="shared" si="63"/>
        <v xml:space="preserve"> </v>
      </c>
      <c r="Q96" s="267">
        <f>IFERROR(Q85-Q94," ")</f>
        <v>809509.20000000054</v>
      </c>
      <c r="R96" s="268">
        <f t="shared" si="64"/>
        <v>3747.7277777777804</v>
      </c>
      <c r="S96" s="267">
        <f>IFERROR(S85-S94," ")</f>
        <v>4019720</v>
      </c>
      <c r="T96" s="268">
        <f t="shared" si="65"/>
        <v>13399.066666666668</v>
      </c>
      <c r="U96" s="267">
        <f>IFERROR(U85-U94," ")</f>
        <v>872974</v>
      </c>
      <c r="V96" s="268">
        <f t="shared" si="66"/>
        <v>4364.87</v>
      </c>
      <c r="W96" s="267">
        <f>IFERROR(W85-W94," ")</f>
        <v>351040.70000000065</v>
      </c>
      <c r="X96" s="268">
        <f t="shared" si="67"/>
        <v>1170.1356666666688</v>
      </c>
      <c r="Y96" s="267">
        <f>IFERROR(Y85-Y94," ")</f>
        <v>860112.35000000021</v>
      </c>
      <c r="Z96" s="268">
        <f t="shared" si="68"/>
        <v>3071.8298214285724</v>
      </c>
      <c r="AA96" s="267">
        <f>IFERROR(AA85-AA94," ")</f>
        <v>518624.61999999988</v>
      </c>
      <c r="AB96" s="268">
        <f t="shared" si="69"/>
        <v>2980.6012643678155</v>
      </c>
      <c r="AC96" s="267">
        <f>IFERROR(AC85-AC94," ")</f>
        <v>263675</v>
      </c>
      <c r="AD96" s="268">
        <f t="shared" si="70"/>
        <v>1498.153409090909</v>
      </c>
      <c r="AE96" s="267">
        <f>IFERROR(AE85-AE94," ")</f>
        <v>355653.56</v>
      </c>
      <c r="AF96" s="268">
        <f t="shared" si="71"/>
        <v>2654.1310447761193</v>
      </c>
      <c r="AG96" s="267">
        <f>IFERROR(AG85-AG94," ")</f>
        <v>1144733</v>
      </c>
      <c r="AH96" s="268">
        <f t="shared" si="72"/>
        <v>4789.6778242677829</v>
      </c>
      <c r="AI96" s="267">
        <f>IFERROR(AI85-AI94," ")</f>
        <v>-347012</v>
      </c>
      <c r="AJ96" s="268" t="str">
        <f t="shared" si="73"/>
        <v xml:space="preserve"> </v>
      </c>
      <c r="AK96" s="267" t="str">
        <f>IFERROR(AK85-AK94," ")</f>
        <v xml:space="preserve"> </v>
      </c>
      <c r="AL96" s="268" t="str">
        <f t="shared" si="74"/>
        <v xml:space="preserve"> </v>
      </c>
      <c r="AM96" s="267" t="str">
        <f>IFERROR(AM85-AM94," ")</f>
        <v xml:space="preserve"> </v>
      </c>
      <c r="AN96" s="268" t="str">
        <f t="shared" si="75"/>
        <v xml:space="preserve"> </v>
      </c>
      <c r="AO96" s="267" t="str">
        <f>IFERROR(AO85-AO94," ")</f>
        <v xml:space="preserve"> </v>
      </c>
      <c r="AP96" s="268" t="str">
        <f t="shared" si="76"/>
        <v xml:space="preserve"> </v>
      </c>
      <c r="AQ96" s="267" t="str">
        <f>IFERROR(AQ85-AQ94," ")</f>
        <v xml:space="preserve"> </v>
      </c>
      <c r="AR96" s="268" t="str">
        <f t="shared" si="77"/>
        <v xml:space="preserve"> </v>
      </c>
      <c r="AS96" s="267" t="str">
        <f>IFERROR(AS85-AS94," ")</f>
        <v xml:space="preserve"> </v>
      </c>
      <c r="AT96" s="268" t="str">
        <f t="shared" si="78"/>
        <v xml:space="preserve"> </v>
      </c>
      <c r="AU96" s="267" t="str">
        <f>IFERROR(AU85-AU94," ")</f>
        <v xml:space="preserve"> </v>
      </c>
      <c r="AV96" s="268" t="str">
        <f t="shared" si="79"/>
        <v xml:space="preserve"> </v>
      </c>
      <c r="AW96" s="267" t="str">
        <f>IFERROR(AW85-AW94," ")</f>
        <v xml:space="preserve"> </v>
      </c>
      <c r="AX96" s="268" t="str">
        <f t="shared" si="80"/>
        <v xml:space="preserve"> </v>
      </c>
      <c r="AY96" s="267" t="str">
        <f>IFERROR(AY85-AY94," ")</f>
        <v xml:space="preserve"> </v>
      </c>
      <c r="AZ96" s="269" t="str">
        <f t="shared" si="81"/>
        <v xml:space="preserve"> </v>
      </c>
    </row>
    <row r="97" spans="2:52" ht="5.0999999999999996" customHeight="1">
      <c r="B97" s="220"/>
      <c r="C97" s="235"/>
      <c r="D97" s="236"/>
      <c r="E97" s="242"/>
      <c r="F97" s="241" t="str">
        <f t="shared" si="82"/>
        <v xml:space="preserve"> </v>
      </c>
      <c r="G97" s="242"/>
      <c r="H97" s="241" t="str">
        <f t="shared" si="59"/>
        <v xml:space="preserve"> </v>
      </c>
      <c r="I97" s="242"/>
      <c r="J97" s="241" t="str">
        <f t="shared" si="60"/>
        <v xml:space="preserve"> </v>
      </c>
      <c r="K97" s="242"/>
      <c r="L97" s="241" t="str">
        <f t="shared" si="61"/>
        <v xml:space="preserve"> </v>
      </c>
      <c r="M97" s="242"/>
      <c r="N97" s="241" t="str">
        <f t="shared" si="62"/>
        <v xml:space="preserve"> </v>
      </c>
      <c r="O97" s="242"/>
      <c r="P97" s="241" t="str">
        <f t="shared" si="63"/>
        <v xml:space="preserve"> </v>
      </c>
      <c r="Q97" s="242"/>
      <c r="R97" s="241" t="str">
        <f t="shared" si="64"/>
        <v xml:space="preserve"> </v>
      </c>
      <c r="S97" s="242"/>
      <c r="T97" s="241" t="str">
        <f t="shared" si="65"/>
        <v xml:space="preserve"> </v>
      </c>
      <c r="U97" s="242"/>
      <c r="V97" s="241" t="str">
        <f t="shared" si="66"/>
        <v xml:space="preserve"> </v>
      </c>
      <c r="W97" s="242"/>
      <c r="X97" s="241" t="str">
        <f t="shared" si="67"/>
        <v xml:space="preserve"> </v>
      </c>
      <c r="Y97" s="242"/>
      <c r="Z97" s="241" t="str">
        <f t="shared" si="68"/>
        <v xml:space="preserve"> </v>
      </c>
      <c r="AA97" s="242"/>
      <c r="AB97" s="241" t="str">
        <f t="shared" si="69"/>
        <v xml:space="preserve"> </v>
      </c>
      <c r="AC97" s="242"/>
      <c r="AD97" s="241" t="str">
        <f t="shared" si="70"/>
        <v xml:space="preserve"> </v>
      </c>
      <c r="AE97" s="242"/>
      <c r="AF97" s="241" t="str">
        <f t="shared" si="71"/>
        <v xml:space="preserve"> </v>
      </c>
      <c r="AG97" s="242"/>
      <c r="AH97" s="241" t="str">
        <f t="shared" si="72"/>
        <v xml:space="preserve"> </v>
      </c>
      <c r="AI97" s="242"/>
      <c r="AJ97" s="241" t="str">
        <f t="shared" si="73"/>
        <v xml:space="preserve"> </v>
      </c>
      <c r="AK97" s="242"/>
      <c r="AL97" s="241" t="str">
        <f t="shared" si="74"/>
        <v xml:space="preserve"> </v>
      </c>
      <c r="AM97" s="242"/>
      <c r="AN97" s="241" t="str">
        <f t="shared" si="75"/>
        <v xml:space="preserve"> </v>
      </c>
      <c r="AO97" s="242"/>
      <c r="AP97" s="241" t="str">
        <f t="shared" si="76"/>
        <v xml:space="preserve"> </v>
      </c>
      <c r="AQ97" s="242"/>
      <c r="AR97" s="241" t="str">
        <f t="shared" si="77"/>
        <v xml:space="preserve"> </v>
      </c>
      <c r="AS97" s="242"/>
      <c r="AT97" s="241" t="str">
        <f t="shared" si="78"/>
        <v xml:space="preserve"> </v>
      </c>
      <c r="AU97" s="242"/>
      <c r="AV97" s="241" t="str">
        <f t="shared" si="79"/>
        <v xml:space="preserve"> </v>
      </c>
      <c r="AW97" s="242"/>
      <c r="AX97" s="241" t="str">
        <f t="shared" si="80"/>
        <v xml:space="preserve"> </v>
      </c>
      <c r="AY97" s="242"/>
      <c r="AZ97" s="253" t="str">
        <f t="shared" si="81"/>
        <v xml:space="preserve"> </v>
      </c>
    </row>
    <row r="98" spans="2:52">
      <c r="B98" s="230" t="s">
        <v>1806</v>
      </c>
      <c r="C98" s="235"/>
      <c r="D98" s="236"/>
      <c r="E98" s="242"/>
      <c r="F98" s="241" t="str">
        <f t="shared" si="82"/>
        <v xml:space="preserve"> </v>
      </c>
      <c r="G98" s="242"/>
      <c r="H98" s="241" t="str">
        <f t="shared" si="59"/>
        <v xml:space="preserve"> </v>
      </c>
      <c r="I98" s="242"/>
      <c r="J98" s="241" t="str">
        <f t="shared" si="60"/>
        <v xml:space="preserve"> </v>
      </c>
      <c r="K98" s="242"/>
      <c r="L98" s="241" t="str">
        <f t="shared" si="61"/>
        <v xml:space="preserve"> </v>
      </c>
      <c r="M98" s="242"/>
      <c r="N98" s="241" t="str">
        <f t="shared" si="62"/>
        <v xml:space="preserve"> </v>
      </c>
      <c r="O98" s="242"/>
      <c r="P98" s="241" t="str">
        <f t="shared" si="63"/>
        <v xml:space="preserve"> </v>
      </c>
      <c r="Q98" s="242"/>
      <c r="R98" s="241" t="str">
        <f t="shared" si="64"/>
        <v xml:space="preserve"> </v>
      </c>
      <c r="S98" s="242"/>
      <c r="T98" s="241" t="str">
        <f t="shared" si="65"/>
        <v xml:space="preserve"> </v>
      </c>
      <c r="U98" s="242"/>
      <c r="V98" s="241" t="str">
        <f t="shared" si="66"/>
        <v xml:space="preserve"> </v>
      </c>
      <c r="W98" s="242"/>
      <c r="X98" s="241" t="str">
        <f t="shared" si="67"/>
        <v xml:space="preserve"> </v>
      </c>
      <c r="Y98" s="242"/>
      <c r="Z98" s="241" t="str">
        <f t="shared" si="68"/>
        <v xml:space="preserve"> </v>
      </c>
      <c r="AA98" s="242"/>
      <c r="AB98" s="241" t="str">
        <f t="shared" si="69"/>
        <v xml:space="preserve"> </v>
      </c>
      <c r="AC98" s="242"/>
      <c r="AD98" s="241" t="str">
        <f t="shared" si="70"/>
        <v xml:space="preserve"> </v>
      </c>
      <c r="AE98" s="242"/>
      <c r="AF98" s="241" t="str">
        <f t="shared" si="71"/>
        <v xml:space="preserve"> </v>
      </c>
      <c r="AG98" s="242"/>
      <c r="AH98" s="241" t="str">
        <f t="shared" si="72"/>
        <v xml:space="preserve"> </v>
      </c>
      <c r="AI98" s="242"/>
      <c r="AJ98" s="241" t="str">
        <f t="shared" si="73"/>
        <v xml:space="preserve"> </v>
      </c>
      <c r="AK98" s="242"/>
      <c r="AL98" s="241" t="str">
        <f t="shared" si="74"/>
        <v xml:space="preserve"> </v>
      </c>
      <c r="AM98" s="242"/>
      <c r="AN98" s="241" t="str">
        <f t="shared" si="75"/>
        <v xml:space="preserve"> </v>
      </c>
      <c r="AO98" s="242"/>
      <c r="AP98" s="241" t="str">
        <f t="shared" si="76"/>
        <v xml:space="preserve"> </v>
      </c>
      <c r="AQ98" s="242"/>
      <c r="AR98" s="241" t="str">
        <f t="shared" si="77"/>
        <v xml:space="preserve"> </v>
      </c>
      <c r="AS98" s="242"/>
      <c r="AT98" s="241" t="str">
        <f t="shared" si="78"/>
        <v xml:space="preserve"> </v>
      </c>
      <c r="AU98" s="242"/>
      <c r="AV98" s="241" t="str">
        <f t="shared" si="79"/>
        <v xml:space="preserve"> </v>
      </c>
      <c r="AW98" s="242"/>
      <c r="AX98" s="241" t="str">
        <f t="shared" si="80"/>
        <v xml:space="preserve"> </v>
      </c>
      <c r="AY98" s="242"/>
      <c r="AZ98" s="253" t="str">
        <f t="shared" si="81"/>
        <v xml:space="preserve"> </v>
      </c>
    </row>
    <row r="99" spans="2:52" ht="14.45" thickBot="1">
      <c r="B99" s="231" t="s">
        <v>1806</v>
      </c>
      <c r="C99" s="264">
        <f>IFERROR(AVERAGE(E99,G99,I99,K99,M99,O99,Q99,S99,U99,W99,Y99,AA99,AC99,AE99,AG99,AI99,AK99,AM99,AO99,AQ99,AS99,AU99,AW99,AY99),0)</f>
        <v>67875.474000000002</v>
      </c>
      <c r="D99" s="262">
        <f>IFERROR(AVERAGE(F99,H99,J99,L99,N99,P99,R99,T99,V99,X99,Z99,AB99,AD99,AF99,AH99,AJ99,AL99,AN99,AP99,AR99,AT99,AV99,AX99,AZ99),0)</f>
        <v>366.3366121204773</v>
      </c>
      <c r="E99" s="244"/>
      <c r="F99" s="248" t="str">
        <f t="shared" si="82"/>
        <v xml:space="preserve"> </v>
      </c>
      <c r="G99" s="244"/>
      <c r="H99" s="248" t="str">
        <f t="shared" si="59"/>
        <v xml:space="preserve"> </v>
      </c>
      <c r="I99" s="244">
        <v>17403.61</v>
      </c>
      <c r="J99" s="248">
        <f t="shared" si="60"/>
        <v>113.74908496732027</v>
      </c>
      <c r="K99" s="244"/>
      <c r="L99" s="248" t="str">
        <f t="shared" si="61"/>
        <v xml:space="preserve"> </v>
      </c>
      <c r="M99" s="244">
        <v>264101</v>
      </c>
      <c r="N99" s="248">
        <f t="shared" si="62"/>
        <v>1435.3315217391305</v>
      </c>
      <c r="O99" s="244">
        <v>55778</v>
      </c>
      <c r="P99" s="248">
        <f t="shared" si="63"/>
        <v>348.61250000000001</v>
      </c>
      <c r="Q99" s="244">
        <v>74044.89</v>
      </c>
      <c r="R99" s="248">
        <f t="shared" si="64"/>
        <v>342.80041666666665</v>
      </c>
      <c r="S99" s="244"/>
      <c r="T99" s="248" t="str">
        <f t="shared" si="65"/>
        <v xml:space="preserve"> </v>
      </c>
      <c r="U99" s="244">
        <v>21074</v>
      </c>
      <c r="V99" s="248">
        <f t="shared" si="66"/>
        <v>105.37</v>
      </c>
      <c r="W99" s="244">
        <v>7896.39</v>
      </c>
      <c r="X99" s="248">
        <f t="shared" si="67"/>
        <v>26.321300000000001</v>
      </c>
      <c r="Y99" s="244">
        <v>107819.64</v>
      </c>
      <c r="Z99" s="248">
        <f t="shared" si="68"/>
        <v>385.07014285714286</v>
      </c>
      <c r="AA99" s="244"/>
      <c r="AB99" s="248" t="str">
        <f t="shared" si="69"/>
        <v xml:space="preserve"> </v>
      </c>
      <c r="AC99" s="244">
        <v>4436</v>
      </c>
      <c r="AD99" s="248">
        <f t="shared" si="70"/>
        <v>25.204545454545453</v>
      </c>
      <c r="AE99" s="244">
        <v>96602.21</v>
      </c>
      <c r="AF99" s="248">
        <f t="shared" si="71"/>
        <v>720.91201492537323</v>
      </c>
      <c r="AG99" s="244"/>
      <c r="AH99" s="248" t="str">
        <f t="shared" si="72"/>
        <v xml:space="preserve"> </v>
      </c>
      <c r="AI99" s="244">
        <v>29599</v>
      </c>
      <c r="AJ99" s="248">
        <f t="shared" si="73"/>
        <v>159.99459459459459</v>
      </c>
      <c r="AK99" s="244"/>
      <c r="AL99" s="248" t="str">
        <f t="shared" si="74"/>
        <v xml:space="preserve"> </v>
      </c>
      <c r="AM99" s="244"/>
      <c r="AN99" s="248" t="str">
        <f t="shared" si="75"/>
        <v xml:space="preserve"> </v>
      </c>
      <c r="AO99" s="244"/>
      <c r="AP99" s="248" t="str">
        <f t="shared" si="76"/>
        <v xml:space="preserve"> </v>
      </c>
      <c r="AQ99" s="244"/>
      <c r="AR99" s="248" t="str">
        <f t="shared" si="77"/>
        <v xml:space="preserve"> </v>
      </c>
      <c r="AS99" s="244"/>
      <c r="AT99" s="248" t="str">
        <f t="shared" si="78"/>
        <v xml:space="preserve"> </v>
      </c>
      <c r="AU99" s="244"/>
      <c r="AV99" s="248" t="str">
        <f t="shared" si="79"/>
        <v xml:space="preserve"> </v>
      </c>
      <c r="AW99" s="244"/>
      <c r="AX99" s="248" t="str">
        <f t="shared" si="80"/>
        <v xml:space="preserve"> </v>
      </c>
      <c r="AY99" s="244"/>
      <c r="AZ99" s="254" t="str">
        <f t="shared" si="81"/>
        <v xml:space="preserve"> </v>
      </c>
    </row>
    <row r="100" spans="2:52" ht="14.45" thickTop="1">
      <c r="B100" s="230" t="s">
        <v>1807</v>
      </c>
      <c r="C100" s="263">
        <f>IFERROR(AVERAGE(E100,G100,I100,K100,M100,O100,Q100,S100,U100,W100,Y100,AA100,AC100,AE100,AG100,AI100,AK100,AM100,AO100,AQ100,AS100,AU100,AW100,AY100),0)</f>
        <v>67875.474000000002</v>
      </c>
      <c r="D100" s="261">
        <f>IFERROR(AVERAGE(F100,H100,J100,L100,N100,P100,R100,T100,V100,X100,Z100,AB100,AD100,AF100,AH100,AJ100,AL100,AN100,AP100,AR100,AT100,AV100,AX100,AZ100),0)</f>
        <v>366.3366121204773</v>
      </c>
      <c r="E100" s="242" t="str">
        <f>IFERROR(IF(E99&gt;0,E99," ")," ")</f>
        <v xml:space="preserve"> </v>
      </c>
      <c r="F100" s="241" t="str">
        <f t="shared" si="82"/>
        <v xml:space="preserve"> </v>
      </c>
      <c r="G100" s="242" t="str">
        <f>IFERROR(IF(G99&gt;0,G99," ")," ")</f>
        <v xml:space="preserve"> </v>
      </c>
      <c r="H100" s="241" t="str">
        <f t="shared" si="59"/>
        <v xml:space="preserve"> </v>
      </c>
      <c r="I100" s="242">
        <f>IFERROR(IF(I99&gt;0,I99," ")," ")</f>
        <v>17403.61</v>
      </c>
      <c r="J100" s="241">
        <f t="shared" si="60"/>
        <v>113.74908496732027</v>
      </c>
      <c r="K100" s="242" t="str">
        <f>IFERROR(IF(K99&gt;0,K99," ")," ")</f>
        <v xml:space="preserve"> </v>
      </c>
      <c r="L100" s="241" t="str">
        <f t="shared" si="61"/>
        <v xml:space="preserve"> </v>
      </c>
      <c r="M100" s="242">
        <f>IFERROR(IF(M99&gt;0,M99," ")," ")</f>
        <v>264101</v>
      </c>
      <c r="N100" s="241">
        <f t="shared" si="62"/>
        <v>1435.3315217391305</v>
      </c>
      <c r="O100" s="242">
        <f>IFERROR(IF(O99&gt;0,O99," ")," ")</f>
        <v>55778</v>
      </c>
      <c r="P100" s="241">
        <f t="shared" si="63"/>
        <v>348.61250000000001</v>
      </c>
      <c r="Q100" s="242">
        <f>IFERROR(IF(Q99&gt;0,Q99," ")," ")</f>
        <v>74044.89</v>
      </c>
      <c r="R100" s="241">
        <f t="shared" si="64"/>
        <v>342.80041666666665</v>
      </c>
      <c r="S100" s="242" t="str">
        <f>IFERROR(IF(S99&gt;0,S99," ")," ")</f>
        <v xml:space="preserve"> </v>
      </c>
      <c r="T100" s="241" t="str">
        <f t="shared" si="65"/>
        <v xml:space="preserve"> </v>
      </c>
      <c r="U100" s="242">
        <f>IFERROR(IF(U99&gt;0,U99," ")," ")</f>
        <v>21074</v>
      </c>
      <c r="V100" s="241">
        <f t="shared" si="66"/>
        <v>105.37</v>
      </c>
      <c r="W100" s="242">
        <f>IFERROR(IF(W99&gt;0,W99," ")," ")</f>
        <v>7896.39</v>
      </c>
      <c r="X100" s="241">
        <f t="shared" si="67"/>
        <v>26.321300000000001</v>
      </c>
      <c r="Y100" s="242">
        <f>IFERROR(IF(Y99&gt;0,Y99," ")," ")</f>
        <v>107819.64</v>
      </c>
      <c r="Z100" s="241">
        <f t="shared" si="68"/>
        <v>385.07014285714286</v>
      </c>
      <c r="AA100" s="242" t="str">
        <f>IFERROR(IF(AA99&gt;0,AA99," ")," ")</f>
        <v xml:space="preserve"> </v>
      </c>
      <c r="AB100" s="241" t="str">
        <f t="shared" si="69"/>
        <v xml:space="preserve"> </v>
      </c>
      <c r="AC100" s="242">
        <f>IFERROR(IF(AC99&gt;0,AC99," ")," ")</f>
        <v>4436</v>
      </c>
      <c r="AD100" s="241">
        <f t="shared" si="70"/>
        <v>25.204545454545453</v>
      </c>
      <c r="AE100" s="242">
        <f>IFERROR(IF(AE99&gt;0,AE99," ")," ")</f>
        <v>96602.21</v>
      </c>
      <c r="AF100" s="241">
        <f t="shared" si="71"/>
        <v>720.91201492537323</v>
      </c>
      <c r="AG100" s="242" t="str">
        <f>IFERROR(IF(AG99&gt;0,AG99," ")," ")</f>
        <v xml:space="preserve"> </v>
      </c>
      <c r="AH100" s="241" t="str">
        <f t="shared" si="72"/>
        <v xml:space="preserve"> </v>
      </c>
      <c r="AI100" s="242">
        <f>IFERROR(IF(AI99&gt;0,AI99," ")," ")</f>
        <v>29599</v>
      </c>
      <c r="AJ100" s="241">
        <f t="shared" si="73"/>
        <v>159.99459459459459</v>
      </c>
      <c r="AK100" s="242" t="str">
        <f>IFERROR(IF(AK99&gt;0,AK99," ")," ")</f>
        <v xml:space="preserve"> </v>
      </c>
      <c r="AL100" s="241" t="str">
        <f t="shared" si="74"/>
        <v xml:space="preserve"> </v>
      </c>
      <c r="AM100" s="242" t="str">
        <f>IFERROR(IF(AM99&gt;0,AM99," ")," ")</f>
        <v xml:space="preserve"> </v>
      </c>
      <c r="AN100" s="241" t="str">
        <f t="shared" si="75"/>
        <v xml:space="preserve"> </v>
      </c>
      <c r="AO100" s="242" t="str">
        <f>IFERROR(IF(AO99&gt;0,AO99," ")," ")</f>
        <v xml:space="preserve"> </v>
      </c>
      <c r="AP100" s="241" t="str">
        <f t="shared" si="76"/>
        <v xml:space="preserve"> </v>
      </c>
      <c r="AQ100" s="242" t="str">
        <f>IFERROR(IF(AQ99&gt;0,AQ99," ")," ")</f>
        <v xml:space="preserve"> </v>
      </c>
      <c r="AR100" s="241" t="str">
        <f t="shared" si="77"/>
        <v xml:space="preserve"> </v>
      </c>
      <c r="AS100" s="242" t="str">
        <f>IFERROR(IF(AS99&gt;0,AS99," ")," ")</f>
        <v xml:space="preserve"> </v>
      </c>
      <c r="AT100" s="241" t="str">
        <f t="shared" si="78"/>
        <v xml:space="preserve"> </v>
      </c>
      <c r="AU100" s="242" t="str">
        <f>IFERROR(IF(AU99&gt;0,AU99," ")," ")</f>
        <v xml:space="preserve"> </v>
      </c>
      <c r="AV100" s="241" t="str">
        <f t="shared" si="79"/>
        <v xml:space="preserve"> </v>
      </c>
      <c r="AW100" s="242" t="str">
        <f>IFERROR(IF(AW99&gt;0,AW99," ")," ")</f>
        <v xml:space="preserve"> </v>
      </c>
      <c r="AX100" s="241" t="str">
        <f t="shared" si="80"/>
        <v xml:space="preserve"> </v>
      </c>
      <c r="AY100" s="242" t="str">
        <f>IFERROR(IF(AY99&gt;0,AY99," ")," ")</f>
        <v xml:space="preserve"> </v>
      </c>
      <c r="AZ100" s="253" t="str">
        <f t="shared" si="81"/>
        <v xml:space="preserve"> </v>
      </c>
    </row>
    <row r="101" spans="2:52" ht="5.0999999999999996" customHeight="1">
      <c r="B101" s="220"/>
      <c r="C101" s="235"/>
      <c r="D101" s="236"/>
      <c r="E101" s="242"/>
      <c r="F101" s="241" t="str">
        <f t="shared" si="82"/>
        <v xml:space="preserve"> </v>
      </c>
      <c r="G101" s="242"/>
      <c r="H101" s="241" t="str">
        <f t="shared" si="59"/>
        <v xml:space="preserve"> </v>
      </c>
      <c r="I101" s="242"/>
      <c r="J101" s="241" t="str">
        <f t="shared" si="60"/>
        <v xml:space="preserve"> </v>
      </c>
      <c r="K101" s="242"/>
      <c r="L101" s="241" t="str">
        <f t="shared" si="61"/>
        <v xml:space="preserve"> </v>
      </c>
      <c r="M101" s="242"/>
      <c r="N101" s="241" t="str">
        <f t="shared" si="62"/>
        <v xml:space="preserve"> </v>
      </c>
      <c r="O101" s="242"/>
      <c r="P101" s="241" t="str">
        <f t="shared" si="63"/>
        <v xml:space="preserve"> </v>
      </c>
      <c r="Q101" s="242"/>
      <c r="R101" s="241" t="str">
        <f t="shared" si="64"/>
        <v xml:space="preserve"> </v>
      </c>
      <c r="S101" s="242"/>
      <c r="T101" s="241" t="str">
        <f t="shared" si="65"/>
        <v xml:space="preserve"> </v>
      </c>
      <c r="U101" s="242"/>
      <c r="V101" s="241" t="str">
        <f t="shared" si="66"/>
        <v xml:space="preserve"> </v>
      </c>
      <c r="W101" s="242"/>
      <c r="X101" s="241" t="str">
        <f t="shared" si="67"/>
        <v xml:space="preserve"> </v>
      </c>
      <c r="Y101" s="242"/>
      <c r="Z101" s="241" t="str">
        <f t="shared" si="68"/>
        <v xml:space="preserve"> </v>
      </c>
      <c r="AA101" s="242"/>
      <c r="AB101" s="241" t="str">
        <f t="shared" si="69"/>
        <v xml:space="preserve"> </v>
      </c>
      <c r="AC101" s="242"/>
      <c r="AD101" s="241" t="str">
        <f t="shared" si="70"/>
        <v xml:space="preserve"> </v>
      </c>
      <c r="AE101" s="242"/>
      <c r="AF101" s="241" t="str">
        <f t="shared" si="71"/>
        <v xml:space="preserve"> </v>
      </c>
      <c r="AG101" s="242"/>
      <c r="AH101" s="241" t="str">
        <f t="shared" si="72"/>
        <v xml:space="preserve"> </v>
      </c>
      <c r="AI101" s="242"/>
      <c r="AJ101" s="241" t="str">
        <f t="shared" si="73"/>
        <v xml:space="preserve"> </v>
      </c>
      <c r="AK101" s="242"/>
      <c r="AL101" s="241" t="str">
        <f t="shared" si="74"/>
        <v xml:space="preserve"> </v>
      </c>
      <c r="AM101" s="242"/>
      <c r="AN101" s="241" t="str">
        <f t="shared" si="75"/>
        <v xml:space="preserve"> </v>
      </c>
      <c r="AO101" s="242"/>
      <c r="AP101" s="241" t="str">
        <f t="shared" si="76"/>
        <v xml:space="preserve"> </v>
      </c>
      <c r="AQ101" s="242"/>
      <c r="AR101" s="241" t="str">
        <f t="shared" si="77"/>
        <v xml:space="preserve"> </v>
      </c>
      <c r="AS101" s="242"/>
      <c r="AT101" s="241" t="str">
        <f t="shared" si="78"/>
        <v xml:space="preserve"> </v>
      </c>
      <c r="AU101" s="242"/>
      <c r="AV101" s="241" t="str">
        <f t="shared" si="79"/>
        <v xml:space="preserve"> </v>
      </c>
      <c r="AW101" s="242"/>
      <c r="AX101" s="241" t="str">
        <f t="shared" si="80"/>
        <v xml:space="preserve"> </v>
      </c>
      <c r="AY101" s="242"/>
      <c r="AZ101" s="253" t="str">
        <f t="shared" si="81"/>
        <v xml:space="preserve"> </v>
      </c>
    </row>
    <row r="102" spans="2:52">
      <c r="B102" s="230" t="s">
        <v>1808</v>
      </c>
      <c r="C102" s="235"/>
      <c r="D102" s="236"/>
      <c r="E102" s="242"/>
      <c r="F102" s="241" t="str">
        <f t="shared" si="82"/>
        <v xml:space="preserve"> </v>
      </c>
      <c r="G102" s="242"/>
      <c r="H102" s="241" t="str">
        <f t="shared" si="59"/>
        <v xml:space="preserve"> </v>
      </c>
      <c r="I102" s="242"/>
      <c r="J102" s="241" t="str">
        <f t="shared" si="60"/>
        <v xml:space="preserve"> </v>
      </c>
      <c r="K102" s="242"/>
      <c r="L102" s="241" t="str">
        <f t="shared" si="61"/>
        <v xml:space="preserve"> </v>
      </c>
      <c r="M102" s="242"/>
      <c r="N102" s="241" t="str">
        <f t="shared" si="62"/>
        <v xml:space="preserve"> </v>
      </c>
      <c r="O102" s="242"/>
      <c r="P102" s="241" t="str">
        <f t="shared" si="63"/>
        <v xml:space="preserve"> </v>
      </c>
      <c r="Q102" s="242"/>
      <c r="R102" s="241" t="str">
        <f t="shared" si="64"/>
        <v xml:space="preserve"> </v>
      </c>
      <c r="S102" s="242"/>
      <c r="T102" s="241" t="str">
        <f t="shared" si="65"/>
        <v xml:space="preserve"> </v>
      </c>
      <c r="U102" s="242"/>
      <c r="V102" s="241" t="str">
        <f t="shared" si="66"/>
        <v xml:space="preserve"> </v>
      </c>
      <c r="W102" s="242"/>
      <c r="X102" s="241" t="str">
        <f t="shared" si="67"/>
        <v xml:space="preserve"> </v>
      </c>
      <c r="Y102" s="242"/>
      <c r="Z102" s="241" t="str">
        <f t="shared" si="68"/>
        <v xml:space="preserve"> </v>
      </c>
      <c r="AA102" s="242"/>
      <c r="AB102" s="241" t="str">
        <f t="shared" si="69"/>
        <v xml:space="preserve"> </v>
      </c>
      <c r="AC102" s="242"/>
      <c r="AD102" s="241" t="str">
        <f t="shared" si="70"/>
        <v xml:space="preserve"> </v>
      </c>
      <c r="AE102" s="242"/>
      <c r="AF102" s="241" t="str">
        <f t="shared" si="71"/>
        <v xml:space="preserve"> </v>
      </c>
      <c r="AG102" s="242"/>
      <c r="AH102" s="241" t="str">
        <f t="shared" si="72"/>
        <v xml:space="preserve"> </v>
      </c>
      <c r="AI102" s="242"/>
      <c r="AJ102" s="241" t="str">
        <f t="shared" si="73"/>
        <v xml:space="preserve"> </v>
      </c>
      <c r="AK102" s="242"/>
      <c r="AL102" s="241" t="str">
        <f t="shared" si="74"/>
        <v xml:space="preserve"> </v>
      </c>
      <c r="AM102" s="242"/>
      <c r="AN102" s="241" t="str">
        <f t="shared" si="75"/>
        <v xml:space="preserve"> </v>
      </c>
      <c r="AO102" s="242"/>
      <c r="AP102" s="241" t="str">
        <f t="shared" si="76"/>
        <v xml:space="preserve"> </v>
      </c>
      <c r="AQ102" s="242"/>
      <c r="AR102" s="241" t="str">
        <f t="shared" si="77"/>
        <v xml:space="preserve"> </v>
      </c>
      <c r="AS102" s="242"/>
      <c r="AT102" s="241" t="str">
        <f t="shared" si="78"/>
        <v xml:space="preserve"> </v>
      </c>
      <c r="AU102" s="242"/>
      <c r="AV102" s="241" t="str">
        <f t="shared" si="79"/>
        <v xml:space="preserve"> </v>
      </c>
      <c r="AW102" s="242"/>
      <c r="AX102" s="241" t="str">
        <f t="shared" si="80"/>
        <v xml:space="preserve"> </v>
      </c>
      <c r="AY102" s="242"/>
      <c r="AZ102" s="253" t="str">
        <f t="shared" si="81"/>
        <v xml:space="preserve"> </v>
      </c>
    </row>
    <row r="103" spans="2:52">
      <c r="B103" s="220" t="s">
        <v>1809</v>
      </c>
      <c r="C103" s="263">
        <f t="shared" ref="C103:D106" si="85">IFERROR(AVERAGE(E103,G103,I103,K103,M103,O103,Q103,S103,U103,W103,Y103,AA103,AC103,AE103,AG103,AI103,AK103,AM103,AO103,AQ103,AS103,AU103,AW103,AY103),0)</f>
        <v>103878.5</v>
      </c>
      <c r="D103" s="261">
        <f t="shared" si="85"/>
        <v>483.78948700253051</v>
      </c>
      <c r="E103" s="242"/>
      <c r="F103" s="241" t="str">
        <f t="shared" si="82"/>
        <v xml:space="preserve"> </v>
      </c>
      <c r="G103" s="242"/>
      <c r="H103" s="241" t="str">
        <f t="shared" si="59"/>
        <v xml:space="preserve"> </v>
      </c>
      <c r="I103" s="242"/>
      <c r="J103" s="241" t="str">
        <f t="shared" si="60"/>
        <v xml:space="preserve"> </v>
      </c>
      <c r="K103" s="242"/>
      <c r="L103" s="241" t="str">
        <f t="shared" si="61"/>
        <v xml:space="preserve"> </v>
      </c>
      <c r="M103" s="242">
        <v>35766</v>
      </c>
      <c r="N103" s="241">
        <f t="shared" si="62"/>
        <v>194.38043478260869</v>
      </c>
      <c r="O103" s="242">
        <v>5288</v>
      </c>
      <c r="P103" s="241">
        <f t="shared" si="63"/>
        <v>33.049999999999997</v>
      </c>
      <c r="Q103" s="242">
        <v>350000</v>
      </c>
      <c r="R103" s="241">
        <f t="shared" si="64"/>
        <v>1620.3703703703704</v>
      </c>
      <c r="S103" s="242"/>
      <c r="T103" s="241" t="str">
        <f t="shared" si="65"/>
        <v xml:space="preserve"> </v>
      </c>
      <c r="U103" s="242"/>
      <c r="V103" s="241" t="str">
        <f t="shared" si="66"/>
        <v xml:space="preserve"> </v>
      </c>
      <c r="W103" s="242"/>
      <c r="X103" s="241" t="str">
        <f t="shared" si="67"/>
        <v xml:space="preserve"> </v>
      </c>
      <c r="Y103" s="242">
        <v>24460</v>
      </c>
      <c r="Z103" s="241">
        <f t="shared" si="68"/>
        <v>87.357142857142861</v>
      </c>
      <c r="AA103" s="242"/>
      <c r="AB103" s="241" t="str">
        <f t="shared" si="69"/>
        <v xml:space="preserve"> </v>
      </c>
      <c r="AC103" s="242"/>
      <c r="AD103" s="241" t="str">
        <f t="shared" si="70"/>
        <v xml:space="preserve"> </v>
      </c>
      <c r="AE103" s="242"/>
      <c r="AF103" s="241" t="str">
        <f t="shared" si="71"/>
        <v xml:space="preserve"> </v>
      </c>
      <c r="AG103" s="242"/>
      <c r="AH103" s="241" t="str">
        <f t="shared" si="72"/>
        <v xml:space="preserve"> </v>
      </c>
      <c r="AI103" s="242"/>
      <c r="AJ103" s="241" t="str">
        <f t="shared" si="73"/>
        <v xml:space="preserve"> </v>
      </c>
      <c r="AK103" s="242"/>
      <c r="AL103" s="241" t="str">
        <f t="shared" si="74"/>
        <v xml:space="preserve"> </v>
      </c>
      <c r="AM103" s="242"/>
      <c r="AN103" s="241" t="str">
        <f t="shared" si="75"/>
        <v xml:space="preserve"> </v>
      </c>
      <c r="AO103" s="242"/>
      <c r="AP103" s="241" t="str">
        <f t="shared" si="76"/>
        <v xml:space="preserve"> </v>
      </c>
      <c r="AQ103" s="242"/>
      <c r="AR103" s="241" t="str">
        <f t="shared" si="77"/>
        <v xml:space="preserve"> </v>
      </c>
      <c r="AS103" s="242"/>
      <c r="AT103" s="241" t="str">
        <f t="shared" si="78"/>
        <v xml:space="preserve"> </v>
      </c>
      <c r="AU103" s="242"/>
      <c r="AV103" s="241" t="str">
        <f t="shared" si="79"/>
        <v xml:space="preserve"> </v>
      </c>
      <c r="AW103" s="242"/>
      <c r="AX103" s="241" t="str">
        <f t="shared" si="80"/>
        <v xml:space="preserve"> </v>
      </c>
      <c r="AY103" s="242"/>
      <c r="AZ103" s="253" t="str">
        <f t="shared" si="81"/>
        <v xml:space="preserve"> </v>
      </c>
    </row>
    <row r="104" spans="2:52">
      <c r="B104" s="220" t="s">
        <v>1810</v>
      </c>
      <c r="C104" s="263">
        <f t="shared" si="85"/>
        <v>8171.3733333333339</v>
      </c>
      <c r="D104" s="261">
        <f t="shared" si="85"/>
        <v>51.622002487562192</v>
      </c>
      <c r="E104" s="242"/>
      <c r="F104" s="241" t="str">
        <f t="shared" si="82"/>
        <v xml:space="preserve"> </v>
      </c>
      <c r="G104" s="242"/>
      <c r="H104" s="241" t="str">
        <f t="shared" si="59"/>
        <v xml:space="preserve"> </v>
      </c>
      <c r="I104" s="242"/>
      <c r="J104" s="241" t="str">
        <f t="shared" si="60"/>
        <v xml:space="preserve"> </v>
      </c>
      <c r="K104" s="242"/>
      <c r="L104" s="241" t="str">
        <f t="shared" si="61"/>
        <v xml:space="preserve"> </v>
      </c>
      <c r="M104" s="242"/>
      <c r="N104" s="241" t="str">
        <f t="shared" si="62"/>
        <v xml:space="preserve"> </v>
      </c>
      <c r="O104" s="242">
        <v>10382</v>
      </c>
      <c r="P104" s="241">
        <f t="shared" si="63"/>
        <v>64.887500000000003</v>
      </c>
      <c r="Q104" s="242"/>
      <c r="R104" s="241" t="str">
        <f t="shared" si="64"/>
        <v xml:space="preserve"> </v>
      </c>
      <c r="S104" s="242">
        <v>3750</v>
      </c>
      <c r="T104" s="241">
        <f t="shared" si="65"/>
        <v>12.5</v>
      </c>
      <c r="U104" s="242"/>
      <c r="V104" s="241" t="str">
        <f t="shared" si="66"/>
        <v xml:space="preserve"> </v>
      </c>
      <c r="W104" s="242"/>
      <c r="X104" s="241" t="str">
        <f t="shared" si="67"/>
        <v xml:space="preserve"> </v>
      </c>
      <c r="Y104" s="242"/>
      <c r="Z104" s="241" t="str">
        <f t="shared" si="68"/>
        <v xml:space="preserve"> </v>
      </c>
      <c r="AA104" s="242"/>
      <c r="AB104" s="241" t="str">
        <f t="shared" si="69"/>
        <v xml:space="preserve"> </v>
      </c>
      <c r="AC104" s="242"/>
      <c r="AD104" s="241" t="str">
        <f t="shared" si="70"/>
        <v xml:space="preserve"> </v>
      </c>
      <c r="AE104" s="242">
        <v>10382.120000000001</v>
      </c>
      <c r="AF104" s="241">
        <f t="shared" si="71"/>
        <v>77.478507462686579</v>
      </c>
      <c r="AG104" s="242"/>
      <c r="AH104" s="241" t="str">
        <f t="shared" si="72"/>
        <v xml:space="preserve"> </v>
      </c>
      <c r="AI104" s="242"/>
      <c r="AJ104" s="241" t="str">
        <f t="shared" si="73"/>
        <v xml:space="preserve"> </v>
      </c>
      <c r="AK104" s="242"/>
      <c r="AL104" s="241" t="str">
        <f t="shared" si="74"/>
        <v xml:space="preserve"> </v>
      </c>
      <c r="AM104" s="242"/>
      <c r="AN104" s="241" t="str">
        <f t="shared" si="75"/>
        <v xml:space="preserve"> </v>
      </c>
      <c r="AO104" s="242"/>
      <c r="AP104" s="241" t="str">
        <f t="shared" si="76"/>
        <v xml:space="preserve"> </v>
      </c>
      <c r="AQ104" s="242"/>
      <c r="AR104" s="241" t="str">
        <f t="shared" si="77"/>
        <v xml:space="preserve"> </v>
      </c>
      <c r="AS104" s="242"/>
      <c r="AT104" s="241" t="str">
        <f t="shared" si="78"/>
        <v xml:space="preserve"> </v>
      </c>
      <c r="AU104" s="242"/>
      <c r="AV104" s="241" t="str">
        <f t="shared" si="79"/>
        <v xml:space="preserve"> </v>
      </c>
      <c r="AW104" s="242"/>
      <c r="AX104" s="241" t="str">
        <f t="shared" si="80"/>
        <v xml:space="preserve"> </v>
      </c>
      <c r="AY104" s="242"/>
      <c r="AZ104" s="253" t="str">
        <f t="shared" si="81"/>
        <v xml:space="preserve"> </v>
      </c>
    </row>
    <row r="105" spans="2:52" ht="14.45" thickBot="1">
      <c r="B105" s="231" t="s">
        <v>1811</v>
      </c>
      <c r="C105" s="264">
        <f t="shared" si="85"/>
        <v>0</v>
      </c>
      <c r="D105" s="262">
        <f t="shared" si="85"/>
        <v>0</v>
      </c>
      <c r="E105" s="244"/>
      <c r="F105" s="248" t="str">
        <f t="shared" si="82"/>
        <v xml:space="preserve"> </v>
      </c>
      <c r="G105" s="244"/>
      <c r="H105" s="248" t="str">
        <f t="shared" si="59"/>
        <v xml:space="preserve"> </v>
      </c>
      <c r="I105" s="244"/>
      <c r="J105" s="248" t="str">
        <f t="shared" si="60"/>
        <v xml:space="preserve"> </v>
      </c>
      <c r="K105" s="244"/>
      <c r="L105" s="248" t="str">
        <f t="shared" si="61"/>
        <v xml:space="preserve"> </v>
      </c>
      <c r="M105" s="244"/>
      <c r="N105" s="248" t="str">
        <f t="shared" si="62"/>
        <v xml:space="preserve"> </v>
      </c>
      <c r="O105" s="244"/>
      <c r="P105" s="248" t="str">
        <f t="shared" si="63"/>
        <v xml:space="preserve"> </v>
      </c>
      <c r="Q105" s="244"/>
      <c r="R105" s="248" t="str">
        <f t="shared" si="64"/>
        <v xml:space="preserve"> </v>
      </c>
      <c r="S105" s="244"/>
      <c r="T105" s="248" t="str">
        <f t="shared" si="65"/>
        <v xml:space="preserve"> </v>
      </c>
      <c r="U105" s="244"/>
      <c r="V105" s="248" t="str">
        <f t="shared" si="66"/>
        <v xml:space="preserve"> </v>
      </c>
      <c r="W105" s="244"/>
      <c r="X105" s="248" t="str">
        <f t="shared" si="67"/>
        <v xml:space="preserve"> </v>
      </c>
      <c r="Y105" s="244"/>
      <c r="Z105" s="248" t="str">
        <f t="shared" si="68"/>
        <v xml:space="preserve"> </v>
      </c>
      <c r="AA105" s="244"/>
      <c r="AB105" s="248" t="str">
        <f t="shared" si="69"/>
        <v xml:space="preserve"> </v>
      </c>
      <c r="AC105" s="244"/>
      <c r="AD105" s="248" t="str">
        <f t="shared" si="70"/>
        <v xml:space="preserve"> </v>
      </c>
      <c r="AE105" s="244"/>
      <c r="AF105" s="248" t="str">
        <f t="shared" si="71"/>
        <v xml:space="preserve"> </v>
      </c>
      <c r="AG105" s="244"/>
      <c r="AH105" s="248" t="str">
        <f t="shared" si="72"/>
        <v xml:space="preserve"> </v>
      </c>
      <c r="AI105" s="244"/>
      <c r="AJ105" s="248" t="str">
        <f t="shared" si="73"/>
        <v xml:space="preserve"> </v>
      </c>
      <c r="AK105" s="244"/>
      <c r="AL105" s="248" t="str">
        <f t="shared" si="74"/>
        <v xml:space="preserve"> </v>
      </c>
      <c r="AM105" s="244"/>
      <c r="AN105" s="248" t="str">
        <f t="shared" si="75"/>
        <v xml:space="preserve"> </v>
      </c>
      <c r="AO105" s="244"/>
      <c r="AP105" s="248" t="str">
        <f t="shared" si="76"/>
        <v xml:space="preserve"> </v>
      </c>
      <c r="AQ105" s="244"/>
      <c r="AR105" s="248" t="str">
        <f t="shared" si="77"/>
        <v xml:space="preserve"> </v>
      </c>
      <c r="AS105" s="244"/>
      <c r="AT105" s="248" t="str">
        <f t="shared" si="78"/>
        <v xml:space="preserve"> </v>
      </c>
      <c r="AU105" s="244"/>
      <c r="AV105" s="248" t="str">
        <f t="shared" si="79"/>
        <v xml:space="preserve"> </v>
      </c>
      <c r="AW105" s="244"/>
      <c r="AX105" s="248" t="str">
        <f t="shared" si="80"/>
        <v xml:space="preserve"> </v>
      </c>
      <c r="AY105" s="244"/>
      <c r="AZ105" s="254" t="str">
        <f t="shared" si="81"/>
        <v xml:space="preserve"> </v>
      </c>
    </row>
    <row r="106" spans="2:52" ht="14.45" thickTop="1">
      <c r="B106" s="230" t="s">
        <v>1812</v>
      </c>
      <c r="C106" s="263">
        <f t="shared" si="85"/>
        <v>73338.02</v>
      </c>
      <c r="D106" s="261">
        <f t="shared" si="85"/>
        <v>348.33732591213476</v>
      </c>
      <c r="E106" s="242" t="str">
        <f>IFERROR(IF(SUM(E103:E105)&gt;0,SUM(E103:E105)," ")," ")</f>
        <v xml:space="preserve"> </v>
      </c>
      <c r="F106" s="241" t="str">
        <f t="shared" si="82"/>
        <v xml:space="preserve"> </v>
      </c>
      <c r="G106" s="242" t="str">
        <f>IFERROR(IF(SUM(G103:G105)&gt;0,SUM(G103:G105)," ")," ")</f>
        <v xml:space="preserve"> </v>
      </c>
      <c r="H106" s="241" t="str">
        <f t="shared" si="59"/>
        <v xml:space="preserve"> </v>
      </c>
      <c r="I106" s="242" t="str">
        <f>IFERROR(IF(SUM(I103:I105)&gt;0,SUM(I103:I105)," ")," ")</f>
        <v xml:space="preserve"> </v>
      </c>
      <c r="J106" s="241" t="str">
        <f t="shared" si="60"/>
        <v xml:space="preserve"> </v>
      </c>
      <c r="K106" s="242" t="str">
        <f>IFERROR(IF(SUM(K103:K105)&gt;0,SUM(K103:K105)," ")," ")</f>
        <v xml:space="preserve"> </v>
      </c>
      <c r="L106" s="241" t="str">
        <f t="shared" si="61"/>
        <v xml:space="preserve"> </v>
      </c>
      <c r="M106" s="242">
        <f>IFERROR(IF(SUM(M103:M105)&gt;0,SUM(M103:M105)," ")," ")</f>
        <v>35766</v>
      </c>
      <c r="N106" s="241">
        <f t="shared" si="62"/>
        <v>194.38043478260869</v>
      </c>
      <c r="O106" s="242">
        <f>IFERROR(IF(SUM(O103:O105)&gt;0,SUM(O103:O105)," ")," ")</f>
        <v>15670</v>
      </c>
      <c r="P106" s="241">
        <f t="shared" si="63"/>
        <v>97.9375</v>
      </c>
      <c r="Q106" s="242">
        <f>IFERROR(IF(SUM(Q103:Q105)&gt;0,SUM(Q103:Q105)," ")," ")</f>
        <v>350000</v>
      </c>
      <c r="R106" s="241">
        <f t="shared" si="64"/>
        <v>1620.3703703703704</v>
      </c>
      <c r="S106" s="242">
        <f>IFERROR(IF(SUM(S103:S105)&gt;0,SUM(S103:S105)," ")," ")</f>
        <v>3750</v>
      </c>
      <c r="T106" s="241">
        <f t="shared" si="65"/>
        <v>12.5</v>
      </c>
      <c r="U106" s="242" t="str">
        <f>IFERROR(IF(SUM(U103:U105)&gt;0,SUM(U103:U105)," ")," ")</f>
        <v xml:space="preserve"> </v>
      </c>
      <c r="V106" s="241" t="str">
        <f t="shared" si="66"/>
        <v xml:space="preserve"> </v>
      </c>
      <c r="W106" s="242" t="str">
        <f>IFERROR(IF(SUM(W103:W105)&gt;0,SUM(W103:W105)," ")," ")</f>
        <v xml:space="preserve"> </v>
      </c>
      <c r="X106" s="241" t="str">
        <f t="shared" si="67"/>
        <v xml:space="preserve"> </v>
      </c>
      <c r="Y106" s="242">
        <f>IFERROR(IF(SUM(Y103:Y105)&gt;0,SUM(Y103:Y105)," ")," ")</f>
        <v>24460</v>
      </c>
      <c r="Z106" s="241">
        <f t="shared" si="68"/>
        <v>87.357142857142861</v>
      </c>
      <c r="AA106" s="242" t="str">
        <f>IFERROR(IF(SUM(AA103:AA105)&gt;0,SUM(AA103:AA105)," ")," ")</f>
        <v xml:space="preserve"> </v>
      </c>
      <c r="AB106" s="241" t="str">
        <f t="shared" si="69"/>
        <v xml:space="preserve"> </v>
      </c>
      <c r="AC106" s="242" t="str">
        <f>IFERROR(IF(SUM(AC103:AC105)&gt;0,SUM(AC103:AC105)," ")," ")</f>
        <v xml:space="preserve"> </v>
      </c>
      <c r="AD106" s="241" t="str">
        <f t="shared" si="70"/>
        <v xml:space="preserve"> </v>
      </c>
      <c r="AE106" s="242">
        <f>IFERROR(IF(SUM(AE103:AE105)&gt;0,SUM(AE103:AE105)," ")," ")</f>
        <v>10382.120000000001</v>
      </c>
      <c r="AF106" s="241">
        <f t="shared" si="71"/>
        <v>77.478507462686579</v>
      </c>
      <c r="AG106" s="242" t="str">
        <f>IFERROR(IF(SUM(AG103:AG105)&gt;0,SUM(AG103:AG105)," ")," ")</f>
        <v xml:space="preserve"> </v>
      </c>
      <c r="AH106" s="241" t="str">
        <f t="shared" si="72"/>
        <v xml:space="preserve"> </v>
      </c>
      <c r="AI106" s="242" t="str">
        <f>IFERROR(IF(SUM(AI103:AI105)&gt;0,SUM(AI103:AI105)," ")," ")</f>
        <v xml:space="preserve"> </v>
      </c>
      <c r="AJ106" s="241" t="str">
        <f t="shared" si="73"/>
        <v xml:space="preserve"> </v>
      </c>
      <c r="AK106" s="242" t="str">
        <f>IFERROR(IF(SUM(AK103:AK105)&gt;0,SUM(AK103:AK105)," ")," ")</f>
        <v xml:space="preserve"> </v>
      </c>
      <c r="AL106" s="241" t="str">
        <f t="shared" si="74"/>
        <v xml:space="preserve"> </v>
      </c>
      <c r="AM106" s="242" t="str">
        <f>IFERROR(IF(SUM(AM103:AM105)&gt;0,SUM(AM103:AM105)," ")," ")</f>
        <v xml:space="preserve"> </v>
      </c>
      <c r="AN106" s="241" t="str">
        <f t="shared" si="75"/>
        <v xml:space="preserve"> </v>
      </c>
      <c r="AO106" s="242" t="str">
        <f>IFERROR(IF(SUM(AO103:AO105)&gt;0,SUM(AO103:AO105)," ")," ")</f>
        <v xml:space="preserve"> </v>
      </c>
      <c r="AP106" s="241" t="str">
        <f t="shared" si="76"/>
        <v xml:space="preserve"> </v>
      </c>
      <c r="AQ106" s="242" t="str">
        <f>IFERROR(IF(SUM(AQ103:AQ105)&gt;0,SUM(AQ103:AQ105)," ")," ")</f>
        <v xml:space="preserve"> </v>
      </c>
      <c r="AR106" s="241" t="str">
        <f t="shared" si="77"/>
        <v xml:space="preserve"> </v>
      </c>
      <c r="AS106" s="242" t="str">
        <f>IFERROR(IF(SUM(AS103:AS105)&gt;0,SUM(AS103:AS105)," ")," ")</f>
        <v xml:space="preserve"> </v>
      </c>
      <c r="AT106" s="241" t="str">
        <f t="shared" si="78"/>
        <v xml:space="preserve"> </v>
      </c>
      <c r="AU106" s="242" t="str">
        <f>IFERROR(IF(SUM(AU103:AU105)&gt;0,SUM(AU103:AU105)," ")," ")</f>
        <v xml:space="preserve"> </v>
      </c>
      <c r="AV106" s="241" t="str">
        <f t="shared" si="79"/>
        <v xml:space="preserve"> </v>
      </c>
      <c r="AW106" s="242" t="str">
        <f>IFERROR(IF(SUM(AW103:AW105)&gt;0,SUM(AW103:AW105)," ")," ")</f>
        <v xml:space="preserve"> </v>
      </c>
      <c r="AX106" s="241" t="str">
        <f t="shared" si="80"/>
        <v xml:space="preserve"> </v>
      </c>
      <c r="AY106" s="242" t="str">
        <f>IFERROR(IF(SUM(AY103:AY105)&gt;0,SUM(AY103:AY105)," ")," ")</f>
        <v xml:space="preserve"> </v>
      </c>
      <c r="AZ106" s="253" t="str">
        <f t="shared" si="81"/>
        <v xml:space="preserve"> </v>
      </c>
    </row>
    <row r="107" spans="2:52" ht="5.0999999999999996" customHeight="1">
      <c r="B107" s="220"/>
      <c r="C107" s="235"/>
      <c r="D107" s="236"/>
      <c r="E107" s="242"/>
      <c r="F107" s="241" t="str">
        <f t="shared" si="82"/>
        <v xml:space="preserve"> </v>
      </c>
      <c r="G107" s="242"/>
      <c r="H107" s="241" t="str">
        <f t="shared" si="59"/>
        <v xml:space="preserve"> </v>
      </c>
      <c r="I107" s="242"/>
      <c r="J107" s="241" t="str">
        <f t="shared" si="60"/>
        <v xml:space="preserve"> </v>
      </c>
      <c r="K107" s="242"/>
      <c r="L107" s="241" t="str">
        <f t="shared" si="61"/>
        <v xml:space="preserve"> </v>
      </c>
      <c r="M107" s="242"/>
      <c r="N107" s="241" t="str">
        <f t="shared" si="62"/>
        <v xml:space="preserve"> </v>
      </c>
      <c r="O107" s="242"/>
      <c r="P107" s="241" t="str">
        <f t="shared" si="63"/>
        <v xml:space="preserve"> </v>
      </c>
      <c r="Q107" s="242"/>
      <c r="R107" s="241" t="str">
        <f t="shared" si="64"/>
        <v xml:space="preserve"> </v>
      </c>
      <c r="S107" s="242"/>
      <c r="T107" s="241" t="str">
        <f t="shared" si="65"/>
        <v xml:space="preserve"> </v>
      </c>
      <c r="U107" s="242"/>
      <c r="V107" s="241" t="str">
        <f t="shared" si="66"/>
        <v xml:space="preserve"> </v>
      </c>
      <c r="W107" s="242"/>
      <c r="X107" s="241" t="str">
        <f t="shared" si="67"/>
        <v xml:space="preserve"> </v>
      </c>
      <c r="Y107" s="242"/>
      <c r="Z107" s="241" t="str">
        <f t="shared" si="68"/>
        <v xml:space="preserve"> </v>
      </c>
      <c r="AA107" s="242"/>
      <c r="AB107" s="241" t="str">
        <f t="shared" si="69"/>
        <v xml:space="preserve"> </v>
      </c>
      <c r="AC107" s="242"/>
      <c r="AD107" s="241" t="str">
        <f t="shared" si="70"/>
        <v xml:space="preserve"> </v>
      </c>
      <c r="AE107" s="242"/>
      <c r="AF107" s="241" t="str">
        <f t="shared" si="71"/>
        <v xml:space="preserve"> </v>
      </c>
      <c r="AG107" s="242"/>
      <c r="AH107" s="241" t="str">
        <f t="shared" si="72"/>
        <v xml:space="preserve"> </v>
      </c>
      <c r="AI107" s="242"/>
      <c r="AJ107" s="241" t="str">
        <f t="shared" si="73"/>
        <v xml:space="preserve"> </v>
      </c>
      <c r="AK107" s="242"/>
      <c r="AL107" s="241" t="str">
        <f t="shared" si="74"/>
        <v xml:space="preserve"> </v>
      </c>
      <c r="AM107" s="242"/>
      <c r="AN107" s="241" t="str">
        <f t="shared" si="75"/>
        <v xml:space="preserve"> </v>
      </c>
      <c r="AO107" s="242"/>
      <c r="AP107" s="241" t="str">
        <f t="shared" si="76"/>
        <v xml:space="preserve"> </v>
      </c>
      <c r="AQ107" s="242"/>
      <c r="AR107" s="241" t="str">
        <f t="shared" si="77"/>
        <v xml:space="preserve"> </v>
      </c>
      <c r="AS107" s="242"/>
      <c r="AT107" s="241" t="str">
        <f t="shared" si="78"/>
        <v xml:space="preserve"> </v>
      </c>
      <c r="AU107" s="242"/>
      <c r="AV107" s="241" t="str">
        <f t="shared" si="79"/>
        <v xml:space="preserve"> </v>
      </c>
      <c r="AW107" s="242"/>
      <c r="AX107" s="241" t="str">
        <f t="shared" si="80"/>
        <v xml:space="preserve"> </v>
      </c>
      <c r="AY107" s="242"/>
      <c r="AZ107" s="253" t="str">
        <f t="shared" si="81"/>
        <v xml:space="preserve"> </v>
      </c>
    </row>
    <row r="108" spans="2:52">
      <c r="B108" s="230" t="s">
        <v>1813</v>
      </c>
      <c r="C108" s="235"/>
      <c r="D108" s="236"/>
      <c r="E108" s="242"/>
      <c r="F108" s="241" t="str">
        <f t="shared" si="82"/>
        <v xml:space="preserve"> </v>
      </c>
      <c r="G108" s="242"/>
      <c r="H108" s="241" t="str">
        <f t="shared" si="59"/>
        <v xml:space="preserve"> </v>
      </c>
      <c r="I108" s="242"/>
      <c r="J108" s="241" t="str">
        <f t="shared" si="60"/>
        <v xml:space="preserve"> </v>
      </c>
      <c r="K108" s="242"/>
      <c r="L108" s="241" t="str">
        <f t="shared" si="61"/>
        <v xml:space="preserve"> </v>
      </c>
      <c r="M108" s="242"/>
      <c r="N108" s="241" t="str">
        <f t="shared" si="62"/>
        <v xml:space="preserve"> </v>
      </c>
      <c r="O108" s="242"/>
      <c r="P108" s="241" t="str">
        <f t="shared" si="63"/>
        <v xml:space="preserve"> </v>
      </c>
      <c r="Q108" s="242"/>
      <c r="R108" s="241" t="str">
        <f t="shared" si="64"/>
        <v xml:space="preserve"> </v>
      </c>
      <c r="S108" s="242"/>
      <c r="T108" s="241" t="str">
        <f t="shared" si="65"/>
        <v xml:space="preserve"> </v>
      </c>
      <c r="U108" s="242"/>
      <c r="V108" s="241" t="str">
        <f t="shared" si="66"/>
        <v xml:space="preserve"> </v>
      </c>
      <c r="W108" s="242"/>
      <c r="X108" s="241" t="str">
        <f t="shared" si="67"/>
        <v xml:space="preserve"> </v>
      </c>
      <c r="Y108" s="242"/>
      <c r="Z108" s="241" t="str">
        <f t="shared" si="68"/>
        <v xml:space="preserve"> </v>
      </c>
      <c r="AA108" s="242"/>
      <c r="AB108" s="241" t="str">
        <f t="shared" si="69"/>
        <v xml:space="preserve"> </v>
      </c>
      <c r="AC108" s="242"/>
      <c r="AD108" s="241" t="str">
        <f t="shared" si="70"/>
        <v xml:space="preserve"> </v>
      </c>
      <c r="AE108" s="242"/>
      <c r="AF108" s="241" t="str">
        <f t="shared" si="71"/>
        <v xml:space="preserve"> </v>
      </c>
      <c r="AG108" s="242"/>
      <c r="AH108" s="241" t="str">
        <f t="shared" si="72"/>
        <v xml:space="preserve"> </v>
      </c>
      <c r="AI108" s="242"/>
      <c r="AJ108" s="241" t="str">
        <f t="shared" si="73"/>
        <v xml:space="preserve"> </v>
      </c>
      <c r="AK108" s="242"/>
      <c r="AL108" s="241" t="str">
        <f t="shared" si="74"/>
        <v xml:space="preserve"> </v>
      </c>
      <c r="AM108" s="242"/>
      <c r="AN108" s="241" t="str">
        <f t="shared" si="75"/>
        <v xml:space="preserve"> </v>
      </c>
      <c r="AO108" s="242"/>
      <c r="AP108" s="241" t="str">
        <f t="shared" si="76"/>
        <v xml:space="preserve"> </v>
      </c>
      <c r="AQ108" s="242"/>
      <c r="AR108" s="241" t="str">
        <f t="shared" si="77"/>
        <v xml:space="preserve"> </v>
      </c>
      <c r="AS108" s="242"/>
      <c r="AT108" s="241" t="str">
        <f t="shared" si="78"/>
        <v xml:space="preserve"> </v>
      </c>
      <c r="AU108" s="242"/>
      <c r="AV108" s="241" t="str">
        <f t="shared" si="79"/>
        <v xml:space="preserve"> </v>
      </c>
      <c r="AW108" s="242"/>
      <c r="AX108" s="241" t="str">
        <f t="shared" si="80"/>
        <v xml:space="preserve"> </v>
      </c>
      <c r="AY108" s="242"/>
      <c r="AZ108" s="253" t="str">
        <f t="shared" si="81"/>
        <v xml:space="preserve"> </v>
      </c>
    </row>
    <row r="109" spans="2:52" ht="14.45" thickBot="1">
      <c r="B109" s="231" t="s">
        <v>1813</v>
      </c>
      <c r="C109" s="264">
        <f>IFERROR(AVERAGE(E109,G109,I109,K109,M109,O109,Q109,S109,U109,W109,Y109,AA109,AC109,AE109,AG109,AI109,AK109,AM109,AO109,AQ109,AS109,AU109,AW109,AY109),0)</f>
        <v>49764.32428571429</v>
      </c>
      <c r="D109" s="262">
        <f>IFERROR(AVERAGE(F109,H109,J109,L109,N109,P109,R109,T109,V109,X109,Z109,AB109,AD109,AF109,AH109,AJ109,AL109,AN109,AP109,AR109,AT109,AV109,AX109,AZ109),0)</f>
        <v>295.56465780341983</v>
      </c>
      <c r="E109" s="244">
        <v>42600</v>
      </c>
      <c r="F109" s="248">
        <f t="shared" si="82"/>
        <v>300</v>
      </c>
      <c r="G109" s="244">
        <v>52000</v>
      </c>
      <c r="H109" s="248">
        <f t="shared" si="59"/>
        <v>325</v>
      </c>
      <c r="I109" s="244">
        <v>54440.79</v>
      </c>
      <c r="J109" s="248">
        <f t="shared" si="60"/>
        <v>355.82215686274509</v>
      </c>
      <c r="K109" s="244"/>
      <c r="L109" s="248" t="str">
        <f t="shared" si="61"/>
        <v xml:space="preserve"> </v>
      </c>
      <c r="M109" s="244"/>
      <c r="N109" s="248" t="str">
        <f t="shared" si="62"/>
        <v xml:space="preserve"> </v>
      </c>
      <c r="O109" s="244">
        <v>48000</v>
      </c>
      <c r="P109" s="248">
        <f t="shared" si="63"/>
        <v>300</v>
      </c>
      <c r="Q109" s="244"/>
      <c r="R109" s="248" t="str">
        <f t="shared" si="64"/>
        <v xml:space="preserve"> </v>
      </c>
      <c r="S109" s="244"/>
      <c r="T109" s="248" t="str">
        <f t="shared" si="65"/>
        <v xml:space="preserve"> </v>
      </c>
      <c r="U109" s="244">
        <v>50000</v>
      </c>
      <c r="V109" s="248">
        <f t="shared" si="66"/>
        <v>250</v>
      </c>
      <c r="W109" s="244"/>
      <c r="X109" s="248" t="str">
        <f t="shared" si="67"/>
        <v xml:space="preserve"> </v>
      </c>
      <c r="Y109" s="244">
        <v>56000</v>
      </c>
      <c r="Z109" s="248">
        <f t="shared" si="68"/>
        <v>200</v>
      </c>
      <c r="AA109" s="244"/>
      <c r="AB109" s="248" t="str">
        <f t="shared" si="69"/>
        <v xml:space="preserve"> </v>
      </c>
      <c r="AC109" s="244"/>
      <c r="AD109" s="248" t="str">
        <f t="shared" si="70"/>
        <v xml:space="preserve"> </v>
      </c>
      <c r="AE109" s="244">
        <v>45309.48</v>
      </c>
      <c r="AF109" s="248">
        <f t="shared" si="71"/>
        <v>338.13044776119403</v>
      </c>
      <c r="AG109" s="244"/>
      <c r="AH109" s="248" t="str">
        <f t="shared" si="72"/>
        <v xml:space="preserve"> </v>
      </c>
      <c r="AI109" s="244"/>
      <c r="AJ109" s="248" t="str">
        <f t="shared" si="73"/>
        <v xml:space="preserve"> </v>
      </c>
      <c r="AK109" s="244"/>
      <c r="AL109" s="248" t="str">
        <f t="shared" si="74"/>
        <v xml:space="preserve"> </v>
      </c>
      <c r="AM109" s="244"/>
      <c r="AN109" s="248" t="str">
        <f t="shared" si="75"/>
        <v xml:space="preserve"> </v>
      </c>
      <c r="AO109" s="244"/>
      <c r="AP109" s="248" t="str">
        <f t="shared" si="76"/>
        <v xml:space="preserve"> </v>
      </c>
      <c r="AQ109" s="244"/>
      <c r="AR109" s="248" t="str">
        <f t="shared" si="77"/>
        <v xml:space="preserve"> </v>
      </c>
      <c r="AS109" s="244"/>
      <c r="AT109" s="248" t="str">
        <f t="shared" si="78"/>
        <v xml:space="preserve"> </v>
      </c>
      <c r="AU109" s="244"/>
      <c r="AV109" s="248" t="str">
        <f t="shared" si="79"/>
        <v xml:space="preserve"> </v>
      </c>
      <c r="AW109" s="244"/>
      <c r="AX109" s="248" t="str">
        <f t="shared" si="80"/>
        <v xml:space="preserve"> </v>
      </c>
      <c r="AY109" s="244"/>
      <c r="AZ109" s="254" t="str">
        <f t="shared" si="81"/>
        <v xml:space="preserve"> </v>
      </c>
    </row>
    <row r="110" spans="2:52" ht="14.45" thickTop="1">
      <c r="B110" s="230" t="s">
        <v>1814</v>
      </c>
      <c r="C110" s="263">
        <f>IFERROR(AVERAGE(E110,G110,I110,K110,M110,O110,Q110,S110,U110,W110,Y110,AA110,AC110,AE110,AG110,AI110,AK110,AM110,AO110,AQ110,AS110,AU110,AW110,AY110),0)</f>
        <v>49764.32428571429</v>
      </c>
      <c r="D110" s="261">
        <f>IFERROR(AVERAGE(F110,H110,J110,L110,N110,P110,R110,T110,V110,X110,Z110,AB110,AD110,AF110,AH110,AJ110,AL110,AN110,AP110,AR110,AT110,AV110,AX110,AZ110),0)</f>
        <v>295.56465780341983</v>
      </c>
      <c r="E110" s="242">
        <f>IFERROR(IF(E109&gt;0,E109," ")," ")</f>
        <v>42600</v>
      </c>
      <c r="F110" s="241">
        <f t="shared" si="82"/>
        <v>300</v>
      </c>
      <c r="G110" s="242">
        <f>IFERROR(IF(G109&gt;0,G109," ")," ")</f>
        <v>52000</v>
      </c>
      <c r="H110" s="241">
        <f t="shared" ref="H110:H111" si="86">IFERROR(IF(G110&gt;0,G110/G$6," ")," ")</f>
        <v>325</v>
      </c>
      <c r="I110" s="242">
        <f>IFERROR(IF(I109&gt;0,I109," ")," ")</f>
        <v>54440.79</v>
      </c>
      <c r="J110" s="241">
        <f t="shared" ref="J110:J111" si="87">IFERROR(IF(I110&gt;0,I110/I$6," ")," ")</f>
        <v>355.82215686274509</v>
      </c>
      <c r="K110" s="242" t="str">
        <f>IFERROR(IF(K109&gt;0,K109," ")," ")</f>
        <v xml:space="preserve"> </v>
      </c>
      <c r="L110" s="241" t="str">
        <f t="shared" ref="L110:L111" si="88">IFERROR(IF(K110&gt;0,K110/K$6," ")," ")</f>
        <v xml:space="preserve"> </v>
      </c>
      <c r="M110" s="242" t="str">
        <f>IFERROR(IF(M109&gt;0,M109," ")," ")</f>
        <v xml:space="preserve"> </v>
      </c>
      <c r="N110" s="241" t="str">
        <f t="shared" ref="N110:N111" si="89">IFERROR(IF(M110&gt;0,M110/M$6," ")," ")</f>
        <v xml:space="preserve"> </v>
      </c>
      <c r="O110" s="242">
        <f>IFERROR(IF(O109&gt;0,O109," ")," ")</f>
        <v>48000</v>
      </c>
      <c r="P110" s="241">
        <f t="shared" ref="P110:P111" si="90">IFERROR(IF(O110&gt;0,O110/O$6," ")," ")</f>
        <v>300</v>
      </c>
      <c r="Q110" s="242" t="str">
        <f>IFERROR(IF(Q109&gt;0,Q109," ")," ")</f>
        <v xml:space="preserve"> </v>
      </c>
      <c r="R110" s="241" t="str">
        <f t="shared" ref="R110:R111" si="91">IFERROR(IF(Q110&gt;0,Q110/Q$6," ")," ")</f>
        <v xml:space="preserve"> </v>
      </c>
      <c r="S110" s="242" t="str">
        <f>IFERROR(IF(S109&gt;0,S109," ")," ")</f>
        <v xml:space="preserve"> </v>
      </c>
      <c r="T110" s="241" t="str">
        <f t="shared" ref="T110:T111" si="92">IFERROR(IF(S110&gt;0,S110/S$6," ")," ")</f>
        <v xml:space="preserve"> </v>
      </c>
      <c r="U110" s="242">
        <f>IFERROR(IF(U109&gt;0,U109," ")," ")</f>
        <v>50000</v>
      </c>
      <c r="V110" s="241">
        <f t="shared" ref="V110:V111" si="93">IFERROR(IF(U110&gt;0,U110/U$6," ")," ")</f>
        <v>250</v>
      </c>
      <c r="W110" s="242" t="str">
        <f>IFERROR(IF(W109&gt;0,W109," ")," ")</f>
        <v xml:space="preserve"> </v>
      </c>
      <c r="X110" s="241" t="str">
        <f t="shared" ref="X110:X111" si="94">IFERROR(IF(W110&gt;0,W110/W$6," ")," ")</f>
        <v xml:space="preserve"> </v>
      </c>
      <c r="Y110" s="242">
        <f>IFERROR(IF(Y109&gt;0,Y109," ")," ")</f>
        <v>56000</v>
      </c>
      <c r="Z110" s="241">
        <f t="shared" ref="Z110:Z111" si="95">IFERROR(IF(Y110&gt;0,Y110/Y$6," ")," ")</f>
        <v>200</v>
      </c>
      <c r="AA110" s="242" t="str">
        <f>IFERROR(IF(AA109&gt;0,AA109," ")," ")</f>
        <v xml:space="preserve"> </v>
      </c>
      <c r="AB110" s="241" t="str">
        <f t="shared" ref="AB110:AB111" si="96">IFERROR(IF(AA110&gt;0,AA110/AA$6," ")," ")</f>
        <v xml:space="preserve"> </v>
      </c>
      <c r="AC110" s="242" t="str">
        <f>IFERROR(IF(AC109&gt;0,AC109," ")," ")</f>
        <v xml:space="preserve"> </v>
      </c>
      <c r="AD110" s="241" t="str">
        <f t="shared" ref="AD110:AD111" si="97">IFERROR(IF(AC110&gt;0,AC110/AC$6," ")," ")</f>
        <v xml:space="preserve"> </v>
      </c>
      <c r="AE110" s="242">
        <f>IFERROR(IF(AE109&gt;0,AE109," ")," ")</f>
        <v>45309.48</v>
      </c>
      <c r="AF110" s="241">
        <f t="shared" ref="AF110:AF111" si="98">IFERROR(IF(AE110&gt;0,AE110/AE$6," ")," ")</f>
        <v>338.13044776119403</v>
      </c>
      <c r="AG110" s="242" t="str">
        <f>IFERROR(IF(AG109&gt;0,AG109," ")," ")</f>
        <v xml:space="preserve"> </v>
      </c>
      <c r="AH110" s="241" t="str">
        <f t="shared" ref="AH110:AH111" si="99">IFERROR(IF(AG110&gt;0,AG110/AG$6," ")," ")</f>
        <v xml:space="preserve"> </v>
      </c>
      <c r="AI110" s="242" t="str">
        <f>IFERROR(IF(AI109&gt;0,AI109," ")," ")</f>
        <v xml:space="preserve"> </v>
      </c>
      <c r="AJ110" s="241" t="str">
        <f t="shared" ref="AJ110:AJ111" si="100">IFERROR(IF(AI110&gt;0,AI110/AI$6," ")," ")</f>
        <v xml:space="preserve"> </v>
      </c>
      <c r="AK110" s="242" t="str">
        <f>IFERROR(IF(AK109&gt;0,AK109," ")," ")</f>
        <v xml:space="preserve"> </v>
      </c>
      <c r="AL110" s="241" t="str">
        <f t="shared" ref="AL110:AL111" si="101">IFERROR(IF(AK110&gt;0,AK110/AK$6," ")," ")</f>
        <v xml:space="preserve"> </v>
      </c>
      <c r="AM110" s="242" t="str">
        <f>IFERROR(IF(AM109&gt;0,AM109," ")," ")</f>
        <v xml:space="preserve"> </v>
      </c>
      <c r="AN110" s="241" t="str">
        <f t="shared" ref="AN110:AN111" si="102">IFERROR(IF(AM110&gt;0,AM110/AM$6," ")," ")</f>
        <v xml:space="preserve"> </v>
      </c>
      <c r="AO110" s="242" t="str">
        <f>IFERROR(IF(AO109&gt;0,AO109," ")," ")</f>
        <v xml:space="preserve"> </v>
      </c>
      <c r="AP110" s="241" t="str">
        <f t="shared" ref="AP110:AP111" si="103">IFERROR(IF(AO110&gt;0,AO110/AO$6," ")," ")</f>
        <v xml:space="preserve"> </v>
      </c>
      <c r="AQ110" s="242" t="str">
        <f>IFERROR(IF(AQ109&gt;0,AQ109," ")," ")</f>
        <v xml:space="preserve"> </v>
      </c>
      <c r="AR110" s="241" t="str">
        <f t="shared" ref="AR110:AR111" si="104">IFERROR(IF(AQ110&gt;0,AQ110/AQ$6," ")," ")</f>
        <v xml:space="preserve"> </v>
      </c>
      <c r="AS110" s="242" t="str">
        <f>IFERROR(IF(AS109&gt;0,AS109," ")," ")</f>
        <v xml:space="preserve"> </v>
      </c>
      <c r="AT110" s="241" t="str">
        <f t="shared" ref="AT110:AT111" si="105">IFERROR(IF(AS110&gt;0,AS110/AS$6," ")," ")</f>
        <v xml:space="preserve"> </v>
      </c>
      <c r="AU110" s="242" t="str">
        <f>IFERROR(IF(AU109&gt;0,AU109," ")," ")</f>
        <v xml:space="preserve"> </v>
      </c>
      <c r="AV110" s="241" t="str">
        <f t="shared" ref="AV110:AV111" si="106">IFERROR(IF(AU110&gt;0,AU110/AU$6," ")," ")</f>
        <v xml:space="preserve"> </v>
      </c>
      <c r="AW110" s="242" t="str">
        <f>IFERROR(IF(AW109&gt;0,AW109," ")," ")</f>
        <v xml:space="preserve"> </v>
      </c>
      <c r="AX110" s="241" t="str">
        <f t="shared" ref="AX110:AX111" si="107">IFERROR(IF(AW110&gt;0,AW110/AW$6," ")," ")</f>
        <v xml:space="preserve"> </v>
      </c>
      <c r="AY110" s="242" t="str">
        <f>IFERROR(IF(AY109&gt;0,AY109," ")," ")</f>
        <v xml:space="preserve"> </v>
      </c>
      <c r="AZ110" s="253" t="str">
        <f t="shared" ref="AZ110:AZ111" si="108">IFERROR(IF(AY110&gt;0,AY110/AY$6," ")," ")</f>
        <v xml:space="preserve"> </v>
      </c>
    </row>
    <row r="111" spans="2:52" ht="5.0999999999999996" customHeight="1" thickBot="1">
      <c r="B111" s="220"/>
      <c r="C111" s="235"/>
      <c r="D111" s="236"/>
      <c r="E111" s="242"/>
      <c r="F111" s="241" t="str">
        <f t="shared" si="82"/>
        <v xml:space="preserve"> </v>
      </c>
      <c r="G111" s="242"/>
      <c r="H111" s="241" t="str">
        <f t="shared" si="86"/>
        <v xml:space="preserve"> </v>
      </c>
      <c r="I111" s="242"/>
      <c r="J111" s="241" t="str">
        <f t="shared" si="87"/>
        <v xml:space="preserve"> </v>
      </c>
      <c r="K111" s="242"/>
      <c r="L111" s="241" t="str">
        <f t="shared" si="88"/>
        <v xml:space="preserve"> </v>
      </c>
      <c r="M111" s="242"/>
      <c r="N111" s="241" t="str">
        <f t="shared" si="89"/>
        <v xml:space="preserve"> </v>
      </c>
      <c r="O111" s="242"/>
      <c r="P111" s="241" t="str">
        <f t="shared" si="90"/>
        <v xml:space="preserve"> </v>
      </c>
      <c r="Q111" s="242"/>
      <c r="R111" s="241" t="str">
        <f t="shared" si="91"/>
        <v xml:space="preserve"> </v>
      </c>
      <c r="S111" s="242"/>
      <c r="T111" s="241" t="str">
        <f t="shared" si="92"/>
        <v xml:space="preserve"> </v>
      </c>
      <c r="U111" s="242"/>
      <c r="V111" s="241" t="str">
        <f t="shared" si="93"/>
        <v xml:space="preserve"> </v>
      </c>
      <c r="W111" s="242"/>
      <c r="X111" s="241" t="str">
        <f t="shared" si="94"/>
        <v xml:space="preserve"> </v>
      </c>
      <c r="Y111" s="242"/>
      <c r="Z111" s="241" t="str">
        <f t="shared" si="95"/>
        <v xml:space="preserve"> </v>
      </c>
      <c r="AA111" s="242"/>
      <c r="AB111" s="241" t="str">
        <f t="shared" si="96"/>
        <v xml:space="preserve"> </v>
      </c>
      <c r="AC111" s="242"/>
      <c r="AD111" s="241" t="str">
        <f t="shared" si="97"/>
        <v xml:space="preserve"> </v>
      </c>
      <c r="AE111" s="242"/>
      <c r="AF111" s="241" t="str">
        <f t="shared" si="98"/>
        <v xml:space="preserve"> </v>
      </c>
      <c r="AG111" s="242"/>
      <c r="AH111" s="241" t="str">
        <f t="shared" si="99"/>
        <v xml:space="preserve"> </v>
      </c>
      <c r="AI111" s="242"/>
      <c r="AJ111" s="241" t="str">
        <f t="shared" si="100"/>
        <v xml:space="preserve"> </v>
      </c>
      <c r="AK111" s="242"/>
      <c r="AL111" s="241" t="str">
        <f t="shared" si="101"/>
        <v xml:space="preserve"> </v>
      </c>
      <c r="AM111" s="242"/>
      <c r="AN111" s="241" t="str">
        <f t="shared" si="102"/>
        <v xml:space="preserve"> </v>
      </c>
      <c r="AO111" s="242"/>
      <c r="AP111" s="241" t="str">
        <f t="shared" si="103"/>
        <v xml:space="preserve"> </v>
      </c>
      <c r="AQ111" s="242"/>
      <c r="AR111" s="241" t="str">
        <f t="shared" si="104"/>
        <v xml:space="preserve"> </v>
      </c>
      <c r="AS111" s="242"/>
      <c r="AT111" s="241" t="str">
        <f t="shared" si="105"/>
        <v xml:space="preserve"> </v>
      </c>
      <c r="AU111" s="242"/>
      <c r="AV111" s="241" t="str">
        <f t="shared" si="106"/>
        <v xml:space="preserve"> </v>
      </c>
      <c r="AW111" s="242"/>
      <c r="AX111" s="241" t="str">
        <f t="shared" si="107"/>
        <v xml:space="preserve"> </v>
      </c>
      <c r="AY111" s="242"/>
      <c r="AZ111" s="253" t="str">
        <f t="shared" si="108"/>
        <v xml:space="preserve"> </v>
      </c>
    </row>
    <row r="112" spans="2:52" ht="14.45" thickBot="1">
      <c r="B112" s="229" t="s">
        <v>1815</v>
      </c>
      <c r="C112" s="228"/>
      <c r="D112" s="227"/>
      <c r="E112" s="246"/>
      <c r="F112" s="227"/>
      <c r="G112" s="246"/>
      <c r="H112" s="227"/>
      <c r="I112" s="246"/>
      <c r="J112" s="227"/>
      <c r="K112" s="246"/>
      <c r="L112" s="227"/>
      <c r="M112" s="246"/>
      <c r="N112" s="227"/>
      <c r="O112" s="246"/>
      <c r="P112" s="227"/>
      <c r="Q112" s="246"/>
      <c r="R112" s="227"/>
      <c r="S112" s="246"/>
      <c r="T112" s="227"/>
      <c r="U112" s="246"/>
      <c r="V112" s="227"/>
      <c r="W112" s="246"/>
      <c r="X112" s="227"/>
      <c r="Y112" s="246"/>
      <c r="Z112" s="227"/>
      <c r="AA112" s="246"/>
      <c r="AB112" s="227"/>
      <c r="AC112" s="246"/>
      <c r="AD112" s="227"/>
      <c r="AE112" s="246"/>
      <c r="AF112" s="227"/>
      <c r="AG112" s="246"/>
      <c r="AH112" s="227"/>
      <c r="AI112" s="246"/>
      <c r="AJ112" s="227"/>
      <c r="AK112" s="246"/>
      <c r="AL112" s="227"/>
      <c r="AM112" s="246"/>
      <c r="AN112" s="227"/>
      <c r="AO112" s="246"/>
      <c r="AP112" s="227"/>
      <c r="AQ112" s="246"/>
      <c r="AR112" s="227"/>
      <c r="AS112" s="246"/>
      <c r="AT112" s="227"/>
      <c r="AU112" s="246"/>
      <c r="AV112" s="227"/>
      <c r="AW112" s="246"/>
      <c r="AX112" s="227"/>
      <c r="AY112" s="246"/>
      <c r="AZ112" s="251"/>
    </row>
    <row r="113" spans="2:52">
      <c r="B113" s="230" t="s">
        <v>1816</v>
      </c>
      <c r="C113" s="233"/>
      <c r="D113" s="234"/>
      <c r="E113" s="243"/>
      <c r="F113" s="238"/>
      <c r="G113" s="243"/>
      <c r="H113" s="238"/>
      <c r="I113" s="243"/>
      <c r="J113" s="238"/>
      <c r="K113" s="243"/>
      <c r="L113" s="238"/>
      <c r="M113" s="243"/>
      <c r="N113" s="238"/>
      <c r="O113" s="243"/>
      <c r="P113" s="238"/>
      <c r="Q113" s="243"/>
      <c r="R113" s="238"/>
      <c r="S113" s="243"/>
      <c r="T113" s="238"/>
      <c r="U113" s="243"/>
      <c r="V113" s="238"/>
      <c r="W113" s="243"/>
      <c r="X113" s="238"/>
      <c r="Y113" s="243"/>
      <c r="Z113" s="238"/>
      <c r="AA113" s="243"/>
      <c r="AB113" s="238"/>
      <c r="AC113" s="243"/>
      <c r="AD113" s="238"/>
      <c r="AE113" s="243"/>
      <c r="AF113" s="238"/>
      <c r="AG113" s="243"/>
      <c r="AH113" s="238"/>
      <c r="AI113" s="243"/>
      <c r="AJ113" s="238"/>
      <c r="AK113" s="243"/>
      <c r="AL113" s="238"/>
      <c r="AM113" s="243"/>
      <c r="AN113" s="238"/>
      <c r="AO113" s="243"/>
      <c r="AP113" s="238"/>
      <c r="AQ113" s="243"/>
      <c r="AR113" s="238"/>
      <c r="AS113" s="243"/>
      <c r="AT113" s="238"/>
      <c r="AU113" s="243"/>
      <c r="AV113" s="238"/>
      <c r="AW113" s="243"/>
      <c r="AX113" s="238"/>
      <c r="AY113" s="243"/>
      <c r="AZ113" s="256"/>
    </row>
    <row r="114" spans="2:52">
      <c r="B114" s="220" t="s">
        <v>1817</v>
      </c>
      <c r="C114" s="263">
        <f>IFERROR(AVERAGE(E114,G114,I114,K114,M114,O114,Q114,S114,U114,W114,Y114,AA114,AC114,AE114,AG114,AI114,AK114,AM114,AO114,AQ114,AS114,AU114,AW114,AY114),0)</f>
        <v>352783.5811111111</v>
      </c>
      <c r="D114" s="261">
        <f>IFERROR(AVERAGE(F114,H114,J114,L114,N114,P114,R114,T114,V114,X114,Z114,AB114,AD114,AF114,AH114,AJ114,AL114,AN114,AP114,AR114,AT114,AV114,AX114,AZ114),0)</f>
        <v>2236.0307136707379</v>
      </c>
      <c r="E114" s="242">
        <v>734921.19</v>
      </c>
      <c r="F114" s="241">
        <f>IFERROR(IF(E114&gt;0,E114/E$6," ")," ")</f>
        <v>5175.5013380281689</v>
      </c>
      <c r="G114" s="242">
        <v>573772</v>
      </c>
      <c r="H114" s="241">
        <f>IFERROR(IF(G114&gt;0,G114/G$6," ")," ")</f>
        <v>3586.0749999999998</v>
      </c>
      <c r="I114" s="242">
        <v>406667.61</v>
      </c>
      <c r="J114" s="241">
        <f>IFERROR(IF(I114&gt;0,I114/I$6," ")," ")</f>
        <v>2657.9582352941175</v>
      </c>
      <c r="K114" s="242">
        <v>416603.79</v>
      </c>
      <c r="L114" s="241">
        <f>IFERROR(IF(K114&gt;0,K114/K$6," ")," ")</f>
        <v>2169.8114062499999</v>
      </c>
      <c r="M114" s="242">
        <v>301985</v>
      </c>
      <c r="N114" s="241">
        <f>IFERROR(IF(M114&gt;0,M114/M$6," ")," ")</f>
        <v>1641.2228260869565</v>
      </c>
      <c r="O114" s="242">
        <v>177624</v>
      </c>
      <c r="P114" s="241">
        <f>IFERROR(IF(O114&gt;0,O114/O$6," ")," ")</f>
        <v>1110.1500000000001</v>
      </c>
      <c r="Q114" s="242"/>
      <c r="R114" s="241" t="str">
        <f>IFERROR(IF(Q114&gt;0,Q114/Q$6," ")," ")</f>
        <v xml:space="preserve"> </v>
      </c>
      <c r="S114" s="242"/>
      <c r="T114" s="241" t="str">
        <f>IFERROR(IF(S114&gt;0,S114/S$6," ")," ")</f>
        <v xml:space="preserve"> </v>
      </c>
      <c r="U114" s="242">
        <v>58351.79</v>
      </c>
      <c r="V114" s="241">
        <f>IFERROR(IF(U114&gt;0,U114/U$6," ")," ")</f>
        <v>291.75895000000003</v>
      </c>
      <c r="W114" s="242"/>
      <c r="X114" s="241" t="str">
        <f>IFERROR(IF(W114&gt;0,W114/W$6," ")," ")</f>
        <v xml:space="preserve"> </v>
      </c>
      <c r="Y114" s="242">
        <v>71392</v>
      </c>
      <c r="Z114" s="241">
        <f>IFERROR(IF(Y114&gt;0,Y114/Y$6," ")," ")</f>
        <v>254.97142857142856</v>
      </c>
      <c r="AA114" s="242"/>
      <c r="AB114" s="241" t="str">
        <f>IFERROR(IF(AA114&gt;0,AA114/AA$6," ")," ")</f>
        <v xml:space="preserve"> </v>
      </c>
      <c r="AC114" s="242"/>
      <c r="AD114" s="241" t="str">
        <f>IFERROR(IF(AC114&gt;0,AC114/AC$6," ")," ")</f>
        <v xml:space="preserve"> </v>
      </c>
      <c r="AE114" s="242">
        <v>433734.85</v>
      </c>
      <c r="AF114" s="241">
        <f>IFERROR(IF(AE114&gt;0,AE114/AE$6," ")," ")</f>
        <v>3236.82723880597</v>
      </c>
      <c r="AG114" s="242"/>
      <c r="AH114" s="241" t="str">
        <f>IFERROR(IF(AG114&gt;0,AG114/AG$6," ")," ")</f>
        <v xml:space="preserve"> </v>
      </c>
      <c r="AI114" s="242"/>
      <c r="AJ114" s="241" t="str">
        <f>IFERROR(IF(AI114&gt;0,AI114/AI$6," ")," ")</f>
        <v xml:space="preserve"> </v>
      </c>
      <c r="AK114" s="242"/>
      <c r="AL114" s="241" t="str">
        <f>IFERROR(IF(AK114&gt;0,AK114/AK$6," ")," ")</f>
        <v xml:space="preserve"> </v>
      </c>
      <c r="AM114" s="242"/>
      <c r="AN114" s="241" t="str">
        <f>IFERROR(IF(AM114&gt;0,AM114/AM$6," ")," ")</f>
        <v xml:space="preserve"> </v>
      </c>
      <c r="AO114" s="242"/>
      <c r="AP114" s="241" t="str">
        <f>IFERROR(IF(AO114&gt;0,AO114/AO$6," ")," ")</f>
        <v xml:space="preserve"> </v>
      </c>
      <c r="AQ114" s="242"/>
      <c r="AR114" s="241" t="str">
        <f>IFERROR(IF(AQ114&gt;0,AQ114/AQ$6," ")," ")</f>
        <v xml:space="preserve"> </v>
      </c>
      <c r="AS114" s="242"/>
      <c r="AT114" s="241" t="str">
        <f>IFERROR(IF(AS114&gt;0,AS114/AS$6," ")," ")</f>
        <v xml:space="preserve"> </v>
      </c>
      <c r="AU114" s="242"/>
      <c r="AV114" s="241" t="str">
        <f>IFERROR(IF(AU114&gt;0,AU114/AU$6," ")," ")</f>
        <v xml:space="preserve"> </v>
      </c>
      <c r="AW114" s="242"/>
      <c r="AX114" s="241" t="str">
        <f>IFERROR(IF(AW114&gt;0,AW114/AW$6," ")," ")</f>
        <v xml:space="preserve"> </v>
      </c>
      <c r="AY114" s="242"/>
      <c r="AZ114" s="253" t="str">
        <f>IFERROR(IF(AY114&gt;0,AY114/AY$6," ")," ")</f>
        <v xml:space="preserve"> </v>
      </c>
    </row>
    <row r="115" spans="2:52" ht="5.0999999999999996" customHeight="1">
      <c r="B115" s="220"/>
      <c r="C115" s="263"/>
      <c r="D115" s="261"/>
      <c r="E115" s="242"/>
      <c r="F115" s="241"/>
      <c r="G115" s="242"/>
      <c r="H115" s="241"/>
      <c r="I115" s="242"/>
      <c r="J115" s="241"/>
      <c r="K115" s="242"/>
      <c r="L115" s="241"/>
      <c r="M115" s="242"/>
      <c r="N115" s="241"/>
      <c r="O115" s="242"/>
      <c r="P115" s="241"/>
      <c r="Q115" s="242"/>
      <c r="R115" s="241"/>
      <c r="S115" s="242"/>
      <c r="T115" s="241"/>
      <c r="U115" s="242"/>
      <c r="V115" s="241"/>
      <c r="W115" s="242"/>
      <c r="X115" s="241"/>
      <c r="Y115" s="242"/>
      <c r="Z115" s="241"/>
      <c r="AA115" s="242"/>
      <c r="AB115" s="241"/>
      <c r="AC115" s="242"/>
      <c r="AD115" s="241"/>
      <c r="AE115" s="242"/>
      <c r="AF115" s="241"/>
      <c r="AG115" s="242"/>
      <c r="AH115" s="241"/>
      <c r="AI115" s="242"/>
      <c r="AJ115" s="241"/>
      <c r="AK115" s="242"/>
      <c r="AL115" s="241"/>
      <c r="AM115" s="242"/>
      <c r="AN115" s="241"/>
      <c r="AO115" s="242"/>
      <c r="AP115" s="241"/>
      <c r="AQ115" s="242"/>
      <c r="AR115" s="241"/>
      <c r="AS115" s="242"/>
      <c r="AT115" s="241"/>
      <c r="AU115" s="242"/>
      <c r="AV115" s="241"/>
      <c r="AW115" s="242"/>
      <c r="AX115" s="241"/>
      <c r="AY115" s="242"/>
      <c r="AZ115" s="253"/>
    </row>
    <row r="116" spans="2:52">
      <c r="B116" s="230" t="s">
        <v>1818</v>
      </c>
      <c r="C116" s="263"/>
      <c r="D116" s="261"/>
      <c r="E116" s="242"/>
      <c r="F116" s="239"/>
      <c r="G116" s="242"/>
      <c r="H116" s="239"/>
      <c r="I116" s="242"/>
      <c r="J116" s="239"/>
      <c r="K116" s="242"/>
      <c r="L116" s="239"/>
      <c r="M116" s="242"/>
      <c r="N116" s="239"/>
      <c r="O116" s="242"/>
      <c r="P116" s="239"/>
      <c r="Q116" s="242"/>
      <c r="R116" s="239"/>
      <c r="S116" s="242"/>
      <c r="T116" s="239"/>
      <c r="U116" s="242"/>
      <c r="V116" s="239"/>
      <c r="W116" s="242"/>
      <c r="X116" s="239"/>
      <c r="Y116" s="242"/>
      <c r="Z116" s="239"/>
      <c r="AA116" s="242"/>
      <c r="AB116" s="239"/>
      <c r="AC116" s="242"/>
      <c r="AD116" s="239"/>
      <c r="AE116" s="242"/>
      <c r="AF116" s="239"/>
      <c r="AG116" s="242"/>
      <c r="AH116" s="239"/>
      <c r="AI116" s="242"/>
      <c r="AJ116" s="239"/>
      <c r="AK116" s="242"/>
      <c r="AL116" s="239"/>
      <c r="AM116" s="242"/>
      <c r="AN116" s="239"/>
      <c r="AO116" s="242"/>
      <c r="AP116" s="239"/>
      <c r="AQ116" s="242"/>
      <c r="AR116" s="239"/>
      <c r="AS116" s="242"/>
      <c r="AT116" s="239"/>
      <c r="AU116" s="242"/>
      <c r="AV116" s="239"/>
      <c r="AW116" s="242"/>
      <c r="AX116" s="239"/>
      <c r="AY116" s="242"/>
      <c r="AZ116" s="257"/>
    </row>
    <row r="117" spans="2:52">
      <c r="B117" s="220" t="s">
        <v>1817</v>
      </c>
      <c r="C117" s="263">
        <f>IFERROR(AVERAGE(E117,G117,I117,K117,M117,O117,Q117,S117,U117,W117,Y117,AA117,AC117,AE117,AG117,AI117,AK117,AM117,AO117,AQ117,AS117,AU117,AW117,AY117),0)</f>
        <v>0</v>
      </c>
      <c r="D117" s="261">
        <f>IFERROR(AVERAGE(F117,H117,J117,L117,N117,P117,R117,T117,V117,X117,Z117,AB117,AD117,AF117,AH117,AJ117,AL117,AN117,AP117,AR117,AT117,AV117,AX117,AZ117),0)</f>
        <v>0</v>
      </c>
      <c r="E117" s="242"/>
      <c r="F117" s="241" t="str">
        <f>IFERROR(IF(E117&gt;0,E117/E$6," ")," ")</f>
        <v xml:space="preserve"> </v>
      </c>
      <c r="G117" s="242"/>
      <c r="H117" s="241" t="str">
        <f>IFERROR(IF(G117&gt;0,G117/G$6," ")," ")</f>
        <v xml:space="preserve"> </v>
      </c>
      <c r="I117" s="242"/>
      <c r="J117" s="241" t="str">
        <f>IFERROR(IF(I117&gt;0,I117/I$6," ")," ")</f>
        <v xml:space="preserve"> </v>
      </c>
      <c r="K117" s="242"/>
      <c r="L117" s="241" t="str">
        <f>IFERROR(IF(K117&gt;0,K117/K$6," ")," ")</f>
        <v xml:space="preserve"> </v>
      </c>
      <c r="M117" s="242"/>
      <c r="N117" s="241" t="str">
        <f>IFERROR(IF(M117&gt;0,M117/M$6," ")," ")</f>
        <v xml:space="preserve"> </v>
      </c>
      <c r="O117" s="242"/>
      <c r="P117" s="241" t="str">
        <f>IFERROR(IF(O117&gt;0,O117/O$6," ")," ")</f>
        <v xml:space="preserve"> </v>
      </c>
      <c r="Q117" s="242"/>
      <c r="R117" s="241" t="str">
        <f>IFERROR(IF(Q117&gt;0,Q117/Q$6," ")," ")</f>
        <v xml:space="preserve"> </v>
      </c>
      <c r="S117" s="242"/>
      <c r="T117" s="241" t="str">
        <f>IFERROR(IF(S117&gt;0,S117/S$6," ")," ")</f>
        <v xml:space="preserve"> </v>
      </c>
      <c r="U117" s="242"/>
      <c r="V117" s="241" t="str">
        <f>IFERROR(IF(U117&gt;0,U117/U$6," ")," ")</f>
        <v xml:space="preserve"> </v>
      </c>
      <c r="W117" s="242"/>
      <c r="X117" s="241" t="str">
        <f>IFERROR(IF(W117&gt;0,W117/W$6," ")," ")</f>
        <v xml:space="preserve"> </v>
      </c>
      <c r="Y117" s="242"/>
      <c r="Z117" s="241" t="str">
        <f>IFERROR(IF(Y117&gt;0,Y117/Y$6," ")," ")</f>
        <v xml:space="preserve"> </v>
      </c>
      <c r="AA117" s="242"/>
      <c r="AB117" s="241" t="str">
        <f>IFERROR(IF(AA117&gt;0,AA117/AA$6," ")," ")</f>
        <v xml:space="preserve"> </v>
      </c>
      <c r="AC117" s="242"/>
      <c r="AD117" s="241" t="str">
        <f>IFERROR(IF(AC117&gt;0,AC117/AC$6," ")," ")</f>
        <v xml:space="preserve"> </v>
      </c>
      <c r="AE117" s="242"/>
      <c r="AF117" s="241" t="str">
        <f>IFERROR(IF(AE117&gt;0,AE117/AE$6," ")," ")</f>
        <v xml:space="preserve"> </v>
      </c>
      <c r="AG117" s="242"/>
      <c r="AH117" s="241" t="str">
        <f>IFERROR(IF(AG117&gt;0,AG117/AG$6," ")," ")</f>
        <v xml:space="preserve"> </v>
      </c>
      <c r="AI117" s="242"/>
      <c r="AJ117" s="241" t="str">
        <f>IFERROR(IF(AI117&gt;0,AI117/AI$6," ")," ")</f>
        <v xml:space="preserve"> </v>
      </c>
      <c r="AK117" s="242"/>
      <c r="AL117" s="241" t="str">
        <f>IFERROR(IF(AK117&gt;0,AK117/AK$6," ")," ")</f>
        <v xml:space="preserve"> </v>
      </c>
      <c r="AM117" s="242"/>
      <c r="AN117" s="241" t="str">
        <f>IFERROR(IF(AM117&gt;0,AM117/AM$6," ")," ")</f>
        <v xml:space="preserve"> </v>
      </c>
      <c r="AO117" s="242"/>
      <c r="AP117" s="241" t="str">
        <f>IFERROR(IF(AO117&gt;0,AO117/AO$6," ")," ")</f>
        <v xml:space="preserve"> </v>
      </c>
      <c r="AQ117" s="242"/>
      <c r="AR117" s="241" t="str">
        <f>IFERROR(IF(AQ117&gt;0,AQ117/AQ$6," ")," ")</f>
        <v xml:space="preserve"> </v>
      </c>
      <c r="AS117" s="242"/>
      <c r="AT117" s="241" t="str">
        <f>IFERROR(IF(AS117&gt;0,AS117/AS$6," ")," ")</f>
        <v xml:space="preserve"> </v>
      </c>
      <c r="AU117" s="242"/>
      <c r="AV117" s="241" t="str">
        <f>IFERROR(IF(AU117&gt;0,AU117/AU$6," ")," ")</f>
        <v xml:space="preserve"> </v>
      </c>
      <c r="AW117" s="242"/>
      <c r="AX117" s="241" t="str">
        <f>IFERROR(IF(AW117&gt;0,AW117/AW$6," ")," ")</f>
        <v xml:space="preserve"> </v>
      </c>
      <c r="AY117" s="242"/>
      <c r="AZ117" s="253" t="str">
        <f>IFERROR(IF(AY117&gt;0,AY117/AY$6," ")," ")</f>
        <v xml:space="preserve"> </v>
      </c>
    </row>
    <row r="118" spans="2:52" ht="5.0999999999999996" customHeight="1">
      <c r="B118" s="220"/>
      <c r="C118" s="235"/>
      <c r="D118" s="236"/>
      <c r="E118" s="242"/>
      <c r="F118" s="241"/>
      <c r="G118" s="242"/>
      <c r="H118" s="241"/>
      <c r="I118" s="242"/>
      <c r="J118" s="241"/>
      <c r="K118" s="242"/>
      <c r="L118" s="241"/>
      <c r="M118" s="242"/>
      <c r="N118" s="241"/>
      <c r="O118" s="242"/>
      <c r="P118" s="241"/>
      <c r="Q118" s="242"/>
      <c r="R118" s="241"/>
      <c r="S118" s="242"/>
      <c r="T118" s="241"/>
      <c r="U118" s="242"/>
      <c r="V118" s="241"/>
      <c r="W118" s="242"/>
      <c r="X118" s="241"/>
      <c r="Y118" s="242"/>
      <c r="Z118" s="241"/>
      <c r="AA118" s="242"/>
      <c r="AB118" s="241"/>
      <c r="AC118" s="242"/>
      <c r="AD118" s="241"/>
      <c r="AE118" s="242"/>
      <c r="AF118" s="241"/>
      <c r="AG118" s="242"/>
      <c r="AH118" s="241"/>
      <c r="AI118" s="242"/>
      <c r="AJ118" s="241"/>
      <c r="AK118" s="242"/>
      <c r="AL118" s="241"/>
      <c r="AM118" s="242"/>
      <c r="AN118" s="241"/>
      <c r="AO118" s="242"/>
      <c r="AP118" s="241"/>
      <c r="AQ118" s="242"/>
      <c r="AR118" s="241"/>
      <c r="AS118" s="242"/>
      <c r="AT118" s="241"/>
      <c r="AU118" s="242"/>
      <c r="AV118" s="241"/>
      <c r="AW118" s="242"/>
      <c r="AX118" s="241"/>
      <c r="AY118" s="242"/>
      <c r="AZ118" s="253"/>
    </row>
    <row r="119" spans="2:52" ht="14.45" thickBot="1">
      <c r="B119" s="232" t="s">
        <v>1819</v>
      </c>
      <c r="C119" s="271">
        <f>IFERROR(AVERAGE(E119,G119,I119,K119,M119,O119,Q119,S119,U119,W119,Y119,AA119,AC119,AE119,AG119,AI119,AK119,AM119,AO119,AQ119,AS119,AU119,AW119,AY119),0)</f>
        <v>87.4</v>
      </c>
      <c r="D119" s="237"/>
      <c r="E119" s="245">
        <v>98</v>
      </c>
      <c r="F119" s="240"/>
      <c r="G119" s="245">
        <v>82</v>
      </c>
      <c r="H119" s="240"/>
      <c r="I119" s="270" t="s">
        <v>163</v>
      </c>
      <c r="J119" s="240"/>
      <c r="K119" s="270" t="s">
        <v>163</v>
      </c>
      <c r="L119" s="240"/>
      <c r="M119" s="270" t="s">
        <v>163</v>
      </c>
      <c r="N119" s="240"/>
      <c r="O119" s="270" t="s">
        <v>163</v>
      </c>
      <c r="P119" s="240"/>
      <c r="Q119" s="245">
        <v>59</v>
      </c>
      <c r="R119" s="240"/>
      <c r="S119" s="270" t="s">
        <v>163</v>
      </c>
      <c r="T119" s="240"/>
      <c r="U119" s="270" t="s">
        <v>163</v>
      </c>
      <c r="V119" s="240"/>
      <c r="W119" s="270" t="s">
        <v>163</v>
      </c>
      <c r="X119" s="240"/>
      <c r="Y119" s="245">
        <v>98</v>
      </c>
      <c r="Z119" s="240"/>
      <c r="AA119" s="270" t="s">
        <v>163</v>
      </c>
      <c r="AB119" s="240"/>
      <c r="AC119" s="270" t="s">
        <v>163</v>
      </c>
      <c r="AD119" s="240"/>
      <c r="AE119" s="270" t="s">
        <v>163</v>
      </c>
      <c r="AF119" s="240"/>
      <c r="AG119" s="245">
        <v>100</v>
      </c>
      <c r="AH119" s="240"/>
      <c r="AI119" s="270" t="s">
        <v>163</v>
      </c>
      <c r="AJ119" s="240"/>
      <c r="AK119" s="245"/>
      <c r="AL119" s="240"/>
      <c r="AM119" s="245"/>
      <c r="AN119" s="240"/>
      <c r="AO119" s="245"/>
      <c r="AP119" s="240"/>
      <c r="AQ119" s="245"/>
      <c r="AR119" s="240"/>
      <c r="AS119" s="245"/>
      <c r="AT119" s="240"/>
      <c r="AU119" s="245"/>
      <c r="AV119" s="240"/>
      <c r="AW119" s="245"/>
      <c r="AX119" s="240"/>
      <c r="AY119" s="245"/>
      <c r="AZ119" s="258"/>
    </row>
  </sheetData>
  <mergeCells count="201">
    <mergeCell ref="AW11:AX11"/>
    <mergeCell ref="AY11:AZ11"/>
    <mergeCell ref="AK11:AL11"/>
    <mergeCell ref="AM11:AN11"/>
    <mergeCell ref="AO11:AP11"/>
    <mergeCell ref="AQ11:AR11"/>
    <mergeCell ref="AS11:AT11"/>
    <mergeCell ref="AU11:AV11"/>
    <mergeCell ref="K11:L11"/>
    <mergeCell ref="C11:D11"/>
    <mergeCell ref="B11:B12"/>
    <mergeCell ref="E11:F11"/>
    <mergeCell ref="G11:H11"/>
    <mergeCell ref="I11:J11"/>
    <mergeCell ref="AI11:AJ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M3:N3"/>
    <mergeCell ref="M4:N4"/>
    <mergeCell ref="M5:N5"/>
    <mergeCell ref="M6:N6"/>
    <mergeCell ref="M7:N7"/>
    <mergeCell ref="M8:N8"/>
    <mergeCell ref="M9:N9"/>
    <mergeCell ref="G3:H3"/>
    <mergeCell ref="G4:H4"/>
    <mergeCell ref="G5:H5"/>
    <mergeCell ref="G6:H6"/>
    <mergeCell ref="G7:H7"/>
    <mergeCell ref="G8:H8"/>
    <mergeCell ref="G9:H9"/>
    <mergeCell ref="I3:J3"/>
    <mergeCell ref="I4:J4"/>
    <mergeCell ref="I5:J5"/>
    <mergeCell ref="I6:J6"/>
    <mergeCell ref="I7:J7"/>
    <mergeCell ref="I8:J8"/>
    <mergeCell ref="I9:J9"/>
    <mergeCell ref="K3:L3"/>
    <mergeCell ref="K4:L4"/>
    <mergeCell ref="K5:L5"/>
    <mergeCell ref="U3:V3"/>
    <mergeCell ref="U4:V4"/>
    <mergeCell ref="U5:V5"/>
    <mergeCell ref="U6:V6"/>
    <mergeCell ref="U7:V7"/>
    <mergeCell ref="U8:V8"/>
    <mergeCell ref="U9:V9"/>
    <mergeCell ref="O3:P3"/>
    <mergeCell ref="O4:P4"/>
    <mergeCell ref="O5:P5"/>
    <mergeCell ref="O6:P6"/>
    <mergeCell ref="O7:P7"/>
    <mergeCell ref="O8:P8"/>
    <mergeCell ref="O9:P9"/>
    <mergeCell ref="Q3:R3"/>
    <mergeCell ref="Q4:R4"/>
    <mergeCell ref="Q5:R5"/>
    <mergeCell ref="Q6:R6"/>
    <mergeCell ref="Q7:R7"/>
    <mergeCell ref="Q8:R8"/>
    <mergeCell ref="Q9:R9"/>
    <mergeCell ref="S3:T3"/>
    <mergeCell ref="S4:T4"/>
    <mergeCell ref="S5:T5"/>
    <mergeCell ref="W3:X3"/>
    <mergeCell ref="W4:X4"/>
    <mergeCell ref="W5:X5"/>
    <mergeCell ref="W6:X6"/>
    <mergeCell ref="W7:X7"/>
    <mergeCell ref="W8:X8"/>
    <mergeCell ref="W9:X9"/>
    <mergeCell ref="Y3:Z3"/>
    <mergeCell ref="Y4:Z4"/>
    <mergeCell ref="Y5:Z5"/>
    <mergeCell ref="Y6:Z6"/>
    <mergeCell ref="Y7:Z7"/>
    <mergeCell ref="AK3:AL3"/>
    <mergeCell ref="AK4:AL4"/>
    <mergeCell ref="AK5:AL5"/>
    <mergeCell ref="AK6:AL6"/>
    <mergeCell ref="AK7:AL7"/>
    <mergeCell ref="AK8:AL8"/>
    <mergeCell ref="AM8:AN8"/>
    <mergeCell ref="AE3:AF3"/>
    <mergeCell ref="AG3:AH3"/>
    <mergeCell ref="AE4:AF4"/>
    <mergeCell ref="AG4:AH4"/>
    <mergeCell ref="AE5:AF5"/>
    <mergeCell ref="AG5:AH5"/>
    <mergeCell ref="AE6:AF6"/>
    <mergeCell ref="AG6:AH6"/>
    <mergeCell ref="AE7:AF7"/>
    <mergeCell ref="AG7:AH7"/>
    <mergeCell ref="AM3:AN3"/>
    <mergeCell ref="AO3:AP3"/>
    <mergeCell ref="AM4:AN4"/>
    <mergeCell ref="AO4:AP4"/>
    <mergeCell ref="AM5:AN5"/>
    <mergeCell ref="AO5:AP5"/>
    <mergeCell ref="AM6:AN6"/>
    <mergeCell ref="AO6:AP6"/>
    <mergeCell ref="AM7:AN7"/>
    <mergeCell ref="AO7:AP7"/>
    <mergeCell ref="AQ3:AR3"/>
    <mergeCell ref="AS3:AT3"/>
    <mergeCell ref="AQ4:AR4"/>
    <mergeCell ref="AS4:AT4"/>
    <mergeCell ref="AQ5:AR5"/>
    <mergeCell ref="AS5:AT5"/>
    <mergeCell ref="AQ6:AR6"/>
    <mergeCell ref="AS6:AT6"/>
    <mergeCell ref="AQ7:AR7"/>
    <mergeCell ref="AS7:AT7"/>
    <mergeCell ref="AY3:AZ3"/>
    <mergeCell ref="AY4:AZ4"/>
    <mergeCell ref="AY5:AZ5"/>
    <mergeCell ref="AY6:AZ6"/>
    <mergeCell ref="AY7:AZ7"/>
    <mergeCell ref="AU3:AV3"/>
    <mergeCell ref="AU4:AV4"/>
    <mergeCell ref="AU5:AV5"/>
    <mergeCell ref="AU6:AV6"/>
    <mergeCell ref="AU7:AV7"/>
    <mergeCell ref="AW3:AX3"/>
    <mergeCell ref="AW4:AX4"/>
    <mergeCell ref="AW5:AX5"/>
    <mergeCell ref="AW6:AX6"/>
    <mergeCell ref="AW7:AX7"/>
    <mergeCell ref="K6:L6"/>
    <mergeCell ref="K7:L7"/>
    <mergeCell ref="K8:L8"/>
    <mergeCell ref="K9:L9"/>
    <mergeCell ref="C8:D8"/>
    <mergeCell ref="C9:D9"/>
    <mergeCell ref="E3:F3"/>
    <mergeCell ref="E4:F4"/>
    <mergeCell ref="E5:F5"/>
    <mergeCell ref="E6:F6"/>
    <mergeCell ref="E7:F7"/>
    <mergeCell ref="E8:F8"/>
    <mergeCell ref="E9:F9"/>
    <mergeCell ref="C3:D3"/>
    <mergeCell ref="C4:D4"/>
    <mergeCell ref="C5:D5"/>
    <mergeCell ref="C6:D6"/>
    <mergeCell ref="C7:D7"/>
    <mergeCell ref="S6:T6"/>
    <mergeCell ref="S7:T7"/>
    <mergeCell ref="S8:T8"/>
    <mergeCell ref="S9:T9"/>
    <mergeCell ref="AI3:AJ3"/>
    <mergeCell ref="AI4:AJ4"/>
    <mergeCell ref="AI5:AJ5"/>
    <mergeCell ref="AI6:AJ6"/>
    <mergeCell ref="AI7:AJ7"/>
    <mergeCell ref="AI8:AJ8"/>
    <mergeCell ref="Y8:Z8"/>
    <mergeCell ref="Y9:Z9"/>
    <mergeCell ref="AA3:AB3"/>
    <mergeCell ref="AA4:AB4"/>
    <mergeCell ref="AA5:AB5"/>
    <mergeCell ref="AA6:AB6"/>
    <mergeCell ref="AA7:AB7"/>
    <mergeCell ref="AA8:AB8"/>
    <mergeCell ref="AA9:AB9"/>
    <mergeCell ref="AC3:AD3"/>
    <mergeCell ref="AC4:AD4"/>
    <mergeCell ref="AC5:AD5"/>
    <mergeCell ref="AC6:AD6"/>
    <mergeCell ref="AC7:AD7"/>
    <mergeCell ref="AC8:AD8"/>
    <mergeCell ref="AC9:AD9"/>
    <mergeCell ref="AO8:AP8"/>
    <mergeCell ref="AI9:AJ9"/>
    <mergeCell ref="AK9:AL9"/>
    <mergeCell ref="AM9:AN9"/>
    <mergeCell ref="AO9:AP9"/>
    <mergeCell ref="AE8:AF8"/>
    <mergeCell ref="AG8:AH8"/>
    <mergeCell ref="AE9:AF9"/>
    <mergeCell ref="AG9:AH9"/>
    <mergeCell ref="AW8:AX8"/>
    <mergeCell ref="AY8:AZ8"/>
    <mergeCell ref="AW9:AX9"/>
    <mergeCell ref="AY9:AZ9"/>
    <mergeCell ref="AQ8:AR8"/>
    <mergeCell ref="AS8:AT8"/>
    <mergeCell ref="AU8:AV8"/>
    <mergeCell ref="AQ9:AR9"/>
    <mergeCell ref="AS9:AT9"/>
    <mergeCell ref="AU9:AV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4112e1-3f87-49e7-ae52-9ba30f749895">
      <Terms xmlns="http://schemas.microsoft.com/office/infopath/2007/PartnerControls"/>
    </lcf76f155ced4ddcb4097134ff3c332f>
    <TaxCatchAll xmlns="95f0754e-96ed-435b-9b07-41baf906f2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E823BCA9350B44ABCF1E16E6386D41" ma:contentTypeVersion="15" ma:contentTypeDescription="Create a new document." ma:contentTypeScope="" ma:versionID="1bfa69ea1fdaf0638601263dd78d1f69">
  <xsd:schema xmlns:xsd="http://www.w3.org/2001/XMLSchema" xmlns:xs="http://www.w3.org/2001/XMLSchema" xmlns:p="http://schemas.microsoft.com/office/2006/metadata/properties" xmlns:ns2="cc4112e1-3f87-49e7-ae52-9ba30f749895" xmlns:ns3="95f0754e-96ed-435b-9b07-41baf906f299" targetNamespace="http://schemas.microsoft.com/office/2006/metadata/properties" ma:root="true" ma:fieldsID="96b1857978e73441e32997924b3ec5a9" ns2:_="" ns3:_="">
    <xsd:import namespace="cc4112e1-3f87-49e7-ae52-9ba30f749895"/>
    <xsd:import namespace="95f0754e-96ed-435b-9b07-41baf906f2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112e1-3f87-49e7-ae52-9ba30f7498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a5e0d56-9ee6-4466-af3a-23520b612c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f0754e-96ed-435b-9b07-41baf906f29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da34dc4-cd78-456d-81cc-47c2480dc0cf}" ma:internalName="TaxCatchAll" ma:showField="CatchAllData" ma:web="95f0754e-96ed-435b-9b07-41baf906f2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CCD05C-A4D6-4EB9-9DCA-0046A7DB170A}"/>
</file>

<file path=customXml/itemProps2.xml><?xml version="1.0" encoding="utf-8"?>
<ds:datastoreItem xmlns:ds="http://schemas.openxmlformats.org/officeDocument/2006/customXml" ds:itemID="{595BB7FB-E7BB-4F77-89D0-78840DD444A4}"/>
</file>

<file path=customXml/itemProps3.xml><?xml version="1.0" encoding="utf-8"?>
<ds:datastoreItem xmlns:ds="http://schemas.openxmlformats.org/officeDocument/2006/customXml" ds:itemID="{62A54E9E-F95B-4CB0-99C8-895380186D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Kyle Huston</dc:creator>
  <cp:keywords/>
  <dc:description/>
  <cp:lastModifiedBy/>
  <cp:revision/>
  <dcterms:created xsi:type="dcterms:W3CDTF">2023-02-01T18:39:42Z</dcterms:created>
  <dcterms:modified xsi:type="dcterms:W3CDTF">2026-05-26T20:01:36Z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0x01010057E823BCA9350B44ABCF1E16E6386D41</vt:lpwstr>
  </property>
</Properties>
</file>